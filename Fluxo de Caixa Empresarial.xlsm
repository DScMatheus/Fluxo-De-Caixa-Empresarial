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slicers/slicer4.xml" ContentType="application/vnd.ms-excel.slicer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slicers/slicer5.xml" ContentType="application/vnd.ms-excel.slicer+xml"/>
  <Override PartName="/xl/comments1.xml" ContentType="application/vnd.openxmlformats-officedocument.spreadsheetml.comments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slicers/slicer6.xml" ContentType="application/vnd.ms-excel.slicer+xml"/>
  <Override PartName="/xl/pivotTables/pivotTable7.xml" ContentType="application/vnd.openxmlformats-officedocument.spreadsheetml.pivotTable+xml"/>
  <Override PartName="/xl/drawings/drawing16.xml" ContentType="application/vnd.openxmlformats-officedocument.drawing+xml"/>
  <Override PartName="/xl/slicers/slicer7.xml" ContentType="application/vnd.ms-excel.slicer+xml"/>
  <Override PartName="/xl/pivotTables/pivotTable8.xml" ContentType="application/vnd.openxmlformats-officedocument.spreadsheetml.pivotTable+xml"/>
  <Override PartName="/xl/drawings/drawing17.xml" ContentType="application/vnd.openxmlformats-officedocument.drawing+xml"/>
  <Override PartName="/xl/slicers/slicer8.xml" ContentType="application/vnd.ms-excel.slicer+xml"/>
  <Override PartName="/xl/drawings/drawing1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Matheus\Excel Udemy\Projeto Final\"/>
    </mc:Choice>
  </mc:AlternateContent>
  <bookViews>
    <workbookView xWindow="0" yWindow="0" windowWidth="23040" windowHeight="9072"/>
  </bookViews>
  <sheets>
    <sheet name="Inicio" sheetId="1" r:id="rId1"/>
    <sheet name="Inserir_Entradas" sheetId="7" r:id="rId2"/>
    <sheet name="PlanoEntradas" sheetId="21" r:id="rId3"/>
    <sheet name="Inserir_Saídas" sheetId="8" r:id="rId4"/>
    <sheet name="PlanoSaídas" sheetId="22" r:id="rId5"/>
    <sheet name="RegistroEntradas" sheetId="11" r:id="rId6"/>
    <sheet name="RegistroSaídas" sheetId="24" r:id="rId7"/>
    <sheet name="RBV" sheetId="23" r:id="rId8"/>
    <sheet name="Fluxo_Consolidado" sheetId="12" r:id="rId9"/>
    <sheet name="DetalhaReceita" sheetId="13" r:id="rId10"/>
    <sheet name="DetalhaDespesa" sheetId="25" r:id="rId11"/>
    <sheet name="DetalhaEBases" sheetId="28" r:id="rId12"/>
    <sheet name="DetalhaSBases" sheetId="29" r:id="rId13"/>
    <sheet name="DetalhaVendedores" sheetId="30" r:id="rId14"/>
    <sheet name="ContasPagar" sheetId="26" r:id="rId15"/>
    <sheet name="ContasReceber" sheetId="16" r:id="rId16"/>
    <sheet name="ContasReceberVen" sheetId="18" r:id="rId17"/>
    <sheet name="DaFinanceiroAnual" sheetId="20" r:id="rId18"/>
    <sheet name="DaFinanceiroAnualT" sheetId="31" state="hidden" r:id="rId19"/>
  </sheets>
  <definedNames>
    <definedName name="_xlnm._FilterDatabase" localSheetId="5" hidden="1">RegistroEntradas!$A$5:$I$737</definedName>
    <definedName name="SegmentaçãodeDados_ANO_COMPETÊNCIA">#N/A</definedName>
    <definedName name="SegmentaçãodeDados_ANO_COMPETÊNCIA1">#N/A</definedName>
    <definedName name="SegmentaçãodeDados_ANO_COMPETÊNCIA2">#N/A</definedName>
    <definedName name="SegmentaçãodeDados_ANO_COMPETÊNCIA3">#N/A</definedName>
    <definedName name="SegmentaçãodeDados_ANO_COMPETÊNCIA4">#N/A</definedName>
    <definedName name="SegmentaçãodeDados_ANO_COMPETÊNCIA5">#N/A</definedName>
    <definedName name="SegmentaçãodeDados_ANO_PREVISTO">#N/A</definedName>
    <definedName name="SegmentaçãodeDados_ANO_PREVISTO1">#N/A</definedName>
    <definedName name="SegmentaçãodeDados_BASE_DE_OPERAÇÃO">#N/A</definedName>
    <definedName name="SegmentaçãodeDados_BASE_DE_OPERAÇÃO1">#N/A</definedName>
    <definedName name="SegmentaçãodeDados_BASE_DE_OPERAÇÃO2">#N/A</definedName>
    <definedName name="SegmentaçãodeDados_ENTRADA_NÍVEL_2">#N/A</definedName>
    <definedName name="SegmentaçãodeDados_ENTRADA_NÍVEL_21">#N/A</definedName>
    <definedName name="SegmentaçãodeDados_ENTRADA_NÍVEL_22">#N/A</definedName>
    <definedName name="SegmentaçãodeDados_ENTRADA_NÍVEL_23">#N/A</definedName>
    <definedName name="SegmentaçãodeDados_ENTRADA_NÍVEL_24">#N/A</definedName>
    <definedName name="SegmentaçãodeDados_MÊS_COMPETÊNCIA">#N/A</definedName>
    <definedName name="SegmentaçãodeDados_MÊS_COMPETÊNCIA1">#N/A</definedName>
    <definedName name="SegmentaçãodeDados_MÊS_COMPETÊNCIA2">#N/A</definedName>
    <definedName name="SegmentaçãodeDados_MÊS_COMPETÊNCIA3">#N/A</definedName>
    <definedName name="SegmentaçãodeDados_MÊS_COMPETÊNCIA4">#N/A</definedName>
    <definedName name="SegmentaçãodeDados_MÊS_COMPETÊNCIA5">#N/A</definedName>
    <definedName name="SegmentaçãodeDados_MÊS_PREVISTO">#N/A</definedName>
    <definedName name="SegmentaçãodeDados_MÊS_PREVISTO1">#N/A</definedName>
  </definedNames>
  <calcPr calcId="162913"/>
  <pivotCaches>
    <pivotCache cacheId="0" r:id="rId20"/>
    <pivotCache cacheId="1" r:id="rId21"/>
  </pivotCaches>
  <extLs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24" l="1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L205" i="24"/>
  <c r="L206" i="24"/>
  <c r="L207" i="24"/>
  <c r="L208" i="24"/>
  <c r="L209" i="24"/>
  <c r="L210" i="24"/>
  <c r="L211" i="24"/>
  <c r="L212" i="24"/>
  <c r="L213" i="24"/>
  <c r="L214" i="24"/>
  <c r="L215" i="24"/>
  <c r="L216" i="24"/>
  <c r="L217" i="24"/>
  <c r="L218" i="24"/>
  <c r="L219" i="24"/>
  <c r="L220" i="24"/>
  <c r="L221" i="24"/>
  <c r="L222" i="24"/>
  <c r="L223" i="24"/>
  <c r="L224" i="24"/>
  <c r="L225" i="24"/>
  <c r="L226" i="24"/>
  <c r="L227" i="24"/>
  <c r="L228" i="24"/>
  <c r="L229" i="24"/>
  <c r="L230" i="24"/>
  <c r="L231" i="24"/>
  <c r="L232" i="24"/>
  <c r="L233" i="24"/>
  <c r="L234" i="24"/>
  <c r="L235" i="24"/>
  <c r="L236" i="24"/>
  <c r="L237" i="24"/>
  <c r="L238" i="24"/>
  <c r="L239" i="24"/>
  <c r="L240" i="24"/>
  <c r="L241" i="24"/>
  <c r="L242" i="24"/>
  <c r="L243" i="24"/>
  <c r="L244" i="24"/>
  <c r="L245" i="24"/>
  <c r="L246" i="24"/>
  <c r="L247" i="24"/>
  <c r="L248" i="24"/>
  <c r="L249" i="24"/>
  <c r="L250" i="24"/>
  <c r="L251" i="24"/>
  <c r="L252" i="24"/>
  <c r="L253" i="24"/>
  <c r="L254" i="24"/>
  <c r="L255" i="24"/>
  <c r="L256" i="24"/>
  <c r="L257" i="24"/>
  <c r="L258" i="24"/>
  <c r="L259" i="24"/>
  <c r="L260" i="24"/>
  <c r="L261" i="24"/>
  <c r="L262" i="24"/>
  <c r="L263" i="24"/>
  <c r="L264" i="24"/>
  <c r="L265" i="24"/>
  <c r="L266" i="24"/>
  <c r="L267" i="24"/>
  <c r="L268" i="24"/>
  <c r="L269" i="24"/>
  <c r="L270" i="24"/>
  <c r="L271" i="24"/>
  <c r="L272" i="24"/>
  <c r="L273" i="24"/>
  <c r="L274" i="24"/>
  <c r="L275" i="24"/>
  <c r="L276" i="24"/>
  <c r="L277" i="24"/>
  <c r="L278" i="24"/>
  <c r="L279" i="24"/>
  <c r="L280" i="24"/>
  <c r="L281" i="24"/>
  <c r="L282" i="24"/>
  <c r="L283" i="24"/>
  <c r="L284" i="24"/>
  <c r="L285" i="24"/>
  <c r="L286" i="24"/>
  <c r="L287" i="24"/>
  <c r="L288" i="24"/>
  <c r="L289" i="24"/>
  <c r="L290" i="24"/>
  <c r="L291" i="24"/>
  <c r="L292" i="24"/>
  <c r="L293" i="24"/>
  <c r="L294" i="24"/>
  <c r="L295" i="24"/>
  <c r="L296" i="24"/>
  <c r="L297" i="24"/>
  <c r="L298" i="24"/>
  <c r="L299" i="24"/>
  <c r="L300" i="24"/>
  <c r="L301" i="24"/>
  <c r="L302" i="24"/>
  <c r="L303" i="24"/>
  <c r="L304" i="24"/>
  <c r="L305" i="24"/>
  <c r="L306" i="24"/>
  <c r="L307" i="24"/>
  <c r="L308" i="24"/>
  <c r="L309" i="24"/>
  <c r="L310" i="24"/>
  <c r="L311" i="24"/>
  <c r="L312" i="24"/>
  <c r="L313" i="24"/>
  <c r="L314" i="24"/>
  <c r="L315" i="24"/>
  <c r="L316" i="24"/>
  <c r="L317" i="24"/>
  <c r="L318" i="24"/>
  <c r="L319" i="24"/>
  <c r="L320" i="24"/>
  <c r="L321" i="24"/>
  <c r="L322" i="24"/>
  <c r="L323" i="24"/>
  <c r="L324" i="24"/>
  <c r="L325" i="24"/>
  <c r="L326" i="24"/>
  <c r="L327" i="24"/>
  <c r="L328" i="24"/>
  <c r="L329" i="24"/>
  <c r="L330" i="24"/>
  <c r="L331" i="24"/>
  <c r="L332" i="24"/>
  <c r="L333" i="24"/>
  <c r="L334" i="24"/>
  <c r="L335" i="24"/>
  <c r="L336" i="24"/>
  <c r="L337" i="24"/>
  <c r="L338" i="24"/>
  <c r="L339" i="24"/>
  <c r="L340" i="24"/>
  <c r="L341" i="24"/>
  <c r="L342" i="24"/>
  <c r="L343" i="24"/>
  <c r="L344" i="24"/>
  <c r="L345" i="24"/>
  <c r="L346" i="24"/>
  <c r="L347" i="24"/>
  <c r="L348" i="24"/>
  <c r="L349" i="24"/>
  <c r="L350" i="24"/>
  <c r="L351" i="24"/>
  <c r="L352" i="24"/>
  <c r="L353" i="24"/>
  <c r="L354" i="24"/>
  <c r="L355" i="24"/>
  <c r="L356" i="24"/>
  <c r="L357" i="24"/>
  <c r="L358" i="24"/>
  <c r="L359" i="24"/>
  <c r="L360" i="24"/>
  <c r="L361" i="24"/>
  <c r="L362" i="24"/>
  <c r="L363" i="24"/>
  <c r="L364" i="24"/>
  <c r="L365" i="24"/>
  <c r="L366" i="24"/>
  <c r="L367" i="24"/>
  <c r="L368" i="24"/>
  <c r="L369" i="24"/>
  <c r="L370" i="24"/>
  <c r="L371" i="24"/>
  <c r="L372" i="24"/>
  <c r="L373" i="24"/>
  <c r="L374" i="24"/>
  <c r="L375" i="24"/>
  <c r="L376" i="24"/>
  <c r="L377" i="24"/>
  <c r="L378" i="24"/>
  <c r="L379" i="24"/>
  <c r="L380" i="24"/>
  <c r="L381" i="24"/>
  <c r="L382" i="24"/>
  <c r="L383" i="24"/>
  <c r="L384" i="24"/>
  <c r="L385" i="24"/>
  <c r="L386" i="24"/>
  <c r="L387" i="24"/>
  <c r="L388" i="24"/>
  <c r="L389" i="24"/>
  <c r="L390" i="24"/>
  <c r="L391" i="24"/>
  <c r="L392" i="24"/>
  <c r="L393" i="24"/>
  <c r="L394" i="24"/>
  <c r="L395" i="24"/>
  <c r="L396" i="24"/>
  <c r="L397" i="24"/>
  <c r="L398" i="24"/>
  <c r="L399" i="24"/>
  <c r="L400" i="24"/>
  <c r="L401" i="24"/>
  <c r="L402" i="24"/>
  <c r="L403" i="24"/>
  <c r="L404" i="24"/>
  <c r="L405" i="24"/>
  <c r="L406" i="24"/>
  <c r="L407" i="24"/>
  <c r="L408" i="24"/>
  <c r="L409" i="24"/>
  <c r="L410" i="24"/>
  <c r="L411" i="24"/>
  <c r="L412" i="24"/>
  <c r="L413" i="24"/>
  <c r="L414" i="24"/>
  <c r="L415" i="24"/>
  <c r="L416" i="24"/>
  <c r="L417" i="24"/>
  <c r="L418" i="24"/>
  <c r="L419" i="24"/>
  <c r="L420" i="24"/>
  <c r="L421" i="24"/>
  <c r="L422" i="24"/>
  <c r="L423" i="24"/>
  <c r="L424" i="24"/>
  <c r="L425" i="24"/>
  <c r="L426" i="24"/>
  <c r="L427" i="24"/>
  <c r="L428" i="24"/>
  <c r="L429" i="24"/>
  <c r="L430" i="24"/>
  <c r="L431" i="24"/>
  <c r="L432" i="24"/>
  <c r="L433" i="24"/>
  <c r="L434" i="24"/>
  <c r="L435" i="24"/>
  <c r="L436" i="24"/>
  <c r="L437" i="24"/>
  <c r="L438" i="24"/>
  <c r="L439" i="24"/>
  <c r="L440" i="24"/>
  <c r="L441" i="24"/>
  <c r="L442" i="24"/>
  <c r="L443" i="24"/>
  <c r="L444" i="24"/>
  <c r="L445" i="24"/>
  <c r="L446" i="24"/>
  <c r="L447" i="24"/>
  <c r="L448" i="24"/>
  <c r="L449" i="24"/>
  <c r="L450" i="24"/>
  <c r="L451" i="24"/>
  <c r="L452" i="24"/>
  <c r="L453" i="24"/>
  <c r="L454" i="24"/>
  <c r="L455" i="24"/>
  <c r="L456" i="24"/>
  <c r="L457" i="24"/>
  <c r="L458" i="24"/>
  <c r="L459" i="24"/>
  <c r="L460" i="24"/>
  <c r="L461" i="24"/>
  <c r="L462" i="24"/>
  <c r="L463" i="24"/>
  <c r="L464" i="24"/>
  <c r="L465" i="24"/>
  <c r="L466" i="24"/>
  <c r="L467" i="24"/>
  <c r="L468" i="24"/>
  <c r="L469" i="24"/>
  <c r="L470" i="24"/>
  <c r="L471" i="24"/>
  <c r="L472" i="24"/>
  <c r="L473" i="24"/>
  <c r="L474" i="24"/>
  <c r="L475" i="24"/>
  <c r="L476" i="24"/>
  <c r="L477" i="24"/>
  <c r="L478" i="24"/>
  <c r="L479" i="24"/>
  <c r="L480" i="24"/>
  <c r="L481" i="24"/>
  <c r="L482" i="24"/>
  <c r="L483" i="24"/>
  <c r="L484" i="24"/>
  <c r="L485" i="24"/>
  <c r="L486" i="24"/>
  <c r="L487" i="24"/>
  <c r="L488" i="24"/>
  <c r="L489" i="24"/>
  <c r="L490" i="24"/>
  <c r="L491" i="24"/>
  <c r="L492" i="24"/>
  <c r="L493" i="24"/>
  <c r="L494" i="24"/>
  <c r="L495" i="24"/>
  <c r="L496" i="24"/>
  <c r="L497" i="24"/>
  <c r="L498" i="24"/>
  <c r="L499" i="24"/>
  <c r="L500" i="24"/>
  <c r="L501" i="24"/>
  <c r="L502" i="24"/>
  <c r="L503" i="24"/>
  <c r="L504" i="24"/>
  <c r="L505" i="24"/>
  <c r="L506" i="24"/>
  <c r="L507" i="24"/>
  <c r="L508" i="24"/>
  <c r="L509" i="24"/>
  <c r="L510" i="24"/>
  <c r="L511" i="24"/>
  <c r="L512" i="24"/>
  <c r="L513" i="24"/>
  <c r="L514" i="24"/>
  <c r="L515" i="24"/>
  <c r="L516" i="24"/>
  <c r="L517" i="24"/>
  <c r="L518" i="24"/>
  <c r="L519" i="24"/>
  <c r="L520" i="24"/>
  <c r="L521" i="24"/>
  <c r="L522" i="24"/>
  <c r="L523" i="24"/>
  <c r="L524" i="24"/>
  <c r="L525" i="24"/>
  <c r="L526" i="24"/>
  <c r="L527" i="24"/>
  <c r="L528" i="24"/>
  <c r="L529" i="24"/>
  <c r="L530" i="24"/>
  <c r="L531" i="24"/>
  <c r="L532" i="24"/>
  <c r="L533" i="24"/>
  <c r="L534" i="24"/>
  <c r="L535" i="24"/>
  <c r="L536" i="24"/>
  <c r="L537" i="24"/>
  <c r="L538" i="24"/>
  <c r="L539" i="24"/>
  <c r="L540" i="24"/>
  <c r="L541" i="24"/>
  <c r="L542" i="24"/>
  <c r="L543" i="24"/>
  <c r="L544" i="24"/>
  <c r="L545" i="24"/>
  <c r="L546" i="24"/>
  <c r="L547" i="24"/>
  <c r="L548" i="24"/>
  <c r="L549" i="24"/>
  <c r="L550" i="24"/>
  <c r="L551" i="24"/>
  <c r="L552" i="24"/>
  <c r="L553" i="24"/>
  <c r="L554" i="24"/>
  <c r="L555" i="24"/>
  <c r="L556" i="24"/>
  <c r="L557" i="24"/>
  <c r="L558" i="24"/>
  <c r="L559" i="24"/>
  <c r="L560" i="24"/>
  <c r="L561" i="24"/>
  <c r="L562" i="24"/>
  <c r="L563" i="24"/>
  <c r="L564" i="24"/>
  <c r="L565" i="24"/>
  <c r="L566" i="24"/>
  <c r="L567" i="24"/>
  <c r="L568" i="24"/>
  <c r="L569" i="24"/>
  <c r="L570" i="24"/>
  <c r="L571" i="24"/>
  <c r="L572" i="24"/>
  <c r="L573" i="24"/>
  <c r="L574" i="24"/>
  <c r="L575" i="24"/>
  <c r="L576" i="24"/>
  <c r="L577" i="24"/>
  <c r="L578" i="24"/>
  <c r="L579" i="24"/>
  <c r="L580" i="24"/>
  <c r="L581" i="24"/>
  <c r="L582" i="24"/>
  <c r="L583" i="24"/>
  <c r="L584" i="24"/>
  <c r="L585" i="24"/>
  <c r="L586" i="24"/>
  <c r="L587" i="24"/>
  <c r="L588" i="24"/>
  <c r="L589" i="24"/>
  <c r="L590" i="24"/>
  <c r="L591" i="24"/>
  <c r="L592" i="24"/>
  <c r="L593" i="24"/>
  <c r="L594" i="24"/>
  <c r="L595" i="24"/>
  <c r="L596" i="24"/>
  <c r="L597" i="24"/>
  <c r="L598" i="24"/>
  <c r="L599" i="24"/>
  <c r="L600" i="24"/>
  <c r="L601" i="24"/>
  <c r="L602" i="24"/>
  <c r="L603" i="24"/>
  <c r="L604" i="24"/>
  <c r="L605" i="24"/>
  <c r="L606" i="24"/>
  <c r="L607" i="24"/>
  <c r="L608" i="24"/>
  <c r="L609" i="24"/>
  <c r="L610" i="24"/>
  <c r="L611" i="24"/>
  <c r="L612" i="24"/>
  <c r="L613" i="24"/>
  <c r="L614" i="24"/>
  <c r="L615" i="24"/>
  <c r="L616" i="24"/>
  <c r="L617" i="24"/>
  <c r="L618" i="24"/>
  <c r="L619" i="24"/>
  <c r="L620" i="24"/>
  <c r="L621" i="24"/>
  <c r="L622" i="24"/>
  <c r="L623" i="24"/>
  <c r="L624" i="24"/>
  <c r="L625" i="24"/>
  <c r="L626" i="24"/>
  <c r="L627" i="24"/>
  <c r="L628" i="24"/>
  <c r="L629" i="24"/>
  <c r="L630" i="24"/>
  <c r="L631" i="24"/>
  <c r="L632" i="24"/>
  <c r="L633" i="24"/>
  <c r="L634" i="24"/>
  <c r="L635" i="24"/>
  <c r="L636" i="24"/>
  <c r="L637" i="24"/>
  <c r="L638" i="24"/>
  <c r="L639" i="24"/>
  <c r="L640" i="24"/>
  <c r="L641" i="24"/>
  <c r="L642" i="24"/>
  <c r="L643" i="24"/>
  <c r="L644" i="24"/>
  <c r="L645" i="24"/>
  <c r="L646" i="24"/>
  <c r="L647" i="24"/>
  <c r="L648" i="24"/>
  <c r="L649" i="24"/>
  <c r="L650" i="24"/>
  <c r="L651" i="24"/>
  <c r="L652" i="24"/>
  <c r="L653" i="24"/>
  <c r="L654" i="24"/>
  <c r="L655" i="24"/>
  <c r="L656" i="24"/>
  <c r="L657" i="24"/>
  <c r="L658" i="24"/>
  <c r="L659" i="24"/>
  <c r="L660" i="24"/>
  <c r="L661" i="24"/>
  <c r="L662" i="24"/>
  <c r="L663" i="24"/>
  <c r="L664" i="24"/>
  <c r="L665" i="24"/>
  <c r="L666" i="24"/>
  <c r="L667" i="24"/>
  <c r="L668" i="24"/>
  <c r="L669" i="24"/>
  <c r="L670" i="24"/>
  <c r="L671" i="24"/>
  <c r="L672" i="24"/>
  <c r="L673" i="24"/>
  <c r="L674" i="24"/>
  <c r="L675" i="24"/>
  <c r="L676" i="24"/>
  <c r="L677" i="24"/>
  <c r="L678" i="24"/>
  <c r="L679" i="24"/>
  <c r="L680" i="24"/>
  <c r="L681" i="24"/>
  <c r="L682" i="24"/>
  <c r="L683" i="24"/>
  <c r="L684" i="24"/>
  <c r="L685" i="24"/>
  <c r="L686" i="24"/>
  <c r="L687" i="24"/>
  <c r="L688" i="24"/>
  <c r="L689" i="24"/>
  <c r="L690" i="24"/>
  <c r="L691" i="24"/>
  <c r="L692" i="24"/>
  <c r="L693" i="24"/>
  <c r="L694" i="24"/>
  <c r="L695" i="24"/>
  <c r="L696" i="24"/>
  <c r="L697" i="24"/>
  <c r="L698" i="24"/>
  <c r="L699" i="24"/>
  <c r="L700" i="24"/>
  <c r="L701" i="24"/>
  <c r="L702" i="24"/>
  <c r="L703" i="24"/>
  <c r="L704" i="24"/>
  <c r="L705" i="24"/>
  <c r="L706" i="24"/>
  <c r="L707" i="24"/>
  <c r="L708" i="24"/>
  <c r="L709" i="24"/>
  <c r="L710" i="24"/>
  <c r="L711" i="24"/>
  <c r="L712" i="24"/>
  <c r="L713" i="24"/>
  <c r="L714" i="24"/>
  <c r="L715" i="24"/>
  <c r="L716" i="24"/>
  <c r="L717" i="24"/>
  <c r="L718" i="24"/>
  <c r="L719" i="24"/>
  <c r="L720" i="24"/>
  <c r="L721" i="24"/>
  <c r="L722" i="24"/>
  <c r="L723" i="24"/>
  <c r="L724" i="24"/>
  <c r="L725" i="24"/>
  <c r="L726" i="24"/>
  <c r="L727" i="24"/>
  <c r="L728" i="24"/>
  <c r="L729" i="24"/>
  <c r="L730" i="24"/>
  <c r="L731" i="24"/>
  <c r="L732" i="24"/>
  <c r="L733" i="24"/>
  <c r="L734" i="24"/>
  <c r="L735" i="24"/>
  <c r="J735" i="24"/>
  <c r="K735" i="24"/>
  <c r="M735" i="24"/>
  <c r="N735" i="24"/>
  <c r="O4" i="31"/>
  <c r="R327" i="11"/>
  <c r="R275" i="11"/>
  <c r="R692" i="11"/>
  <c r="R649" i="11"/>
  <c r="R419" i="11"/>
  <c r="R44" i="11"/>
  <c r="R464" i="11"/>
  <c r="R51" i="11"/>
  <c r="R109" i="11"/>
  <c r="R247" i="11"/>
  <c r="R513" i="11"/>
  <c r="R67" i="11"/>
  <c r="R516" i="11"/>
  <c r="R312" i="11"/>
  <c r="R7" i="11"/>
  <c r="R371" i="11"/>
  <c r="R239" i="11"/>
  <c r="R393" i="11"/>
  <c r="R518" i="11"/>
  <c r="R328" i="11"/>
  <c r="R231" i="11"/>
  <c r="R611" i="11"/>
  <c r="R40" i="11"/>
  <c r="R297" i="11"/>
  <c r="R694" i="11"/>
  <c r="R220" i="11"/>
  <c r="R126" i="11"/>
  <c r="R541" i="11"/>
  <c r="R545" i="11"/>
  <c r="R91" i="11"/>
  <c r="R627" i="11"/>
  <c r="R303" i="11"/>
  <c r="R722" i="11"/>
  <c r="R356" i="11"/>
  <c r="R420" i="11"/>
  <c r="R187" i="11"/>
  <c r="R688" i="11"/>
  <c r="R108" i="11"/>
  <c r="R667" i="11"/>
  <c r="R467" i="11"/>
  <c r="R233" i="11"/>
  <c r="R589" i="11"/>
  <c r="R30" i="11"/>
  <c r="R101" i="11"/>
  <c r="R162" i="11"/>
  <c r="R522" i="11"/>
  <c r="R558" i="11"/>
  <c r="R525" i="11"/>
  <c r="R301" i="11"/>
  <c r="R652" i="11"/>
  <c r="R485" i="11"/>
  <c r="R342" i="11"/>
  <c r="R478" i="11"/>
  <c r="R482" i="11"/>
  <c r="R86" i="11"/>
  <c r="R505" i="11"/>
  <c r="R18" i="11"/>
  <c r="R54" i="11"/>
  <c r="R574" i="11"/>
  <c r="R636" i="11"/>
  <c r="R19" i="11"/>
  <c r="R456" i="11"/>
  <c r="R650" i="11"/>
  <c r="R375" i="11"/>
  <c r="R136" i="11"/>
  <c r="R637" i="11"/>
  <c r="R531" i="11"/>
  <c r="R461" i="11"/>
  <c r="R486" i="11"/>
  <c r="R203" i="11"/>
  <c r="R523" i="11"/>
  <c r="R390" i="11"/>
  <c r="R495" i="11"/>
  <c r="R529" i="11"/>
  <c r="R594" i="11"/>
  <c r="R104" i="11"/>
  <c r="R613" i="11"/>
  <c r="R173" i="11"/>
  <c r="R228" i="11"/>
  <c r="R105" i="11"/>
  <c r="R22" i="11"/>
  <c r="R13" i="11"/>
  <c r="R262" i="11"/>
  <c r="R454" i="11"/>
  <c r="R501" i="11"/>
  <c r="R369" i="11"/>
  <c r="R397" i="11"/>
  <c r="R259" i="11"/>
  <c r="R633" i="11"/>
  <c r="R542" i="11"/>
  <c r="R146" i="11"/>
  <c r="R543" i="11"/>
  <c r="R343" i="11"/>
  <c r="R528" i="11"/>
  <c r="R61" i="11"/>
  <c r="R697" i="11"/>
  <c r="R102" i="11"/>
  <c r="R514" i="11"/>
  <c r="R49" i="11"/>
  <c r="R592" i="11"/>
  <c r="R502" i="11"/>
  <c r="R561" i="11"/>
  <c r="R578" i="11"/>
  <c r="R639" i="11"/>
  <c r="R353" i="11"/>
  <c r="R635" i="11"/>
  <c r="R550" i="11"/>
  <c r="R395" i="11"/>
  <c r="R714" i="11"/>
  <c r="R368" i="11"/>
  <c r="R425" i="11"/>
  <c r="R668" i="11"/>
  <c r="R377" i="11"/>
  <c r="R605" i="11"/>
  <c r="R226" i="11"/>
  <c r="R405" i="11"/>
  <c r="R401" i="11"/>
  <c r="R572" i="11"/>
  <c r="R468" i="11"/>
  <c r="R534" i="11"/>
  <c r="R164" i="11"/>
  <c r="R466" i="11"/>
  <c r="R532" i="11"/>
  <c r="R190" i="11"/>
  <c r="R289" i="11"/>
  <c r="R364" i="11"/>
  <c r="R586" i="11"/>
  <c r="R548" i="11"/>
  <c r="R147" i="11"/>
  <c r="R211" i="11"/>
  <c r="R661" i="11"/>
  <c r="R42" i="11"/>
  <c r="R218" i="11"/>
  <c r="R715" i="11"/>
  <c r="R27" i="11"/>
  <c r="R87" i="11"/>
  <c r="R257" i="11"/>
  <c r="R511" i="11"/>
  <c r="R280" i="11"/>
  <c r="R638" i="11"/>
  <c r="R403" i="11"/>
  <c r="R80" i="11"/>
  <c r="R206" i="11"/>
  <c r="R600" i="11"/>
  <c r="R469" i="11"/>
  <c r="R299" i="11"/>
  <c r="R455" i="11"/>
  <c r="R107" i="11"/>
  <c r="R271" i="11"/>
  <c r="R258" i="11"/>
  <c r="R374" i="11"/>
  <c r="R452" i="11"/>
  <c r="R250" i="11"/>
  <c r="R236" i="11"/>
  <c r="R357" i="11"/>
  <c r="R88" i="11"/>
  <c r="R358" i="11"/>
  <c r="R723" i="11"/>
  <c r="R24" i="11"/>
  <c r="R156" i="11"/>
  <c r="R152" i="11"/>
  <c r="R119" i="11"/>
  <c r="R398" i="11"/>
  <c r="R290" i="11"/>
  <c r="R215" i="11"/>
  <c r="R631" i="11"/>
  <c r="R188" i="11"/>
  <c r="R526" i="11"/>
  <c r="R125" i="11"/>
  <c r="R606" i="11"/>
  <c r="R309" i="11"/>
  <c r="R394" i="11"/>
  <c r="R110" i="11"/>
  <c r="R553" i="11"/>
  <c r="R406" i="11"/>
  <c r="R509" i="11"/>
  <c r="R540" i="11"/>
  <c r="R320" i="11"/>
  <c r="R412" i="11"/>
  <c r="R158" i="11"/>
  <c r="R243" i="11"/>
  <c r="R415" i="11"/>
  <c r="R251" i="11"/>
  <c r="R181" i="11"/>
  <c r="R695" i="11"/>
  <c r="R300" i="11"/>
  <c r="R677" i="11"/>
  <c r="R539" i="11"/>
  <c r="R477" i="11"/>
  <c r="R360" i="11"/>
  <c r="R38" i="11"/>
  <c r="R100" i="11"/>
  <c r="R432" i="11"/>
  <c r="R277" i="11"/>
  <c r="R451" i="11"/>
  <c r="R551" i="11"/>
  <c r="R655" i="11"/>
  <c r="R418" i="11"/>
  <c r="R348" i="11"/>
  <c r="R474" i="11"/>
  <c r="R64" i="11"/>
  <c r="R632" i="11"/>
  <c r="R71" i="11"/>
  <c r="R324" i="11"/>
  <c r="R476" i="11"/>
  <c r="R279" i="11"/>
  <c r="R657" i="11"/>
  <c r="R316" i="11"/>
  <c r="R340" i="11"/>
  <c r="R295" i="11"/>
  <c r="R157" i="11"/>
  <c r="R72" i="11"/>
  <c r="R141" i="11"/>
  <c r="R583" i="11"/>
  <c r="R240" i="11"/>
  <c r="R378" i="11"/>
  <c r="R229" i="11"/>
  <c r="R359" i="11"/>
  <c r="R95" i="11"/>
  <c r="R690" i="11"/>
  <c r="R182" i="11"/>
  <c r="R691" i="11"/>
  <c r="R596" i="11"/>
  <c r="R473" i="11"/>
  <c r="R62" i="11"/>
  <c r="R576" i="11"/>
  <c r="R658" i="11"/>
  <c r="R568" i="11"/>
  <c r="R567" i="11"/>
  <c r="R479" i="11"/>
  <c r="R577" i="11"/>
  <c r="R12" i="11"/>
  <c r="R35" i="11"/>
  <c r="R659" i="11"/>
  <c r="R427" i="11"/>
  <c r="R392" i="11"/>
  <c r="R656" i="11"/>
  <c r="R45" i="11"/>
  <c r="R23" i="11"/>
  <c r="R607" i="11"/>
  <c r="R76" i="11"/>
  <c r="R665" i="11"/>
  <c r="R407" i="11"/>
  <c r="R491" i="11"/>
  <c r="R256" i="11"/>
  <c r="R623" i="11"/>
  <c r="R60" i="11"/>
  <c r="R46" i="11"/>
  <c r="R69" i="11"/>
  <c r="R628" i="11"/>
  <c r="R527" i="11"/>
  <c r="R571" i="11"/>
  <c r="R384" i="11"/>
  <c r="R345" i="11"/>
  <c r="R426" i="11"/>
  <c r="R684" i="11"/>
  <c r="R385" i="11"/>
  <c r="R160" i="11"/>
  <c r="R89" i="11"/>
  <c r="R685" i="11"/>
  <c r="R616" i="11"/>
  <c r="R81" i="11"/>
  <c r="R462" i="11"/>
  <c r="R264" i="11"/>
  <c r="R169" i="11"/>
  <c r="R559" i="11"/>
  <c r="R546" i="11"/>
  <c r="R201" i="11"/>
  <c r="R721" i="11"/>
  <c r="R481" i="11"/>
  <c r="R564" i="11"/>
  <c r="R437" i="11"/>
  <c r="R351" i="11"/>
  <c r="R227" i="11"/>
  <c r="R584" i="11"/>
  <c r="R732" i="11"/>
  <c r="R313" i="11"/>
  <c r="R204" i="11"/>
  <c r="R544" i="11"/>
  <c r="R679" i="11"/>
  <c r="R728" i="11"/>
  <c r="R711" i="11"/>
  <c r="R171" i="11"/>
  <c r="R8" i="11"/>
  <c r="R298" i="11"/>
  <c r="R597" i="11"/>
  <c r="R174" i="11"/>
  <c r="R138" i="11"/>
  <c r="R25" i="11"/>
  <c r="R39" i="11"/>
  <c r="R103" i="11"/>
  <c r="R58" i="11"/>
  <c r="R34" i="11"/>
  <c r="R643" i="11"/>
  <c r="R487" i="11"/>
  <c r="R646" i="11"/>
  <c r="R36" i="11"/>
  <c r="R317" i="11"/>
  <c r="R463" i="11"/>
  <c r="R323" i="11"/>
  <c r="R99" i="11"/>
  <c r="R408" i="11"/>
  <c r="R510" i="11"/>
  <c r="R598" i="11"/>
  <c r="R55" i="11"/>
  <c r="R193" i="11"/>
  <c r="R488" i="11"/>
  <c r="R562" i="11"/>
  <c r="R653" i="11"/>
  <c r="R710" i="11"/>
  <c r="R524" i="11"/>
  <c r="R113" i="11"/>
  <c r="R706" i="11"/>
  <c r="R570" i="11"/>
  <c r="R736" i="11"/>
  <c r="R693" i="11"/>
  <c r="R286" i="11"/>
  <c r="R496" i="11"/>
  <c r="R579" i="11"/>
  <c r="R252" i="11"/>
  <c r="R396" i="11"/>
  <c r="R581" i="11"/>
  <c r="R480" i="11"/>
  <c r="R413" i="11"/>
  <c r="R554" i="11"/>
  <c r="R230" i="11"/>
  <c r="R444" i="11"/>
  <c r="R291" i="11"/>
  <c r="R590" i="11"/>
  <c r="R59" i="11"/>
  <c r="R339" i="11"/>
  <c r="R212" i="11"/>
  <c r="R716" i="11"/>
  <c r="R373" i="11"/>
  <c r="R361" i="11"/>
  <c r="R139" i="11"/>
  <c r="R471" i="11"/>
  <c r="R56" i="11"/>
  <c r="R446" i="11"/>
  <c r="R441" i="11"/>
  <c r="R32" i="11"/>
  <c r="R350" i="11"/>
  <c r="R163" i="11"/>
  <c r="R552" i="11"/>
  <c r="R57" i="11"/>
  <c r="R219" i="11"/>
  <c r="R321" i="11"/>
  <c r="R409" i="11"/>
  <c r="R207" i="11"/>
  <c r="R580" i="11"/>
  <c r="R90" i="11"/>
  <c r="R329" i="11"/>
  <c r="R6" i="11"/>
  <c r="R94" i="11"/>
  <c r="R519" i="11"/>
  <c r="R674" i="11"/>
  <c r="R26" i="11"/>
  <c r="R276" i="11"/>
  <c r="R178" i="11"/>
  <c r="R165" i="11"/>
  <c r="R82" i="11"/>
  <c r="R365" i="11"/>
  <c r="R648" i="11"/>
  <c r="R483" i="11"/>
  <c r="R145" i="11"/>
  <c r="R70" i="11"/>
  <c r="R52" i="11"/>
  <c r="R347" i="11"/>
  <c r="R253" i="11"/>
  <c r="R305" i="11"/>
  <c r="R265" i="11"/>
  <c r="R306" i="11"/>
  <c r="R92" i="11"/>
  <c r="R402" i="11"/>
  <c r="R387" i="11"/>
  <c r="R642" i="11"/>
  <c r="R621" i="11"/>
  <c r="R330" i="11"/>
  <c r="R465" i="11"/>
  <c r="R121" i="11"/>
  <c r="R663" i="11"/>
  <c r="R130" i="11"/>
  <c r="R626" i="11"/>
  <c r="R325" i="11"/>
  <c r="R725" i="11"/>
  <c r="R50" i="11"/>
  <c r="R443" i="11"/>
  <c r="R434" i="11"/>
  <c r="R128" i="11"/>
  <c r="R349" i="11"/>
  <c r="R629" i="11"/>
  <c r="R372" i="11"/>
  <c r="R424" i="11"/>
  <c r="R609" i="11"/>
  <c r="R689" i="11"/>
  <c r="R63" i="11"/>
  <c r="R563" i="11"/>
  <c r="R53" i="11"/>
  <c r="R41" i="11"/>
  <c r="R195" i="11"/>
  <c r="R318" i="11"/>
  <c r="R106" i="11"/>
  <c r="R670" i="11"/>
  <c r="R442" i="11"/>
  <c r="R241" i="11"/>
  <c r="R278" i="11"/>
  <c r="R254" i="11"/>
  <c r="R283" i="11"/>
  <c r="R222" i="11"/>
  <c r="R604" i="11"/>
  <c r="R595" i="11"/>
  <c r="R260" i="11"/>
  <c r="R537" i="11"/>
  <c r="R599" i="11"/>
  <c r="R244" i="11"/>
  <c r="R185" i="11"/>
  <c r="R536" i="11"/>
  <c r="R326" i="11"/>
  <c r="R159" i="11"/>
  <c r="R20" i="11"/>
  <c r="R660" i="11"/>
  <c r="R273" i="11"/>
  <c r="R337" i="11"/>
  <c r="R263" i="11"/>
  <c r="R155" i="11"/>
  <c r="R520" i="11"/>
  <c r="R127" i="11"/>
  <c r="R492" i="11"/>
  <c r="R115" i="11"/>
  <c r="R707" i="11"/>
  <c r="R383" i="11"/>
  <c r="R734" i="11"/>
  <c r="R507" i="11"/>
  <c r="R293" i="11"/>
  <c r="R647" i="11"/>
  <c r="R21" i="11"/>
  <c r="R719" i="11"/>
  <c r="R672" i="11"/>
  <c r="R681" i="11"/>
  <c r="R197" i="11"/>
  <c r="R433" i="11"/>
  <c r="R294" i="11"/>
  <c r="R161" i="11"/>
  <c r="R137" i="11"/>
  <c r="R209" i="11"/>
  <c r="R737" i="11"/>
  <c r="R93" i="11"/>
  <c r="R238" i="11"/>
  <c r="R730" i="11"/>
  <c r="R624" i="11"/>
  <c r="R367" i="11"/>
  <c r="R31" i="11"/>
  <c r="R234" i="11"/>
  <c r="R198" i="11"/>
  <c r="R414" i="11"/>
  <c r="R189" i="11"/>
  <c r="R17" i="11"/>
  <c r="R436" i="11"/>
  <c r="R630" i="11"/>
  <c r="R79" i="11"/>
  <c r="R538" i="11"/>
  <c r="R388" i="11"/>
  <c r="R191" i="11"/>
  <c r="R10" i="11"/>
  <c r="R154" i="11"/>
  <c r="R352" i="11"/>
  <c r="R664" i="11"/>
  <c r="R224" i="11"/>
  <c r="R216" i="11"/>
  <c r="R140" i="11"/>
  <c r="R498" i="11"/>
  <c r="R281" i="11"/>
  <c r="R315" i="11"/>
  <c r="R248" i="11"/>
  <c r="R84" i="11"/>
  <c r="R267" i="11"/>
  <c r="R366" i="11"/>
  <c r="R717" i="11"/>
  <c r="R331" i="11"/>
  <c r="R200" i="11"/>
  <c r="R493" i="11"/>
  <c r="R28" i="11"/>
  <c r="R149" i="11"/>
  <c r="R213" i="11"/>
  <c r="R423" i="11"/>
  <c r="R484" i="11"/>
  <c r="R310" i="11"/>
  <c r="R304" i="11"/>
  <c r="R334" i="11"/>
  <c r="R269" i="11"/>
  <c r="R11" i="11"/>
  <c r="R382" i="11"/>
  <c r="R654" i="11"/>
  <c r="R404" i="11"/>
  <c r="R235" i="11"/>
  <c r="R370" i="11"/>
  <c r="R68" i="11"/>
  <c r="R585" i="11"/>
  <c r="R307" i="11"/>
  <c r="R521" i="11"/>
  <c r="R205" i="11"/>
  <c r="R735" i="11"/>
  <c r="R430" i="11"/>
  <c r="R614" i="11"/>
  <c r="R494" i="11"/>
  <c r="R687" i="11"/>
  <c r="R237" i="11"/>
  <c r="R682" i="11"/>
  <c r="R698" i="11"/>
  <c r="R417" i="11"/>
  <c r="R503" i="11"/>
  <c r="R175" i="11"/>
  <c r="R322" i="11"/>
  <c r="R332" i="11"/>
  <c r="R341" i="11"/>
  <c r="R288" i="11"/>
  <c r="R547" i="11"/>
  <c r="R167" i="11"/>
  <c r="R208" i="11"/>
  <c r="R73" i="11"/>
  <c r="R177" i="11"/>
  <c r="R555" i="11"/>
  <c r="R186" i="11"/>
  <c r="R9" i="11"/>
  <c r="R118" i="11"/>
  <c r="R399" i="11"/>
  <c r="R435" i="11"/>
  <c r="R593" i="11"/>
  <c r="R176" i="11"/>
  <c r="R344" i="11"/>
  <c r="R98" i="11"/>
  <c r="R400" i="11"/>
  <c r="R179" i="11"/>
  <c r="R284" i="11"/>
  <c r="R475" i="11"/>
  <c r="R122" i="11"/>
  <c r="R33" i="11"/>
  <c r="R199" i="11"/>
  <c r="R700" i="11"/>
  <c r="R217" i="11"/>
  <c r="R111" i="11"/>
  <c r="R438" i="11"/>
  <c r="R66" i="11"/>
  <c r="R242" i="11"/>
  <c r="R686" i="11"/>
  <c r="R194" i="11"/>
  <c r="R713" i="11"/>
  <c r="R346" i="11"/>
  <c r="R470" i="11"/>
  <c r="R308" i="11"/>
  <c r="R142" i="11"/>
  <c r="R266" i="11"/>
  <c r="R617" i="11"/>
  <c r="R202" i="11"/>
  <c r="R618" i="11"/>
  <c r="R411" i="11"/>
  <c r="R569" i="11"/>
  <c r="R729" i="11"/>
  <c r="R285" i="11"/>
  <c r="R582" i="11"/>
  <c r="R148" i="11"/>
  <c r="R168" i="11"/>
  <c r="R166" i="11"/>
  <c r="R619" i="11"/>
  <c r="R134" i="11"/>
  <c r="R506" i="11"/>
  <c r="R708" i="11"/>
  <c r="R726" i="11"/>
  <c r="R380" i="11"/>
  <c r="R445" i="11"/>
  <c r="R292" i="11"/>
  <c r="R601" i="11"/>
  <c r="R612" i="11"/>
  <c r="R249" i="11"/>
  <c r="R497" i="11"/>
  <c r="R196" i="11"/>
  <c r="R338" i="11"/>
  <c r="R96" i="11"/>
  <c r="R183" i="11"/>
  <c r="R504" i="11"/>
  <c r="R363" i="11"/>
  <c r="R143" i="11"/>
  <c r="R354" i="11"/>
  <c r="R535" i="11"/>
  <c r="R610" i="11"/>
  <c r="R123" i="11"/>
  <c r="R517" i="11"/>
  <c r="R449" i="11"/>
  <c r="R192" i="11"/>
  <c r="R703" i="11"/>
  <c r="R448" i="11"/>
  <c r="R75" i="11"/>
  <c r="R620" i="11"/>
  <c r="R274" i="11"/>
  <c r="R680" i="11"/>
  <c r="R245" i="11"/>
  <c r="R391" i="11"/>
  <c r="R114" i="11"/>
  <c r="R131" i="11"/>
  <c r="R335" i="11"/>
  <c r="R724" i="11"/>
  <c r="R530" i="11"/>
  <c r="R124" i="11"/>
  <c r="R302" i="11"/>
  <c r="R355" i="11"/>
  <c r="R144" i="11"/>
  <c r="R381" i="11"/>
  <c r="R718" i="11"/>
  <c r="R556" i="11"/>
  <c r="R112" i="11"/>
  <c r="R429" i="11"/>
  <c r="R645" i="11"/>
  <c r="R651" i="11"/>
  <c r="R712" i="11"/>
  <c r="R83" i="11"/>
  <c r="R170" i="11"/>
  <c r="R588" i="11"/>
  <c r="R615" i="11"/>
  <c r="R135" i="11"/>
  <c r="R333" i="11"/>
  <c r="R440" i="11"/>
  <c r="R296" i="11"/>
  <c r="R622" i="11"/>
  <c r="R549" i="11"/>
  <c r="R29" i="11"/>
  <c r="R336" i="11"/>
  <c r="R671" i="11"/>
  <c r="R78" i="11"/>
  <c r="R447" i="11"/>
  <c r="R699" i="11"/>
  <c r="R533" i="11"/>
  <c r="R489" i="11"/>
  <c r="R150" i="11"/>
  <c r="R490" i="11"/>
  <c r="R210" i="11"/>
  <c r="R705" i="11"/>
  <c r="R709" i="11"/>
  <c r="R172" i="11"/>
  <c r="R515" i="11"/>
  <c r="R458" i="11"/>
  <c r="R221" i="11"/>
  <c r="R666" i="11"/>
  <c r="R376" i="11"/>
  <c r="R603" i="11"/>
  <c r="R255" i="11"/>
  <c r="R47" i="11"/>
  <c r="R733" i="11"/>
  <c r="R575" i="11"/>
  <c r="R675" i="11"/>
  <c r="R727" i="11"/>
  <c r="R704" i="11"/>
  <c r="R459" i="11"/>
  <c r="R133" i="11"/>
  <c r="R683" i="11"/>
  <c r="R48" i="11"/>
  <c r="R644" i="11"/>
  <c r="R362" i="11"/>
  <c r="R74" i="11"/>
  <c r="R702" i="11"/>
  <c r="R439" i="11"/>
  <c r="R97" i="11"/>
  <c r="R153" i="11"/>
  <c r="R573" i="11"/>
  <c r="R180" i="11"/>
  <c r="R696" i="11"/>
  <c r="R287" i="11"/>
  <c r="R720" i="11"/>
  <c r="R678" i="11"/>
  <c r="R673" i="11"/>
  <c r="R319" i="11"/>
  <c r="R450" i="11"/>
  <c r="R701" i="11"/>
  <c r="R268" i="11"/>
  <c r="R184" i="11"/>
  <c r="R272" i="11"/>
  <c r="R602" i="11"/>
  <c r="R416" i="11"/>
  <c r="R587" i="11"/>
  <c r="R565" i="11"/>
  <c r="R129" i="11"/>
  <c r="R270" i="11"/>
  <c r="R132" i="11"/>
  <c r="R225" i="11"/>
  <c r="R311" i="11"/>
  <c r="R214" i="11"/>
  <c r="R608" i="11"/>
  <c r="R65" i="11"/>
  <c r="R457" i="11"/>
  <c r="R557" i="11"/>
  <c r="R282" i="11"/>
  <c r="R37" i="11"/>
  <c r="R421" i="11"/>
  <c r="R591" i="11"/>
  <c r="R15" i="11"/>
  <c r="R428" i="11"/>
  <c r="R120" i="11"/>
  <c r="R16" i="11"/>
  <c r="R14" i="11"/>
  <c r="R625" i="11"/>
  <c r="R246" i="11"/>
  <c r="R116" i="11"/>
  <c r="R676" i="11"/>
  <c r="R410" i="11"/>
  <c r="R77" i="11"/>
  <c r="R117" i="11"/>
  <c r="R85" i="11"/>
  <c r="R223" i="11"/>
  <c r="R232" i="11"/>
  <c r="R314" i="11"/>
  <c r="R386" i="11"/>
  <c r="R640" i="11"/>
  <c r="R43" i="11"/>
  <c r="R453" i="11"/>
  <c r="R261" i="11"/>
  <c r="R379" i="11"/>
  <c r="R389" i="11"/>
  <c r="R422" i="11"/>
  <c r="R512" i="11"/>
  <c r="R634" i="11"/>
  <c r="R500" i="11"/>
  <c r="R472" i="11"/>
  <c r="R566" i="11"/>
  <c r="R151" i="11"/>
  <c r="R560" i="11"/>
  <c r="R460" i="11"/>
  <c r="R662" i="11"/>
  <c r="R641" i="11"/>
  <c r="R431" i="11"/>
  <c r="R508" i="11"/>
  <c r="R731" i="11"/>
  <c r="R499" i="11"/>
  <c r="R669" i="11"/>
  <c r="C190" i="11"/>
  <c r="C586" i="11"/>
  <c r="O586" i="11" s="1"/>
  <c r="C548" i="11"/>
  <c r="C147" i="11"/>
  <c r="Q147" i="11" s="1"/>
  <c r="C211" i="11"/>
  <c r="C257" i="11"/>
  <c r="N257" i="11" s="1"/>
  <c r="C299" i="11"/>
  <c r="C271" i="11"/>
  <c r="Q271" i="11" s="1"/>
  <c r="C374" i="11"/>
  <c r="C452" i="11"/>
  <c r="Q452" i="11" s="1"/>
  <c r="C250" i="11"/>
  <c r="C156" i="11"/>
  <c r="N156" i="11" s="1"/>
  <c r="C398" i="11"/>
  <c r="C290" i="11"/>
  <c r="Q290" i="11" s="1"/>
  <c r="C215" i="11"/>
  <c r="C188" i="11"/>
  <c r="Q188" i="11" s="1"/>
  <c r="C309" i="11"/>
  <c r="C406" i="11"/>
  <c r="Q406" i="11" s="1"/>
  <c r="C509" i="11"/>
  <c r="C540" i="11"/>
  <c r="Q540" i="11" s="1"/>
  <c r="C320" i="11"/>
  <c r="C412" i="11"/>
  <c r="O412" i="11" s="1"/>
  <c r="C243" i="11"/>
  <c r="C251" i="11"/>
  <c r="Q251" i="11" s="1"/>
  <c r="C477" i="11"/>
  <c r="C451" i="11"/>
  <c r="C551" i="11"/>
  <c r="C356" i="11"/>
  <c r="C478" i="11"/>
  <c r="Q478" i="11" s="1"/>
  <c r="C636" i="11"/>
  <c r="C136" i="11"/>
  <c r="Q136" i="11" s="1"/>
  <c r="C531" i="11"/>
  <c r="C203" i="11"/>
  <c r="Q203" i="11" s="1"/>
  <c r="C613" i="11"/>
  <c r="C228" i="11"/>
  <c r="Q228" i="11" s="1"/>
  <c r="C454" i="11"/>
  <c r="C369" i="11"/>
  <c r="Q369" i="11" s="1"/>
  <c r="C397" i="11"/>
  <c r="Q397" i="11" s="1"/>
  <c r="C542" i="11"/>
  <c r="C343" i="11"/>
  <c r="Q343" i="11" s="1"/>
  <c r="C528" i="11"/>
  <c r="C592" i="11"/>
  <c r="C502" i="11"/>
  <c r="Q502" i="11" s="1"/>
  <c r="C561" i="11"/>
  <c r="C578" i="11"/>
  <c r="Q578" i="11" s="1"/>
  <c r="C639" i="11"/>
  <c r="C353" i="11"/>
  <c r="C377" i="11"/>
  <c r="C226" i="11"/>
  <c r="Q226" i="11" s="1"/>
  <c r="C534" i="11"/>
  <c r="B101" i="11"/>
  <c r="J101" i="11"/>
  <c r="K101" i="11"/>
  <c r="J118" i="11"/>
  <c r="K118" i="11"/>
  <c r="L118" i="11"/>
  <c r="M118" i="11"/>
  <c r="N118" i="11"/>
  <c r="O118" i="11"/>
  <c r="P118" i="11"/>
  <c r="Q118" i="11"/>
  <c r="J156" i="11"/>
  <c r="K156" i="11"/>
  <c r="L156" i="11"/>
  <c r="M156" i="11"/>
  <c r="O156" i="11"/>
  <c r="Q156" i="11"/>
  <c r="B162" i="11"/>
  <c r="C162" i="11" s="1"/>
  <c r="J162" i="11"/>
  <c r="K162" i="11"/>
  <c r="L162" i="11"/>
  <c r="B170" i="11"/>
  <c r="C170" i="11" s="1"/>
  <c r="J170" i="11"/>
  <c r="K170" i="11"/>
  <c r="L170" i="11"/>
  <c r="B219" i="11"/>
  <c r="C219" i="11" s="1"/>
  <c r="J219" i="11"/>
  <c r="K219" i="11"/>
  <c r="L219" i="11"/>
  <c r="J228" i="11"/>
  <c r="K228" i="11"/>
  <c r="L228" i="11"/>
  <c r="M228" i="11"/>
  <c r="B238" i="11"/>
  <c r="C238" i="11" s="1"/>
  <c r="J238" i="11"/>
  <c r="K238" i="11"/>
  <c r="J257" i="11"/>
  <c r="K257" i="11"/>
  <c r="L257" i="11"/>
  <c r="M257" i="11"/>
  <c r="O257" i="11"/>
  <c r="Q257" i="11"/>
  <c r="J284" i="11"/>
  <c r="K284" i="11"/>
  <c r="L284" i="11"/>
  <c r="M284" i="11"/>
  <c r="N284" i="11"/>
  <c r="O284" i="11"/>
  <c r="P284" i="11"/>
  <c r="Q284" i="11"/>
  <c r="J298" i="11"/>
  <c r="K298" i="11"/>
  <c r="L298" i="11"/>
  <c r="M298" i="11"/>
  <c r="N298" i="11"/>
  <c r="O298" i="11"/>
  <c r="P298" i="11"/>
  <c r="Q298" i="11"/>
  <c r="B333" i="11"/>
  <c r="C333" i="11" s="1"/>
  <c r="J333" i="11"/>
  <c r="K333" i="11"/>
  <c r="J338" i="11"/>
  <c r="K338" i="11"/>
  <c r="L338" i="11"/>
  <c r="M338" i="11"/>
  <c r="N338" i="11"/>
  <c r="O338" i="11"/>
  <c r="P338" i="11"/>
  <c r="Q338" i="11"/>
  <c r="B352" i="11"/>
  <c r="C352" i="11" s="1"/>
  <c r="J352" i="11"/>
  <c r="K352" i="11"/>
  <c r="J412" i="11"/>
  <c r="K412" i="11"/>
  <c r="L412" i="11"/>
  <c r="M412" i="11"/>
  <c r="P412" i="11"/>
  <c r="B428" i="11"/>
  <c r="C428" i="11" s="1"/>
  <c r="J428" i="11"/>
  <c r="K428" i="11"/>
  <c r="J462" i="11"/>
  <c r="K462" i="11"/>
  <c r="L462" i="11"/>
  <c r="M462" i="11"/>
  <c r="N462" i="11"/>
  <c r="O462" i="11"/>
  <c r="P462" i="11"/>
  <c r="Q462" i="11"/>
  <c r="B486" i="11"/>
  <c r="L486" i="11" s="1"/>
  <c r="J486" i="11"/>
  <c r="K486" i="11"/>
  <c r="B493" i="11"/>
  <c r="C493" i="11" s="1"/>
  <c r="J493" i="11"/>
  <c r="K493" i="11"/>
  <c r="B496" i="11"/>
  <c r="C496" i="11" s="1"/>
  <c r="J496" i="11"/>
  <c r="K496" i="11"/>
  <c r="B515" i="11"/>
  <c r="C515" i="11" s="1"/>
  <c r="J515" i="11"/>
  <c r="K515" i="11"/>
  <c r="B566" i="11"/>
  <c r="C566" i="11" s="1"/>
  <c r="J566" i="11"/>
  <c r="K566" i="11"/>
  <c r="B587" i="11"/>
  <c r="C587" i="11" s="1"/>
  <c r="J587" i="11"/>
  <c r="K587" i="11"/>
  <c r="J586" i="11"/>
  <c r="K586" i="11"/>
  <c r="L586" i="11"/>
  <c r="M586" i="11"/>
  <c r="N586" i="11"/>
  <c r="J603" i="11"/>
  <c r="K603" i="11"/>
  <c r="L603" i="11"/>
  <c r="M603" i="11"/>
  <c r="N603" i="11"/>
  <c r="O603" i="11"/>
  <c r="P603" i="11"/>
  <c r="Q603" i="11"/>
  <c r="B606" i="11"/>
  <c r="C606" i="11" s="1"/>
  <c r="J606" i="11"/>
  <c r="K606" i="11"/>
  <c r="J617" i="11"/>
  <c r="K617" i="11"/>
  <c r="L617" i="11"/>
  <c r="M617" i="11"/>
  <c r="N617" i="11"/>
  <c r="O617" i="11"/>
  <c r="P617" i="11"/>
  <c r="Q617" i="11"/>
  <c r="B619" i="11"/>
  <c r="C619" i="11" s="1"/>
  <c r="J619" i="11"/>
  <c r="K619" i="11"/>
  <c r="B637" i="11"/>
  <c r="C637" i="11" s="1"/>
  <c r="J637" i="11"/>
  <c r="K637" i="11"/>
  <c r="B650" i="11"/>
  <c r="C650" i="11" s="1"/>
  <c r="J650" i="11"/>
  <c r="K650" i="11"/>
  <c r="B657" i="11"/>
  <c r="C657" i="11" s="1"/>
  <c r="J657" i="11"/>
  <c r="K657" i="11"/>
  <c r="B666" i="11"/>
  <c r="C666" i="11" s="1"/>
  <c r="J666" i="11"/>
  <c r="K666" i="11"/>
  <c r="B670" i="11"/>
  <c r="C670" i="11" s="1"/>
  <c r="J670" i="11"/>
  <c r="K670" i="11"/>
  <c r="B687" i="11"/>
  <c r="C687" i="11" s="1"/>
  <c r="J687" i="11"/>
  <c r="K687" i="11"/>
  <c r="B723" i="11"/>
  <c r="C723" i="11" s="1"/>
  <c r="J723" i="11"/>
  <c r="K723" i="11"/>
  <c r="B731" i="11"/>
  <c r="C731" i="11" s="1"/>
  <c r="J731" i="11"/>
  <c r="K731" i="11"/>
  <c r="B732" i="11"/>
  <c r="C732" i="11" s="1"/>
  <c r="J732" i="11"/>
  <c r="K732" i="11"/>
  <c r="B736" i="11"/>
  <c r="C736" i="11" s="1"/>
  <c r="J736" i="11"/>
  <c r="K736" i="11"/>
  <c r="Q120" i="11"/>
  <c r="Q124" i="11"/>
  <c r="Q128" i="11"/>
  <c r="Q131" i="11"/>
  <c r="Q133" i="11"/>
  <c r="Q138" i="11"/>
  <c r="Q144" i="11"/>
  <c r="Q151" i="11"/>
  <c r="Q153" i="11"/>
  <c r="Q155" i="11"/>
  <c r="Q157" i="11"/>
  <c r="Q160" i="11"/>
  <c r="Q161" i="11"/>
  <c r="Q163" i="11"/>
  <c r="Q165" i="11"/>
  <c r="Q166" i="11"/>
  <c r="Q168" i="11"/>
  <c r="Q169" i="11"/>
  <c r="Q171" i="11"/>
  <c r="Q175" i="11"/>
  <c r="Q176" i="11"/>
  <c r="Q177" i="11"/>
  <c r="Q178" i="11"/>
  <c r="Q180" i="11"/>
  <c r="Q182" i="11"/>
  <c r="Q185" i="11"/>
  <c r="Q190" i="11"/>
  <c r="Q192" i="11"/>
  <c r="Q193" i="11"/>
  <c r="Q194" i="11"/>
  <c r="Q196" i="11"/>
  <c r="Q198" i="11"/>
  <c r="Q201" i="11"/>
  <c r="Q205" i="11"/>
  <c r="Q208" i="11"/>
  <c r="Q210" i="11"/>
  <c r="Q211" i="11"/>
  <c r="Q212" i="11"/>
  <c r="Q214" i="11"/>
  <c r="Q215" i="11"/>
  <c r="Q216" i="11"/>
  <c r="Q221" i="11"/>
  <c r="Q222" i="11"/>
  <c r="Q225" i="11"/>
  <c r="Q232" i="11"/>
  <c r="Q237" i="11"/>
  <c r="Q240" i="11"/>
  <c r="Q242" i="11"/>
  <c r="Q243" i="11"/>
  <c r="Q245" i="11"/>
  <c r="Q249" i="11"/>
  <c r="Q250" i="11"/>
  <c r="Q252" i="11"/>
  <c r="Q260" i="11"/>
  <c r="Q261" i="11"/>
  <c r="Q264" i="11"/>
  <c r="Q267" i="11"/>
  <c r="Q269" i="11"/>
  <c r="Q270" i="11"/>
  <c r="Q272" i="11"/>
  <c r="Q274" i="11"/>
  <c r="Q276" i="11"/>
  <c r="Q278" i="11"/>
  <c r="Q281" i="11"/>
  <c r="Q282" i="11"/>
  <c r="Q286" i="11"/>
  <c r="Q288" i="11"/>
  <c r="Q293" i="11"/>
  <c r="Q295" i="11"/>
  <c r="Q296" i="11"/>
  <c r="Q299" i="11"/>
  <c r="Q302" i="11"/>
  <c r="Q304" i="11"/>
  <c r="Q305" i="11"/>
  <c r="Q309" i="11"/>
  <c r="Q314" i="11"/>
  <c r="Q316" i="11"/>
  <c r="Q317" i="11"/>
  <c r="Q320" i="11"/>
  <c r="Q329" i="11"/>
  <c r="Q332" i="11"/>
  <c r="Q334" i="11"/>
  <c r="Q335" i="11"/>
  <c r="Q340" i="11"/>
  <c r="Q341" i="11"/>
  <c r="Q344" i="11"/>
  <c r="Q345" i="11"/>
  <c r="Q349" i="11"/>
  <c r="Q350" i="11"/>
  <c r="Q353" i="11"/>
  <c r="Q355" i="11"/>
  <c r="Q356" i="11"/>
  <c r="Q359" i="11"/>
  <c r="Q365" i="11"/>
  <c r="Q372" i="11"/>
  <c r="Q374" i="11"/>
  <c r="Q377" i="11"/>
  <c r="Q378" i="11"/>
  <c r="Q380" i="11"/>
  <c r="Q383" i="11"/>
  <c r="Q386" i="11"/>
  <c r="Q388" i="11"/>
  <c r="Q391" i="11"/>
  <c r="Q392" i="11"/>
  <c r="Q396" i="11"/>
  <c r="Q398" i="11"/>
  <c r="Q399" i="11"/>
  <c r="Q402" i="11"/>
  <c r="Q409" i="11"/>
  <c r="Q414" i="11"/>
  <c r="Q417" i="11"/>
  <c r="Q418" i="11"/>
  <c r="Q421" i="11"/>
  <c r="Q422" i="11"/>
  <c r="Q423" i="11"/>
  <c r="Q426" i="11"/>
  <c r="Q427" i="11"/>
  <c r="Q431" i="11"/>
  <c r="Q434" i="11"/>
  <c r="Q438" i="11"/>
  <c r="Q439" i="11"/>
  <c r="Q441" i="11"/>
  <c r="Q443" i="11"/>
  <c r="Q448" i="11"/>
  <c r="Q451" i="11"/>
  <c r="Q453" i="11"/>
  <c r="Q454" i="11"/>
  <c r="Q457" i="11"/>
  <c r="Q460" i="11"/>
  <c r="Q463" i="11"/>
  <c r="Q465" i="11"/>
  <c r="Q471" i="11"/>
  <c r="Q472" i="11"/>
  <c r="Q474" i="11"/>
  <c r="Q475" i="11"/>
  <c r="Q477" i="11"/>
  <c r="Q483" i="11"/>
  <c r="Q487" i="11"/>
  <c r="Q489" i="11"/>
  <c r="Q492" i="11"/>
  <c r="Q499" i="11"/>
  <c r="Q504" i="11"/>
  <c r="Q508" i="11"/>
  <c r="Q509" i="11"/>
  <c r="Q510" i="11"/>
  <c r="Q512" i="11"/>
  <c r="Q517" i="11"/>
  <c r="Q519" i="11"/>
  <c r="Q521" i="11"/>
  <c r="Q527" i="11"/>
  <c r="Q528" i="11"/>
  <c r="Q530" i="11"/>
  <c r="Q531" i="11"/>
  <c r="Q534" i="11"/>
  <c r="Q537" i="11"/>
  <c r="Q542" i="11"/>
  <c r="Q548" i="11"/>
  <c r="Q549" i="11"/>
  <c r="Q551" i="11"/>
  <c r="Q552" i="11"/>
  <c r="Q554" i="11"/>
  <c r="Q557" i="11"/>
  <c r="Q559" i="11"/>
  <c r="Q560" i="11"/>
  <c r="Q561" i="11"/>
  <c r="Q563" i="11"/>
  <c r="Q565" i="11"/>
  <c r="Q567" i="11"/>
  <c r="Q568" i="11"/>
  <c r="Q573" i="11"/>
  <c r="Q575" i="11"/>
  <c r="Q582" i="11"/>
  <c r="Q585" i="11"/>
  <c r="Q590" i="11"/>
  <c r="Q591" i="11"/>
  <c r="Q592" i="11"/>
  <c r="Q595" i="11"/>
  <c r="Q596" i="11"/>
  <c r="Q598" i="11"/>
  <c r="Q601" i="11"/>
  <c r="Q607" i="11"/>
  <c r="Q609" i="11"/>
  <c r="Q610" i="11"/>
  <c r="Q612" i="11"/>
  <c r="Q613" i="11"/>
  <c r="Q616" i="11"/>
  <c r="Q620" i="11"/>
  <c r="Q624" i="11"/>
  <c r="Q629" i="11"/>
  <c r="Q634" i="11"/>
  <c r="Q636" i="11"/>
  <c r="Q639" i="11"/>
  <c r="Q641" i="11"/>
  <c r="Q644" i="11"/>
  <c r="Q648" i="11"/>
  <c r="Q651" i="11"/>
  <c r="Q653" i="11"/>
  <c r="Q654" i="11"/>
  <c r="Q659" i="11"/>
  <c r="Q662" i="11"/>
  <c r="Q664" i="11"/>
  <c r="Q665" i="11"/>
  <c r="Q669" i="11"/>
  <c r="J4" i="31"/>
  <c r="P586" i="11" l="1"/>
  <c r="N412" i="11"/>
  <c r="P257" i="11"/>
  <c r="L238" i="11"/>
  <c r="P156" i="11"/>
  <c r="C101" i="11"/>
  <c r="M101" i="11"/>
  <c r="N228" i="11"/>
  <c r="P228" i="11"/>
  <c r="C486" i="11"/>
  <c r="N486" i="11" s="1"/>
  <c r="L736" i="11"/>
  <c r="L732" i="11"/>
  <c r="L731" i="11"/>
  <c r="L723" i="11"/>
  <c r="L687" i="11"/>
  <c r="L670" i="11"/>
  <c r="L666" i="11"/>
  <c r="L657" i="11"/>
  <c r="L650" i="11"/>
  <c r="L637" i="11"/>
  <c r="L619" i="11"/>
  <c r="L606" i="11"/>
  <c r="Q586" i="11"/>
  <c r="L587" i="11"/>
  <c r="L566" i="11"/>
  <c r="L515" i="11"/>
  <c r="L496" i="11"/>
  <c r="L493" i="11"/>
  <c r="L428" i="11"/>
  <c r="Q412" i="11"/>
  <c r="L352" i="11"/>
  <c r="L333" i="11"/>
  <c r="O228" i="11"/>
  <c r="L101" i="11"/>
  <c r="N736" i="11"/>
  <c r="O736" i="11"/>
  <c r="N732" i="11"/>
  <c r="O732" i="11"/>
  <c r="N731" i="11"/>
  <c r="O731" i="11"/>
  <c r="N723" i="11"/>
  <c r="O723" i="11"/>
  <c r="N687" i="11"/>
  <c r="O687" i="11"/>
  <c r="N670" i="11"/>
  <c r="O670" i="11"/>
  <c r="N666" i="11"/>
  <c r="O666" i="11"/>
  <c r="N657" i="11"/>
  <c r="O657" i="11"/>
  <c r="N650" i="11"/>
  <c r="O650" i="11"/>
  <c r="N637" i="11"/>
  <c r="O637" i="11"/>
  <c r="N619" i="11"/>
  <c r="O619" i="11"/>
  <c r="N606" i="11"/>
  <c r="O606" i="11"/>
  <c r="N587" i="11"/>
  <c r="O587" i="11"/>
  <c r="N566" i="11"/>
  <c r="O566" i="11"/>
  <c r="O486" i="11"/>
  <c r="N515" i="11"/>
  <c r="O515" i="11"/>
  <c r="N496" i="11"/>
  <c r="O496" i="11"/>
  <c r="N493" i="11"/>
  <c r="O493" i="11"/>
  <c r="N428" i="11"/>
  <c r="O428" i="11"/>
  <c r="N352" i="11"/>
  <c r="O352" i="11"/>
  <c r="N333" i="11"/>
  <c r="O333" i="11"/>
  <c r="N238" i="11"/>
  <c r="O238" i="11"/>
  <c r="N219" i="11"/>
  <c r="O219" i="11"/>
  <c r="N170" i="11"/>
  <c r="O170" i="11"/>
  <c r="N162" i="11"/>
  <c r="O162" i="11"/>
  <c r="Q736" i="11"/>
  <c r="M736" i="11"/>
  <c r="Q732" i="11"/>
  <c r="M732" i="11"/>
  <c r="Q731" i="11"/>
  <c r="M731" i="11"/>
  <c r="Q723" i="11"/>
  <c r="M723" i="11"/>
  <c r="Q687" i="11"/>
  <c r="M687" i="11"/>
  <c r="Q670" i="11"/>
  <c r="M670" i="11"/>
  <c r="Q666" i="11"/>
  <c r="M666" i="11"/>
  <c r="Q657" i="11"/>
  <c r="M657" i="11"/>
  <c r="Q650" i="11"/>
  <c r="M650" i="11"/>
  <c r="Q637" i="11"/>
  <c r="M637" i="11"/>
  <c r="Q619" i="11"/>
  <c r="M619" i="11"/>
  <c r="Q606" i="11"/>
  <c r="M606" i="11"/>
  <c r="Q587" i="11"/>
  <c r="M587" i="11"/>
  <c r="Q566" i="11"/>
  <c r="M566" i="11"/>
  <c r="Q515" i="11"/>
  <c r="M515" i="11"/>
  <c r="Q496" i="11"/>
  <c r="M496" i="11"/>
  <c r="Q493" i="11"/>
  <c r="M493" i="11"/>
  <c r="M486" i="11"/>
  <c r="Q428" i="11"/>
  <c r="M428" i="11"/>
  <c r="Q352" i="11"/>
  <c r="M352" i="11"/>
  <c r="Q333" i="11"/>
  <c r="M333" i="11"/>
  <c r="Q238" i="11"/>
  <c r="M238" i="11"/>
  <c r="Q219" i="11"/>
  <c r="M219" i="11"/>
  <c r="Q170" i="11"/>
  <c r="M170" i="11"/>
  <c r="Q162" i="11"/>
  <c r="M162" i="11"/>
  <c r="P736" i="11"/>
  <c r="P732" i="11"/>
  <c r="P731" i="11"/>
  <c r="P723" i="11"/>
  <c r="P687" i="11"/>
  <c r="P670" i="11"/>
  <c r="P666" i="11"/>
  <c r="P657" i="11"/>
  <c r="P650" i="11"/>
  <c r="P637" i="11"/>
  <c r="P619" i="11"/>
  <c r="P606" i="11"/>
  <c r="P587" i="11"/>
  <c r="P566" i="11"/>
  <c r="P515" i="11"/>
  <c r="P496" i="11"/>
  <c r="P493" i="11"/>
  <c r="P486" i="11"/>
  <c r="P428" i="11"/>
  <c r="P352" i="11"/>
  <c r="P333" i="11"/>
  <c r="P238" i="11"/>
  <c r="P219" i="11"/>
  <c r="P170" i="11"/>
  <c r="P162" i="11"/>
  <c r="P101" i="11"/>
  <c r="B506" i="24"/>
  <c r="C506" i="24" s="1"/>
  <c r="B505" i="24"/>
  <c r="C505" i="24" s="1"/>
  <c r="M505" i="24" s="1"/>
  <c r="B504" i="24"/>
  <c r="C504" i="24" s="1"/>
  <c r="B503" i="24"/>
  <c r="B502" i="24"/>
  <c r="C502" i="24" s="1"/>
  <c r="B501" i="24"/>
  <c r="B500" i="24"/>
  <c r="C500" i="24" s="1"/>
  <c r="B499" i="24"/>
  <c r="B498" i="24"/>
  <c r="C498" i="24" s="1"/>
  <c r="B497" i="24"/>
  <c r="B496" i="24"/>
  <c r="C496" i="24" s="1"/>
  <c r="B495" i="24"/>
  <c r="B494" i="24"/>
  <c r="C494" i="24" s="1"/>
  <c r="B493" i="24"/>
  <c r="B492" i="24"/>
  <c r="C492" i="24" s="1"/>
  <c r="B491" i="24"/>
  <c r="B490" i="24"/>
  <c r="C490" i="24" s="1"/>
  <c r="B489" i="24"/>
  <c r="B488" i="24"/>
  <c r="C488" i="24" s="1"/>
  <c r="B487" i="24"/>
  <c r="B486" i="24"/>
  <c r="C486" i="24" s="1"/>
  <c r="B485" i="24"/>
  <c r="B484" i="24"/>
  <c r="C484" i="24" s="1"/>
  <c r="B483" i="24"/>
  <c r="B482" i="24"/>
  <c r="C482" i="24" s="1"/>
  <c r="B481" i="24"/>
  <c r="B480" i="24"/>
  <c r="C480" i="24" s="1"/>
  <c r="B479" i="24"/>
  <c r="B478" i="24"/>
  <c r="C478" i="24" s="1"/>
  <c r="B477" i="24"/>
  <c r="B476" i="24"/>
  <c r="C476" i="24" s="1"/>
  <c r="B475" i="24"/>
  <c r="B474" i="24"/>
  <c r="C474" i="24" s="1"/>
  <c r="B473" i="24"/>
  <c r="B472" i="24"/>
  <c r="C472" i="24" s="1"/>
  <c r="B471" i="24"/>
  <c r="B470" i="24"/>
  <c r="C470" i="24" s="1"/>
  <c r="B469" i="24"/>
  <c r="B468" i="24"/>
  <c r="C468" i="24" s="1"/>
  <c r="B467" i="24"/>
  <c r="B466" i="24"/>
  <c r="C466" i="24" s="1"/>
  <c r="B465" i="24"/>
  <c r="B464" i="24"/>
  <c r="C464" i="24" s="1"/>
  <c r="B463" i="24"/>
  <c r="B462" i="24"/>
  <c r="C462" i="24" s="1"/>
  <c r="B461" i="24"/>
  <c r="B460" i="24"/>
  <c r="C460" i="24" s="1"/>
  <c r="B459" i="24"/>
  <c r="B458" i="24"/>
  <c r="C458" i="24" s="1"/>
  <c r="B457" i="24"/>
  <c r="B456" i="24"/>
  <c r="C456" i="24" s="1"/>
  <c r="B455" i="24"/>
  <c r="B454" i="24"/>
  <c r="C454" i="24" s="1"/>
  <c r="B453" i="24"/>
  <c r="B452" i="24"/>
  <c r="C452" i="24" s="1"/>
  <c r="B451" i="24"/>
  <c r="B450" i="24"/>
  <c r="C450" i="24" s="1"/>
  <c r="B449" i="24"/>
  <c r="B448" i="24"/>
  <c r="C448" i="24" s="1"/>
  <c r="B447" i="24"/>
  <c r="B446" i="24"/>
  <c r="C446" i="24" s="1"/>
  <c r="B445" i="24"/>
  <c r="B444" i="24"/>
  <c r="C444" i="24" s="1"/>
  <c r="B443" i="24"/>
  <c r="B442" i="24"/>
  <c r="C442" i="24" s="1"/>
  <c r="B441" i="24"/>
  <c r="B440" i="24"/>
  <c r="C440" i="24" s="1"/>
  <c r="B439" i="24"/>
  <c r="B438" i="24"/>
  <c r="C438" i="24" s="1"/>
  <c r="B437" i="24"/>
  <c r="B436" i="24"/>
  <c r="C436" i="24" s="1"/>
  <c r="B435" i="24"/>
  <c r="B434" i="24"/>
  <c r="C434" i="24" s="1"/>
  <c r="B433" i="24"/>
  <c r="B432" i="24"/>
  <c r="C432" i="24" s="1"/>
  <c r="B431" i="24"/>
  <c r="B430" i="24"/>
  <c r="C430" i="24" s="1"/>
  <c r="B429" i="24"/>
  <c r="B428" i="24"/>
  <c r="C428" i="24" s="1"/>
  <c r="B427" i="24"/>
  <c r="B426" i="24"/>
  <c r="C426" i="24" s="1"/>
  <c r="B425" i="24"/>
  <c r="B424" i="24"/>
  <c r="C424" i="24" s="1"/>
  <c r="B423" i="24"/>
  <c r="B422" i="24"/>
  <c r="C422" i="24" s="1"/>
  <c r="C421" i="24"/>
  <c r="B421" i="24"/>
  <c r="C420" i="24"/>
  <c r="N420" i="24" s="1"/>
  <c r="B420" i="24"/>
  <c r="C419" i="24"/>
  <c r="N419" i="24" s="1"/>
  <c r="B419" i="24"/>
  <c r="C418" i="24"/>
  <c r="M418" i="24" s="1"/>
  <c r="B418" i="24"/>
  <c r="C417" i="24"/>
  <c r="B417" i="24"/>
  <c r="C416" i="24"/>
  <c r="M416" i="24" s="1"/>
  <c r="B416" i="24"/>
  <c r="C415" i="24"/>
  <c r="N415" i="24" s="1"/>
  <c r="B415" i="24"/>
  <c r="C414" i="24"/>
  <c r="M414" i="24" s="1"/>
  <c r="B414" i="24"/>
  <c r="C413" i="24"/>
  <c r="B413" i="24"/>
  <c r="C412" i="24"/>
  <c r="N412" i="24" s="1"/>
  <c r="B412" i="24"/>
  <c r="C411" i="24"/>
  <c r="N411" i="24" s="1"/>
  <c r="B411" i="24"/>
  <c r="C410" i="24"/>
  <c r="M410" i="24" s="1"/>
  <c r="B410" i="24"/>
  <c r="C409" i="24"/>
  <c r="B409" i="24"/>
  <c r="C408" i="24"/>
  <c r="M408" i="24" s="1"/>
  <c r="B408" i="24"/>
  <c r="C407" i="24"/>
  <c r="N407" i="24" s="1"/>
  <c r="B407" i="24"/>
  <c r="C406" i="24"/>
  <c r="M406" i="24" s="1"/>
  <c r="B406" i="24"/>
  <c r="C405" i="24"/>
  <c r="B405" i="24"/>
  <c r="C404" i="24"/>
  <c r="N404" i="24" s="1"/>
  <c r="B404" i="24"/>
  <c r="C403" i="24"/>
  <c r="N403" i="24" s="1"/>
  <c r="B403" i="24"/>
  <c r="C402" i="24"/>
  <c r="M402" i="24" s="1"/>
  <c r="B402" i="24"/>
  <c r="C401" i="24"/>
  <c r="B401" i="24"/>
  <c r="C400" i="24"/>
  <c r="M400" i="24" s="1"/>
  <c r="B400" i="24"/>
  <c r="C399" i="24"/>
  <c r="N399" i="24" s="1"/>
  <c r="B399" i="24"/>
  <c r="C398" i="24"/>
  <c r="M398" i="24" s="1"/>
  <c r="B398" i="24"/>
  <c r="C397" i="24"/>
  <c r="B397" i="24"/>
  <c r="C396" i="24"/>
  <c r="N396" i="24" s="1"/>
  <c r="B396" i="24"/>
  <c r="C395" i="24"/>
  <c r="N395" i="24" s="1"/>
  <c r="B395" i="24"/>
  <c r="C394" i="24"/>
  <c r="M394" i="24" s="1"/>
  <c r="B394" i="24"/>
  <c r="C393" i="24"/>
  <c r="B393" i="24"/>
  <c r="C392" i="24"/>
  <c r="M392" i="24" s="1"/>
  <c r="B392" i="24"/>
  <c r="C391" i="24"/>
  <c r="N391" i="24" s="1"/>
  <c r="B391" i="24"/>
  <c r="C390" i="24"/>
  <c r="M390" i="24" s="1"/>
  <c r="B390" i="24"/>
  <c r="C389" i="24"/>
  <c r="B389" i="24"/>
  <c r="C388" i="24"/>
  <c r="N388" i="24" s="1"/>
  <c r="B388" i="24"/>
  <c r="C387" i="24"/>
  <c r="N387" i="24" s="1"/>
  <c r="B387" i="24"/>
  <c r="C386" i="24"/>
  <c r="M386" i="24" s="1"/>
  <c r="B386" i="24"/>
  <c r="C385" i="24"/>
  <c r="B385" i="24"/>
  <c r="C384" i="24"/>
  <c r="M384" i="24" s="1"/>
  <c r="B384" i="24"/>
  <c r="C383" i="24"/>
  <c r="N383" i="24" s="1"/>
  <c r="B383" i="24"/>
  <c r="C382" i="24"/>
  <c r="M382" i="24" s="1"/>
  <c r="B382" i="24"/>
  <c r="C381" i="24"/>
  <c r="B381" i="24"/>
  <c r="C380" i="24"/>
  <c r="N380" i="24" s="1"/>
  <c r="B380" i="24"/>
  <c r="C379" i="24"/>
  <c r="N379" i="24" s="1"/>
  <c r="B379" i="24"/>
  <c r="C378" i="24"/>
  <c r="M378" i="24" s="1"/>
  <c r="B378" i="24"/>
  <c r="C377" i="24"/>
  <c r="B377" i="24"/>
  <c r="C376" i="24"/>
  <c r="M376" i="24" s="1"/>
  <c r="B376" i="24"/>
  <c r="C375" i="24"/>
  <c r="N375" i="24" s="1"/>
  <c r="B375" i="24"/>
  <c r="C374" i="24"/>
  <c r="M374" i="24" s="1"/>
  <c r="B374" i="24"/>
  <c r="C373" i="24"/>
  <c r="B373" i="24"/>
  <c r="C372" i="24"/>
  <c r="N372" i="24" s="1"/>
  <c r="B372" i="24"/>
  <c r="C371" i="24"/>
  <c r="N371" i="24" s="1"/>
  <c r="B371" i="24"/>
  <c r="C370" i="24"/>
  <c r="M370" i="24" s="1"/>
  <c r="B370" i="24"/>
  <c r="C369" i="24"/>
  <c r="B369" i="24"/>
  <c r="C368" i="24"/>
  <c r="M368" i="24" s="1"/>
  <c r="B368" i="24"/>
  <c r="C367" i="24"/>
  <c r="N367" i="24" s="1"/>
  <c r="B367" i="24"/>
  <c r="C366" i="24"/>
  <c r="M366" i="24" s="1"/>
  <c r="B366" i="24"/>
  <c r="C365" i="24"/>
  <c r="B365" i="24"/>
  <c r="C364" i="24"/>
  <c r="N364" i="24" s="1"/>
  <c r="B364" i="24"/>
  <c r="C363" i="24"/>
  <c r="N363" i="24" s="1"/>
  <c r="B363" i="24"/>
  <c r="C362" i="24"/>
  <c r="M362" i="24" s="1"/>
  <c r="B362" i="24"/>
  <c r="C361" i="24"/>
  <c r="B361" i="24"/>
  <c r="C360" i="24"/>
  <c r="M360" i="24" s="1"/>
  <c r="B360" i="24"/>
  <c r="C359" i="24"/>
  <c r="N359" i="24" s="1"/>
  <c r="B359" i="24"/>
  <c r="C358" i="24"/>
  <c r="M358" i="24" s="1"/>
  <c r="B358" i="24"/>
  <c r="C357" i="24"/>
  <c r="B357" i="24"/>
  <c r="C356" i="24"/>
  <c r="N356" i="24" s="1"/>
  <c r="B356" i="24"/>
  <c r="C355" i="24"/>
  <c r="N355" i="24" s="1"/>
  <c r="B355" i="24"/>
  <c r="C354" i="24"/>
  <c r="M354" i="24" s="1"/>
  <c r="B354" i="24"/>
  <c r="C353" i="24"/>
  <c r="B353" i="24"/>
  <c r="C352" i="24"/>
  <c r="M352" i="24" s="1"/>
  <c r="B352" i="24"/>
  <c r="C351" i="24"/>
  <c r="N351" i="24" s="1"/>
  <c r="B351" i="24"/>
  <c r="C350" i="24"/>
  <c r="M350" i="24" s="1"/>
  <c r="B350" i="24"/>
  <c r="C349" i="24"/>
  <c r="B349" i="24"/>
  <c r="C348" i="24"/>
  <c r="N348" i="24" s="1"/>
  <c r="B348" i="24"/>
  <c r="C347" i="24"/>
  <c r="N347" i="24" s="1"/>
  <c r="B347" i="24"/>
  <c r="C346" i="24"/>
  <c r="M346" i="24" s="1"/>
  <c r="B346" i="24"/>
  <c r="C345" i="24"/>
  <c r="B345" i="24"/>
  <c r="C344" i="24"/>
  <c r="M344" i="24" s="1"/>
  <c r="B344" i="24"/>
  <c r="C343" i="24"/>
  <c r="N343" i="24" s="1"/>
  <c r="B343" i="24"/>
  <c r="C342" i="24"/>
  <c r="M342" i="24" s="1"/>
  <c r="B342" i="24"/>
  <c r="C341" i="24"/>
  <c r="B341" i="24"/>
  <c r="C340" i="24"/>
  <c r="N340" i="24" s="1"/>
  <c r="B340" i="24"/>
  <c r="C339" i="24"/>
  <c r="N339" i="24" s="1"/>
  <c r="B339" i="24"/>
  <c r="C338" i="24"/>
  <c r="M338" i="24" s="1"/>
  <c r="B338" i="24"/>
  <c r="C337" i="24"/>
  <c r="B337" i="24"/>
  <c r="C336" i="24"/>
  <c r="M336" i="24" s="1"/>
  <c r="B336" i="24"/>
  <c r="C335" i="24"/>
  <c r="N335" i="24" s="1"/>
  <c r="B335" i="24"/>
  <c r="C334" i="24"/>
  <c r="M334" i="24" s="1"/>
  <c r="B334" i="24"/>
  <c r="C333" i="24"/>
  <c r="B333" i="24"/>
  <c r="C332" i="24"/>
  <c r="N332" i="24" s="1"/>
  <c r="B332" i="24"/>
  <c r="C331" i="24"/>
  <c r="N331" i="24" s="1"/>
  <c r="B331" i="24"/>
  <c r="C330" i="24"/>
  <c r="M330" i="24" s="1"/>
  <c r="B330" i="24"/>
  <c r="C329" i="24"/>
  <c r="B329" i="24"/>
  <c r="C328" i="24"/>
  <c r="M328" i="24" s="1"/>
  <c r="B328" i="24"/>
  <c r="C327" i="24"/>
  <c r="N327" i="24" s="1"/>
  <c r="B327" i="24"/>
  <c r="C326" i="24"/>
  <c r="M326" i="24" s="1"/>
  <c r="B326" i="24"/>
  <c r="C325" i="24"/>
  <c r="B325" i="24"/>
  <c r="C324" i="24"/>
  <c r="N324" i="24" s="1"/>
  <c r="B324" i="24"/>
  <c r="C323" i="24"/>
  <c r="N323" i="24" s="1"/>
  <c r="B323" i="24"/>
  <c r="C322" i="24"/>
  <c r="M322" i="24" s="1"/>
  <c r="B322" i="24"/>
  <c r="C321" i="24"/>
  <c r="B321" i="24"/>
  <c r="C320" i="24"/>
  <c r="M320" i="24" s="1"/>
  <c r="B320" i="24"/>
  <c r="C319" i="24"/>
  <c r="N319" i="24" s="1"/>
  <c r="B319" i="24"/>
  <c r="C318" i="24"/>
  <c r="M318" i="24" s="1"/>
  <c r="B318" i="24"/>
  <c r="C317" i="24"/>
  <c r="B317" i="24"/>
  <c r="C316" i="24"/>
  <c r="N316" i="24" s="1"/>
  <c r="B316" i="24"/>
  <c r="C315" i="24"/>
  <c r="N315" i="24" s="1"/>
  <c r="B315" i="24"/>
  <c r="C314" i="24"/>
  <c r="M314" i="24" s="1"/>
  <c r="B314" i="24"/>
  <c r="C313" i="24"/>
  <c r="B313" i="24"/>
  <c r="C312" i="24"/>
  <c r="M312" i="24" s="1"/>
  <c r="B312" i="24"/>
  <c r="C311" i="24"/>
  <c r="N311" i="24" s="1"/>
  <c r="B311" i="24"/>
  <c r="C310" i="24"/>
  <c r="M310" i="24" s="1"/>
  <c r="B310" i="24"/>
  <c r="C309" i="24"/>
  <c r="B309" i="24"/>
  <c r="C308" i="24"/>
  <c r="N308" i="24" s="1"/>
  <c r="B308" i="24"/>
  <c r="C307" i="24"/>
  <c r="N307" i="24" s="1"/>
  <c r="B307" i="24"/>
  <c r="C306" i="24"/>
  <c r="B306" i="24"/>
  <c r="C305" i="24"/>
  <c r="M305" i="24" s="1"/>
  <c r="B305" i="24"/>
  <c r="C304" i="24"/>
  <c r="B304" i="24"/>
  <c r="C303" i="24"/>
  <c r="N303" i="24" s="1"/>
  <c r="B303" i="24"/>
  <c r="C302" i="24"/>
  <c r="B302" i="24"/>
  <c r="C301" i="24"/>
  <c r="M301" i="24" s="1"/>
  <c r="B301" i="24"/>
  <c r="C300" i="24"/>
  <c r="B300" i="24"/>
  <c r="C299" i="24"/>
  <c r="N299" i="24" s="1"/>
  <c r="B299" i="24"/>
  <c r="C298" i="24"/>
  <c r="B298" i="24"/>
  <c r="C297" i="24"/>
  <c r="M297" i="24" s="1"/>
  <c r="B297" i="24"/>
  <c r="C296" i="24"/>
  <c r="B296" i="24"/>
  <c r="C295" i="24"/>
  <c r="N295" i="24" s="1"/>
  <c r="B295" i="24"/>
  <c r="C294" i="24"/>
  <c r="B294" i="24"/>
  <c r="C293" i="24"/>
  <c r="M293" i="24" s="1"/>
  <c r="B293" i="24"/>
  <c r="C292" i="24"/>
  <c r="B292" i="24"/>
  <c r="C291" i="24"/>
  <c r="N291" i="24" s="1"/>
  <c r="B291" i="24"/>
  <c r="C290" i="24"/>
  <c r="B290" i="24"/>
  <c r="C289" i="24"/>
  <c r="M289" i="24" s="1"/>
  <c r="B289" i="24"/>
  <c r="C288" i="24"/>
  <c r="B288" i="24"/>
  <c r="C287" i="24"/>
  <c r="N287" i="24" s="1"/>
  <c r="B287" i="24"/>
  <c r="C286" i="24"/>
  <c r="B286" i="24"/>
  <c r="C285" i="24"/>
  <c r="M285" i="24" s="1"/>
  <c r="B285" i="24"/>
  <c r="C284" i="24"/>
  <c r="B284" i="24"/>
  <c r="C283" i="24"/>
  <c r="N283" i="24" s="1"/>
  <c r="B283" i="24"/>
  <c r="C282" i="24"/>
  <c r="B282" i="24"/>
  <c r="C281" i="24"/>
  <c r="M281" i="24" s="1"/>
  <c r="B281" i="24"/>
  <c r="C280" i="24"/>
  <c r="B280" i="24"/>
  <c r="C279" i="24"/>
  <c r="N279" i="24" s="1"/>
  <c r="B279" i="24"/>
  <c r="C278" i="24"/>
  <c r="B278" i="24"/>
  <c r="C277" i="24"/>
  <c r="M277" i="24" s="1"/>
  <c r="B277" i="24"/>
  <c r="C276" i="24"/>
  <c r="B276" i="24"/>
  <c r="C275" i="24"/>
  <c r="N275" i="24" s="1"/>
  <c r="B275" i="24"/>
  <c r="C274" i="24"/>
  <c r="B274" i="24"/>
  <c r="C273" i="24"/>
  <c r="M273" i="24" s="1"/>
  <c r="B273" i="24"/>
  <c r="C272" i="24"/>
  <c r="B272" i="24"/>
  <c r="C271" i="24"/>
  <c r="N271" i="24" s="1"/>
  <c r="B271" i="24"/>
  <c r="C270" i="24"/>
  <c r="B270" i="24"/>
  <c r="C269" i="24"/>
  <c r="M269" i="24" s="1"/>
  <c r="B269" i="24"/>
  <c r="C268" i="24"/>
  <c r="B268" i="24"/>
  <c r="C267" i="24"/>
  <c r="N267" i="24" s="1"/>
  <c r="B267" i="24"/>
  <c r="C266" i="24"/>
  <c r="B266" i="24"/>
  <c r="C265" i="24"/>
  <c r="M265" i="24" s="1"/>
  <c r="B265" i="24"/>
  <c r="C264" i="24"/>
  <c r="B264" i="24"/>
  <c r="C263" i="24"/>
  <c r="N263" i="24" s="1"/>
  <c r="B263" i="24"/>
  <c r="C262" i="24"/>
  <c r="B262" i="24"/>
  <c r="C261" i="24"/>
  <c r="M261" i="24" s="1"/>
  <c r="B261" i="24"/>
  <c r="C260" i="24"/>
  <c r="B260" i="24"/>
  <c r="C259" i="24"/>
  <c r="N259" i="24" s="1"/>
  <c r="B259" i="24"/>
  <c r="C258" i="24"/>
  <c r="B258" i="24"/>
  <c r="C257" i="24"/>
  <c r="M257" i="24" s="1"/>
  <c r="B257" i="24"/>
  <c r="C256" i="24"/>
  <c r="M256" i="24" s="1"/>
  <c r="B256" i="24"/>
  <c r="C255" i="24"/>
  <c r="B255" i="24"/>
  <c r="C254" i="24"/>
  <c r="M254" i="24" s="1"/>
  <c r="B254" i="24"/>
  <c r="C253" i="24"/>
  <c r="B253" i="24"/>
  <c r="C252" i="24"/>
  <c r="M252" i="24" s="1"/>
  <c r="B252" i="24"/>
  <c r="C251" i="24"/>
  <c r="B251" i="24"/>
  <c r="C250" i="24"/>
  <c r="M250" i="24" s="1"/>
  <c r="B250" i="24"/>
  <c r="C249" i="24"/>
  <c r="B249" i="24"/>
  <c r="C248" i="24"/>
  <c r="M248" i="24" s="1"/>
  <c r="B248" i="24"/>
  <c r="C247" i="24"/>
  <c r="B247" i="24"/>
  <c r="C246" i="24"/>
  <c r="M246" i="24" s="1"/>
  <c r="B246" i="24"/>
  <c r="C245" i="24"/>
  <c r="B245" i="24"/>
  <c r="C244" i="24"/>
  <c r="M244" i="24" s="1"/>
  <c r="B244" i="24"/>
  <c r="C243" i="24"/>
  <c r="B243" i="24"/>
  <c r="C242" i="24"/>
  <c r="M242" i="24" s="1"/>
  <c r="B242" i="24"/>
  <c r="C241" i="24"/>
  <c r="B241" i="24"/>
  <c r="C240" i="24"/>
  <c r="M240" i="24" s="1"/>
  <c r="B240" i="24"/>
  <c r="C239" i="24"/>
  <c r="B239" i="24"/>
  <c r="C238" i="24"/>
  <c r="M238" i="24" s="1"/>
  <c r="B238" i="24"/>
  <c r="C237" i="24"/>
  <c r="B237" i="24"/>
  <c r="C236" i="24"/>
  <c r="M236" i="24" s="1"/>
  <c r="B236" i="24"/>
  <c r="C235" i="24"/>
  <c r="B235" i="24"/>
  <c r="C234" i="24"/>
  <c r="M234" i="24" s="1"/>
  <c r="B234" i="24"/>
  <c r="C233" i="24"/>
  <c r="B233" i="24"/>
  <c r="C232" i="24"/>
  <c r="M232" i="24" s="1"/>
  <c r="B232" i="24"/>
  <c r="C231" i="24"/>
  <c r="B231" i="24"/>
  <c r="C230" i="24"/>
  <c r="M230" i="24" s="1"/>
  <c r="B230" i="24"/>
  <c r="C229" i="24"/>
  <c r="B229" i="24"/>
  <c r="C228" i="24"/>
  <c r="M228" i="24" s="1"/>
  <c r="B228" i="24"/>
  <c r="C227" i="24"/>
  <c r="B227" i="24"/>
  <c r="C226" i="24"/>
  <c r="M226" i="24" s="1"/>
  <c r="B226" i="24"/>
  <c r="C225" i="24"/>
  <c r="B225" i="24"/>
  <c r="C224" i="24"/>
  <c r="M224" i="24" s="1"/>
  <c r="B224" i="24"/>
  <c r="C223" i="24"/>
  <c r="B223" i="24"/>
  <c r="C222" i="24"/>
  <c r="M222" i="24" s="1"/>
  <c r="B222" i="24"/>
  <c r="C221" i="24"/>
  <c r="B221" i="24"/>
  <c r="C220" i="24"/>
  <c r="N220" i="24" s="1"/>
  <c r="B220" i="24"/>
  <c r="C219" i="24"/>
  <c r="B219" i="24"/>
  <c r="C218" i="24"/>
  <c r="M218" i="24" s="1"/>
  <c r="B218" i="24"/>
  <c r="C217" i="24"/>
  <c r="B217" i="24"/>
  <c r="C216" i="24"/>
  <c r="M216" i="24" s="1"/>
  <c r="B216" i="24"/>
  <c r="C215" i="24"/>
  <c r="B215" i="24"/>
  <c r="C214" i="24"/>
  <c r="M214" i="24" s="1"/>
  <c r="B214" i="24"/>
  <c r="C213" i="24"/>
  <c r="B213" i="24"/>
  <c r="C212" i="24"/>
  <c r="M212" i="24" s="1"/>
  <c r="B212" i="24"/>
  <c r="C211" i="24"/>
  <c r="B211" i="24"/>
  <c r="C210" i="24"/>
  <c r="M210" i="24" s="1"/>
  <c r="B210" i="24"/>
  <c r="C209" i="24"/>
  <c r="B209" i="24"/>
  <c r="C208" i="24"/>
  <c r="M208" i="24" s="1"/>
  <c r="B208" i="24"/>
  <c r="C207" i="24"/>
  <c r="B207" i="24"/>
  <c r="C206" i="24"/>
  <c r="M206" i="24" s="1"/>
  <c r="B206" i="24"/>
  <c r="C205" i="24"/>
  <c r="B205" i="24"/>
  <c r="C204" i="24"/>
  <c r="M204" i="24" s="1"/>
  <c r="B204" i="24"/>
  <c r="C203" i="24"/>
  <c r="B203" i="24"/>
  <c r="C202" i="24"/>
  <c r="M202" i="24" s="1"/>
  <c r="B202" i="24"/>
  <c r="C201" i="24"/>
  <c r="B201" i="24"/>
  <c r="C200" i="24"/>
  <c r="M200" i="24" s="1"/>
  <c r="B200" i="24"/>
  <c r="C199" i="24"/>
  <c r="B199" i="24"/>
  <c r="C198" i="24"/>
  <c r="M198" i="24" s="1"/>
  <c r="B198" i="24"/>
  <c r="C197" i="24"/>
  <c r="B197" i="24"/>
  <c r="C196" i="24"/>
  <c r="M196" i="24" s="1"/>
  <c r="B196" i="24"/>
  <c r="C195" i="24"/>
  <c r="B195" i="24"/>
  <c r="C194" i="24"/>
  <c r="M194" i="24" s="1"/>
  <c r="B194" i="24"/>
  <c r="C193" i="24"/>
  <c r="B193" i="24"/>
  <c r="C192" i="24"/>
  <c r="M192" i="24" s="1"/>
  <c r="B192" i="24"/>
  <c r="C191" i="24"/>
  <c r="B191" i="24"/>
  <c r="C190" i="24"/>
  <c r="M190" i="24" s="1"/>
  <c r="B190" i="24"/>
  <c r="C189" i="24"/>
  <c r="B189" i="24"/>
  <c r="C188" i="24"/>
  <c r="M188" i="24" s="1"/>
  <c r="B188" i="24"/>
  <c r="C187" i="24"/>
  <c r="B187" i="24"/>
  <c r="C186" i="24"/>
  <c r="M186" i="24" s="1"/>
  <c r="B186" i="24"/>
  <c r="C185" i="24"/>
  <c r="B185" i="24"/>
  <c r="C184" i="24"/>
  <c r="M184" i="24" s="1"/>
  <c r="B184" i="24"/>
  <c r="C183" i="24"/>
  <c r="B183" i="24"/>
  <c r="C182" i="24"/>
  <c r="M182" i="24" s="1"/>
  <c r="B182" i="24"/>
  <c r="C181" i="24"/>
  <c r="B181" i="24"/>
  <c r="C180" i="24"/>
  <c r="N180" i="24" s="1"/>
  <c r="B180" i="24"/>
  <c r="C179" i="24"/>
  <c r="B179" i="24"/>
  <c r="C178" i="24"/>
  <c r="M178" i="24" s="1"/>
  <c r="B178" i="24"/>
  <c r="C177" i="24"/>
  <c r="B177" i="24"/>
  <c r="C176" i="24"/>
  <c r="B176" i="24"/>
  <c r="C175" i="24"/>
  <c r="N175" i="24" s="1"/>
  <c r="B175" i="24"/>
  <c r="C174" i="24"/>
  <c r="M174" i="24" s="1"/>
  <c r="B174" i="24"/>
  <c r="C173" i="24"/>
  <c r="B173" i="24"/>
  <c r="C172" i="24"/>
  <c r="B172" i="24"/>
  <c r="C171" i="24"/>
  <c r="B171" i="24"/>
  <c r="C170" i="24"/>
  <c r="M170" i="24" s="1"/>
  <c r="B170" i="24"/>
  <c r="C169" i="24"/>
  <c r="B169" i="24"/>
  <c r="C168" i="24"/>
  <c r="B168" i="24"/>
  <c r="C167" i="24"/>
  <c r="N167" i="24" s="1"/>
  <c r="B167" i="24"/>
  <c r="C166" i="24"/>
  <c r="M166" i="24" s="1"/>
  <c r="B166" i="24"/>
  <c r="C165" i="24"/>
  <c r="B165" i="24"/>
  <c r="C164" i="24"/>
  <c r="B164" i="24"/>
  <c r="C163" i="24"/>
  <c r="B163" i="24"/>
  <c r="C162" i="24"/>
  <c r="M162" i="24" s="1"/>
  <c r="B162" i="24"/>
  <c r="C161" i="24"/>
  <c r="B161" i="24"/>
  <c r="C160" i="24"/>
  <c r="B160" i="24"/>
  <c r="C159" i="24"/>
  <c r="N159" i="24" s="1"/>
  <c r="B159" i="24"/>
  <c r="C158" i="24"/>
  <c r="M158" i="24" s="1"/>
  <c r="B158" i="24"/>
  <c r="C157" i="24"/>
  <c r="B157" i="24"/>
  <c r="C156" i="24"/>
  <c r="B156" i="24"/>
  <c r="C155" i="24"/>
  <c r="B155" i="24"/>
  <c r="C154" i="24"/>
  <c r="M154" i="24" s="1"/>
  <c r="B154" i="24"/>
  <c r="C153" i="24"/>
  <c r="B153" i="24"/>
  <c r="C152" i="24"/>
  <c r="B152" i="24"/>
  <c r="C151" i="24"/>
  <c r="N151" i="24" s="1"/>
  <c r="B151" i="24"/>
  <c r="C150" i="24"/>
  <c r="M150" i="24" s="1"/>
  <c r="B150" i="24"/>
  <c r="C149" i="24"/>
  <c r="B149" i="24"/>
  <c r="C148" i="24"/>
  <c r="B148" i="24"/>
  <c r="C147" i="24"/>
  <c r="B147" i="24"/>
  <c r="C146" i="24"/>
  <c r="M146" i="24" s="1"/>
  <c r="B146" i="24"/>
  <c r="C145" i="24"/>
  <c r="B145" i="24"/>
  <c r="C144" i="24"/>
  <c r="B144" i="24"/>
  <c r="C143" i="24"/>
  <c r="N143" i="24" s="1"/>
  <c r="B143" i="24"/>
  <c r="C142" i="24"/>
  <c r="M142" i="24" s="1"/>
  <c r="B142" i="24"/>
  <c r="C141" i="24"/>
  <c r="B141" i="24"/>
  <c r="C140" i="24"/>
  <c r="B140" i="24"/>
  <c r="C139" i="24"/>
  <c r="B139" i="24"/>
  <c r="C138" i="24"/>
  <c r="M138" i="24" s="1"/>
  <c r="B138" i="24"/>
  <c r="C137" i="24"/>
  <c r="B137" i="24"/>
  <c r="C136" i="24"/>
  <c r="B136" i="24"/>
  <c r="C135" i="24"/>
  <c r="N135" i="24" s="1"/>
  <c r="B135" i="24"/>
  <c r="C134" i="24"/>
  <c r="M134" i="24" s="1"/>
  <c r="B134" i="24"/>
  <c r="C133" i="24"/>
  <c r="B133" i="24"/>
  <c r="C132" i="24"/>
  <c r="B132" i="24"/>
  <c r="C131" i="24"/>
  <c r="B131" i="24"/>
  <c r="C130" i="24"/>
  <c r="M130" i="24" s="1"/>
  <c r="B130" i="24"/>
  <c r="C129" i="24"/>
  <c r="B129" i="24"/>
  <c r="C128" i="24"/>
  <c r="B128" i="24"/>
  <c r="C127" i="24"/>
  <c r="N127" i="24" s="1"/>
  <c r="B127" i="24"/>
  <c r="C126" i="24"/>
  <c r="M126" i="24" s="1"/>
  <c r="B126" i="24"/>
  <c r="C125" i="24"/>
  <c r="B125" i="24"/>
  <c r="C124" i="24"/>
  <c r="B124" i="24"/>
  <c r="C123" i="24"/>
  <c r="B123" i="24"/>
  <c r="C122" i="24"/>
  <c r="M122" i="24" s="1"/>
  <c r="B122" i="24"/>
  <c r="C121" i="24"/>
  <c r="B121" i="24"/>
  <c r="C120" i="24"/>
  <c r="B120" i="24"/>
  <c r="C119" i="24"/>
  <c r="N119" i="24" s="1"/>
  <c r="B119" i="24"/>
  <c r="C118" i="24"/>
  <c r="M118" i="24" s="1"/>
  <c r="B118" i="24"/>
  <c r="C117" i="24"/>
  <c r="B117" i="24"/>
  <c r="C116" i="24"/>
  <c r="B116" i="24"/>
  <c r="C115" i="24"/>
  <c r="B115" i="24"/>
  <c r="C114" i="24"/>
  <c r="M114" i="24" s="1"/>
  <c r="B114" i="24"/>
  <c r="C113" i="24"/>
  <c r="B113" i="24"/>
  <c r="C112" i="24"/>
  <c r="B112" i="24"/>
  <c r="C111" i="24"/>
  <c r="N111" i="24" s="1"/>
  <c r="B111" i="24"/>
  <c r="C110" i="24"/>
  <c r="M110" i="24" s="1"/>
  <c r="B110" i="24"/>
  <c r="C109" i="24"/>
  <c r="B109" i="24"/>
  <c r="C108" i="24"/>
  <c r="B108" i="24"/>
  <c r="C107" i="24"/>
  <c r="B107" i="24"/>
  <c r="C106" i="24"/>
  <c r="M106" i="24" s="1"/>
  <c r="B106" i="24"/>
  <c r="C105" i="24"/>
  <c r="B105" i="24"/>
  <c r="C104" i="24"/>
  <c r="B104" i="24"/>
  <c r="C103" i="24"/>
  <c r="N103" i="24" s="1"/>
  <c r="B103" i="24"/>
  <c r="C102" i="24"/>
  <c r="M102" i="24" s="1"/>
  <c r="B102" i="24"/>
  <c r="C101" i="24"/>
  <c r="B101" i="24"/>
  <c r="C100" i="24"/>
  <c r="B100" i="24"/>
  <c r="C99" i="24"/>
  <c r="B99" i="24"/>
  <c r="C98" i="24"/>
  <c r="M98" i="24" s="1"/>
  <c r="B98" i="24"/>
  <c r="C97" i="24"/>
  <c r="B97" i="24"/>
  <c r="C96" i="24"/>
  <c r="B96" i="24"/>
  <c r="C95" i="24"/>
  <c r="N95" i="24" s="1"/>
  <c r="B95" i="24"/>
  <c r="C94" i="24"/>
  <c r="M94" i="24" s="1"/>
  <c r="B94" i="24"/>
  <c r="C93" i="24"/>
  <c r="B93" i="24"/>
  <c r="C92" i="24"/>
  <c r="B92" i="24"/>
  <c r="C91" i="24"/>
  <c r="B91" i="24"/>
  <c r="C90" i="24"/>
  <c r="M90" i="24" s="1"/>
  <c r="B90" i="24"/>
  <c r="C89" i="24"/>
  <c r="B89" i="24"/>
  <c r="C88" i="24"/>
  <c r="B88" i="24"/>
  <c r="C87" i="24"/>
  <c r="N87" i="24" s="1"/>
  <c r="B87" i="24"/>
  <c r="C86" i="24"/>
  <c r="M86" i="24" s="1"/>
  <c r="B86" i="24"/>
  <c r="C85" i="24"/>
  <c r="B85" i="24"/>
  <c r="C84" i="24"/>
  <c r="B84" i="24"/>
  <c r="C83" i="24"/>
  <c r="B83" i="24"/>
  <c r="C82" i="24"/>
  <c r="M82" i="24" s="1"/>
  <c r="B82" i="24"/>
  <c r="C81" i="24"/>
  <c r="B81" i="24"/>
  <c r="C80" i="24"/>
  <c r="B80" i="24"/>
  <c r="C79" i="24"/>
  <c r="N79" i="24" s="1"/>
  <c r="B79" i="24"/>
  <c r="C78" i="24"/>
  <c r="M78" i="24" s="1"/>
  <c r="B78" i="24"/>
  <c r="C77" i="24"/>
  <c r="B77" i="24"/>
  <c r="C76" i="24"/>
  <c r="B76" i="24"/>
  <c r="C75" i="24"/>
  <c r="B75" i="24"/>
  <c r="C74" i="24"/>
  <c r="M74" i="24" s="1"/>
  <c r="B74" i="24"/>
  <c r="C73" i="24"/>
  <c r="B73" i="24"/>
  <c r="C72" i="24"/>
  <c r="B72" i="24"/>
  <c r="C71" i="24"/>
  <c r="N71" i="24" s="1"/>
  <c r="B71" i="24"/>
  <c r="C70" i="24"/>
  <c r="M70" i="24" s="1"/>
  <c r="B70" i="24"/>
  <c r="C69" i="24"/>
  <c r="B69" i="24"/>
  <c r="C68" i="24"/>
  <c r="B68" i="24"/>
  <c r="C67" i="24"/>
  <c r="B67" i="24"/>
  <c r="C66" i="24"/>
  <c r="M66" i="24" s="1"/>
  <c r="B66" i="24"/>
  <c r="C65" i="24"/>
  <c r="B65" i="24"/>
  <c r="C64" i="24"/>
  <c r="B64" i="24"/>
  <c r="C63" i="24"/>
  <c r="N63" i="24" s="1"/>
  <c r="B63" i="24"/>
  <c r="C62" i="24"/>
  <c r="M62" i="24" s="1"/>
  <c r="B62" i="24"/>
  <c r="C61" i="24"/>
  <c r="B61" i="24"/>
  <c r="C60" i="24"/>
  <c r="B60" i="24"/>
  <c r="C59" i="24"/>
  <c r="B59" i="24"/>
  <c r="C58" i="24"/>
  <c r="M58" i="24" s="1"/>
  <c r="B58" i="24"/>
  <c r="C57" i="24"/>
  <c r="B57" i="24"/>
  <c r="C56" i="24"/>
  <c r="B56" i="24"/>
  <c r="C55" i="24"/>
  <c r="N55" i="24" s="1"/>
  <c r="B55" i="24"/>
  <c r="C54" i="24"/>
  <c r="M54" i="24" s="1"/>
  <c r="B54" i="24"/>
  <c r="C53" i="24"/>
  <c r="B53" i="24"/>
  <c r="C52" i="24"/>
  <c r="B52" i="24"/>
  <c r="C51" i="24"/>
  <c r="B51" i="24"/>
  <c r="C50" i="24"/>
  <c r="M50" i="24" s="1"/>
  <c r="B50" i="24"/>
  <c r="C49" i="24"/>
  <c r="B49" i="24"/>
  <c r="C48" i="24"/>
  <c r="B48" i="24"/>
  <c r="C47" i="24"/>
  <c r="N47" i="24" s="1"/>
  <c r="B47" i="24"/>
  <c r="C46" i="24"/>
  <c r="M46" i="24" s="1"/>
  <c r="B46" i="24"/>
  <c r="C45" i="24"/>
  <c r="B45" i="24"/>
  <c r="C44" i="24"/>
  <c r="B44" i="24"/>
  <c r="C43" i="24"/>
  <c r="B43" i="24"/>
  <c r="C42" i="24"/>
  <c r="M42" i="24" s="1"/>
  <c r="B42" i="24"/>
  <c r="C41" i="24"/>
  <c r="B41" i="24"/>
  <c r="C40" i="24"/>
  <c r="B40" i="24"/>
  <c r="C39" i="24"/>
  <c r="N39" i="24" s="1"/>
  <c r="B39" i="24"/>
  <c r="C38" i="24"/>
  <c r="M38" i="24" s="1"/>
  <c r="B38" i="24"/>
  <c r="C37" i="24"/>
  <c r="B37" i="24"/>
  <c r="C36" i="24"/>
  <c r="B36" i="24"/>
  <c r="C35" i="24"/>
  <c r="B35" i="24"/>
  <c r="C34" i="24"/>
  <c r="M34" i="24" s="1"/>
  <c r="B34" i="24"/>
  <c r="C33" i="24"/>
  <c r="B33" i="24"/>
  <c r="C32" i="24"/>
  <c r="B32" i="24"/>
  <c r="C31" i="24"/>
  <c r="N31" i="24" s="1"/>
  <c r="B31" i="24"/>
  <c r="C30" i="24"/>
  <c r="M30" i="24" s="1"/>
  <c r="B30" i="24"/>
  <c r="C29" i="24"/>
  <c r="B29" i="24"/>
  <c r="C28" i="24"/>
  <c r="B28" i="24"/>
  <c r="C27" i="24"/>
  <c r="B27" i="24"/>
  <c r="C26" i="24"/>
  <c r="M26" i="24" s="1"/>
  <c r="B26" i="24"/>
  <c r="C25" i="24"/>
  <c r="B25" i="24"/>
  <c r="C24" i="24"/>
  <c r="B24" i="24"/>
  <c r="C23" i="24"/>
  <c r="N23" i="24" s="1"/>
  <c r="B23" i="24"/>
  <c r="C22" i="24"/>
  <c r="M22" i="24" s="1"/>
  <c r="B22" i="24"/>
  <c r="C21" i="24"/>
  <c r="B21" i="24"/>
  <c r="C20" i="24"/>
  <c r="B20" i="24"/>
  <c r="C19" i="24"/>
  <c r="B19" i="24"/>
  <c r="C18" i="24"/>
  <c r="M18" i="24" s="1"/>
  <c r="B18" i="24"/>
  <c r="C17" i="24"/>
  <c r="B17" i="24"/>
  <c r="C16" i="24"/>
  <c r="B16" i="24"/>
  <c r="C15" i="24"/>
  <c r="N15" i="24" s="1"/>
  <c r="B15" i="24"/>
  <c r="C14" i="24"/>
  <c r="M14" i="24" s="1"/>
  <c r="B14" i="24"/>
  <c r="C13" i="24"/>
  <c r="B13" i="24"/>
  <c r="C12" i="24"/>
  <c r="B12" i="24"/>
  <c r="C11" i="24"/>
  <c r="B11" i="24"/>
  <c r="C10" i="24"/>
  <c r="M10" i="24" s="1"/>
  <c r="B10" i="24"/>
  <c r="C9" i="24"/>
  <c r="B9" i="24"/>
  <c r="C8" i="24"/>
  <c r="B8" i="24"/>
  <c r="C7" i="24"/>
  <c r="N7" i="24" s="1"/>
  <c r="B7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M7" i="24"/>
  <c r="M220" i="24"/>
  <c r="N98" i="24"/>
  <c r="N204" i="24"/>
  <c r="M506" i="24"/>
  <c r="M504" i="24"/>
  <c r="M502" i="24"/>
  <c r="M500" i="24"/>
  <c r="M498" i="24"/>
  <c r="M496" i="24"/>
  <c r="M494" i="24"/>
  <c r="M492" i="24"/>
  <c r="M490" i="24"/>
  <c r="M488" i="24"/>
  <c r="M486" i="24"/>
  <c r="M484" i="24"/>
  <c r="M482" i="24"/>
  <c r="M480" i="24"/>
  <c r="M478" i="24"/>
  <c r="M476" i="24"/>
  <c r="M474" i="24"/>
  <c r="M472" i="24"/>
  <c r="M470" i="24"/>
  <c r="M468" i="24"/>
  <c r="M466" i="24"/>
  <c r="M464" i="24"/>
  <c r="M462" i="24"/>
  <c r="M460" i="24"/>
  <c r="M458" i="24"/>
  <c r="M456" i="24"/>
  <c r="M454" i="24"/>
  <c r="M452" i="24"/>
  <c r="M450" i="24"/>
  <c r="M448" i="24"/>
  <c r="M446" i="24"/>
  <c r="M444" i="24"/>
  <c r="M442" i="24"/>
  <c r="M440" i="24"/>
  <c r="M438" i="24"/>
  <c r="M436" i="24"/>
  <c r="M434" i="24"/>
  <c r="M432" i="24"/>
  <c r="M430" i="24"/>
  <c r="M428" i="24"/>
  <c r="M426" i="24"/>
  <c r="M424" i="24"/>
  <c r="M422" i="24"/>
  <c r="M380" i="24"/>
  <c r="M31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431" i="24"/>
  <c r="I432" i="24"/>
  <c r="I433" i="24"/>
  <c r="I434" i="24"/>
  <c r="I435" i="24"/>
  <c r="I436" i="24"/>
  <c r="I437" i="24"/>
  <c r="I438" i="24"/>
  <c r="I439" i="24"/>
  <c r="I440" i="24"/>
  <c r="I441" i="24"/>
  <c r="I442" i="24"/>
  <c r="I443" i="24"/>
  <c r="I444" i="24"/>
  <c r="I445" i="24"/>
  <c r="I446" i="24"/>
  <c r="I447" i="24"/>
  <c r="I448" i="24"/>
  <c r="I449" i="24"/>
  <c r="I450" i="24"/>
  <c r="I451" i="24"/>
  <c r="I452" i="24"/>
  <c r="I453" i="24"/>
  <c r="I454" i="24"/>
  <c r="I455" i="24"/>
  <c r="I456" i="24"/>
  <c r="I457" i="24"/>
  <c r="I458" i="24"/>
  <c r="I459" i="24"/>
  <c r="I460" i="24"/>
  <c r="I461" i="24"/>
  <c r="I462" i="24"/>
  <c r="I463" i="24"/>
  <c r="I464" i="24"/>
  <c r="I465" i="24"/>
  <c r="I466" i="24"/>
  <c r="I467" i="24"/>
  <c r="I468" i="24"/>
  <c r="I469" i="24"/>
  <c r="I470" i="24"/>
  <c r="I471" i="24"/>
  <c r="I472" i="24"/>
  <c r="I473" i="24"/>
  <c r="I474" i="24"/>
  <c r="I475" i="24"/>
  <c r="I476" i="24"/>
  <c r="I477" i="24"/>
  <c r="I478" i="24"/>
  <c r="I479" i="24"/>
  <c r="I480" i="24"/>
  <c r="I481" i="24"/>
  <c r="I482" i="24"/>
  <c r="I483" i="24"/>
  <c r="I484" i="24"/>
  <c r="I485" i="24"/>
  <c r="I486" i="24"/>
  <c r="I487" i="24"/>
  <c r="I488" i="24"/>
  <c r="I489" i="24"/>
  <c r="I490" i="24"/>
  <c r="I491" i="24"/>
  <c r="I492" i="24"/>
  <c r="I493" i="24"/>
  <c r="I494" i="24"/>
  <c r="I495" i="24"/>
  <c r="I496" i="24"/>
  <c r="I497" i="24"/>
  <c r="I498" i="24"/>
  <c r="I499" i="24"/>
  <c r="I500" i="24"/>
  <c r="I501" i="24"/>
  <c r="I502" i="24"/>
  <c r="I503" i="24"/>
  <c r="I504" i="24"/>
  <c r="I505" i="24"/>
  <c r="I50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85" i="24"/>
  <c r="K386" i="24"/>
  <c r="K387" i="24"/>
  <c r="K388" i="24"/>
  <c r="K389" i="24"/>
  <c r="K390" i="24"/>
  <c r="K391" i="24"/>
  <c r="K392" i="24"/>
  <c r="K393" i="24"/>
  <c r="K394" i="24"/>
  <c r="K395" i="24"/>
  <c r="K396" i="24"/>
  <c r="K397" i="24"/>
  <c r="K398" i="24"/>
  <c r="K399" i="24"/>
  <c r="K400" i="24"/>
  <c r="K401" i="24"/>
  <c r="K402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4" i="24"/>
  <c r="K426" i="24"/>
  <c r="K428" i="24"/>
  <c r="K430" i="24"/>
  <c r="K432" i="24"/>
  <c r="K434" i="24"/>
  <c r="K436" i="24"/>
  <c r="K438" i="24"/>
  <c r="K440" i="24"/>
  <c r="K442" i="24"/>
  <c r="K444" i="24"/>
  <c r="K446" i="24"/>
  <c r="K448" i="24"/>
  <c r="K450" i="24"/>
  <c r="K452" i="24"/>
  <c r="K454" i="24"/>
  <c r="K456" i="24"/>
  <c r="K458" i="24"/>
  <c r="K460" i="24"/>
  <c r="K462" i="24"/>
  <c r="K464" i="24"/>
  <c r="K466" i="24"/>
  <c r="K468" i="24"/>
  <c r="K470" i="24"/>
  <c r="K472" i="24"/>
  <c r="K474" i="24"/>
  <c r="K476" i="24"/>
  <c r="K478" i="24"/>
  <c r="K480" i="24"/>
  <c r="K482" i="24"/>
  <c r="K484" i="24"/>
  <c r="K486" i="24"/>
  <c r="K488" i="24"/>
  <c r="K490" i="24"/>
  <c r="K492" i="24"/>
  <c r="K494" i="24"/>
  <c r="K496" i="24"/>
  <c r="K498" i="24"/>
  <c r="K500" i="24"/>
  <c r="K502" i="24"/>
  <c r="K504" i="24"/>
  <c r="K505" i="24"/>
  <c r="K506" i="24"/>
  <c r="M267" i="24"/>
  <c r="M315" i="24"/>
  <c r="M347" i="24"/>
  <c r="M379" i="24"/>
  <c r="M411" i="24"/>
  <c r="N289" i="24"/>
  <c r="N314" i="24"/>
  <c r="N330" i="24"/>
  <c r="N346" i="24"/>
  <c r="N362" i="24"/>
  <c r="N378" i="24"/>
  <c r="N394" i="24"/>
  <c r="N410" i="24"/>
  <c r="N422" i="24"/>
  <c r="N424" i="24"/>
  <c r="N426" i="24"/>
  <c r="N428" i="24"/>
  <c r="N430" i="24"/>
  <c r="N432" i="24"/>
  <c r="N434" i="24"/>
  <c r="N436" i="24"/>
  <c r="N438" i="24"/>
  <c r="N440" i="24"/>
  <c r="N442" i="24"/>
  <c r="N444" i="24"/>
  <c r="N446" i="24"/>
  <c r="N448" i="24"/>
  <c r="N450" i="24"/>
  <c r="N452" i="24"/>
  <c r="N454" i="24"/>
  <c r="N456" i="24"/>
  <c r="N458" i="24"/>
  <c r="N460" i="24"/>
  <c r="N462" i="24"/>
  <c r="N464" i="24"/>
  <c r="N466" i="24"/>
  <c r="N468" i="24"/>
  <c r="N470" i="24"/>
  <c r="N472" i="24"/>
  <c r="N474" i="24"/>
  <c r="N476" i="24"/>
  <c r="N478" i="24"/>
  <c r="N480" i="24"/>
  <c r="N482" i="24"/>
  <c r="N484" i="24"/>
  <c r="N486" i="24"/>
  <c r="N488" i="24"/>
  <c r="N490" i="24"/>
  <c r="N492" i="24"/>
  <c r="N494" i="24"/>
  <c r="N496" i="24"/>
  <c r="N498" i="24"/>
  <c r="N500" i="24"/>
  <c r="N502" i="24"/>
  <c r="N504" i="24"/>
  <c r="N506" i="24"/>
  <c r="B458" i="11"/>
  <c r="B41" i="11"/>
  <c r="B470" i="11"/>
  <c r="B437" i="11"/>
  <c r="B69" i="11"/>
  <c r="B287" i="11"/>
  <c r="B140" i="11"/>
  <c r="B678" i="11"/>
  <c r="B580" i="11"/>
  <c r="B145" i="11"/>
  <c r="B730" i="11"/>
  <c r="B676" i="11"/>
  <c r="B213" i="11"/>
  <c r="B718" i="11"/>
  <c r="B574" i="11"/>
  <c r="C574" i="11" s="1"/>
  <c r="B289" i="11"/>
  <c r="C289" i="11" s="1"/>
  <c r="B280" i="11"/>
  <c r="C280" i="11" s="1"/>
  <c r="B633" i="11"/>
  <c r="C633" i="11" s="1"/>
  <c r="B81" i="11"/>
  <c r="B34" i="11"/>
  <c r="B717" i="11"/>
  <c r="B713" i="11"/>
  <c r="B511" i="11"/>
  <c r="C511" i="11" s="1"/>
  <c r="B506" i="11"/>
  <c r="B277" i="11"/>
  <c r="C277" i="11" s="1"/>
  <c r="B737" i="11"/>
  <c r="B481" i="11"/>
  <c r="B501" i="11"/>
  <c r="C501" i="11" s="1"/>
  <c r="B259" i="11"/>
  <c r="C259" i="11" s="1"/>
  <c r="B254" i="11"/>
  <c r="B635" i="11"/>
  <c r="C635" i="11" s="1"/>
  <c r="B146" i="11"/>
  <c r="C146" i="11" s="1"/>
  <c r="B440" i="11"/>
  <c r="B98" i="11"/>
  <c r="B70" i="11"/>
  <c r="B485" i="11"/>
  <c r="C485" i="11" s="1"/>
  <c r="B703" i="11"/>
  <c r="B26" i="11"/>
  <c r="B547" i="11"/>
  <c r="B235" i="11"/>
  <c r="B615" i="11"/>
  <c r="B495" i="11"/>
  <c r="C495" i="11" s="1"/>
  <c r="B52" i="11"/>
  <c r="B125" i="11"/>
  <c r="C125" i="11" s="1"/>
  <c r="B407" i="11"/>
  <c r="B579" i="11"/>
  <c r="B44" i="11"/>
  <c r="C44" i="11" s="1"/>
  <c r="B103" i="11"/>
  <c r="B74" i="11"/>
  <c r="B111" i="11"/>
  <c r="B541" i="11"/>
  <c r="C541" i="11" s="1"/>
  <c r="B444" i="11"/>
  <c r="B700" i="11"/>
  <c r="M700" i="11" s="1"/>
  <c r="B80" i="11"/>
  <c r="C80" i="11" s="1"/>
  <c r="B520" i="11"/>
  <c r="B618" i="11"/>
  <c r="B411" i="11"/>
  <c r="B358" i="11"/>
  <c r="C358" i="11" s="1"/>
  <c r="B445" i="11"/>
  <c r="B357" i="11"/>
  <c r="C357" i="11" s="1"/>
  <c r="B247" i="11"/>
  <c r="C247" i="11" s="1"/>
  <c r="B693" i="11"/>
  <c r="B408" i="11"/>
  <c r="L408" i="11" s="1"/>
  <c r="B263" i="11"/>
  <c r="B360" i="11"/>
  <c r="C360" i="11" s="1"/>
  <c r="B255" i="11"/>
  <c r="B436" i="11"/>
  <c r="B43" i="11"/>
  <c r="B12" i="11"/>
  <c r="M12" i="11" s="1"/>
  <c r="B433" i="11"/>
  <c r="B75" i="11"/>
  <c r="B715" i="11"/>
  <c r="C715" i="11" s="1"/>
  <c r="B53" i="11"/>
  <c r="B233" i="11"/>
  <c r="C233" i="11" s="1"/>
  <c r="B682" i="11"/>
  <c r="B518" i="11"/>
  <c r="C518" i="11" s="1"/>
  <c r="B539" i="11"/>
  <c r="C539" i="11" s="1"/>
  <c r="B497" i="11"/>
  <c r="B256" i="11"/>
  <c r="B217" i="11"/>
  <c r="B729" i="11"/>
  <c r="B20" i="11"/>
  <c r="B570" i="11"/>
  <c r="M570" i="11" s="1"/>
  <c r="B122" i="11"/>
  <c r="B218" i="11"/>
  <c r="C218" i="11" s="1"/>
  <c r="B673" i="11"/>
  <c r="B714" i="11"/>
  <c r="C714" i="11" s="1"/>
  <c r="B93" i="11"/>
  <c r="B400" i="11"/>
  <c r="L400" i="11" s="1"/>
  <c r="B394" i="11"/>
  <c r="C394" i="11" s="1"/>
  <c r="B381" i="11"/>
  <c r="B671" i="11"/>
  <c r="B604" i="11"/>
  <c r="B83" i="11"/>
  <c r="B79" i="11"/>
  <c r="B86" i="11"/>
  <c r="C86" i="11" s="1"/>
  <c r="B638" i="11"/>
  <c r="C638" i="11" s="1"/>
  <c r="B337" i="11"/>
  <c r="B447" i="11"/>
  <c r="M447" i="11" s="1"/>
  <c r="B303" i="11"/>
  <c r="C303" i="11" s="1"/>
  <c r="B223" i="11"/>
  <c r="B186" i="11"/>
  <c r="B159" i="11"/>
  <c r="B22" i="11"/>
  <c r="C22" i="11" s="1"/>
  <c r="B461" i="11"/>
  <c r="C461" i="11" s="1"/>
  <c r="B413" i="11"/>
  <c r="B108" i="11"/>
  <c r="C108" i="11" s="1"/>
  <c r="B173" i="11"/>
  <c r="C173" i="11" s="1"/>
  <c r="B430" i="11"/>
  <c r="B51" i="11"/>
  <c r="C51" i="11" s="1"/>
  <c r="B683" i="11"/>
  <c r="B473" i="11"/>
  <c r="B266" i="11"/>
  <c r="B56" i="11"/>
  <c r="B65" i="11"/>
  <c r="B97" i="11"/>
  <c r="B675" i="11"/>
  <c r="B84" i="11"/>
  <c r="B420" i="11"/>
  <c r="C420" i="11" s="1"/>
  <c r="B60" i="11"/>
  <c r="B137" i="11"/>
  <c r="B179" i="11"/>
  <c r="B581" i="11"/>
  <c r="B716" i="11"/>
  <c r="B202" i="11"/>
  <c r="B313" i="11"/>
  <c r="B311" i="11"/>
  <c r="B696" i="11"/>
  <c r="B92" i="11"/>
  <c r="B246" i="11"/>
  <c r="B599" i="11"/>
  <c r="B516" i="11"/>
  <c r="C516" i="11" s="1"/>
  <c r="B184" i="11"/>
  <c r="B88" i="11"/>
  <c r="C88" i="11" s="1"/>
  <c r="B248" i="11"/>
  <c r="B230" i="11"/>
  <c r="B66" i="11"/>
  <c r="B677" i="11"/>
  <c r="C677" i="11" s="1"/>
  <c r="B258" i="11"/>
  <c r="C258" i="11" s="1"/>
  <c r="B384" i="11"/>
  <c r="B139" i="11"/>
  <c r="B435" i="11"/>
  <c r="B589" i="11"/>
  <c r="C589" i="11" s="1"/>
  <c r="B525" i="11"/>
  <c r="C525" i="11" s="1"/>
  <c r="B643" i="11"/>
  <c r="M643" i="11" s="1"/>
  <c r="B631" i="11"/>
  <c r="C631" i="11" s="1"/>
  <c r="B123" i="11"/>
  <c r="B424" i="11"/>
  <c r="B42" i="11"/>
  <c r="C42" i="11" s="1"/>
  <c r="B89" i="11"/>
  <c r="B283" i="11"/>
  <c r="B709" i="11"/>
  <c r="B577" i="11"/>
  <c r="B710" i="11"/>
  <c r="B55" i="11"/>
  <c r="B73" i="11"/>
  <c r="B319" i="11"/>
  <c r="B325" i="11"/>
  <c r="B699" i="11"/>
  <c r="B719" i="11"/>
  <c r="B524" i="11"/>
  <c r="B72" i="11"/>
  <c r="B189" i="11"/>
  <c r="B393" i="11"/>
  <c r="C393" i="11" s="1"/>
  <c r="B23" i="11"/>
  <c r="M23" i="11" s="1"/>
  <c r="B14" i="11"/>
  <c r="B24" i="11"/>
  <c r="C24" i="11" s="1"/>
  <c r="B148" i="11"/>
  <c r="B661" i="11"/>
  <c r="C661" i="11" s="1"/>
  <c r="B328" i="11"/>
  <c r="C328" i="11" s="1"/>
  <c r="B21" i="11"/>
  <c r="L21" i="11" s="1"/>
  <c r="B197" i="11"/>
  <c r="B694" i="11"/>
  <c r="C694" i="11" s="1"/>
  <c r="B300" i="11"/>
  <c r="C300" i="11" s="1"/>
  <c r="B307" i="11"/>
  <c r="B129" i="11"/>
  <c r="B562" i="11"/>
  <c r="B630" i="11"/>
  <c r="B466" i="11"/>
  <c r="C466" i="11" s="1"/>
  <c r="B464" i="11"/>
  <c r="C464" i="11" s="1"/>
  <c r="B543" i="11"/>
  <c r="C543" i="11" s="1"/>
  <c r="B686" i="11"/>
  <c r="B346" i="11"/>
  <c r="B9" i="11"/>
  <c r="B262" i="11"/>
  <c r="C262" i="11" s="1"/>
  <c r="B152" i="11"/>
  <c r="C152" i="11" s="1"/>
  <c r="B611" i="11"/>
  <c r="C611" i="11" s="1"/>
  <c r="B680" i="11"/>
  <c r="B321" i="11"/>
  <c r="B154" i="11"/>
  <c r="B99" i="11"/>
  <c r="B227" i="11"/>
  <c r="B366" i="11"/>
  <c r="B725" i="11"/>
  <c r="B253" i="11"/>
  <c r="B87" i="11"/>
  <c r="C87" i="11" s="1"/>
  <c r="B382" i="11"/>
  <c r="M382" i="11" s="1"/>
  <c r="B608" i="11"/>
  <c r="B112" i="11"/>
  <c r="B191" i="11"/>
  <c r="B514" i="11"/>
  <c r="C514" i="11" s="1"/>
  <c r="B533" i="11"/>
  <c r="B292" i="11"/>
  <c r="B77" i="11"/>
  <c r="B405" i="11"/>
  <c r="C405" i="11" s="1"/>
  <c r="B234" i="11"/>
  <c r="B642" i="11"/>
  <c r="B375" i="11"/>
  <c r="C375" i="11" s="1"/>
  <c r="B279" i="11"/>
  <c r="B727" i="11"/>
  <c r="B19" i="11"/>
  <c r="C19" i="11" s="1"/>
  <c r="B50" i="11"/>
  <c r="B142" i="11"/>
  <c r="B371" i="11"/>
  <c r="C371" i="11" s="1"/>
  <c r="B78" i="11"/>
  <c r="L78" i="11" s="1"/>
  <c r="B40" i="11"/>
  <c r="C40" i="11" s="1"/>
  <c r="B30" i="11"/>
  <c r="C30" i="11" s="1"/>
  <c r="B614" i="11"/>
  <c r="B626" i="11"/>
  <c r="B354" i="11"/>
  <c r="B704" i="11"/>
  <c r="B625" i="11"/>
  <c r="B622" i="11"/>
  <c r="B172" i="11"/>
  <c r="B85" i="11"/>
  <c r="M85" i="11" s="1"/>
  <c r="B482" i="11"/>
  <c r="C482" i="11" s="1"/>
  <c r="B326" i="11"/>
  <c r="B364" i="11"/>
  <c r="C364" i="11" s="1"/>
  <c r="B588" i="11"/>
  <c r="B207" i="11"/>
  <c r="B692" i="11"/>
  <c r="C692" i="11" s="1"/>
  <c r="B395" i="11"/>
  <c r="C395" i="11" s="1"/>
  <c r="B572" i="11"/>
  <c r="C572" i="11" s="1"/>
  <c r="B367" i="11"/>
  <c r="B689" i="11"/>
  <c r="B327" i="11"/>
  <c r="C327" i="11" s="1"/>
  <c r="B425" i="11"/>
  <c r="C425" i="11" s="1"/>
  <c r="B708" i="11"/>
  <c r="B498" i="11"/>
  <c r="B416" i="11"/>
  <c r="B126" i="11"/>
  <c r="C126" i="11" s="1"/>
  <c r="B36" i="11"/>
  <c r="B164" i="11"/>
  <c r="C164" i="11" s="1"/>
  <c r="B387" i="11"/>
  <c r="B71" i="11"/>
  <c r="B47" i="11"/>
  <c r="B480" i="11"/>
  <c r="B523" i="11"/>
  <c r="C523" i="11" s="1"/>
  <c r="B113" i="11"/>
  <c r="B513" i="11"/>
  <c r="C513" i="11" s="1"/>
  <c r="B209" i="11"/>
  <c r="B220" i="11"/>
  <c r="C220" i="11" s="1"/>
  <c r="B348" i="11"/>
  <c r="M348" i="11" s="1"/>
  <c r="B330" i="11"/>
  <c r="B102" i="11"/>
  <c r="C102" i="11" s="1"/>
  <c r="B308" i="11"/>
  <c r="B16" i="11"/>
  <c r="B331" i="11"/>
  <c r="B306" i="11"/>
  <c r="B294" i="11"/>
  <c r="B656" i="11"/>
  <c r="B29" i="11"/>
  <c r="B239" i="11"/>
  <c r="C239" i="11" s="1"/>
  <c r="B456" i="11"/>
  <c r="C456" i="11" s="1"/>
  <c r="B429" i="11"/>
  <c r="B48" i="11"/>
  <c r="B63" i="11"/>
  <c r="B484" i="11"/>
  <c r="B442" i="11"/>
  <c r="B132" i="11"/>
  <c r="B564" i="11"/>
  <c r="B116" i="11"/>
  <c r="B385" i="11"/>
  <c r="B6" i="11"/>
  <c r="C6" i="11" s="1"/>
  <c r="B505" i="11"/>
  <c r="C505" i="11" s="1"/>
  <c r="B490" i="11"/>
  <c r="B244" i="11"/>
  <c r="B468" i="11"/>
  <c r="C468" i="11" s="1"/>
  <c r="B479" i="11"/>
  <c r="B167" i="11"/>
  <c r="B721" i="11"/>
  <c r="B106" i="11"/>
  <c r="B265" i="11"/>
  <c r="B535" i="11"/>
  <c r="B241" i="11"/>
  <c r="B503" i="11"/>
  <c r="B96" i="11"/>
  <c r="B688" i="11"/>
  <c r="C688" i="11" s="1"/>
  <c r="B45" i="11"/>
  <c r="B231" i="11"/>
  <c r="C231" i="11" s="1"/>
  <c r="B109" i="11"/>
  <c r="C109" i="11" s="1"/>
  <c r="B488" i="11"/>
  <c r="B236" i="11"/>
  <c r="C236" i="11" s="1"/>
  <c r="B114" i="11"/>
  <c r="B33" i="11"/>
  <c r="B720" i="11"/>
  <c r="B735" i="11"/>
  <c r="B733" i="11"/>
  <c r="B645" i="11"/>
  <c r="L645" i="11" s="1"/>
  <c r="B187" i="11"/>
  <c r="C187" i="11" s="1"/>
  <c r="B82" i="11"/>
  <c r="B446" i="11"/>
  <c r="B104" i="11"/>
  <c r="C104" i="11" s="1"/>
  <c r="B705" i="11"/>
  <c r="B628" i="11"/>
  <c r="B15" i="11"/>
  <c r="B135" i="11"/>
  <c r="B403" i="11"/>
  <c r="C403" i="11" s="1"/>
  <c r="B54" i="11"/>
  <c r="C54" i="11" s="1"/>
  <c r="B322" i="11"/>
  <c r="B459" i="11"/>
  <c r="B529" i="11"/>
  <c r="C529" i="11" s="1"/>
  <c r="B655" i="11"/>
  <c r="C655" i="11" s="1"/>
  <c r="B532" i="11"/>
  <c r="C532" i="11" s="1"/>
  <c r="B701" i="11"/>
  <c r="B183" i="11"/>
  <c r="B206" i="11"/>
  <c r="C206" i="11" s="1"/>
  <c r="B158" i="11"/>
  <c r="C158" i="11" s="1"/>
  <c r="B18" i="11"/>
  <c r="C18" i="11" s="1"/>
  <c r="B526" i="11"/>
  <c r="C526" i="11" s="1"/>
  <c r="B681" i="11"/>
  <c r="B64" i="11"/>
  <c r="B668" i="11"/>
  <c r="C668" i="11" s="1"/>
  <c r="B674" i="11"/>
  <c r="B273" i="11"/>
  <c r="B229" i="11"/>
  <c r="B390" i="11"/>
  <c r="C390" i="11" s="1"/>
  <c r="B285" i="11"/>
  <c r="B200" i="11"/>
  <c r="B13" i="11"/>
  <c r="C13" i="11" s="1"/>
  <c r="B127" i="11"/>
  <c r="B347" i="11"/>
  <c r="B11" i="11"/>
  <c r="B376" i="11"/>
  <c r="B61" i="11"/>
  <c r="C61" i="11" s="1"/>
  <c r="B149" i="11"/>
  <c r="B724" i="11"/>
  <c r="B632" i="11"/>
  <c r="B368" i="11"/>
  <c r="C368" i="11" s="1"/>
  <c r="B150" i="11"/>
  <c r="B576" i="11"/>
  <c r="B10" i="11"/>
  <c r="B476" i="11"/>
  <c r="B363" i="11"/>
  <c r="B494" i="11"/>
  <c r="L494" i="11" s="1"/>
  <c r="B658" i="11"/>
  <c r="B594" i="11"/>
  <c r="C594" i="11" s="1"/>
  <c r="B702" i="11"/>
  <c r="B667" i="11"/>
  <c r="C667" i="11" s="1"/>
  <c r="B275" i="11"/>
  <c r="C275" i="11" s="1"/>
  <c r="B389" i="11"/>
  <c r="B32" i="11"/>
  <c r="B37" i="11"/>
  <c r="B95" i="11"/>
  <c r="B195" i="11"/>
  <c r="B546" i="11"/>
  <c r="B58" i="11"/>
  <c r="B370" i="11"/>
  <c r="B17" i="11"/>
  <c r="B204" i="11"/>
  <c r="B672" i="11"/>
  <c r="B49" i="11"/>
  <c r="C49" i="11" s="1"/>
  <c r="B605" i="11"/>
  <c r="C605" i="11" s="1"/>
  <c r="B728" i="11"/>
  <c r="B627" i="11"/>
  <c r="C627" i="11" s="1"/>
  <c r="B522" i="11"/>
  <c r="C522" i="11" s="1"/>
  <c r="B68" i="11"/>
  <c r="B432" i="11"/>
  <c r="C432" i="11" s="1"/>
  <c r="B734" i="11"/>
  <c r="B553" i="11"/>
  <c r="C553" i="11" s="1"/>
  <c r="B117" i="11"/>
  <c r="B301" i="11"/>
  <c r="C301" i="11" s="1"/>
  <c r="B722" i="11"/>
  <c r="C722" i="11" s="1"/>
  <c r="B536" i="11"/>
  <c r="B141" i="11"/>
  <c r="B469" i="11"/>
  <c r="C469" i="11" s="1"/>
  <c r="B593" i="11"/>
  <c r="B419" i="11"/>
  <c r="C419" i="11" s="1"/>
  <c r="B404" i="11"/>
  <c r="B119" i="11"/>
  <c r="C119" i="11" s="1"/>
  <c r="B143" i="11"/>
  <c r="B697" i="11"/>
  <c r="C697" i="11" s="1"/>
  <c r="B544" i="11"/>
  <c r="B362" i="11"/>
  <c r="B181" i="11"/>
  <c r="C181" i="11" s="1"/>
  <c r="B623" i="11"/>
  <c r="B323" i="11"/>
  <c r="B115" i="11"/>
  <c r="B110" i="11"/>
  <c r="C110" i="11" s="1"/>
  <c r="B339" i="11"/>
  <c r="B663" i="11"/>
  <c r="B685" i="11"/>
  <c r="B684" i="11"/>
  <c r="B315" i="11"/>
  <c r="B726" i="11"/>
  <c r="B679" i="11"/>
  <c r="B449" i="11"/>
  <c r="B134" i="11"/>
  <c r="B57" i="11"/>
  <c r="B569" i="11"/>
  <c r="B28" i="11"/>
  <c r="B91" i="11"/>
  <c r="C91" i="11" s="1"/>
  <c r="B410" i="11"/>
  <c r="B27" i="11"/>
  <c r="C27" i="11" s="1"/>
  <c r="B507" i="11"/>
  <c r="B94" i="11"/>
  <c r="B268" i="11"/>
  <c r="B62" i="11"/>
  <c r="B556" i="11"/>
  <c r="B373" i="11"/>
  <c r="B379" i="11"/>
  <c r="B174" i="11"/>
  <c r="B646" i="11"/>
  <c r="B491" i="11"/>
  <c r="B640" i="11"/>
  <c r="B545" i="11"/>
  <c r="C545" i="11" s="1"/>
  <c r="B602" i="11"/>
  <c r="B351" i="11"/>
  <c r="B224" i="11"/>
  <c r="B100" i="11"/>
  <c r="C100" i="11" s="1"/>
  <c r="B647" i="11"/>
  <c r="B660" i="11"/>
  <c r="B25" i="11"/>
  <c r="B706" i="11"/>
  <c r="B558" i="11"/>
  <c r="C558" i="11" s="1"/>
  <c r="B199" i="11"/>
  <c r="B712" i="11"/>
  <c r="B711" i="11"/>
  <c r="B649" i="11"/>
  <c r="C649" i="11" s="1"/>
  <c r="B67" i="11"/>
  <c r="C67" i="11" s="1"/>
  <c r="B571" i="11"/>
  <c r="B584" i="11"/>
  <c r="B690" i="11"/>
  <c r="B450" i="11"/>
  <c r="B538" i="11"/>
  <c r="B500" i="11"/>
  <c r="B39" i="11"/>
  <c r="L39" i="11" s="1"/>
  <c r="B35" i="11"/>
  <c r="B8" i="11"/>
  <c r="B310" i="11"/>
  <c r="B7" i="11"/>
  <c r="C7" i="11" s="1"/>
  <c r="B90" i="11"/>
  <c r="B550" i="11"/>
  <c r="C550" i="11" s="1"/>
  <c r="B600" i="11"/>
  <c r="C600" i="11" s="1"/>
  <c r="B31" i="11"/>
  <c r="B324" i="11"/>
  <c r="B121" i="11"/>
  <c r="B415" i="11"/>
  <c r="C415" i="11" s="1"/>
  <c r="B401" i="11"/>
  <c r="C401" i="11" s="1"/>
  <c r="B698" i="11"/>
  <c r="B621" i="11"/>
  <c r="B46" i="11"/>
  <c r="B130" i="11"/>
  <c r="B555" i="11"/>
  <c r="B695" i="11"/>
  <c r="C695" i="11" s="1"/>
  <c r="B312" i="11"/>
  <c r="C312" i="11" s="1"/>
  <c r="B583" i="11"/>
  <c r="M583" i="11" s="1"/>
  <c r="B342" i="11"/>
  <c r="C342" i="11" s="1"/>
  <c r="B297" i="11"/>
  <c r="C297" i="11" s="1"/>
  <c r="B652" i="11"/>
  <c r="C652" i="11" s="1"/>
  <c r="B707" i="11"/>
  <c r="B467" i="11"/>
  <c r="C467" i="11" s="1"/>
  <c r="B107" i="11"/>
  <c r="C107" i="11" s="1"/>
  <c r="B597" i="11"/>
  <c r="B105" i="11"/>
  <c r="C105" i="11" s="1"/>
  <c r="B455" i="11"/>
  <c r="C455" i="11" s="1"/>
  <c r="B76" i="11"/>
  <c r="B291" i="11"/>
  <c r="B38" i="11"/>
  <c r="C38" i="11" s="1"/>
  <c r="B361" i="11"/>
  <c r="B318" i="11"/>
  <c r="B336" i="11"/>
  <c r="B691" i="11"/>
  <c r="M691" i="11" s="1"/>
  <c r="B59" i="11"/>
  <c r="J59" i="11"/>
  <c r="J691" i="11"/>
  <c r="J336" i="11"/>
  <c r="J318" i="11"/>
  <c r="J361" i="11"/>
  <c r="J38" i="11"/>
  <c r="J291" i="11"/>
  <c r="J76" i="11"/>
  <c r="J455" i="11"/>
  <c r="J105" i="11"/>
  <c r="J597" i="11"/>
  <c r="J107" i="11"/>
  <c r="J467" i="11"/>
  <c r="J707" i="11"/>
  <c r="J652" i="11"/>
  <c r="J297" i="11"/>
  <c r="J342" i="11"/>
  <c r="J583" i="11"/>
  <c r="J312" i="11"/>
  <c r="J695" i="11"/>
  <c r="J555" i="11"/>
  <c r="J130" i="11"/>
  <c r="J46" i="11"/>
  <c r="J621" i="11"/>
  <c r="J698" i="11"/>
  <c r="J401" i="11"/>
  <c r="J415" i="11"/>
  <c r="J121" i="11"/>
  <c r="J324" i="11"/>
  <c r="J31" i="11"/>
  <c r="J600" i="11"/>
  <c r="J550" i="11"/>
  <c r="J90" i="11"/>
  <c r="J7" i="11"/>
  <c r="J310" i="11"/>
  <c r="J8" i="11"/>
  <c r="J35" i="11"/>
  <c r="J39" i="11"/>
  <c r="J500" i="11"/>
  <c r="J538" i="11"/>
  <c r="J450" i="11"/>
  <c r="J690" i="11"/>
  <c r="J584" i="11"/>
  <c r="J571" i="11"/>
  <c r="J67" i="11"/>
  <c r="J649" i="11"/>
  <c r="J711" i="11"/>
  <c r="J712" i="11"/>
  <c r="J199" i="11"/>
  <c r="J558" i="11"/>
  <c r="J706" i="11"/>
  <c r="J25" i="11"/>
  <c r="J660" i="11"/>
  <c r="J647" i="11"/>
  <c r="J100" i="11"/>
  <c r="J224" i="11"/>
  <c r="J351" i="11"/>
  <c r="J602" i="11"/>
  <c r="J545" i="11"/>
  <c r="J640" i="11"/>
  <c r="J491" i="11"/>
  <c r="J646" i="11"/>
  <c r="J174" i="11"/>
  <c r="J379" i="11"/>
  <c r="J373" i="11"/>
  <c r="J556" i="11"/>
  <c r="J62" i="11"/>
  <c r="J268" i="11"/>
  <c r="J94" i="11"/>
  <c r="J507" i="11"/>
  <c r="J27" i="11"/>
  <c r="J410" i="11"/>
  <c r="J91" i="11"/>
  <c r="J28" i="11"/>
  <c r="J569" i="11"/>
  <c r="J57" i="11"/>
  <c r="J134" i="11"/>
  <c r="J449" i="11"/>
  <c r="J679" i="11"/>
  <c r="J726" i="11"/>
  <c r="J315" i="11"/>
  <c r="J684" i="11"/>
  <c r="J685" i="11"/>
  <c r="J663" i="11"/>
  <c r="J339" i="11"/>
  <c r="J110" i="11"/>
  <c r="J115" i="11"/>
  <c r="J323" i="11"/>
  <c r="J623" i="11"/>
  <c r="J181" i="11"/>
  <c r="J362" i="11"/>
  <c r="J544" i="11"/>
  <c r="J697" i="11"/>
  <c r="J143" i="11"/>
  <c r="J119" i="11"/>
  <c r="J404" i="11"/>
  <c r="J419" i="11"/>
  <c r="J593" i="11"/>
  <c r="J469" i="11"/>
  <c r="J141" i="11"/>
  <c r="J536" i="11"/>
  <c r="J722" i="11"/>
  <c r="J301" i="11"/>
  <c r="J117" i="11"/>
  <c r="J553" i="11"/>
  <c r="J734" i="11"/>
  <c r="J432" i="11"/>
  <c r="J68" i="11"/>
  <c r="J522" i="11"/>
  <c r="J627" i="11"/>
  <c r="J728" i="11"/>
  <c r="J605" i="11"/>
  <c r="J49" i="11"/>
  <c r="J672" i="11"/>
  <c r="J204" i="11"/>
  <c r="J17" i="11"/>
  <c r="J370" i="11"/>
  <c r="J58" i="11"/>
  <c r="J546" i="11"/>
  <c r="J195" i="11"/>
  <c r="J95" i="11"/>
  <c r="J37" i="11"/>
  <c r="J32" i="11"/>
  <c r="J389" i="11"/>
  <c r="J275" i="11"/>
  <c r="J667" i="11"/>
  <c r="J702" i="11"/>
  <c r="J594" i="11"/>
  <c r="J658" i="11"/>
  <c r="J494" i="11"/>
  <c r="J363" i="11"/>
  <c r="J476" i="11"/>
  <c r="J10" i="11"/>
  <c r="J576" i="11"/>
  <c r="J150" i="11"/>
  <c r="J368" i="11"/>
  <c r="J632" i="11"/>
  <c r="J724" i="11"/>
  <c r="J149" i="11"/>
  <c r="J61" i="11"/>
  <c r="J376" i="11"/>
  <c r="J11" i="11"/>
  <c r="J347" i="11"/>
  <c r="J127" i="11"/>
  <c r="J13" i="11"/>
  <c r="J200" i="11"/>
  <c r="J285" i="11"/>
  <c r="J390" i="11"/>
  <c r="J229" i="11"/>
  <c r="J273" i="11"/>
  <c r="J674" i="11"/>
  <c r="J668" i="11"/>
  <c r="J64" i="11"/>
  <c r="J681" i="11"/>
  <c r="J526" i="11"/>
  <c r="J18" i="11"/>
  <c r="J158" i="11"/>
  <c r="J206" i="11"/>
  <c r="J183" i="11"/>
  <c r="J701" i="11"/>
  <c r="J532" i="11"/>
  <c r="J655" i="11"/>
  <c r="J529" i="11"/>
  <c r="J459" i="11"/>
  <c r="J322" i="11"/>
  <c r="J54" i="11"/>
  <c r="J403" i="11"/>
  <c r="J135" i="11"/>
  <c r="J15" i="11"/>
  <c r="J628" i="11"/>
  <c r="J705" i="11"/>
  <c r="J104" i="11"/>
  <c r="J446" i="11"/>
  <c r="J82" i="11"/>
  <c r="J187" i="11"/>
  <c r="J645" i="11"/>
  <c r="J733" i="11"/>
  <c r="J735" i="11"/>
  <c r="J720" i="11"/>
  <c r="J33" i="11"/>
  <c r="J114" i="11"/>
  <c r="J236" i="11"/>
  <c r="J488" i="11"/>
  <c r="J109" i="11"/>
  <c r="J231" i="11"/>
  <c r="J45" i="11"/>
  <c r="J688" i="11"/>
  <c r="J96" i="11"/>
  <c r="J503" i="11"/>
  <c r="J241" i="11"/>
  <c r="J535" i="11"/>
  <c r="J265" i="11"/>
  <c r="J106" i="11"/>
  <c r="J721" i="11"/>
  <c r="J167" i="11"/>
  <c r="J479" i="11"/>
  <c r="J468" i="11"/>
  <c r="J244" i="11"/>
  <c r="J490" i="11"/>
  <c r="J505" i="11"/>
  <c r="J6" i="11"/>
  <c r="J385" i="11"/>
  <c r="J116" i="11"/>
  <c r="J564" i="11"/>
  <c r="J132" i="11"/>
  <c r="J442" i="11"/>
  <c r="J484" i="11"/>
  <c r="J63" i="11"/>
  <c r="J48" i="11"/>
  <c r="J429" i="11"/>
  <c r="J456" i="11"/>
  <c r="J239" i="11"/>
  <c r="J29" i="11"/>
  <c r="J656" i="11"/>
  <c r="J294" i="11"/>
  <c r="J306" i="11"/>
  <c r="J331" i="11"/>
  <c r="J16" i="11"/>
  <c r="J308" i="11"/>
  <c r="J102" i="11"/>
  <c r="J330" i="11"/>
  <c r="J348" i="11"/>
  <c r="J220" i="11"/>
  <c r="J209" i="11"/>
  <c r="J513" i="11"/>
  <c r="J113" i="11"/>
  <c r="J523" i="11"/>
  <c r="J480" i="11"/>
  <c r="J47" i="11"/>
  <c r="J71" i="11"/>
  <c r="J387" i="11"/>
  <c r="J164" i="11"/>
  <c r="J36" i="11"/>
  <c r="J126" i="11"/>
  <c r="J416" i="11"/>
  <c r="J498" i="11"/>
  <c r="J708" i="11"/>
  <c r="J425" i="11"/>
  <c r="J327" i="11"/>
  <c r="J689" i="11"/>
  <c r="J367" i="11"/>
  <c r="J572" i="11"/>
  <c r="J395" i="11"/>
  <c r="J692" i="11"/>
  <c r="J207" i="11"/>
  <c r="J588" i="11"/>
  <c r="J364" i="11"/>
  <c r="J326" i="11"/>
  <c r="J482" i="11"/>
  <c r="J85" i="11"/>
  <c r="J172" i="11"/>
  <c r="J622" i="11"/>
  <c r="J625" i="11"/>
  <c r="J704" i="11"/>
  <c r="J354" i="11"/>
  <c r="J626" i="11"/>
  <c r="J614" i="11"/>
  <c r="J30" i="11"/>
  <c r="J40" i="11"/>
  <c r="J78" i="11"/>
  <c r="J371" i="11"/>
  <c r="J142" i="11"/>
  <c r="J50" i="11"/>
  <c r="J19" i="11"/>
  <c r="J727" i="11"/>
  <c r="J279" i="11"/>
  <c r="J375" i="11"/>
  <c r="J642" i="11"/>
  <c r="J234" i="11"/>
  <c r="J405" i="11"/>
  <c r="J77" i="11"/>
  <c r="J292" i="11"/>
  <c r="J533" i="11"/>
  <c r="J514" i="11"/>
  <c r="J191" i="11"/>
  <c r="J112" i="11"/>
  <c r="J608" i="11"/>
  <c r="J382" i="11"/>
  <c r="J87" i="11"/>
  <c r="J253" i="11"/>
  <c r="J725" i="11"/>
  <c r="J366" i="11"/>
  <c r="J227" i="11"/>
  <c r="J99" i="11"/>
  <c r="J154" i="11"/>
  <c r="J321" i="11"/>
  <c r="J680" i="11"/>
  <c r="J611" i="11"/>
  <c r="J152" i="11"/>
  <c r="J262" i="11"/>
  <c r="J9" i="11"/>
  <c r="J346" i="11"/>
  <c r="J686" i="11"/>
  <c r="J543" i="11"/>
  <c r="J464" i="11"/>
  <c r="J466" i="11"/>
  <c r="J630" i="11"/>
  <c r="J562" i="11"/>
  <c r="J129" i="11"/>
  <c r="J307" i="11"/>
  <c r="J300" i="11"/>
  <c r="J694" i="11"/>
  <c r="J197" i="11"/>
  <c r="J21" i="11"/>
  <c r="J328" i="11"/>
  <c r="J661" i="11"/>
  <c r="J148" i="11"/>
  <c r="J24" i="11"/>
  <c r="J14" i="11"/>
  <c r="J23" i="11"/>
  <c r="J393" i="11"/>
  <c r="J189" i="11"/>
  <c r="J72" i="11"/>
  <c r="J524" i="11"/>
  <c r="J719" i="11"/>
  <c r="J699" i="11"/>
  <c r="J325" i="11"/>
  <c r="J319" i="11"/>
  <c r="J73" i="11"/>
  <c r="J55" i="11"/>
  <c r="J710" i="11"/>
  <c r="J577" i="11"/>
  <c r="J709" i="11"/>
  <c r="J283" i="11"/>
  <c r="J89" i="11"/>
  <c r="J42" i="11"/>
  <c r="J424" i="11"/>
  <c r="J123" i="11"/>
  <c r="J631" i="11"/>
  <c r="J643" i="11"/>
  <c r="J525" i="11"/>
  <c r="J589" i="11"/>
  <c r="J435" i="11"/>
  <c r="J139" i="11"/>
  <c r="J384" i="11"/>
  <c r="J258" i="11"/>
  <c r="J677" i="11"/>
  <c r="J66" i="11"/>
  <c r="J230" i="11"/>
  <c r="J248" i="11"/>
  <c r="J88" i="11"/>
  <c r="J184" i="11"/>
  <c r="J516" i="11"/>
  <c r="J599" i="11"/>
  <c r="J246" i="11"/>
  <c r="J92" i="11"/>
  <c r="J696" i="11"/>
  <c r="J311" i="11"/>
  <c r="J313" i="11"/>
  <c r="J202" i="11"/>
  <c r="J716" i="11"/>
  <c r="J581" i="11"/>
  <c r="J179" i="11"/>
  <c r="J137" i="11"/>
  <c r="J60" i="11"/>
  <c r="J420" i="11"/>
  <c r="J84" i="11"/>
  <c r="J675" i="11"/>
  <c r="J97" i="11"/>
  <c r="J65" i="11"/>
  <c r="J56" i="11"/>
  <c r="J266" i="11"/>
  <c r="J473" i="11"/>
  <c r="J683" i="11"/>
  <c r="J51" i="11"/>
  <c r="J430" i="11"/>
  <c r="J173" i="11"/>
  <c r="J108" i="11"/>
  <c r="J413" i="11"/>
  <c r="J461" i="11"/>
  <c r="J22" i="11"/>
  <c r="J159" i="11"/>
  <c r="J186" i="11"/>
  <c r="J223" i="11"/>
  <c r="J303" i="11"/>
  <c r="J447" i="11"/>
  <c r="J337" i="11"/>
  <c r="J638" i="11"/>
  <c r="J86" i="11"/>
  <c r="J79" i="11"/>
  <c r="J83" i="11"/>
  <c r="J604" i="11"/>
  <c r="J671" i="11"/>
  <c r="J381" i="11"/>
  <c r="J394" i="11"/>
  <c r="J400" i="11"/>
  <c r="J93" i="11"/>
  <c r="J714" i="11"/>
  <c r="J673" i="11"/>
  <c r="J218" i="11"/>
  <c r="J122" i="11"/>
  <c r="J570" i="11"/>
  <c r="J20" i="11"/>
  <c r="J729" i="11"/>
  <c r="J217" i="11"/>
  <c r="J256" i="11"/>
  <c r="J497" i="11"/>
  <c r="J539" i="11"/>
  <c r="J518" i="11"/>
  <c r="J682" i="11"/>
  <c r="J233" i="11"/>
  <c r="J53" i="11"/>
  <c r="J715" i="11"/>
  <c r="J75" i="11"/>
  <c r="J433" i="11"/>
  <c r="J12" i="11"/>
  <c r="J43" i="11"/>
  <c r="J436" i="11"/>
  <c r="J255" i="11"/>
  <c r="J360" i="11"/>
  <c r="J263" i="11"/>
  <c r="J408" i="11"/>
  <c r="J693" i="11"/>
  <c r="J247" i="11"/>
  <c r="J357" i="11"/>
  <c r="J445" i="11"/>
  <c r="J358" i="11"/>
  <c r="J411" i="11"/>
  <c r="J618" i="11"/>
  <c r="J520" i="11"/>
  <c r="J80" i="11"/>
  <c r="J700" i="11"/>
  <c r="J444" i="11"/>
  <c r="J541" i="11"/>
  <c r="J111" i="11"/>
  <c r="J74" i="11"/>
  <c r="J103" i="11"/>
  <c r="J44" i="11"/>
  <c r="J579" i="11"/>
  <c r="J407" i="11"/>
  <c r="J125" i="11"/>
  <c r="J52" i="11"/>
  <c r="J495" i="11"/>
  <c r="J615" i="11"/>
  <c r="J235" i="11"/>
  <c r="J547" i="11"/>
  <c r="J26" i="11"/>
  <c r="J703" i="11"/>
  <c r="J485" i="11"/>
  <c r="J70" i="11"/>
  <c r="J98" i="11"/>
  <c r="J440" i="11"/>
  <c r="J146" i="11"/>
  <c r="J635" i="11"/>
  <c r="J254" i="11"/>
  <c r="J259" i="11"/>
  <c r="J501" i="11"/>
  <c r="J481" i="11"/>
  <c r="J737" i="11"/>
  <c r="J277" i="11"/>
  <c r="J506" i="11"/>
  <c r="J511" i="11"/>
  <c r="J713" i="11"/>
  <c r="J717" i="11"/>
  <c r="J34" i="11"/>
  <c r="J81" i="11"/>
  <c r="J633" i="11"/>
  <c r="K59" i="11"/>
  <c r="K691" i="11"/>
  <c r="K336" i="11"/>
  <c r="K318" i="11"/>
  <c r="K361" i="11"/>
  <c r="K38" i="11"/>
  <c r="K291" i="11"/>
  <c r="K76" i="11"/>
  <c r="K455" i="11"/>
  <c r="K105" i="11"/>
  <c r="K597" i="11"/>
  <c r="K107" i="11"/>
  <c r="K467" i="11"/>
  <c r="K707" i="11"/>
  <c r="K652" i="11"/>
  <c r="K297" i="11"/>
  <c r="K342" i="11"/>
  <c r="K583" i="11"/>
  <c r="K312" i="11"/>
  <c r="K695" i="11"/>
  <c r="K555" i="11"/>
  <c r="K130" i="11"/>
  <c r="K46" i="11"/>
  <c r="K621" i="11"/>
  <c r="K698" i="11"/>
  <c r="K401" i="11"/>
  <c r="K415" i="11"/>
  <c r="K121" i="11"/>
  <c r="K324" i="11"/>
  <c r="K31" i="11"/>
  <c r="K600" i="11"/>
  <c r="K550" i="11"/>
  <c r="K90" i="11"/>
  <c r="K7" i="11"/>
  <c r="K310" i="11"/>
  <c r="K8" i="11"/>
  <c r="K35" i="11"/>
  <c r="K39" i="11"/>
  <c r="K500" i="11"/>
  <c r="K538" i="11"/>
  <c r="K450" i="11"/>
  <c r="K690" i="11"/>
  <c r="K584" i="11"/>
  <c r="K571" i="11"/>
  <c r="K67" i="11"/>
  <c r="K649" i="11"/>
  <c r="K711" i="11"/>
  <c r="K712" i="11"/>
  <c r="K199" i="11"/>
  <c r="K558" i="11"/>
  <c r="K706" i="11"/>
  <c r="K25" i="11"/>
  <c r="K660" i="11"/>
  <c r="K647" i="11"/>
  <c r="K100" i="11"/>
  <c r="K224" i="11"/>
  <c r="K351" i="11"/>
  <c r="K602" i="11"/>
  <c r="K545" i="11"/>
  <c r="K640" i="11"/>
  <c r="K491" i="11"/>
  <c r="K646" i="11"/>
  <c r="K174" i="11"/>
  <c r="K379" i="11"/>
  <c r="K373" i="11"/>
  <c r="K556" i="11"/>
  <c r="K62" i="11"/>
  <c r="K268" i="11"/>
  <c r="K94" i="11"/>
  <c r="K507" i="11"/>
  <c r="K27" i="11"/>
  <c r="K410" i="11"/>
  <c r="K91" i="11"/>
  <c r="K28" i="11"/>
  <c r="K569" i="11"/>
  <c r="K57" i="11"/>
  <c r="K134" i="11"/>
  <c r="K449" i="11"/>
  <c r="K679" i="11"/>
  <c r="K726" i="11"/>
  <c r="K315" i="11"/>
  <c r="K684" i="11"/>
  <c r="K685" i="11"/>
  <c r="K663" i="11"/>
  <c r="K339" i="11"/>
  <c r="K110" i="11"/>
  <c r="K115" i="11"/>
  <c r="K323" i="11"/>
  <c r="K623" i="11"/>
  <c r="K181" i="11"/>
  <c r="K362" i="11"/>
  <c r="K544" i="11"/>
  <c r="K697" i="11"/>
  <c r="K143" i="11"/>
  <c r="K119" i="11"/>
  <c r="K404" i="11"/>
  <c r="K419" i="11"/>
  <c r="K593" i="11"/>
  <c r="K469" i="11"/>
  <c r="K141" i="11"/>
  <c r="K536" i="11"/>
  <c r="K722" i="11"/>
  <c r="K301" i="11"/>
  <c r="K117" i="11"/>
  <c r="K553" i="11"/>
  <c r="K734" i="11"/>
  <c r="K432" i="11"/>
  <c r="K68" i="11"/>
  <c r="K522" i="11"/>
  <c r="K627" i="11"/>
  <c r="K728" i="11"/>
  <c r="K605" i="11"/>
  <c r="K49" i="11"/>
  <c r="K672" i="11"/>
  <c r="K204" i="11"/>
  <c r="K17" i="11"/>
  <c r="K370" i="11"/>
  <c r="K58" i="11"/>
  <c r="K546" i="11"/>
  <c r="K195" i="11"/>
  <c r="K95" i="11"/>
  <c r="K37" i="11"/>
  <c r="K32" i="11"/>
  <c r="K389" i="11"/>
  <c r="K275" i="11"/>
  <c r="K667" i="11"/>
  <c r="K702" i="11"/>
  <c r="K594" i="11"/>
  <c r="K658" i="11"/>
  <c r="K494" i="11"/>
  <c r="K363" i="11"/>
  <c r="K476" i="11"/>
  <c r="K10" i="11"/>
  <c r="K576" i="11"/>
  <c r="K150" i="11"/>
  <c r="K368" i="11"/>
  <c r="K632" i="11"/>
  <c r="K724" i="11"/>
  <c r="K149" i="11"/>
  <c r="K61" i="11"/>
  <c r="K376" i="11"/>
  <c r="K11" i="11"/>
  <c r="K347" i="11"/>
  <c r="K127" i="11"/>
  <c r="K13" i="11"/>
  <c r="K200" i="11"/>
  <c r="K285" i="11"/>
  <c r="K390" i="11"/>
  <c r="K229" i="11"/>
  <c r="K273" i="11"/>
  <c r="K674" i="11"/>
  <c r="K668" i="11"/>
  <c r="K64" i="11"/>
  <c r="K681" i="11"/>
  <c r="K526" i="11"/>
  <c r="K18" i="11"/>
  <c r="K158" i="11"/>
  <c r="K206" i="11"/>
  <c r="K183" i="11"/>
  <c r="K701" i="11"/>
  <c r="K532" i="11"/>
  <c r="K655" i="11"/>
  <c r="K529" i="11"/>
  <c r="K459" i="11"/>
  <c r="K322" i="11"/>
  <c r="K54" i="11"/>
  <c r="K403" i="11"/>
  <c r="K135" i="11"/>
  <c r="K15" i="11"/>
  <c r="K628" i="11"/>
  <c r="K705" i="11"/>
  <c r="K104" i="11"/>
  <c r="K446" i="11"/>
  <c r="K82" i="11"/>
  <c r="K187" i="11"/>
  <c r="K645" i="11"/>
  <c r="K733" i="11"/>
  <c r="K735" i="11"/>
  <c r="K720" i="11"/>
  <c r="K33" i="11"/>
  <c r="K114" i="11"/>
  <c r="K236" i="11"/>
  <c r="K488" i="11"/>
  <c r="K109" i="11"/>
  <c r="K231" i="11"/>
  <c r="K45" i="11"/>
  <c r="K688" i="11"/>
  <c r="K96" i="11"/>
  <c r="K503" i="11"/>
  <c r="K241" i="11"/>
  <c r="K535" i="11"/>
  <c r="K265" i="11"/>
  <c r="K106" i="11"/>
  <c r="K721" i="11"/>
  <c r="K167" i="11"/>
  <c r="K479" i="11"/>
  <c r="K468" i="11"/>
  <c r="K244" i="11"/>
  <c r="K490" i="11"/>
  <c r="K505" i="11"/>
  <c r="K6" i="11"/>
  <c r="K385" i="11"/>
  <c r="K116" i="11"/>
  <c r="K564" i="11"/>
  <c r="K132" i="11"/>
  <c r="K442" i="11"/>
  <c r="K484" i="11"/>
  <c r="K63" i="11"/>
  <c r="K48" i="11"/>
  <c r="K429" i="11"/>
  <c r="K456" i="11"/>
  <c r="K239" i="11"/>
  <c r="K29" i="11"/>
  <c r="K656" i="11"/>
  <c r="K294" i="11"/>
  <c r="K306" i="11"/>
  <c r="K331" i="11"/>
  <c r="K16" i="11"/>
  <c r="K308" i="11"/>
  <c r="K102" i="11"/>
  <c r="K330" i="11"/>
  <c r="K348" i="11"/>
  <c r="K220" i="11"/>
  <c r="K209" i="11"/>
  <c r="K513" i="11"/>
  <c r="K113" i="11"/>
  <c r="K523" i="11"/>
  <c r="K480" i="11"/>
  <c r="K47" i="11"/>
  <c r="K71" i="11"/>
  <c r="K387" i="11"/>
  <c r="K164" i="11"/>
  <c r="K36" i="11"/>
  <c r="K126" i="11"/>
  <c r="K416" i="11"/>
  <c r="K498" i="11"/>
  <c r="K708" i="11"/>
  <c r="K425" i="11"/>
  <c r="K327" i="11"/>
  <c r="K689" i="11"/>
  <c r="K367" i="11"/>
  <c r="K572" i="11"/>
  <c r="K395" i="11"/>
  <c r="K692" i="11"/>
  <c r="K207" i="11"/>
  <c r="K588" i="11"/>
  <c r="K364" i="11"/>
  <c r="K326" i="11"/>
  <c r="K482" i="11"/>
  <c r="K85" i="11"/>
  <c r="K172" i="11"/>
  <c r="K622" i="11"/>
  <c r="K625" i="11"/>
  <c r="K704" i="11"/>
  <c r="K354" i="11"/>
  <c r="K626" i="11"/>
  <c r="K614" i="11"/>
  <c r="K30" i="11"/>
  <c r="K40" i="11"/>
  <c r="K78" i="11"/>
  <c r="K371" i="11"/>
  <c r="K142" i="11"/>
  <c r="K50" i="11"/>
  <c r="K19" i="11"/>
  <c r="K727" i="11"/>
  <c r="K279" i="11"/>
  <c r="K375" i="11"/>
  <c r="K642" i="11"/>
  <c r="K234" i="11"/>
  <c r="K405" i="11"/>
  <c r="K77" i="11"/>
  <c r="K292" i="11"/>
  <c r="K533" i="11"/>
  <c r="K514" i="11"/>
  <c r="K191" i="11"/>
  <c r="K112" i="11"/>
  <c r="K608" i="11"/>
  <c r="K382" i="11"/>
  <c r="K87" i="11"/>
  <c r="K253" i="11"/>
  <c r="K725" i="11"/>
  <c r="K366" i="11"/>
  <c r="K227" i="11"/>
  <c r="K99" i="11"/>
  <c r="K154" i="11"/>
  <c r="K321" i="11"/>
  <c r="K680" i="11"/>
  <c r="K611" i="11"/>
  <c r="K152" i="11"/>
  <c r="K262" i="11"/>
  <c r="K9" i="11"/>
  <c r="K346" i="11"/>
  <c r="K686" i="11"/>
  <c r="K543" i="11"/>
  <c r="K464" i="11"/>
  <c r="K466" i="11"/>
  <c r="K630" i="11"/>
  <c r="K562" i="11"/>
  <c r="K129" i="11"/>
  <c r="K307" i="11"/>
  <c r="K300" i="11"/>
  <c r="K694" i="11"/>
  <c r="K197" i="11"/>
  <c r="K21" i="11"/>
  <c r="K328" i="11"/>
  <c r="K661" i="11"/>
  <c r="K148" i="11"/>
  <c r="K24" i="11"/>
  <c r="K14" i="11"/>
  <c r="K23" i="11"/>
  <c r="K393" i="11"/>
  <c r="K189" i="11"/>
  <c r="K72" i="11"/>
  <c r="K524" i="11"/>
  <c r="K719" i="11"/>
  <c r="K699" i="11"/>
  <c r="K325" i="11"/>
  <c r="K319" i="11"/>
  <c r="K73" i="11"/>
  <c r="K55" i="11"/>
  <c r="K710" i="11"/>
  <c r="K577" i="11"/>
  <c r="K709" i="11"/>
  <c r="K283" i="11"/>
  <c r="K89" i="11"/>
  <c r="K42" i="11"/>
  <c r="K424" i="11"/>
  <c r="K123" i="11"/>
  <c r="K631" i="11"/>
  <c r="K643" i="11"/>
  <c r="K525" i="11"/>
  <c r="K589" i="11"/>
  <c r="K435" i="11"/>
  <c r="K139" i="11"/>
  <c r="K384" i="11"/>
  <c r="K258" i="11"/>
  <c r="K677" i="11"/>
  <c r="K66" i="11"/>
  <c r="K230" i="11"/>
  <c r="K248" i="11"/>
  <c r="K88" i="11"/>
  <c r="K184" i="11"/>
  <c r="K516" i="11"/>
  <c r="K599" i="11"/>
  <c r="K246" i="11"/>
  <c r="K92" i="11"/>
  <c r="K696" i="11"/>
  <c r="K311" i="11"/>
  <c r="K313" i="11"/>
  <c r="K202" i="11"/>
  <c r="K716" i="11"/>
  <c r="K581" i="11"/>
  <c r="K179" i="11"/>
  <c r="K137" i="11"/>
  <c r="K60" i="11"/>
  <c r="K420" i="11"/>
  <c r="K84" i="11"/>
  <c r="K675" i="11"/>
  <c r="K97" i="11"/>
  <c r="K65" i="11"/>
  <c r="K56" i="11"/>
  <c r="K266" i="11"/>
  <c r="K473" i="11"/>
  <c r="K683" i="11"/>
  <c r="K51" i="11"/>
  <c r="K430" i="11"/>
  <c r="K173" i="11"/>
  <c r="K108" i="11"/>
  <c r="K413" i="11"/>
  <c r="K461" i="11"/>
  <c r="K22" i="11"/>
  <c r="K159" i="11"/>
  <c r="K186" i="11"/>
  <c r="K223" i="11"/>
  <c r="K303" i="11"/>
  <c r="K447" i="11"/>
  <c r="K337" i="11"/>
  <c r="K638" i="11"/>
  <c r="K86" i="11"/>
  <c r="K79" i="11"/>
  <c r="K83" i="11"/>
  <c r="K604" i="11"/>
  <c r="K671" i="11"/>
  <c r="K381" i="11"/>
  <c r="K394" i="11"/>
  <c r="K400" i="11"/>
  <c r="K93" i="11"/>
  <c r="K714" i="11"/>
  <c r="K673" i="11"/>
  <c r="K218" i="11"/>
  <c r="K122" i="11"/>
  <c r="K570" i="11"/>
  <c r="K20" i="11"/>
  <c r="K729" i="11"/>
  <c r="K217" i="11"/>
  <c r="K256" i="11"/>
  <c r="K497" i="11"/>
  <c r="K539" i="11"/>
  <c r="K518" i="11"/>
  <c r="K682" i="11"/>
  <c r="K233" i="11"/>
  <c r="K53" i="11"/>
  <c r="K715" i="11"/>
  <c r="K75" i="11"/>
  <c r="K433" i="11"/>
  <c r="K12" i="11"/>
  <c r="K43" i="11"/>
  <c r="K436" i="11"/>
  <c r="K255" i="11"/>
  <c r="K360" i="11"/>
  <c r="K263" i="11"/>
  <c r="K408" i="11"/>
  <c r="K693" i="11"/>
  <c r="K247" i="11"/>
  <c r="K357" i="11"/>
  <c r="K445" i="11"/>
  <c r="K358" i="11"/>
  <c r="K411" i="11"/>
  <c r="K618" i="11"/>
  <c r="K520" i="11"/>
  <c r="K80" i="11"/>
  <c r="K700" i="11"/>
  <c r="K444" i="11"/>
  <c r="K541" i="11"/>
  <c r="K111" i="11"/>
  <c r="K74" i="11"/>
  <c r="K103" i="11"/>
  <c r="K44" i="11"/>
  <c r="K579" i="11"/>
  <c r="K407" i="11"/>
  <c r="K125" i="11"/>
  <c r="K52" i="11"/>
  <c r="K495" i="11"/>
  <c r="K615" i="11"/>
  <c r="K235" i="11"/>
  <c r="K547" i="11"/>
  <c r="K26" i="11"/>
  <c r="K703" i="11"/>
  <c r="K485" i="11"/>
  <c r="K70" i="11"/>
  <c r="K98" i="11"/>
  <c r="K440" i="11"/>
  <c r="K146" i="11"/>
  <c r="K635" i="11"/>
  <c r="K254" i="11"/>
  <c r="K259" i="11"/>
  <c r="K501" i="11"/>
  <c r="K481" i="11"/>
  <c r="K737" i="11"/>
  <c r="K277" i="11"/>
  <c r="K506" i="11"/>
  <c r="K511" i="11"/>
  <c r="K713" i="11"/>
  <c r="K717" i="11"/>
  <c r="K34" i="11"/>
  <c r="K81" i="11"/>
  <c r="K633" i="11"/>
  <c r="L59" i="11"/>
  <c r="L25" i="11"/>
  <c r="L91" i="11"/>
  <c r="L134" i="11"/>
  <c r="L315" i="11"/>
  <c r="L339" i="11"/>
  <c r="L623" i="11"/>
  <c r="L697" i="11"/>
  <c r="L536" i="11"/>
  <c r="L553" i="11"/>
  <c r="L522" i="11"/>
  <c r="L49" i="11"/>
  <c r="L370" i="11"/>
  <c r="L95" i="11"/>
  <c r="L32" i="11"/>
  <c r="L275" i="11"/>
  <c r="L724" i="11"/>
  <c r="L376" i="11"/>
  <c r="L347" i="11"/>
  <c r="L13" i="11"/>
  <c r="L200" i="11"/>
  <c r="L229" i="11"/>
  <c r="L674" i="11"/>
  <c r="L158" i="11"/>
  <c r="L183" i="11"/>
  <c r="L532" i="11"/>
  <c r="L529" i="11"/>
  <c r="L322" i="11"/>
  <c r="L403" i="11"/>
  <c r="L15" i="11"/>
  <c r="L705" i="11"/>
  <c r="L114" i="11"/>
  <c r="L488" i="11"/>
  <c r="L231" i="11"/>
  <c r="L688" i="11"/>
  <c r="L503" i="11"/>
  <c r="L535" i="11"/>
  <c r="L106" i="11"/>
  <c r="L167" i="11"/>
  <c r="L468" i="11"/>
  <c r="L490" i="11"/>
  <c r="L6" i="11"/>
  <c r="L116" i="11"/>
  <c r="L132" i="11"/>
  <c r="L484" i="11"/>
  <c r="L48" i="11"/>
  <c r="L456" i="11"/>
  <c r="L29" i="11"/>
  <c r="L294" i="11"/>
  <c r="L331" i="11"/>
  <c r="L308" i="11"/>
  <c r="L209" i="11"/>
  <c r="L523" i="11"/>
  <c r="L71" i="11"/>
  <c r="L327" i="11"/>
  <c r="L367" i="11"/>
  <c r="L395" i="11"/>
  <c r="L622" i="11"/>
  <c r="L371" i="11"/>
  <c r="L50" i="11"/>
  <c r="L727" i="11"/>
  <c r="L375" i="11"/>
  <c r="L234" i="11"/>
  <c r="L77" i="11"/>
  <c r="L253" i="11"/>
  <c r="L466" i="11"/>
  <c r="L189" i="11"/>
  <c r="L325" i="11"/>
  <c r="L73" i="11"/>
  <c r="L710" i="11"/>
  <c r="L123" i="11"/>
  <c r="L677" i="11"/>
  <c r="L230" i="11"/>
  <c r="L88" i="11"/>
  <c r="L516" i="11"/>
  <c r="L246" i="11"/>
  <c r="L696" i="11"/>
  <c r="L313" i="11"/>
  <c r="L716" i="11"/>
  <c r="L179" i="11"/>
  <c r="L60" i="11"/>
  <c r="L84" i="11"/>
  <c r="L97" i="11"/>
  <c r="L56" i="11"/>
  <c r="L473" i="11"/>
  <c r="L51" i="11"/>
  <c r="L173" i="11"/>
  <c r="L413" i="11"/>
  <c r="L638" i="11"/>
  <c r="L729" i="11"/>
  <c r="L497" i="11"/>
  <c r="L518" i="11"/>
  <c r="L233" i="11"/>
  <c r="L75" i="11"/>
  <c r="L520" i="11"/>
  <c r="L579" i="11"/>
  <c r="L125" i="11"/>
  <c r="L495" i="11"/>
  <c r="L235" i="11"/>
  <c r="L26" i="11"/>
  <c r="L485" i="11"/>
  <c r="L98" i="11"/>
  <c r="L146" i="11"/>
  <c r="L254" i="11"/>
  <c r="L501" i="11"/>
  <c r="L737" i="11"/>
  <c r="L506" i="11"/>
  <c r="L713" i="11"/>
  <c r="L34" i="11"/>
  <c r="L633" i="11"/>
  <c r="M105" i="11"/>
  <c r="M401" i="11"/>
  <c r="M690" i="11"/>
  <c r="M602" i="11"/>
  <c r="M27" i="11"/>
  <c r="M91" i="11"/>
  <c r="M569" i="11"/>
  <c r="M134" i="11"/>
  <c r="M679" i="11"/>
  <c r="M315" i="11"/>
  <c r="M685" i="11"/>
  <c r="M339" i="11"/>
  <c r="M115" i="11"/>
  <c r="M623" i="11"/>
  <c r="M362" i="11"/>
  <c r="M697" i="11"/>
  <c r="M119" i="11"/>
  <c r="M419" i="11"/>
  <c r="M469" i="11"/>
  <c r="M536" i="11"/>
  <c r="M301" i="11"/>
  <c r="M553" i="11"/>
  <c r="M432" i="11"/>
  <c r="M522" i="11"/>
  <c r="M728" i="11"/>
  <c r="M49" i="11"/>
  <c r="M204" i="11"/>
  <c r="M370" i="11"/>
  <c r="M546" i="11"/>
  <c r="M95" i="11"/>
  <c r="M724" i="11"/>
  <c r="M376" i="11"/>
  <c r="M347" i="11"/>
  <c r="M13" i="11"/>
  <c r="M200" i="11"/>
  <c r="M229" i="11"/>
  <c r="M674" i="11"/>
  <c r="M158" i="11"/>
  <c r="M183" i="11"/>
  <c r="M532" i="11"/>
  <c r="M488" i="11"/>
  <c r="M231" i="11"/>
  <c r="M688" i="11"/>
  <c r="M503" i="11"/>
  <c r="M535" i="11"/>
  <c r="M106" i="11"/>
  <c r="M167" i="11"/>
  <c r="M468" i="11"/>
  <c r="M490" i="11"/>
  <c r="M6" i="11"/>
  <c r="M116" i="11"/>
  <c r="M132" i="11"/>
  <c r="M484" i="11"/>
  <c r="M48" i="11"/>
  <c r="M456" i="11"/>
  <c r="M29" i="11"/>
  <c r="M294" i="11"/>
  <c r="M331" i="11"/>
  <c r="M308" i="11"/>
  <c r="M523" i="11"/>
  <c r="M327" i="11"/>
  <c r="M367" i="11"/>
  <c r="M395" i="11"/>
  <c r="M30" i="11"/>
  <c r="M371" i="11"/>
  <c r="M50" i="11"/>
  <c r="M727" i="11"/>
  <c r="M375" i="11"/>
  <c r="M234" i="11"/>
  <c r="M77" i="11"/>
  <c r="M321" i="11"/>
  <c r="M694" i="11"/>
  <c r="M325" i="11"/>
  <c r="M73" i="11"/>
  <c r="M710" i="11"/>
  <c r="M677" i="11"/>
  <c r="M230" i="11"/>
  <c r="M88" i="11"/>
  <c r="M516" i="11"/>
  <c r="M246" i="11"/>
  <c r="M696" i="11"/>
  <c r="M313" i="11"/>
  <c r="M716" i="11"/>
  <c r="M179" i="11"/>
  <c r="M60" i="11"/>
  <c r="M84" i="11"/>
  <c r="M97" i="11"/>
  <c r="M56" i="11"/>
  <c r="M473" i="11"/>
  <c r="M51" i="11"/>
  <c r="M173" i="11"/>
  <c r="M413" i="11"/>
  <c r="M381" i="11"/>
  <c r="M497" i="11"/>
  <c r="M518" i="11"/>
  <c r="M233" i="11"/>
  <c r="M247" i="11"/>
  <c r="M485" i="11"/>
  <c r="M98" i="11"/>
  <c r="M506" i="11"/>
  <c r="M713" i="11"/>
  <c r="M34" i="11"/>
  <c r="M633" i="11"/>
  <c r="J280" i="11"/>
  <c r="J289" i="11"/>
  <c r="J574" i="11"/>
  <c r="J718" i="11"/>
  <c r="J213" i="11"/>
  <c r="J676" i="11"/>
  <c r="J730" i="11"/>
  <c r="J145" i="11"/>
  <c r="J580" i="11"/>
  <c r="J678" i="11"/>
  <c r="J140" i="11"/>
  <c r="J287" i="11"/>
  <c r="J69" i="11"/>
  <c r="J437" i="11"/>
  <c r="J470" i="11"/>
  <c r="J41" i="11"/>
  <c r="J458" i="11"/>
  <c r="K280" i="11"/>
  <c r="K289" i="11"/>
  <c r="K574" i="11"/>
  <c r="K718" i="11"/>
  <c r="K213" i="11"/>
  <c r="K676" i="11"/>
  <c r="K730" i="11"/>
  <c r="K145" i="11"/>
  <c r="K580" i="11"/>
  <c r="K678" i="11"/>
  <c r="K140" i="11"/>
  <c r="K287" i="11"/>
  <c r="K69" i="11"/>
  <c r="K437" i="11"/>
  <c r="K470" i="11"/>
  <c r="K41" i="11"/>
  <c r="K458" i="11"/>
  <c r="L289" i="11"/>
  <c r="L718" i="11"/>
  <c r="L41" i="11"/>
  <c r="M289" i="11"/>
  <c r="M718" i="11"/>
  <c r="M41" i="11"/>
  <c r="C4" i="31"/>
  <c r="M543" i="11" l="1"/>
  <c r="M164" i="11"/>
  <c r="M494" i="11"/>
  <c r="M558" i="11"/>
  <c r="M7" i="11"/>
  <c r="L44" i="11"/>
  <c r="L611" i="11"/>
  <c r="L692" i="11"/>
  <c r="L425" i="11"/>
  <c r="Q486" i="11"/>
  <c r="O101" i="11"/>
  <c r="N101" i="11"/>
  <c r="Q101" i="11"/>
  <c r="M318" i="11"/>
  <c r="M76" i="11"/>
  <c r="M107" i="11"/>
  <c r="M297" i="11"/>
  <c r="M695" i="11"/>
  <c r="M621" i="11"/>
  <c r="C121" i="11"/>
  <c r="L121" i="11"/>
  <c r="M121" i="11"/>
  <c r="Q550" i="11"/>
  <c r="M550" i="11"/>
  <c r="C8" i="11"/>
  <c r="Q8" i="11" s="1"/>
  <c r="L8" i="11"/>
  <c r="M8" i="11"/>
  <c r="C39" i="11"/>
  <c r="Q39" i="11" s="1"/>
  <c r="C538" i="11"/>
  <c r="Q538" i="11" s="1"/>
  <c r="L538" i="11"/>
  <c r="M538" i="11"/>
  <c r="C571" i="11"/>
  <c r="M571" i="11"/>
  <c r="C712" i="11"/>
  <c r="L712" i="11"/>
  <c r="M712" i="11"/>
  <c r="C25" i="11"/>
  <c r="Q25" i="11" s="1"/>
  <c r="M25" i="11"/>
  <c r="C224" i="11"/>
  <c r="Q224" i="11" s="1"/>
  <c r="L224" i="11"/>
  <c r="M224" i="11"/>
  <c r="C602" i="11"/>
  <c r="Q602" i="11" s="1"/>
  <c r="M556" i="11"/>
  <c r="C404" i="11"/>
  <c r="P404" i="11" s="1"/>
  <c r="M667" i="11"/>
  <c r="L594" i="11"/>
  <c r="M594" i="11"/>
  <c r="C494" i="11"/>
  <c r="C476" i="11"/>
  <c r="L476" i="11"/>
  <c r="M476" i="11"/>
  <c r="C576" i="11"/>
  <c r="L368" i="11"/>
  <c r="M368" i="11"/>
  <c r="C724" i="11"/>
  <c r="M61" i="11"/>
  <c r="M11" i="11"/>
  <c r="M127" i="11"/>
  <c r="C200" i="11"/>
  <c r="L390" i="11"/>
  <c r="M390" i="11"/>
  <c r="M273" i="11"/>
  <c r="M668" i="11"/>
  <c r="C681" i="11"/>
  <c r="M18" i="11"/>
  <c r="M206" i="11"/>
  <c r="M701" i="11"/>
  <c r="M655" i="11"/>
  <c r="M628" i="11"/>
  <c r="L82" i="11"/>
  <c r="L735" i="11"/>
  <c r="Q102" i="11"/>
  <c r="M102" i="11"/>
  <c r="C348" i="11"/>
  <c r="Q348" i="11" s="1"/>
  <c r="L348" i="11"/>
  <c r="C209" i="11"/>
  <c r="Q209" i="11" s="1"/>
  <c r="M209" i="11"/>
  <c r="C113" i="11"/>
  <c r="Q113" i="11" s="1"/>
  <c r="L113" i="11"/>
  <c r="C480" i="11"/>
  <c r="Q480" i="11" s="1"/>
  <c r="L480" i="11"/>
  <c r="C71" i="11"/>
  <c r="P71" i="11" s="1"/>
  <c r="M71" i="11"/>
  <c r="P164" i="11"/>
  <c r="Q164" i="11"/>
  <c r="L164" i="11"/>
  <c r="P126" i="11"/>
  <c r="M126" i="11"/>
  <c r="C498" i="11"/>
  <c r="P498" i="11" s="1"/>
  <c r="L498" i="11"/>
  <c r="P425" i="11"/>
  <c r="M425" i="11"/>
  <c r="P692" i="11"/>
  <c r="M692" i="11"/>
  <c r="C588" i="11"/>
  <c r="P588" i="11" s="1"/>
  <c r="L588" i="11"/>
  <c r="C326" i="11"/>
  <c r="P326" i="11" s="1"/>
  <c r="M326" i="11"/>
  <c r="C85" i="11"/>
  <c r="P85" i="11" s="1"/>
  <c r="L85" i="11"/>
  <c r="C622" i="11"/>
  <c r="P622" i="11" s="1"/>
  <c r="M622" i="11"/>
  <c r="C704" i="11"/>
  <c r="P704" i="11" s="1"/>
  <c r="L704" i="11"/>
  <c r="C626" i="11"/>
  <c r="P626" i="11" s="1"/>
  <c r="M626" i="11"/>
  <c r="P30" i="11"/>
  <c r="L30" i="11"/>
  <c r="C78" i="11"/>
  <c r="P78" i="11" s="1"/>
  <c r="Q78" i="11"/>
  <c r="M78" i="11"/>
  <c r="L514" i="11"/>
  <c r="C112" i="11"/>
  <c r="Q112" i="11" s="1"/>
  <c r="M112" i="11"/>
  <c r="C382" i="11"/>
  <c r="L382" i="11"/>
  <c r="C253" i="11"/>
  <c r="Q253" i="11" s="1"/>
  <c r="M253" i="11"/>
  <c r="C366" i="11"/>
  <c r="L366" i="11"/>
  <c r="C99" i="11"/>
  <c r="Q99" i="11" s="1"/>
  <c r="M99" i="11"/>
  <c r="C321" i="11"/>
  <c r="L321" i="11"/>
  <c r="Q611" i="11"/>
  <c r="M611" i="11"/>
  <c r="L262" i="11"/>
  <c r="C346" i="11"/>
  <c r="Q346" i="11" s="1"/>
  <c r="M346" i="11"/>
  <c r="L543" i="11"/>
  <c r="Q466" i="11"/>
  <c r="M466" i="11"/>
  <c r="C562" i="11"/>
  <c r="L562" i="11"/>
  <c r="C307" i="11"/>
  <c r="Q307" i="11" s="1"/>
  <c r="M307" i="11"/>
  <c r="L694" i="11"/>
  <c r="C21" i="11"/>
  <c r="Q21" i="11" s="1"/>
  <c r="M21" i="11"/>
  <c r="L661" i="11"/>
  <c r="Q24" i="11"/>
  <c r="M24" i="11"/>
  <c r="C23" i="11"/>
  <c r="L23" i="11"/>
  <c r="C189" i="11"/>
  <c r="Q189" i="11" s="1"/>
  <c r="M189" i="11"/>
  <c r="C524" i="11"/>
  <c r="L524" i="11"/>
  <c r="C699" i="11"/>
  <c r="Q699" i="11" s="1"/>
  <c r="M699" i="11"/>
  <c r="C283" i="11"/>
  <c r="Q283" i="11" s="1"/>
  <c r="M283" i="11"/>
  <c r="L42" i="11"/>
  <c r="C123" i="11"/>
  <c r="Q123" i="11" s="1"/>
  <c r="M123" i="11"/>
  <c r="C643" i="11"/>
  <c r="L643" i="11"/>
  <c r="Q589" i="11"/>
  <c r="M589" i="11"/>
  <c r="C139" i="11"/>
  <c r="L139" i="11"/>
  <c r="M430" i="11"/>
  <c r="M108" i="11"/>
  <c r="M461" i="11"/>
  <c r="C159" i="11"/>
  <c r="L159" i="11"/>
  <c r="C223" i="11"/>
  <c r="Q223" i="11" s="1"/>
  <c r="M223" i="11"/>
  <c r="C447" i="11"/>
  <c r="L447" i="11"/>
  <c r="Q638" i="11"/>
  <c r="M638" i="11"/>
  <c r="C79" i="11"/>
  <c r="L79" i="11"/>
  <c r="C604" i="11"/>
  <c r="Q604" i="11" s="1"/>
  <c r="M604" i="11"/>
  <c r="C381" i="11"/>
  <c r="L381" i="11"/>
  <c r="C400" i="11"/>
  <c r="Q400" i="11" s="1"/>
  <c r="M400" i="11"/>
  <c r="L714" i="11"/>
  <c r="Q218" i="11"/>
  <c r="M218" i="11"/>
  <c r="C570" i="11"/>
  <c r="L570" i="11"/>
  <c r="C729" i="11"/>
  <c r="Q729" i="11" s="1"/>
  <c r="M729" i="11"/>
  <c r="M256" i="11"/>
  <c r="M539" i="11"/>
  <c r="M682" i="11"/>
  <c r="M53" i="11"/>
  <c r="C75" i="11"/>
  <c r="M75" i="11"/>
  <c r="C12" i="11"/>
  <c r="Q12" i="11" s="1"/>
  <c r="L12" i="11"/>
  <c r="C436" i="11"/>
  <c r="M436" i="11"/>
  <c r="Q360" i="11"/>
  <c r="L360" i="11"/>
  <c r="C408" i="11"/>
  <c r="M408" i="11"/>
  <c r="Q247" i="11"/>
  <c r="L247" i="11"/>
  <c r="C445" i="11"/>
  <c r="M445" i="11"/>
  <c r="C411" i="11"/>
  <c r="Q411" i="11" s="1"/>
  <c r="L411" i="11"/>
  <c r="C520" i="11"/>
  <c r="M520" i="11"/>
  <c r="C700" i="11"/>
  <c r="Q700" i="11" s="1"/>
  <c r="L700" i="11"/>
  <c r="P541" i="11"/>
  <c r="M541" i="11"/>
  <c r="L74" i="11"/>
  <c r="C407" i="11"/>
  <c r="N407" i="11" s="1"/>
  <c r="C52" i="11"/>
  <c r="O52" i="11" s="1"/>
  <c r="C615" i="11"/>
  <c r="N615" i="11" s="1"/>
  <c r="C547" i="11"/>
  <c r="O547" i="11" s="1"/>
  <c r="C703" i="11"/>
  <c r="N703" i="11" s="1"/>
  <c r="C70" i="11"/>
  <c r="Q70" i="11" s="1"/>
  <c r="C440" i="11"/>
  <c r="N440" i="11" s="1"/>
  <c r="O635" i="11"/>
  <c r="N259" i="11"/>
  <c r="C481" i="11"/>
  <c r="O481" i="11" s="1"/>
  <c r="Q277" i="11"/>
  <c r="Q511" i="11"/>
  <c r="C717" i="11"/>
  <c r="N717" i="11" s="1"/>
  <c r="C81" i="11"/>
  <c r="Q81" i="11" s="1"/>
  <c r="N280" i="11"/>
  <c r="N574" i="11"/>
  <c r="C213" i="11"/>
  <c r="O213" i="11" s="1"/>
  <c r="C730" i="11"/>
  <c r="N730" i="11" s="1"/>
  <c r="C580" i="11"/>
  <c r="O580" i="11" s="1"/>
  <c r="C140" i="11"/>
  <c r="N140" i="11" s="1"/>
  <c r="C69" i="11"/>
  <c r="O69" i="11" s="1"/>
  <c r="C470" i="11"/>
  <c r="N470" i="11" s="1"/>
  <c r="C458" i="11"/>
  <c r="P458" i="11" s="1"/>
  <c r="M411" i="11"/>
  <c r="M360" i="11"/>
  <c r="M714" i="11"/>
  <c r="M79" i="11"/>
  <c r="M159" i="11"/>
  <c r="M139" i="11"/>
  <c r="M42" i="11"/>
  <c r="M524" i="11"/>
  <c r="M661" i="11"/>
  <c r="M562" i="11"/>
  <c r="M262" i="11"/>
  <c r="M366" i="11"/>
  <c r="M514" i="11"/>
  <c r="M704" i="11"/>
  <c r="M588" i="11"/>
  <c r="M498" i="11"/>
  <c r="M480" i="11"/>
  <c r="M113" i="11"/>
  <c r="M681" i="11"/>
  <c r="M576" i="11"/>
  <c r="M268" i="11"/>
  <c r="M647" i="11"/>
  <c r="M649" i="11"/>
  <c r="M39" i="11"/>
  <c r="M31" i="11"/>
  <c r="M130" i="11"/>
  <c r="M707" i="11"/>
  <c r="M38" i="11"/>
  <c r="L541" i="11"/>
  <c r="L445" i="11"/>
  <c r="L436" i="11"/>
  <c r="L218" i="11"/>
  <c r="L604" i="11"/>
  <c r="L223" i="11"/>
  <c r="L589" i="11"/>
  <c r="L283" i="11"/>
  <c r="L699" i="11"/>
  <c r="L24" i="11"/>
  <c r="L307" i="11"/>
  <c r="L346" i="11"/>
  <c r="L99" i="11"/>
  <c r="L112" i="11"/>
  <c r="L626" i="11"/>
  <c r="L326" i="11"/>
  <c r="L126" i="11"/>
  <c r="L102" i="11"/>
  <c r="L681" i="11"/>
  <c r="L576" i="11"/>
  <c r="L602" i="11"/>
  <c r="L571" i="11"/>
  <c r="L550" i="11"/>
  <c r="M336" i="11"/>
  <c r="M291" i="11"/>
  <c r="M597" i="11"/>
  <c r="M652" i="11"/>
  <c r="M312" i="11"/>
  <c r="M46" i="11"/>
  <c r="M415" i="11"/>
  <c r="M324" i="11"/>
  <c r="M600" i="11"/>
  <c r="M90" i="11"/>
  <c r="M310" i="11"/>
  <c r="M450" i="11"/>
  <c r="M584" i="11"/>
  <c r="M67" i="11"/>
  <c r="M711" i="11"/>
  <c r="M199" i="11"/>
  <c r="M706" i="11"/>
  <c r="M660" i="11"/>
  <c r="M100" i="11"/>
  <c r="M351" i="11"/>
  <c r="M545" i="11"/>
  <c r="C134" i="11"/>
  <c r="Q134" i="11" s="1"/>
  <c r="C315" i="11"/>
  <c r="C339" i="11"/>
  <c r="Q339" i="11" s="1"/>
  <c r="C623" i="11"/>
  <c r="Q697" i="11"/>
  <c r="C536" i="11"/>
  <c r="Q553" i="11"/>
  <c r="Q49" i="11"/>
  <c r="C370" i="11"/>
  <c r="C95" i="11"/>
  <c r="Q95" i="11" s="1"/>
  <c r="M702" i="11"/>
  <c r="M658" i="11"/>
  <c r="M363" i="11"/>
  <c r="M10" i="11"/>
  <c r="M150" i="11"/>
  <c r="M632" i="11"/>
  <c r="M149" i="11"/>
  <c r="C376" i="11"/>
  <c r="Q376" i="11" s="1"/>
  <c r="C347" i="11"/>
  <c r="Q347" i="11" s="1"/>
  <c r="Q13" i="11"/>
  <c r="M285" i="11"/>
  <c r="C229" i="11"/>
  <c r="Q229" i="11" s="1"/>
  <c r="C674" i="11"/>
  <c r="Q674" i="11" s="1"/>
  <c r="M64" i="11"/>
  <c r="M526" i="11"/>
  <c r="Q158" i="11"/>
  <c r="C183" i="11"/>
  <c r="Q183" i="11" s="1"/>
  <c r="Q532" i="11"/>
  <c r="M733" i="11"/>
  <c r="C488" i="11"/>
  <c r="Q488" i="11" s="1"/>
  <c r="Q231" i="11"/>
  <c r="Q688" i="11"/>
  <c r="C503" i="11"/>
  <c r="Q503" i="11" s="1"/>
  <c r="C535" i="11"/>
  <c r="Q535" i="11" s="1"/>
  <c r="C106" i="11"/>
  <c r="Q106" i="11" s="1"/>
  <c r="C167" i="11"/>
  <c r="Q167" i="11" s="1"/>
  <c r="Q468" i="11"/>
  <c r="C490" i="11"/>
  <c r="Q490" i="11" s="1"/>
  <c r="Q6" i="11"/>
  <c r="C116" i="11"/>
  <c r="Q116" i="11" s="1"/>
  <c r="C132" i="11"/>
  <c r="Q132" i="11" s="1"/>
  <c r="C484" i="11"/>
  <c r="Q484" i="11" s="1"/>
  <c r="C48" i="11"/>
  <c r="Q48" i="11" s="1"/>
  <c r="Q456" i="11"/>
  <c r="C29" i="11"/>
  <c r="Q29" i="11" s="1"/>
  <c r="C294" i="11"/>
  <c r="Q294" i="11" s="1"/>
  <c r="C331" i="11"/>
  <c r="Q331" i="11" s="1"/>
  <c r="C308" i="11"/>
  <c r="Q308" i="11" s="1"/>
  <c r="Q523" i="11"/>
  <c r="P327" i="11"/>
  <c r="C367" i="11"/>
  <c r="P367" i="11" s="1"/>
  <c r="P395" i="11"/>
  <c r="P371" i="11"/>
  <c r="C50" i="11"/>
  <c r="P50" i="11" s="1"/>
  <c r="C727" i="11"/>
  <c r="P727" i="11" s="1"/>
  <c r="P375" i="11"/>
  <c r="C234" i="11"/>
  <c r="C77" i="11"/>
  <c r="C9" i="11"/>
  <c r="Q9" i="11" s="1"/>
  <c r="C325" i="11"/>
  <c r="Q325" i="11" s="1"/>
  <c r="C73" i="11"/>
  <c r="Q73" i="11" s="1"/>
  <c r="C710" i="11"/>
  <c r="Q710" i="11" s="1"/>
  <c r="C230" i="11"/>
  <c r="C246" i="11"/>
  <c r="C696" i="11"/>
  <c r="C313" i="11"/>
  <c r="C716" i="11"/>
  <c r="C179" i="11"/>
  <c r="C60" i="11"/>
  <c r="C84" i="11"/>
  <c r="C97" i="11"/>
  <c r="C56" i="11"/>
  <c r="C473" i="11"/>
  <c r="C413" i="11"/>
  <c r="M22" i="11"/>
  <c r="M186" i="11"/>
  <c r="M303" i="11"/>
  <c r="M337" i="11"/>
  <c r="M86" i="11"/>
  <c r="M83" i="11"/>
  <c r="M671" i="11"/>
  <c r="M394" i="11"/>
  <c r="M93" i="11"/>
  <c r="M217" i="11"/>
  <c r="C497" i="11"/>
  <c r="Q497" i="11" s="1"/>
  <c r="Q518" i="11"/>
  <c r="Q233" i="11"/>
  <c r="M715" i="11"/>
  <c r="M433" i="11"/>
  <c r="M43" i="11"/>
  <c r="M255" i="11"/>
  <c r="M263" i="11"/>
  <c r="M693" i="11"/>
  <c r="M357" i="11"/>
  <c r="M358" i="11"/>
  <c r="M618" i="11"/>
  <c r="M80" i="11"/>
  <c r="M444" i="11"/>
  <c r="C111" i="11"/>
  <c r="O111" i="11" s="1"/>
  <c r="C103" i="11"/>
  <c r="N103" i="11" s="1"/>
  <c r="P485" i="11"/>
  <c r="C98" i="11"/>
  <c r="O98" i="11" s="1"/>
  <c r="C506" i="11"/>
  <c r="P506" i="11" s="1"/>
  <c r="C713" i="11"/>
  <c r="O713" i="11" s="1"/>
  <c r="C34" i="11"/>
  <c r="P34" i="11" s="1"/>
  <c r="Q633" i="11"/>
  <c r="Q289" i="11"/>
  <c r="C718" i="11"/>
  <c r="O718" i="11" s="1"/>
  <c r="C676" i="11"/>
  <c r="O676" i="11" s="1"/>
  <c r="C145" i="11"/>
  <c r="O145" i="11" s="1"/>
  <c r="C678" i="11"/>
  <c r="O678" i="11" s="1"/>
  <c r="C287" i="11"/>
  <c r="O287" i="11" s="1"/>
  <c r="C437" i="11"/>
  <c r="O437" i="11" s="1"/>
  <c r="C41" i="11"/>
  <c r="O140" i="11"/>
  <c r="O615" i="11"/>
  <c r="N580" i="11"/>
  <c r="M580" i="11"/>
  <c r="L580" i="11"/>
  <c r="M481" i="11"/>
  <c r="P470" i="11"/>
  <c r="P259" i="11"/>
  <c r="O259" i="11"/>
  <c r="N635" i="11"/>
  <c r="M547" i="11"/>
  <c r="O458" i="11"/>
  <c r="O730" i="11"/>
  <c r="N213" i="11"/>
  <c r="M69" i="11"/>
  <c r="M213" i="11"/>
  <c r="M574" i="11"/>
  <c r="M280" i="11"/>
  <c r="L69" i="11"/>
  <c r="L213" i="11"/>
  <c r="L574" i="11"/>
  <c r="L280" i="11"/>
  <c r="P407" i="11"/>
  <c r="O407" i="11"/>
  <c r="N481" i="11"/>
  <c r="N404" i="11"/>
  <c r="M635" i="11"/>
  <c r="M52" i="11"/>
  <c r="M111" i="11"/>
  <c r="C59" i="11"/>
  <c r="N59" i="11" s="1"/>
  <c r="M59" i="11"/>
  <c r="C361" i="11"/>
  <c r="N361" i="11" s="1"/>
  <c r="M361" i="11"/>
  <c r="N455" i="11"/>
  <c r="M455" i="11"/>
  <c r="N467" i="11"/>
  <c r="M467" i="11"/>
  <c r="N342" i="11"/>
  <c r="L342" i="11"/>
  <c r="M342" i="11"/>
  <c r="C555" i="11"/>
  <c r="N555" i="11" s="1"/>
  <c r="M555" i="11"/>
  <c r="C698" i="11"/>
  <c r="N698" i="11" s="1"/>
  <c r="M698" i="11"/>
  <c r="C35" i="11"/>
  <c r="Q35" i="11" s="1"/>
  <c r="M35" i="11"/>
  <c r="C500" i="11"/>
  <c r="Q500" i="11" s="1"/>
  <c r="M500" i="11"/>
  <c r="C593" i="11"/>
  <c r="N593" i="11" s="1"/>
  <c r="L593" i="11"/>
  <c r="N109" i="11"/>
  <c r="L109" i="11"/>
  <c r="C45" i="11"/>
  <c r="O45" i="11" s="1"/>
  <c r="L45" i="11"/>
  <c r="C96" i="11"/>
  <c r="O96" i="11" s="1"/>
  <c r="L96" i="11"/>
  <c r="C241" i="11"/>
  <c r="N241" i="11" s="1"/>
  <c r="L241" i="11"/>
  <c r="C265" i="11"/>
  <c r="O265" i="11" s="1"/>
  <c r="L265" i="11"/>
  <c r="C721" i="11"/>
  <c r="N721" i="11" s="1"/>
  <c r="L721" i="11"/>
  <c r="C479" i="11"/>
  <c r="P479" i="11" s="1"/>
  <c r="L479" i="11"/>
  <c r="C244" i="11"/>
  <c r="Q244" i="11" s="1"/>
  <c r="L244" i="11"/>
  <c r="O505" i="11"/>
  <c r="L505" i="11"/>
  <c r="C385" i="11"/>
  <c r="N385" i="11" s="1"/>
  <c r="L385" i="11"/>
  <c r="C564" i="11"/>
  <c r="P564" i="11" s="1"/>
  <c r="L564" i="11"/>
  <c r="C442" i="11"/>
  <c r="Q442" i="11" s="1"/>
  <c r="L442" i="11"/>
  <c r="C63" i="11"/>
  <c r="O63" i="11" s="1"/>
  <c r="L63" i="11"/>
  <c r="C429" i="11"/>
  <c r="N429" i="11" s="1"/>
  <c r="L429" i="11"/>
  <c r="P239" i="11"/>
  <c r="L239" i="11"/>
  <c r="C656" i="11"/>
  <c r="Q656" i="11" s="1"/>
  <c r="L656" i="11"/>
  <c r="C306" i="11"/>
  <c r="O306" i="11" s="1"/>
  <c r="L306" i="11"/>
  <c r="C16" i="11"/>
  <c r="N16" i="11" s="1"/>
  <c r="L16" i="11"/>
  <c r="C330" i="11"/>
  <c r="Q330" i="11" s="1"/>
  <c r="L330" i="11"/>
  <c r="O220" i="11"/>
  <c r="L220" i="11"/>
  <c r="N513" i="11"/>
  <c r="L513" i="11"/>
  <c r="C47" i="11"/>
  <c r="O47" i="11" s="1"/>
  <c r="L47" i="11"/>
  <c r="C387" i="11"/>
  <c r="N387" i="11" s="1"/>
  <c r="L387" i="11"/>
  <c r="C36" i="11"/>
  <c r="Q36" i="11" s="1"/>
  <c r="L36" i="11"/>
  <c r="C416" i="11"/>
  <c r="P416" i="11" s="1"/>
  <c r="L416" i="11"/>
  <c r="C708" i="11"/>
  <c r="O708" i="11" s="1"/>
  <c r="L708" i="11"/>
  <c r="C689" i="11"/>
  <c r="Q689" i="11" s="1"/>
  <c r="L689" i="11"/>
  <c r="P572" i="11"/>
  <c r="L572" i="11"/>
  <c r="C207" i="11"/>
  <c r="N207" i="11" s="1"/>
  <c r="L207" i="11"/>
  <c r="Q364" i="11"/>
  <c r="L364" i="11"/>
  <c r="P482" i="11"/>
  <c r="L482" i="11"/>
  <c r="C172" i="11"/>
  <c r="O172" i="11" s="1"/>
  <c r="L172" i="11"/>
  <c r="C625" i="11"/>
  <c r="N625" i="11" s="1"/>
  <c r="L625" i="11"/>
  <c r="C354" i="11"/>
  <c r="P354" i="11" s="1"/>
  <c r="L354" i="11"/>
  <c r="C614" i="11"/>
  <c r="O614" i="11" s="1"/>
  <c r="L614" i="11"/>
  <c r="N40" i="11"/>
  <c r="L40" i="11"/>
  <c r="C142" i="11"/>
  <c r="P142" i="11" s="1"/>
  <c r="L142" i="11"/>
  <c r="O19" i="11"/>
  <c r="L19" i="11"/>
  <c r="C279" i="11"/>
  <c r="N279" i="11" s="1"/>
  <c r="L279" i="11"/>
  <c r="C642" i="11"/>
  <c r="Q642" i="11" s="1"/>
  <c r="L642" i="11"/>
  <c r="C202" i="11"/>
  <c r="Q202" i="11" s="1"/>
  <c r="L202" i="11"/>
  <c r="C581" i="11"/>
  <c r="Q581" i="11" s="1"/>
  <c r="L581" i="11"/>
  <c r="P580" i="11"/>
  <c r="M458" i="11"/>
  <c r="M470" i="11"/>
  <c r="M140" i="11"/>
  <c r="M730" i="11"/>
  <c r="L458" i="11"/>
  <c r="L470" i="11"/>
  <c r="L140" i="11"/>
  <c r="L730" i="11"/>
  <c r="P481" i="11"/>
  <c r="P547" i="11"/>
  <c r="P111" i="11"/>
  <c r="M81" i="11"/>
  <c r="M717" i="11"/>
  <c r="M511" i="11"/>
  <c r="M277" i="11"/>
  <c r="M259" i="11"/>
  <c r="M440" i="11"/>
  <c r="M70" i="11"/>
  <c r="M703" i="11"/>
  <c r="M615" i="11"/>
  <c r="M407" i="11"/>
  <c r="M103" i="11"/>
  <c r="M581" i="11"/>
  <c r="M202" i="11"/>
  <c r="M642" i="11"/>
  <c r="M279" i="11"/>
  <c r="M19" i="11"/>
  <c r="M142" i="11"/>
  <c r="M40" i="11"/>
  <c r="M614" i="11"/>
  <c r="M354" i="11"/>
  <c r="M625" i="11"/>
  <c r="M172" i="11"/>
  <c r="M482" i="11"/>
  <c r="M364" i="11"/>
  <c r="M207" i="11"/>
  <c r="M572" i="11"/>
  <c r="M689" i="11"/>
  <c r="M708" i="11"/>
  <c r="M416" i="11"/>
  <c r="M36" i="11"/>
  <c r="M387" i="11"/>
  <c r="M47" i="11"/>
  <c r="M513" i="11"/>
  <c r="M220" i="11"/>
  <c r="M330" i="11"/>
  <c r="M16" i="11"/>
  <c r="M306" i="11"/>
  <c r="M656" i="11"/>
  <c r="M239" i="11"/>
  <c r="M429" i="11"/>
  <c r="M63" i="11"/>
  <c r="M442" i="11"/>
  <c r="M564" i="11"/>
  <c r="M385" i="11"/>
  <c r="M505" i="11"/>
  <c r="M244" i="11"/>
  <c r="M479" i="11"/>
  <c r="M721" i="11"/>
  <c r="M265" i="11"/>
  <c r="M241" i="11"/>
  <c r="M96" i="11"/>
  <c r="M45" i="11"/>
  <c r="M109" i="11"/>
  <c r="L81" i="11"/>
  <c r="L717" i="11"/>
  <c r="L511" i="11"/>
  <c r="L277" i="11"/>
  <c r="L481" i="11"/>
  <c r="L259" i="11"/>
  <c r="L635" i="11"/>
  <c r="L440" i="11"/>
  <c r="L70" i="11"/>
  <c r="L703" i="11"/>
  <c r="L547" i="11"/>
  <c r="L615" i="11"/>
  <c r="L52" i="11"/>
  <c r="L407" i="11"/>
  <c r="L103" i="11"/>
  <c r="L111" i="11"/>
  <c r="N236" i="24"/>
  <c r="N162" i="24"/>
  <c r="N34" i="24"/>
  <c r="M135" i="24"/>
  <c r="N418" i="24"/>
  <c r="N402" i="24"/>
  <c r="N386" i="24"/>
  <c r="N370" i="24"/>
  <c r="N354" i="24"/>
  <c r="N338" i="24"/>
  <c r="N322" i="24"/>
  <c r="N305" i="24"/>
  <c r="N257" i="24"/>
  <c r="M395" i="24"/>
  <c r="M363" i="24"/>
  <c r="M331" i="24"/>
  <c r="M299" i="24"/>
  <c r="M348" i="24"/>
  <c r="M412" i="24"/>
  <c r="N252" i="24"/>
  <c r="N188" i="24"/>
  <c r="N130" i="24"/>
  <c r="N66" i="24"/>
  <c r="M71" i="24"/>
  <c r="N273" i="24"/>
  <c r="M283" i="24"/>
  <c r="M332" i="24"/>
  <c r="M364" i="24"/>
  <c r="M396" i="24"/>
  <c r="N244" i="24"/>
  <c r="N228" i="24"/>
  <c r="N212" i="24"/>
  <c r="N196" i="24"/>
  <c r="N178" i="24"/>
  <c r="N146" i="24"/>
  <c r="N114" i="24"/>
  <c r="N82" i="24"/>
  <c r="N50" i="24"/>
  <c r="N18" i="24"/>
  <c r="M167" i="24"/>
  <c r="M103" i="24"/>
  <c r="M39" i="24"/>
  <c r="N505" i="24"/>
  <c r="N414" i="24"/>
  <c r="N406" i="24"/>
  <c r="N398" i="24"/>
  <c r="N390" i="24"/>
  <c r="N382" i="24"/>
  <c r="N374" i="24"/>
  <c r="N366" i="24"/>
  <c r="N358" i="24"/>
  <c r="N350" i="24"/>
  <c r="N342" i="24"/>
  <c r="N334" i="24"/>
  <c r="N326" i="24"/>
  <c r="N318" i="24"/>
  <c r="N310" i="24"/>
  <c r="N297" i="24"/>
  <c r="N281" i="24"/>
  <c r="N265" i="24"/>
  <c r="M419" i="24"/>
  <c r="M403" i="24"/>
  <c r="M387" i="24"/>
  <c r="M371" i="24"/>
  <c r="M355" i="24"/>
  <c r="M339" i="24"/>
  <c r="M323" i="24"/>
  <c r="M307" i="24"/>
  <c r="M291" i="24"/>
  <c r="M275" i="24"/>
  <c r="M259" i="24"/>
  <c r="M308" i="24"/>
  <c r="M324" i="24"/>
  <c r="M340" i="24"/>
  <c r="M356" i="24"/>
  <c r="M372" i="24"/>
  <c r="M388" i="24"/>
  <c r="M404" i="24"/>
  <c r="M420" i="24"/>
  <c r="N256" i="24"/>
  <c r="N248" i="24"/>
  <c r="N240" i="24"/>
  <c r="N232" i="24"/>
  <c r="N224" i="24"/>
  <c r="N216" i="24"/>
  <c r="N208" i="24"/>
  <c r="N200" i="24"/>
  <c r="N192" i="24"/>
  <c r="N184" i="24"/>
  <c r="N170" i="24"/>
  <c r="N154" i="24"/>
  <c r="N138" i="24"/>
  <c r="N122" i="24"/>
  <c r="N106" i="24"/>
  <c r="N90" i="24"/>
  <c r="N74" i="24"/>
  <c r="N58" i="24"/>
  <c r="N42" i="24"/>
  <c r="N26" i="24"/>
  <c r="N10" i="24"/>
  <c r="M180" i="24"/>
  <c r="M151" i="24"/>
  <c r="M119" i="24"/>
  <c r="M87" i="24"/>
  <c r="M55" i="24"/>
  <c r="M23" i="24"/>
  <c r="M129" i="24"/>
  <c r="N129" i="24"/>
  <c r="M8" i="24"/>
  <c r="N8" i="24"/>
  <c r="M9" i="24"/>
  <c r="N9" i="24"/>
  <c r="N11" i="24"/>
  <c r="M11" i="24"/>
  <c r="M12" i="24"/>
  <c r="N12" i="24"/>
  <c r="M13" i="24"/>
  <c r="N13" i="24"/>
  <c r="M16" i="24"/>
  <c r="N16" i="24"/>
  <c r="M17" i="24"/>
  <c r="N17" i="24"/>
  <c r="N19" i="24"/>
  <c r="M19" i="24"/>
  <c r="M20" i="24"/>
  <c r="N20" i="24"/>
  <c r="M21" i="24"/>
  <c r="N21" i="24"/>
  <c r="M24" i="24"/>
  <c r="N24" i="24"/>
  <c r="M25" i="24"/>
  <c r="N25" i="24"/>
  <c r="N27" i="24"/>
  <c r="M27" i="24"/>
  <c r="M28" i="24"/>
  <c r="N28" i="24"/>
  <c r="M29" i="24"/>
  <c r="N29" i="24"/>
  <c r="M32" i="24"/>
  <c r="N32" i="24"/>
  <c r="M33" i="24"/>
  <c r="N33" i="24"/>
  <c r="N35" i="24"/>
  <c r="M35" i="24"/>
  <c r="M36" i="24"/>
  <c r="N36" i="24"/>
  <c r="M37" i="24"/>
  <c r="N37" i="24"/>
  <c r="M40" i="24"/>
  <c r="N40" i="24"/>
  <c r="M41" i="24"/>
  <c r="N41" i="24"/>
  <c r="N43" i="24"/>
  <c r="M43" i="24"/>
  <c r="M44" i="24"/>
  <c r="N44" i="24"/>
  <c r="M45" i="24"/>
  <c r="N45" i="24"/>
  <c r="M48" i="24"/>
  <c r="N48" i="24"/>
  <c r="M49" i="24"/>
  <c r="N49" i="24"/>
  <c r="N51" i="24"/>
  <c r="M51" i="24"/>
  <c r="M52" i="24"/>
  <c r="N52" i="24"/>
  <c r="M53" i="24"/>
  <c r="N53" i="24"/>
  <c r="M56" i="24"/>
  <c r="N56" i="24"/>
  <c r="M57" i="24"/>
  <c r="N57" i="24"/>
  <c r="N59" i="24"/>
  <c r="M59" i="24"/>
  <c r="M60" i="24"/>
  <c r="N60" i="24"/>
  <c r="M61" i="24"/>
  <c r="N61" i="24"/>
  <c r="M64" i="24"/>
  <c r="N64" i="24"/>
  <c r="M65" i="24"/>
  <c r="N65" i="24"/>
  <c r="N67" i="24"/>
  <c r="M67" i="24"/>
  <c r="M68" i="24"/>
  <c r="N68" i="24"/>
  <c r="M69" i="24"/>
  <c r="N69" i="24"/>
  <c r="M72" i="24"/>
  <c r="N72" i="24"/>
  <c r="M73" i="24"/>
  <c r="N73" i="24"/>
  <c r="N75" i="24"/>
  <c r="M75" i="24"/>
  <c r="M76" i="24"/>
  <c r="N76" i="24"/>
  <c r="M77" i="24"/>
  <c r="N77" i="24"/>
  <c r="M80" i="24"/>
  <c r="N80" i="24"/>
  <c r="M81" i="24"/>
  <c r="N81" i="24"/>
  <c r="N83" i="24"/>
  <c r="M83" i="24"/>
  <c r="M84" i="24"/>
  <c r="N84" i="24"/>
  <c r="M85" i="24"/>
  <c r="N85" i="24"/>
  <c r="M88" i="24"/>
  <c r="N88" i="24"/>
  <c r="M89" i="24"/>
  <c r="N89" i="24"/>
  <c r="N91" i="24"/>
  <c r="M91" i="24"/>
  <c r="M92" i="24"/>
  <c r="N92" i="24"/>
  <c r="M93" i="24"/>
  <c r="N93" i="24"/>
  <c r="M96" i="24"/>
  <c r="N96" i="24"/>
  <c r="M97" i="24"/>
  <c r="N97" i="24"/>
  <c r="N99" i="24"/>
  <c r="M99" i="24"/>
  <c r="M100" i="24"/>
  <c r="N100" i="24"/>
  <c r="M101" i="24"/>
  <c r="N101" i="24"/>
  <c r="M104" i="24"/>
  <c r="N104" i="24"/>
  <c r="M105" i="24"/>
  <c r="N105" i="24"/>
  <c r="N107" i="24"/>
  <c r="M107" i="24"/>
  <c r="M108" i="24"/>
  <c r="N108" i="24"/>
  <c r="M109" i="24"/>
  <c r="N109" i="24"/>
  <c r="M112" i="24"/>
  <c r="N112" i="24"/>
  <c r="M113" i="24"/>
  <c r="N113" i="24"/>
  <c r="N115" i="24"/>
  <c r="M115" i="24"/>
  <c r="M116" i="24"/>
  <c r="N116" i="24"/>
  <c r="M117" i="24"/>
  <c r="N117" i="24"/>
  <c r="M120" i="24"/>
  <c r="N120" i="24"/>
  <c r="M121" i="24"/>
  <c r="N121" i="24"/>
  <c r="N123" i="24"/>
  <c r="M123" i="24"/>
  <c r="M124" i="24"/>
  <c r="N124" i="24"/>
  <c r="M125" i="24"/>
  <c r="N125" i="24"/>
  <c r="M128" i="24"/>
  <c r="N128" i="24"/>
  <c r="N131" i="24"/>
  <c r="M131" i="24"/>
  <c r="M132" i="24"/>
  <c r="N132" i="24"/>
  <c r="M133" i="24"/>
  <c r="N133" i="24"/>
  <c r="M136" i="24"/>
  <c r="N136" i="24"/>
  <c r="M137" i="24"/>
  <c r="N137" i="24"/>
  <c r="N139" i="24"/>
  <c r="M139" i="24"/>
  <c r="M140" i="24"/>
  <c r="N140" i="24"/>
  <c r="M141" i="24"/>
  <c r="N141" i="24"/>
  <c r="M144" i="24"/>
  <c r="N144" i="24"/>
  <c r="M145" i="24"/>
  <c r="N145" i="24"/>
  <c r="N147" i="24"/>
  <c r="M147" i="24"/>
  <c r="M148" i="24"/>
  <c r="N148" i="24"/>
  <c r="M149" i="24"/>
  <c r="N149" i="24"/>
  <c r="M152" i="24"/>
  <c r="N152" i="24"/>
  <c r="M153" i="24"/>
  <c r="N153" i="24"/>
  <c r="N155" i="24"/>
  <c r="M155" i="24"/>
  <c r="M156" i="24"/>
  <c r="N156" i="24"/>
  <c r="M157" i="24"/>
  <c r="N157" i="24"/>
  <c r="M160" i="24"/>
  <c r="N160" i="24"/>
  <c r="M161" i="24"/>
  <c r="N161" i="24"/>
  <c r="N163" i="24"/>
  <c r="M163" i="24"/>
  <c r="M164" i="24"/>
  <c r="N164" i="24"/>
  <c r="M165" i="24"/>
  <c r="N165" i="24"/>
  <c r="M168" i="24"/>
  <c r="N168" i="24"/>
  <c r="M169" i="24"/>
  <c r="N169" i="24"/>
  <c r="N171" i="24"/>
  <c r="M171" i="24"/>
  <c r="M172" i="24"/>
  <c r="N172" i="24"/>
  <c r="M173" i="24"/>
  <c r="N173" i="24"/>
  <c r="M176" i="24"/>
  <c r="N176" i="24"/>
  <c r="M177" i="24"/>
  <c r="N177" i="24"/>
  <c r="M179" i="24"/>
  <c r="N179" i="24"/>
  <c r="M181" i="24"/>
  <c r="N181" i="24"/>
  <c r="M183" i="24"/>
  <c r="N183" i="24"/>
  <c r="M185" i="24"/>
  <c r="N185" i="24"/>
  <c r="M187" i="24"/>
  <c r="N187" i="24"/>
  <c r="M189" i="24"/>
  <c r="N189" i="24"/>
  <c r="M191" i="24"/>
  <c r="N191" i="24"/>
  <c r="M193" i="24"/>
  <c r="N193" i="24"/>
  <c r="M195" i="24"/>
  <c r="N195" i="24"/>
  <c r="M197" i="24"/>
  <c r="N197" i="24"/>
  <c r="M199" i="24"/>
  <c r="N199" i="24"/>
  <c r="M201" i="24"/>
  <c r="N201" i="24"/>
  <c r="M203" i="24"/>
  <c r="N203" i="24"/>
  <c r="M205" i="24"/>
  <c r="N205" i="24"/>
  <c r="M207" i="24"/>
  <c r="N207" i="24"/>
  <c r="M209" i="24"/>
  <c r="N209" i="24"/>
  <c r="M211" i="24"/>
  <c r="N211" i="24"/>
  <c r="M213" i="24"/>
  <c r="N213" i="24"/>
  <c r="M215" i="24"/>
  <c r="N215" i="24"/>
  <c r="M217" i="24"/>
  <c r="N217" i="24"/>
  <c r="M219" i="24"/>
  <c r="N219" i="24"/>
  <c r="M221" i="24"/>
  <c r="N221" i="24"/>
  <c r="M223" i="24"/>
  <c r="N223" i="24"/>
  <c r="M225" i="24"/>
  <c r="N225" i="24"/>
  <c r="M227" i="24"/>
  <c r="N227" i="24"/>
  <c r="M229" i="24"/>
  <c r="N229" i="24"/>
  <c r="M231" i="24"/>
  <c r="N231" i="24"/>
  <c r="M233" i="24"/>
  <c r="N233" i="24"/>
  <c r="M235" i="24"/>
  <c r="N235" i="24"/>
  <c r="M237" i="24"/>
  <c r="N237" i="24"/>
  <c r="M239" i="24"/>
  <c r="N239" i="24"/>
  <c r="M241" i="24"/>
  <c r="N241" i="24"/>
  <c r="M243" i="24"/>
  <c r="N243" i="24"/>
  <c r="M245" i="24"/>
  <c r="N245" i="24"/>
  <c r="M247" i="24"/>
  <c r="N247" i="24"/>
  <c r="M249" i="24"/>
  <c r="N249" i="24"/>
  <c r="M251" i="24"/>
  <c r="N251" i="24"/>
  <c r="M253" i="24"/>
  <c r="N253" i="24"/>
  <c r="M255" i="24"/>
  <c r="N255" i="24"/>
  <c r="M309" i="24"/>
  <c r="N309" i="24"/>
  <c r="M313" i="24"/>
  <c r="N313" i="24"/>
  <c r="M317" i="24"/>
  <c r="N317" i="24"/>
  <c r="M321" i="24"/>
  <c r="N321" i="24"/>
  <c r="M325" i="24"/>
  <c r="N325" i="24"/>
  <c r="M329" i="24"/>
  <c r="N329" i="24"/>
  <c r="M333" i="24"/>
  <c r="N333" i="24"/>
  <c r="M337" i="24"/>
  <c r="N337" i="24"/>
  <c r="M341" i="24"/>
  <c r="N341" i="24"/>
  <c r="M345" i="24"/>
  <c r="N345" i="24"/>
  <c r="M349" i="24"/>
  <c r="N349" i="24"/>
  <c r="M353" i="24"/>
  <c r="N353" i="24"/>
  <c r="M357" i="24"/>
  <c r="N357" i="24"/>
  <c r="M361" i="24"/>
  <c r="N361" i="24"/>
  <c r="M365" i="24"/>
  <c r="N365" i="24"/>
  <c r="M369" i="24"/>
  <c r="N369" i="24"/>
  <c r="M373" i="24"/>
  <c r="N373" i="24"/>
  <c r="M377" i="24"/>
  <c r="N377" i="24"/>
  <c r="M381" i="24"/>
  <c r="N381" i="24"/>
  <c r="M385" i="24"/>
  <c r="N385" i="24"/>
  <c r="M389" i="24"/>
  <c r="N389" i="24"/>
  <c r="M393" i="24"/>
  <c r="N393" i="24"/>
  <c r="M397" i="24"/>
  <c r="N397" i="24"/>
  <c r="M401" i="24"/>
  <c r="N401" i="24"/>
  <c r="M405" i="24"/>
  <c r="N405" i="24"/>
  <c r="M409" i="24"/>
  <c r="N409" i="24"/>
  <c r="M413" i="24"/>
  <c r="N413" i="24"/>
  <c r="M417" i="24"/>
  <c r="N417" i="24"/>
  <c r="M421" i="24"/>
  <c r="N421" i="24"/>
  <c r="C423" i="24"/>
  <c r="K423" i="24"/>
  <c r="C425" i="24"/>
  <c r="K425" i="24"/>
  <c r="C427" i="24"/>
  <c r="K427" i="24"/>
  <c r="C429" i="24"/>
  <c r="K429" i="24"/>
  <c r="C431" i="24"/>
  <c r="K431" i="24"/>
  <c r="C433" i="24"/>
  <c r="K433" i="24"/>
  <c r="C435" i="24"/>
  <c r="K435" i="24"/>
  <c r="C437" i="24"/>
  <c r="K437" i="24"/>
  <c r="C439" i="24"/>
  <c r="K439" i="24"/>
  <c r="C441" i="24"/>
  <c r="K441" i="24"/>
  <c r="C443" i="24"/>
  <c r="K443" i="24"/>
  <c r="C445" i="24"/>
  <c r="K445" i="24"/>
  <c r="C447" i="24"/>
  <c r="K447" i="24"/>
  <c r="C449" i="24"/>
  <c r="K449" i="24"/>
  <c r="C451" i="24"/>
  <c r="K451" i="24"/>
  <c r="C453" i="24"/>
  <c r="K453" i="24"/>
  <c r="C455" i="24"/>
  <c r="K455" i="24"/>
  <c r="C457" i="24"/>
  <c r="K457" i="24"/>
  <c r="C459" i="24"/>
  <c r="K459" i="24"/>
  <c r="C461" i="24"/>
  <c r="K461" i="24"/>
  <c r="C463" i="24"/>
  <c r="K463" i="24"/>
  <c r="C465" i="24"/>
  <c r="K465" i="24"/>
  <c r="C467" i="24"/>
  <c r="K467" i="24"/>
  <c r="C469" i="24"/>
  <c r="K469" i="24"/>
  <c r="C471" i="24"/>
  <c r="K471" i="24"/>
  <c r="C473" i="24"/>
  <c r="K473" i="24"/>
  <c r="C475" i="24"/>
  <c r="K475" i="24"/>
  <c r="C477" i="24"/>
  <c r="K477" i="24"/>
  <c r="C479" i="24"/>
  <c r="K479" i="24"/>
  <c r="C481" i="24"/>
  <c r="K481" i="24"/>
  <c r="C483" i="24"/>
  <c r="K483" i="24"/>
  <c r="C485" i="24"/>
  <c r="K485" i="24"/>
  <c r="C487" i="24"/>
  <c r="K487" i="24"/>
  <c r="C489" i="24"/>
  <c r="K489" i="24"/>
  <c r="C491" i="24"/>
  <c r="K491" i="24"/>
  <c r="C493" i="24"/>
  <c r="K493" i="24"/>
  <c r="C495" i="24"/>
  <c r="K495" i="24"/>
  <c r="C497" i="24"/>
  <c r="K497" i="24"/>
  <c r="C499" i="24"/>
  <c r="K499" i="24"/>
  <c r="C501" i="24"/>
  <c r="K501" i="24"/>
  <c r="C503" i="24"/>
  <c r="K503" i="24"/>
  <c r="N416" i="24"/>
  <c r="N408" i="24"/>
  <c r="N400" i="24"/>
  <c r="N392" i="24"/>
  <c r="N384" i="24"/>
  <c r="N376" i="24"/>
  <c r="N368" i="24"/>
  <c r="N360" i="24"/>
  <c r="N352" i="24"/>
  <c r="N344" i="24"/>
  <c r="N336" i="24"/>
  <c r="N328" i="24"/>
  <c r="N320" i="24"/>
  <c r="N312" i="24"/>
  <c r="N301" i="24"/>
  <c r="N293" i="24"/>
  <c r="N285" i="24"/>
  <c r="N277" i="24"/>
  <c r="N269" i="24"/>
  <c r="N261" i="24"/>
  <c r="M415" i="24"/>
  <c r="M407" i="24"/>
  <c r="M399" i="24"/>
  <c r="M391" i="24"/>
  <c r="M383" i="24"/>
  <c r="M375" i="24"/>
  <c r="M367" i="24"/>
  <c r="M359" i="24"/>
  <c r="M351" i="24"/>
  <c r="M343" i="24"/>
  <c r="M335" i="24"/>
  <c r="M327" i="24"/>
  <c r="M319" i="24"/>
  <c r="M311" i="24"/>
  <c r="M303" i="24"/>
  <c r="M295" i="24"/>
  <c r="M287" i="24"/>
  <c r="M279" i="24"/>
  <c r="M271" i="24"/>
  <c r="M263" i="24"/>
  <c r="N254" i="24"/>
  <c r="N250" i="24"/>
  <c r="N246" i="24"/>
  <c r="N242" i="24"/>
  <c r="N238" i="24"/>
  <c r="N234" i="24"/>
  <c r="N230" i="24"/>
  <c r="N226" i="24"/>
  <c r="N222" i="24"/>
  <c r="N218" i="24"/>
  <c r="N214" i="24"/>
  <c r="N210" i="24"/>
  <c r="N206" i="24"/>
  <c r="N202" i="24"/>
  <c r="N198" i="24"/>
  <c r="N194" i="24"/>
  <c r="N190" i="24"/>
  <c r="N186" i="24"/>
  <c r="N182" i="24"/>
  <c r="N174" i="24"/>
  <c r="N166" i="24"/>
  <c r="N158" i="24"/>
  <c r="N150" i="24"/>
  <c r="N142" i="24"/>
  <c r="N134" i="24"/>
  <c r="N126" i="24"/>
  <c r="N118" i="24"/>
  <c r="N110" i="24"/>
  <c r="N102" i="24"/>
  <c r="N94" i="24"/>
  <c r="N86" i="24"/>
  <c r="N78" i="24"/>
  <c r="N70" i="24"/>
  <c r="N62" i="24"/>
  <c r="N54" i="24"/>
  <c r="N46" i="24"/>
  <c r="N38" i="24"/>
  <c r="N30" i="24"/>
  <c r="N22" i="24"/>
  <c r="N14" i="24"/>
  <c r="M175" i="24"/>
  <c r="M159" i="24"/>
  <c r="M143" i="24"/>
  <c r="M127" i="24"/>
  <c r="M111" i="24"/>
  <c r="M95" i="24"/>
  <c r="M79" i="24"/>
  <c r="M63" i="24"/>
  <c r="M47" i="24"/>
  <c r="M31" i="24"/>
  <c r="M15" i="24"/>
  <c r="M258" i="24"/>
  <c r="N258" i="24"/>
  <c r="M260" i="24"/>
  <c r="N260" i="24"/>
  <c r="M262" i="24"/>
  <c r="N262" i="24"/>
  <c r="M264" i="24"/>
  <c r="N264" i="24"/>
  <c r="M266" i="24"/>
  <c r="N266" i="24"/>
  <c r="M268" i="24"/>
  <c r="N268" i="24"/>
  <c r="M270" i="24"/>
  <c r="N270" i="24"/>
  <c r="M272" i="24"/>
  <c r="N272" i="24"/>
  <c r="M274" i="24"/>
  <c r="N274" i="24"/>
  <c r="M276" i="24"/>
  <c r="N276" i="24"/>
  <c r="M278" i="24"/>
  <c r="N278" i="24"/>
  <c r="M280" i="24"/>
  <c r="N280" i="24"/>
  <c r="M282" i="24"/>
  <c r="N282" i="24"/>
  <c r="M284" i="24"/>
  <c r="N284" i="24"/>
  <c r="M286" i="24"/>
  <c r="N286" i="24"/>
  <c r="M288" i="24"/>
  <c r="N288" i="24"/>
  <c r="M290" i="24"/>
  <c r="N290" i="24"/>
  <c r="M292" i="24"/>
  <c r="N292" i="24"/>
  <c r="M294" i="24"/>
  <c r="N294" i="24"/>
  <c r="M296" i="24"/>
  <c r="N296" i="24"/>
  <c r="M298" i="24"/>
  <c r="N298" i="24"/>
  <c r="M300" i="24"/>
  <c r="N300" i="24"/>
  <c r="M302" i="24"/>
  <c r="N302" i="24"/>
  <c r="M304" i="24"/>
  <c r="N304" i="24"/>
  <c r="M306" i="24"/>
  <c r="N306" i="24"/>
  <c r="N633" i="11"/>
  <c r="P289" i="11"/>
  <c r="O277" i="11"/>
  <c r="O280" i="11"/>
  <c r="N287" i="11"/>
  <c r="N145" i="11"/>
  <c r="N718" i="11"/>
  <c r="P16" i="11"/>
  <c r="P385" i="11"/>
  <c r="P593" i="11"/>
  <c r="O40" i="11"/>
  <c r="O207" i="11"/>
  <c r="O387" i="11"/>
  <c r="O16" i="11"/>
  <c r="O385" i="11"/>
  <c r="O593" i="11"/>
  <c r="N98" i="11"/>
  <c r="N19" i="11"/>
  <c r="N172" i="11"/>
  <c r="N708" i="11"/>
  <c r="N220" i="11"/>
  <c r="N63" i="11"/>
  <c r="N265" i="11"/>
  <c r="M593" i="11"/>
  <c r="M404" i="11"/>
  <c r="L404" i="11"/>
  <c r="L500" i="11"/>
  <c r="L35" i="11"/>
  <c r="L698" i="11"/>
  <c r="L455" i="11"/>
  <c r="O109" i="11"/>
  <c r="N45" i="11"/>
  <c r="P45" i="11"/>
  <c r="N96" i="11"/>
  <c r="O241" i="11"/>
  <c r="C336" i="11"/>
  <c r="P336" i="11" s="1"/>
  <c r="L336" i="11"/>
  <c r="O455" i="11"/>
  <c r="C597" i="11"/>
  <c r="P597" i="11" s="1"/>
  <c r="L597" i="11"/>
  <c r="O555" i="11"/>
  <c r="C46" i="11"/>
  <c r="P46" i="11" s="1"/>
  <c r="L46" i="11"/>
  <c r="Q545" i="11"/>
  <c r="L545" i="11"/>
  <c r="C174" i="11"/>
  <c r="Q174" i="11" s="1"/>
  <c r="L174" i="11"/>
  <c r="C62" i="11"/>
  <c r="Q62" i="11" s="1"/>
  <c r="L62" i="11"/>
  <c r="M62" i="11"/>
  <c r="C37" i="11"/>
  <c r="Q37" i="11" s="1"/>
  <c r="L37" i="11"/>
  <c r="Q667" i="11"/>
  <c r="L667" i="11"/>
  <c r="C702" i="11"/>
  <c r="P702" i="11" s="1"/>
  <c r="L702" i="11"/>
  <c r="C363" i="11"/>
  <c r="P363" i="11" s="1"/>
  <c r="L363" i="11"/>
  <c r="C150" i="11"/>
  <c r="P150" i="11" s="1"/>
  <c r="L150" i="11"/>
  <c r="C149" i="11"/>
  <c r="P149" i="11" s="1"/>
  <c r="L149" i="11"/>
  <c r="C11" i="11"/>
  <c r="P11" i="11" s="1"/>
  <c r="L11" i="11"/>
  <c r="P668" i="11"/>
  <c r="L668" i="11"/>
  <c r="P526" i="11"/>
  <c r="L526" i="11"/>
  <c r="C701" i="11"/>
  <c r="Q701" i="11" s="1"/>
  <c r="L701" i="11"/>
  <c r="C459" i="11"/>
  <c r="Q459" i="11" s="1"/>
  <c r="L459" i="11"/>
  <c r="M459" i="11"/>
  <c r="C628" i="11"/>
  <c r="Q628" i="11" s="1"/>
  <c r="L628" i="11"/>
  <c r="C446" i="11"/>
  <c r="Q446" i="11" s="1"/>
  <c r="L446" i="11"/>
  <c r="C733" i="11"/>
  <c r="Q733" i="11" s="1"/>
  <c r="L733" i="11"/>
  <c r="C33" i="11"/>
  <c r="Q33" i="11" s="1"/>
  <c r="L33" i="11"/>
  <c r="O488" i="11"/>
  <c r="N231" i="11"/>
  <c r="P231" i="11"/>
  <c r="O688" i="11"/>
  <c r="N167" i="11"/>
  <c r="P167" i="11"/>
  <c r="C291" i="11"/>
  <c r="P291" i="11" s="1"/>
  <c r="L291" i="11"/>
  <c r="O467" i="11"/>
  <c r="P652" i="11"/>
  <c r="L652" i="11"/>
  <c r="P312" i="11"/>
  <c r="L312" i="11"/>
  <c r="O698" i="11"/>
  <c r="C351" i="11"/>
  <c r="P351" i="11" s="1"/>
  <c r="L351" i="11"/>
  <c r="C491" i="11"/>
  <c r="Q491" i="11" s="1"/>
  <c r="L491" i="11"/>
  <c r="M491" i="11"/>
  <c r="C373" i="11"/>
  <c r="P373" i="11" s="1"/>
  <c r="M373" i="11"/>
  <c r="C389" i="11"/>
  <c r="Q389" i="11" s="1"/>
  <c r="L389" i="11"/>
  <c r="M389" i="11"/>
  <c r="C658" i="11"/>
  <c r="P658" i="11" s="1"/>
  <c r="L658" i="11"/>
  <c r="C10" i="11"/>
  <c r="Q10" i="11" s="1"/>
  <c r="L10" i="11"/>
  <c r="C632" i="11"/>
  <c r="P632" i="11" s="1"/>
  <c r="L632" i="11"/>
  <c r="Q61" i="11"/>
  <c r="L61" i="11"/>
  <c r="C127" i="11"/>
  <c r="P127" i="11" s="1"/>
  <c r="L127" i="11"/>
  <c r="C285" i="11"/>
  <c r="Q285" i="11" s="1"/>
  <c r="L285" i="11"/>
  <c r="C273" i="11"/>
  <c r="P273" i="11" s="1"/>
  <c r="L273" i="11"/>
  <c r="C64" i="11"/>
  <c r="P64" i="11" s="1"/>
  <c r="L64" i="11"/>
  <c r="P18" i="11"/>
  <c r="L18" i="11"/>
  <c r="Q206" i="11"/>
  <c r="L206" i="11"/>
  <c r="Q655" i="11"/>
  <c r="L655" i="11"/>
  <c r="Q54" i="11"/>
  <c r="L54" i="11"/>
  <c r="C135" i="11"/>
  <c r="Q135" i="11" s="1"/>
  <c r="L135" i="11"/>
  <c r="M135" i="11"/>
  <c r="Q104" i="11"/>
  <c r="L104" i="11"/>
  <c r="M104" i="11"/>
  <c r="Q187" i="11"/>
  <c r="L187" i="11"/>
  <c r="M187" i="11"/>
  <c r="C720" i="11"/>
  <c r="Q720" i="11" s="1"/>
  <c r="L720" i="11"/>
  <c r="M720" i="11"/>
  <c r="Q236" i="11"/>
  <c r="L236" i="11"/>
  <c r="M236" i="11"/>
  <c r="O503" i="11"/>
  <c r="N535" i="11"/>
  <c r="P535" i="11"/>
  <c r="O106" i="11"/>
  <c r="N468" i="11"/>
  <c r="P468" i="11"/>
  <c r="O490" i="11"/>
  <c r="N6" i="11"/>
  <c r="P6" i="11"/>
  <c r="O116" i="11"/>
  <c r="N132" i="11"/>
  <c r="P132" i="11"/>
  <c r="O484" i="11"/>
  <c r="N48" i="11"/>
  <c r="P48" i="11"/>
  <c r="O456" i="11"/>
  <c r="N29" i="11"/>
  <c r="P29" i="11"/>
  <c r="O294" i="11"/>
  <c r="N331" i="11"/>
  <c r="P331" i="11"/>
  <c r="O308" i="11"/>
  <c r="N102" i="11"/>
  <c r="O102" i="11"/>
  <c r="P102" i="11"/>
  <c r="O348" i="11"/>
  <c r="N209" i="11"/>
  <c r="O209" i="11"/>
  <c r="P209" i="11"/>
  <c r="O113" i="11"/>
  <c r="N523" i="11"/>
  <c r="O523" i="11"/>
  <c r="P523" i="11"/>
  <c r="N480" i="11"/>
  <c r="O480" i="11"/>
  <c r="P480" i="11"/>
  <c r="N71" i="11"/>
  <c r="N164" i="11"/>
  <c r="O164" i="11"/>
  <c r="N126" i="11"/>
  <c r="N498" i="11"/>
  <c r="O498" i="11"/>
  <c r="N425" i="11"/>
  <c r="N327" i="11"/>
  <c r="N367" i="11"/>
  <c r="N395" i="11"/>
  <c r="N692" i="11"/>
  <c r="O692" i="11"/>
  <c r="N588" i="11"/>
  <c r="N326" i="11"/>
  <c r="O326" i="11"/>
  <c r="N85" i="11"/>
  <c r="N622" i="11"/>
  <c r="O622" i="11"/>
  <c r="N704" i="11"/>
  <c r="N626" i="11"/>
  <c r="O626" i="11"/>
  <c r="N30" i="11"/>
  <c r="N78" i="11"/>
  <c r="O78" i="11"/>
  <c r="N371" i="11"/>
  <c r="N50" i="11"/>
  <c r="N727" i="11"/>
  <c r="N375" i="11"/>
  <c r="Q405" i="11"/>
  <c r="L405" i="11"/>
  <c r="M405" i="11"/>
  <c r="C292" i="11"/>
  <c r="Q292" i="11" s="1"/>
  <c r="L292" i="11"/>
  <c r="M292" i="11"/>
  <c r="C533" i="11"/>
  <c r="Q533" i="11" s="1"/>
  <c r="L533" i="11"/>
  <c r="M533" i="11"/>
  <c r="C191" i="11"/>
  <c r="Q191" i="11" s="1"/>
  <c r="L191" i="11"/>
  <c r="M191" i="11"/>
  <c r="C608" i="11"/>
  <c r="Q608" i="11" s="1"/>
  <c r="L608" i="11"/>
  <c r="M608" i="11"/>
  <c r="Q87" i="11"/>
  <c r="L87" i="11"/>
  <c r="M87" i="11"/>
  <c r="C725" i="11"/>
  <c r="Q725" i="11" s="1"/>
  <c r="L725" i="11"/>
  <c r="M725" i="11"/>
  <c r="C227" i="11"/>
  <c r="Q227" i="11" s="1"/>
  <c r="L227" i="11"/>
  <c r="M227" i="11"/>
  <c r="C154" i="11"/>
  <c r="Q154" i="11" s="1"/>
  <c r="L154" i="11"/>
  <c r="M154" i="11"/>
  <c r="C680" i="11"/>
  <c r="Q680" i="11" s="1"/>
  <c r="L680" i="11"/>
  <c r="M680" i="11"/>
  <c r="Q152" i="11"/>
  <c r="L152" i="11"/>
  <c r="M152" i="11"/>
  <c r="L9" i="11"/>
  <c r="M9" i="11"/>
  <c r="C686" i="11"/>
  <c r="Q686" i="11" s="1"/>
  <c r="L686" i="11"/>
  <c r="M686" i="11"/>
  <c r="Q464" i="11"/>
  <c r="L464" i="11"/>
  <c r="M464" i="11"/>
  <c r="C630" i="11"/>
  <c r="Q630" i="11" s="1"/>
  <c r="L630" i="11"/>
  <c r="M630" i="11"/>
  <c r="C129" i="11"/>
  <c r="Q129" i="11" s="1"/>
  <c r="L129" i="11"/>
  <c r="M129" i="11"/>
  <c r="Q300" i="11"/>
  <c r="L300" i="11"/>
  <c r="M300" i="11"/>
  <c r="C197" i="11"/>
  <c r="Q197" i="11" s="1"/>
  <c r="L197" i="11"/>
  <c r="M197" i="11"/>
  <c r="Q328" i="11"/>
  <c r="L328" i="11"/>
  <c r="M328" i="11"/>
  <c r="C148" i="11"/>
  <c r="Q148" i="11" s="1"/>
  <c r="L148" i="11"/>
  <c r="M148" i="11"/>
  <c r="C14" i="11"/>
  <c r="Q14" i="11" s="1"/>
  <c r="L14" i="11"/>
  <c r="M14" i="11"/>
  <c r="Q393" i="11"/>
  <c r="L393" i="11"/>
  <c r="M393" i="11"/>
  <c r="C72" i="11"/>
  <c r="Q72" i="11" s="1"/>
  <c r="L72" i="11"/>
  <c r="M72" i="11"/>
  <c r="C719" i="11"/>
  <c r="Q719" i="11" s="1"/>
  <c r="L719" i="11"/>
  <c r="M719" i="11"/>
  <c r="C319" i="11"/>
  <c r="Q319" i="11" s="1"/>
  <c r="L319" i="11"/>
  <c r="M319" i="11"/>
  <c r="C55" i="11"/>
  <c r="Q55" i="11" s="1"/>
  <c r="L55" i="11"/>
  <c r="M55" i="11"/>
  <c r="C577" i="11"/>
  <c r="Q577" i="11" s="1"/>
  <c r="L577" i="11"/>
  <c r="M577" i="11"/>
  <c r="C709" i="11"/>
  <c r="Q709" i="11" s="1"/>
  <c r="L709" i="11"/>
  <c r="M709" i="11"/>
  <c r="C89" i="11"/>
  <c r="Q89" i="11" s="1"/>
  <c r="L89" i="11"/>
  <c r="M89" i="11"/>
  <c r="C424" i="11"/>
  <c r="Q424" i="11" s="1"/>
  <c r="L424" i="11"/>
  <c r="M424" i="11"/>
  <c r="Q631" i="11"/>
  <c r="L631" i="11"/>
  <c r="M631" i="11"/>
  <c r="Q525" i="11"/>
  <c r="L525" i="11"/>
  <c r="M525" i="11"/>
  <c r="C435" i="11"/>
  <c r="Q435" i="11" s="1"/>
  <c r="L435" i="11"/>
  <c r="M435" i="11"/>
  <c r="C384" i="11"/>
  <c r="Q384" i="11" s="1"/>
  <c r="L384" i="11"/>
  <c r="M384" i="11"/>
  <c r="Q258" i="11"/>
  <c r="L258" i="11"/>
  <c r="M258" i="11"/>
  <c r="C66" i="11"/>
  <c r="Q66" i="11" s="1"/>
  <c r="L66" i="11"/>
  <c r="M66" i="11"/>
  <c r="C248" i="11"/>
  <c r="Q248" i="11" s="1"/>
  <c r="L248" i="11"/>
  <c r="M248" i="11"/>
  <c r="C184" i="11"/>
  <c r="Q184" i="11" s="1"/>
  <c r="L184" i="11"/>
  <c r="M184" i="11"/>
  <c r="C599" i="11"/>
  <c r="Q599" i="11" s="1"/>
  <c r="L599" i="11"/>
  <c r="M599" i="11"/>
  <c r="C92" i="11"/>
  <c r="Q92" i="11" s="1"/>
  <c r="L92" i="11"/>
  <c r="M92" i="11"/>
  <c r="C311" i="11"/>
  <c r="Q311" i="11" s="1"/>
  <c r="L311" i="11"/>
  <c r="M311" i="11"/>
  <c r="C137" i="11"/>
  <c r="Q137" i="11" s="1"/>
  <c r="L137" i="11"/>
  <c r="M137" i="11"/>
  <c r="Q420" i="11"/>
  <c r="L420" i="11"/>
  <c r="M420" i="11"/>
  <c r="C675" i="11"/>
  <c r="Q675" i="11" s="1"/>
  <c r="L675" i="11"/>
  <c r="M675" i="11"/>
  <c r="C65" i="11"/>
  <c r="Q65" i="11" s="1"/>
  <c r="L65" i="11"/>
  <c r="M65" i="11"/>
  <c r="C266" i="11"/>
  <c r="Q266" i="11" s="1"/>
  <c r="L266" i="11"/>
  <c r="M266" i="11"/>
  <c r="C683" i="11"/>
  <c r="Q683" i="11" s="1"/>
  <c r="L683" i="11"/>
  <c r="M683" i="11"/>
  <c r="C673" i="11"/>
  <c r="Q673" i="11" s="1"/>
  <c r="L673" i="11"/>
  <c r="M673" i="11"/>
  <c r="C122" i="11"/>
  <c r="Q122" i="11" s="1"/>
  <c r="L122" i="11"/>
  <c r="M122" i="11"/>
  <c r="C20" i="11"/>
  <c r="Q20" i="11" s="1"/>
  <c r="L20" i="11"/>
  <c r="M20" i="11"/>
  <c r="N541" i="11"/>
  <c r="N485" i="11"/>
  <c r="O70" i="11"/>
  <c r="N506" i="11"/>
  <c r="O511" i="11"/>
  <c r="N34" i="11"/>
  <c r="O81" i="11"/>
  <c r="P287" i="11"/>
  <c r="P145" i="11"/>
  <c r="P718" i="11"/>
  <c r="N289" i="11"/>
  <c r="L437" i="11"/>
  <c r="L287" i="11"/>
  <c r="L678" i="11"/>
  <c r="L145" i="11"/>
  <c r="L676" i="11"/>
  <c r="P633" i="11"/>
  <c r="P98" i="11"/>
  <c r="P642" i="11"/>
  <c r="P19" i="11"/>
  <c r="P614" i="11"/>
  <c r="P172" i="11"/>
  <c r="P364" i="11"/>
  <c r="P689" i="11"/>
  <c r="P708" i="11"/>
  <c r="P36" i="11"/>
  <c r="P47" i="11"/>
  <c r="P220" i="11"/>
  <c r="P306" i="11"/>
  <c r="P63" i="11"/>
  <c r="P505" i="11"/>
  <c r="P265" i="11"/>
  <c r="P109" i="11"/>
  <c r="O717" i="11"/>
  <c r="N713" i="11"/>
  <c r="M33" i="11"/>
  <c r="M446" i="11"/>
  <c r="M54" i="11"/>
  <c r="M37" i="11"/>
  <c r="M174" i="11"/>
  <c r="L373" i="11"/>
  <c r="L555" i="11"/>
  <c r="L467" i="11"/>
  <c r="L361" i="11"/>
  <c r="C691" i="11"/>
  <c r="Q691" i="11" s="1"/>
  <c r="L691" i="11"/>
  <c r="C318" i="11"/>
  <c r="O318" i="11" s="1"/>
  <c r="L318" i="11"/>
  <c r="Q38" i="11"/>
  <c r="L38" i="11"/>
  <c r="C76" i="11"/>
  <c r="Q76" i="11" s="1"/>
  <c r="L76" i="11"/>
  <c r="Q105" i="11"/>
  <c r="L105" i="11"/>
  <c r="O107" i="11"/>
  <c r="L107" i="11"/>
  <c r="C707" i="11"/>
  <c r="Q707" i="11" s="1"/>
  <c r="L707" i="11"/>
  <c r="Q297" i="11"/>
  <c r="L297" i="11"/>
  <c r="C583" i="11"/>
  <c r="Q583" i="11" s="1"/>
  <c r="L583" i="11"/>
  <c r="O695" i="11"/>
  <c r="L695" i="11"/>
  <c r="C130" i="11"/>
  <c r="Q130" i="11" s="1"/>
  <c r="L130" i="11"/>
  <c r="C621" i="11"/>
  <c r="Q621" i="11" s="1"/>
  <c r="L621" i="11"/>
  <c r="Q401" i="11"/>
  <c r="L401" i="11"/>
  <c r="C31" i="11"/>
  <c r="Q31" i="11" s="1"/>
  <c r="L31" i="11"/>
  <c r="Q7" i="11"/>
  <c r="L7" i="11"/>
  <c r="C690" i="11"/>
  <c r="Q690" i="11" s="1"/>
  <c r="L690" i="11"/>
  <c r="Q649" i="11"/>
  <c r="L649" i="11"/>
  <c r="Q558" i="11"/>
  <c r="L558" i="11"/>
  <c r="C647" i="11"/>
  <c r="Q647" i="11" s="1"/>
  <c r="L647" i="11"/>
  <c r="C556" i="11"/>
  <c r="Q556" i="11" s="1"/>
  <c r="L556" i="11"/>
  <c r="C268" i="11"/>
  <c r="Q268" i="11" s="1"/>
  <c r="L268" i="11"/>
  <c r="Q27" i="11"/>
  <c r="L27" i="11"/>
  <c r="C569" i="11"/>
  <c r="Q569" i="11" s="1"/>
  <c r="L569" i="11"/>
  <c r="C679" i="11"/>
  <c r="Q679" i="11" s="1"/>
  <c r="L679" i="11"/>
  <c r="C685" i="11"/>
  <c r="Q685" i="11" s="1"/>
  <c r="L685" i="11"/>
  <c r="C115" i="11"/>
  <c r="Q115" i="11" s="1"/>
  <c r="L115" i="11"/>
  <c r="C362" i="11"/>
  <c r="Q362" i="11" s="1"/>
  <c r="L362" i="11"/>
  <c r="Q119" i="11"/>
  <c r="L119" i="11"/>
  <c r="Q419" i="11"/>
  <c r="L419" i="11"/>
  <c r="Q469" i="11"/>
  <c r="L469" i="11"/>
  <c r="Q301" i="11"/>
  <c r="L301" i="11"/>
  <c r="Q432" i="11"/>
  <c r="L432" i="11"/>
  <c r="C728" i="11"/>
  <c r="Q728" i="11" s="1"/>
  <c r="L728" i="11"/>
  <c r="C204" i="11"/>
  <c r="Q204" i="11" s="1"/>
  <c r="L204" i="11"/>
  <c r="C546" i="11"/>
  <c r="Q546" i="11" s="1"/>
  <c r="L546" i="11"/>
  <c r="Q415" i="11"/>
  <c r="L415" i="11"/>
  <c r="C324" i="11"/>
  <c r="Q324" i="11" s="1"/>
  <c r="L324" i="11"/>
  <c r="Q600" i="11"/>
  <c r="L600" i="11"/>
  <c r="C90" i="11"/>
  <c r="Q90" i="11" s="1"/>
  <c r="L90" i="11"/>
  <c r="C310" i="11"/>
  <c r="Q310" i="11" s="1"/>
  <c r="L310" i="11"/>
  <c r="C450" i="11"/>
  <c r="Q450" i="11" s="1"/>
  <c r="L450" i="11"/>
  <c r="C584" i="11"/>
  <c r="Q584" i="11" s="1"/>
  <c r="L584" i="11"/>
  <c r="Q67" i="11"/>
  <c r="L67" i="11"/>
  <c r="C711" i="11"/>
  <c r="Q711" i="11" s="1"/>
  <c r="L711" i="11"/>
  <c r="C199" i="11"/>
  <c r="Q199" i="11" s="1"/>
  <c r="L199" i="11"/>
  <c r="C706" i="11"/>
  <c r="Q706" i="11" s="1"/>
  <c r="L706" i="11"/>
  <c r="C217" i="11"/>
  <c r="Q217" i="11" s="1"/>
  <c r="L217" i="11"/>
  <c r="C660" i="11"/>
  <c r="Q660" i="11" s="1"/>
  <c r="L660" i="11"/>
  <c r="Q100" i="11"/>
  <c r="L100" i="11"/>
  <c r="C640" i="11"/>
  <c r="Q640" i="11" s="1"/>
  <c r="M640" i="11"/>
  <c r="C646" i="11"/>
  <c r="Q646" i="11" s="1"/>
  <c r="M646" i="11"/>
  <c r="C379" i="11"/>
  <c r="Q379" i="11" s="1"/>
  <c r="M379" i="11"/>
  <c r="C94" i="11"/>
  <c r="Q94" i="11" s="1"/>
  <c r="L94" i="11"/>
  <c r="C507" i="11"/>
  <c r="Q507" i="11" s="1"/>
  <c r="L507" i="11"/>
  <c r="C410" i="11"/>
  <c r="Q410" i="11" s="1"/>
  <c r="L410" i="11"/>
  <c r="C28" i="11"/>
  <c r="Q28" i="11" s="1"/>
  <c r="L28" i="11"/>
  <c r="C57" i="11"/>
  <c r="Q57" i="11" s="1"/>
  <c r="L57" i="11"/>
  <c r="C449" i="11"/>
  <c r="Q449" i="11" s="1"/>
  <c r="L449" i="11"/>
  <c r="C726" i="11"/>
  <c r="Q726" i="11" s="1"/>
  <c r="L726" i="11"/>
  <c r="C684" i="11"/>
  <c r="Q684" i="11" s="1"/>
  <c r="L684" i="11"/>
  <c r="C663" i="11"/>
  <c r="Q663" i="11" s="1"/>
  <c r="L663" i="11"/>
  <c r="Q110" i="11"/>
  <c r="L110" i="11"/>
  <c r="C323" i="11"/>
  <c r="Q323" i="11" s="1"/>
  <c r="L323" i="11"/>
  <c r="Q181" i="11"/>
  <c r="L181" i="11"/>
  <c r="C544" i="11"/>
  <c r="Q544" i="11" s="1"/>
  <c r="L544" i="11"/>
  <c r="C143" i="11"/>
  <c r="Q143" i="11" s="1"/>
  <c r="L143" i="11"/>
  <c r="C141" i="11"/>
  <c r="Q141" i="11" s="1"/>
  <c r="L141" i="11"/>
  <c r="Q722" i="11"/>
  <c r="L722" i="11"/>
  <c r="C117" i="11"/>
  <c r="Q117" i="11" s="1"/>
  <c r="L117" i="11"/>
  <c r="C734" i="11"/>
  <c r="Q734" i="11" s="1"/>
  <c r="L734" i="11"/>
  <c r="C68" i="11"/>
  <c r="Q68" i="11" s="1"/>
  <c r="L68" i="11"/>
  <c r="Q627" i="11"/>
  <c r="L627" i="11"/>
  <c r="Q605" i="11"/>
  <c r="L605" i="11"/>
  <c r="C672" i="11"/>
  <c r="Q672" i="11" s="1"/>
  <c r="L672" i="11"/>
  <c r="C17" i="11"/>
  <c r="Q17" i="11" s="1"/>
  <c r="L17" i="11"/>
  <c r="C58" i="11"/>
  <c r="Q58" i="11" s="1"/>
  <c r="L58" i="11"/>
  <c r="C195" i="11"/>
  <c r="Q195" i="11" s="1"/>
  <c r="L195" i="11"/>
  <c r="C32" i="11"/>
  <c r="Q32" i="11" s="1"/>
  <c r="M32" i="11"/>
  <c r="Q275" i="11"/>
  <c r="M275" i="11"/>
  <c r="Q529" i="11"/>
  <c r="M529" i="11"/>
  <c r="C322" i="11"/>
  <c r="Q322" i="11" s="1"/>
  <c r="M322" i="11"/>
  <c r="Q403" i="11"/>
  <c r="M403" i="11"/>
  <c r="C15" i="11"/>
  <c r="Q15" i="11" s="1"/>
  <c r="M15" i="11"/>
  <c r="C705" i="11"/>
  <c r="Q705" i="11" s="1"/>
  <c r="M705" i="11"/>
  <c r="C82" i="11"/>
  <c r="Q82" i="11" s="1"/>
  <c r="M82" i="11"/>
  <c r="C645" i="11"/>
  <c r="Q645" i="11" s="1"/>
  <c r="M645" i="11"/>
  <c r="C735" i="11"/>
  <c r="Q735" i="11" s="1"/>
  <c r="M735" i="11"/>
  <c r="C114" i="11"/>
  <c r="Q114" i="11" s="1"/>
  <c r="M114" i="11"/>
  <c r="C430" i="11"/>
  <c r="Q430" i="11" s="1"/>
  <c r="L430" i="11"/>
  <c r="Q108" i="11"/>
  <c r="L108" i="11"/>
  <c r="Q461" i="11"/>
  <c r="L461" i="11"/>
  <c r="Q22" i="11"/>
  <c r="L22" i="11"/>
  <c r="C186" i="11"/>
  <c r="Q186" i="11" s="1"/>
  <c r="L186" i="11"/>
  <c r="Q303" i="11"/>
  <c r="L303" i="11"/>
  <c r="C337" i="11"/>
  <c r="Q337" i="11" s="1"/>
  <c r="L337" i="11"/>
  <c r="Q86" i="11"/>
  <c r="L86" i="11"/>
  <c r="C83" i="11"/>
  <c r="Q83" i="11" s="1"/>
  <c r="L83" i="11"/>
  <c r="C671" i="11"/>
  <c r="Q671" i="11" s="1"/>
  <c r="L671" i="11"/>
  <c r="Q394" i="11"/>
  <c r="L394" i="11"/>
  <c r="C93" i="11"/>
  <c r="Q93" i="11" s="1"/>
  <c r="L93" i="11"/>
  <c r="C256" i="11"/>
  <c r="Q256" i="11" s="1"/>
  <c r="L256" i="11"/>
  <c r="Q539" i="11"/>
  <c r="L539" i="11"/>
  <c r="C682" i="11"/>
  <c r="Q682" i="11" s="1"/>
  <c r="L682" i="11"/>
  <c r="C53" i="11"/>
  <c r="Q53" i="11" s="1"/>
  <c r="L53" i="11"/>
  <c r="Q715" i="11"/>
  <c r="L715" i="11"/>
  <c r="C433" i="11"/>
  <c r="Q433" i="11" s="1"/>
  <c r="L433" i="11"/>
  <c r="C43" i="11"/>
  <c r="Q43" i="11" s="1"/>
  <c r="L43" i="11"/>
  <c r="C255" i="11"/>
  <c r="Q255" i="11" s="1"/>
  <c r="L255" i="11"/>
  <c r="C263" i="11"/>
  <c r="Q263" i="11" s="1"/>
  <c r="L263" i="11"/>
  <c r="C693" i="11"/>
  <c r="Q693" i="11" s="1"/>
  <c r="L693" i="11"/>
  <c r="Q357" i="11"/>
  <c r="L357" i="11"/>
  <c r="Q358" i="11"/>
  <c r="L358" i="11"/>
  <c r="C618" i="11"/>
  <c r="Q618" i="11" s="1"/>
  <c r="L618" i="11"/>
  <c r="Q80" i="11"/>
  <c r="L80" i="11"/>
  <c r="C444" i="11"/>
  <c r="Q444" i="11" s="1"/>
  <c r="L444" i="11"/>
  <c r="C74" i="11"/>
  <c r="Q74" i="11" s="1"/>
  <c r="M74" i="11"/>
  <c r="Q44" i="11"/>
  <c r="M44" i="11"/>
  <c r="C579" i="11"/>
  <c r="Q579" i="11" s="1"/>
  <c r="M579" i="11"/>
  <c r="Q125" i="11"/>
  <c r="M125" i="11"/>
  <c r="Q495" i="11"/>
  <c r="M495" i="11"/>
  <c r="C235" i="11"/>
  <c r="Q235" i="11" s="1"/>
  <c r="M235" i="11"/>
  <c r="C26" i="11"/>
  <c r="Q26" i="11" s="1"/>
  <c r="M26" i="11"/>
  <c r="Q146" i="11"/>
  <c r="M146" i="11"/>
  <c r="C254" i="11"/>
  <c r="Q254" i="11" s="1"/>
  <c r="M254" i="11"/>
  <c r="Q501" i="11"/>
  <c r="M501" i="11"/>
  <c r="C737" i="11"/>
  <c r="Q737" i="11" s="1"/>
  <c r="M737" i="11"/>
  <c r="P574" i="11"/>
  <c r="M437" i="11"/>
  <c r="M287" i="11"/>
  <c r="M678" i="11"/>
  <c r="M145" i="11"/>
  <c r="M676" i="11"/>
  <c r="P717" i="11"/>
  <c r="P277" i="11"/>
  <c r="P703" i="11"/>
  <c r="P206" i="11"/>
  <c r="P285" i="11"/>
  <c r="P10" i="11"/>
  <c r="P555" i="11"/>
  <c r="P467" i="11"/>
  <c r="P361" i="11"/>
  <c r="O183" i="11"/>
  <c r="O229" i="11"/>
  <c r="O200" i="11"/>
  <c r="O347" i="11"/>
  <c r="O368" i="11"/>
  <c r="O594" i="11"/>
  <c r="O95" i="11"/>
  <c r="O556" i="11"/>
  <c r="O602" i="11"/>
  <c r="O621" i="11"/>
  <c r="M195" i="11"/>
  <c r="M58" i="11"/>
  <c r="M17" i="11"/>
  <c r="M672" i="11"/>
  <c r="M605" i="11"/>
  <c r="M627" i="11"/>
  <c r="M68" i="11"/>
  <c r="M734" i="11"/>
  <c r="M117" i="11"/>
  <c r="M722" i="11"/>
  <c r="M141" i="11"/>
  <c r="M143" i="11"/>
  <c r="M544" i="11"/>
  <c r="M181" i="11"/>
  <c r="M323" i="11"/>
  <c r="M110" i="11"/>
  <c r="M663" i="11"/>
  <c r="M684" i="11"/>
  <c r="M726" i="11"/>
  <c r="M449" i="11"/>
  <c r="M57" i="11"/>
  <c r="M28" i="11"/>
  <c r="M410" i="11"/>
  <c r="M507" i="11"/>
  <c r="M94" i="11"/>
  <c r="L379" i="11"/>
  <c r="L646" i="11"/>
  <c r="L640" i="11"/>
  <c r="P120" i="11"/>
  <c r="P124" i="11"/>
  <c r="P128" i="11"/>
  <c r="P131" i="11"/>
  <c r="P133" i="11"/>
  <c r="P136" i="11"/>
  <c r="P138" i="11"/>
  <c r="P144" i="11"/>
  <c r="P147" i="11"/>
  <c r="P151" i="11"/>
  <c r="P153" i="11"/>
  <c r="P155" i="11"/>
  <c r="P157" i="11"/>
  <c r="P160" i="11"/>
  <c r="P161" i="11"/>
  <c r="P163" i="11"/>
  <c r="P165" i="11"/>
  <c r="P166" i="11"/>
  <c r="P168" i="11"/>
  <c r="P169" i="11"/>
  <c r="P171" i="11"/>
  <c r="P175" i="11"/>
  <c r="P176" i="11"/>
  <c r="P177" i="11"/>
  <c r="P178" i="11"/>
  <c r="P180" i="11"/>
  <c r="P182" i="11"/>
  <c r="P185" i="11"/>
  <c r="P188" i="11"/>
  <c r="P190" i="11"/>
  <c r="P192" i="11"/>
  <c r="P193" i="11"/>
  <c r="P194" i="11"/>
  <c r="P196" i="11"/>
  <c r="P198" i="11"/>
  <c r="P201" i="11"/>
  <c r="P203" i="11"/>
  <c r="P205" i="11"/>
  <c r="P208" i="11"/>
  <c r="P210" i="11"/>
  <c r="P211" i="11"/>
  <c r="P212" i="11"/>
  <c r="P214" i="11"/>
  <c r="P215" i="11"/>
  <c r="P216" i="11"/>
  <c r="P221" i="11"/>
  <c r="P222" i="11"/>
  <c r="P225" i="11"/>
  <c r="P226" i="11"/>
  <c r="P232" i="11"/>
  <c r="P237" i="11"/>
  <c r="P240" i="11"/>
  <c r="P242" i="11"/>
  <c r="P243" i="11"/>
  <c r="P245" i="11"/>
  <c r="P249" i="11"/>
  <c r="P250" i="11"/>
  <c r="P251" i="11"/>
  <c r="P252" i="11"/>
  <c r="P260" i="11"/>
  <c r="P261" i="11"/>
  <c r="P264" i="11"/>
  <c r="P267" i="11"/>
  <c r="P269" i="11"/>
  <c r="P270" i="11"/>
  <c r="P271" i="11"/>
  <c r="P272" i="11"/>
  <c r="P274" i="11"/>
  <c r="P276" i="11"/>
  <c r="P278" i="11"/>
  <c r="P281" i="11"/>
  <c r="P282" i="11"/>
  <c r="P286" i="11"/>
  <c r="P288" i="11"/>
  <c r="P290" i="11"/>
  <c r="P293" i="11"/>
  <c r="P295" i="11"/>
  <c r="P296" i="11"/>
  <c r="P299" i="11"/>
  <c r="P302" i="11"/>
  <c r="P304" i="11"/>
  <c r="P305" i="11"/>
  <c r="P309" i="11"/>
  <c r="P314" i="11"/>
  <c r="P316" i="11"/>
  <c r="P317" i="11"/>
  <c r="P320" i="11"/>
  <c r="P329" i="11"/>
  <c r="P332" i="11"/>
  <c r="P334" i="11"/>
  <c r="P335" i="11"/>
  <c r="P340" i="11"/>
  <c r="P341" i="11"/>
  <c r="P343" i="11"/>
  <c r="P344" i="11"/>
  <c r="P345" i="11"/>
  <c r="P349" i="11"/>
  <c r="P350" i="11"/>
  <c r="P353" i="11"/>
  <c r="P355" i="11"/>
  <c r="P356" i="11"/>
  <c r="P359" i="11"/>
  <c r="P365" i="11"/>
  <c r="P369" i="11"/>
  <c r="P372" i="11"/>
  <c r="P374" i="11"/>
  <c r="P377" i="11"/>
  <c r="P378" i="11"/>
  <c r="P380" i="11"/>
  <c r="P383" i="11"/>
  <c r="P386" i="11"/>
  <c r="P388" i="11"/>
  <c r="P391" i="11"/>
  <c r="P392" i="11"/>
  <c r="P396" i="11"/>
  <c r="P397" i="11"/>
  <c r="P398" i="11"/>
  <c r="P399" i="11"/>
  <c r="P402" i="11"/>
  <c r="P406" i="11"/>
  <c r="P409" i="11"/>
  <c r="P414" i="11"/>
  <c r="P417" i="11"/>
  <c r="P418" i="11"/>
  <c r="P421" i="11"/>
  <c r="P422" i="11"/>
  <c r="P423" i="11"/>
  <c r="P426" i="11"/>
  <c r="P427" i="11"/>
  <c r="P431" i="11"/>
  <c r="P434" i="11"/>
  <c r="P438" i="11"/>
  <c r="P439" i="11"/>
  <c r="P441" i="11"/>
  <c r="P443" i="11"/>
  <c r="P448" i="11"/>
  <c r="P451" i="11"/>
  <c r="P452" i="11"/>
  <c r="P453" i="11"/>
  <c r="P454" i="11"/>
  <c r="P457" i="11"/>
  <c r="P460" i="11"/>
  <c r="P463" i="11"/>
  <c r="P465" i="11"/>
  <c r="P471" i="11"/>
  <c r="P472" i="11"/>
  <c r="P474" i="11"/>
  <c r="P475" i="11"/>
  <c r="P477" i="11"/>
  <c r="P478" i="11"/>
  <c r="P483" i="11"/>
  <c r="P487" i="11"/>
  <c r="P489" i="11"/>
  <c r="P492" i="11"/>
  <c r="P499" i="11"/>
  <c r="P502" i="11"/>
  <c r="P504" i="11"/>
  <c r="P508" i="11"/>
  <c r="P509" i="11"/>
  <c r="P510" i="11"/>
  <c r="P512" i="11"/>
  <c r="P517" i="11"/>
  <c r="P519" i="11"/>
  <c r="P521" i="11"/>
  <c r="P527" i="11"/>
  <c r="P528" i="11"/>
  <c r="P530" i="11"/>
  <c r="P531" i="11"/>
  <c r="P534" i="11"/>
  <c r="P537" i="11"/>
  <c r="P540" i="11"/>
  <c r="P542" i="11"/>
  <c r="P548" i="11"/>
  <c r="P549" i="11"/>
  <c r="P551" i="11"/>
  <c r="P552" i="11"/>
  <c r="P554" i="11"/>
  <c r="P557" i="11"/>
  <c r="P559" i="11"/>
  <c r="P560" i="11"/>
  <c r="P561" i="11"/>
  <c r="P563" i="11"/>
  <c r="P565" i="11"/>
  <c r="P567" i="11"/>
  <c r="P568" i="11"/>
  <c r="P573" i="11"/>
  <c r="P575" i="11"/>
  <c r="P578" i="11"/>
  <c r="P582" i="11"/>
  <c r="P585" i="11"/>
  <c r="P590" i="11"/>
  <c r="P591" i="11"/>
  <c r="P592" i="11"/>
  <c r="P595" i="11"/>
  <c r="P596" i="11"/>
  <c r="P598" i="11"/>
  <c r="P601" i="11"/>
  <c r="P607" i="11"/>
  <c r="P609" i="11"/>
  <c r="P610" i="11"/>
  <c r="P612" i="11"/>
  <c r="P613" i="11"/>
  <c r="P616" i="11"/>
  <c r="P620" i="11"/>
  <c r="P624" i="11"/>
  <c r="P629" i="11"/>
  <c r="P634" i="11"/>
  <c r="P636" i="11"/>
  <c r="P639" i="11"/>
  <c r="P641" i="11"/>
  <c r="P644" i="11"/>
  <c r="P648" i="11"/>
  <c r="P651" i="11"/>
  <c r="P653" i="11"/>
  <c r="P654" i="11"/>
  <c r="P659" i="11"/>
  <c r="P662" i="11"/>
  <c r="P664" i="11"/>
  <c r="P665" i="11"/>
  <c r="P669" i="11"/>
  <c r="O120" i="11"/>
  <c r="O124" i="11"/>
  <c r="O128" i="11"/>
  <c r="O131" i="11"/>
  <c r="O133" i="11"/>
  <c r="O136" i="11"/>
  <c r="O138" i="11"/>
  <c r="O144" i="11"/>
  <c r="O147" i="11"/>
  <c r="O151" i="11"/>
  <c r="O153" i="11"/>
  <c r="O155" i="11"/>
  <c r="O157" i="11"/>
  <c r="O160" i="11"/>
  <c r="O161" i="11"/>
  <c r="O163" i="11"/>
  <c r="O165" i="11"/>
  <c r="O166" i="11"/>
  <c r="O168" i="11"/>
  <c r="O169" i="11"/>
  <c r="O171" i="11"/>
  <c r="O175" i="11"/>
  <c r="O176" i="11"/>
  <c r="O177" i="11"/>
  <c r="O178" i="11"/>
  <c r="O180" i="11"/>
  <c r="O182" i="11"/>
  <c r="O185" i="11"/>
  <c r="O188" i="11"/>
  <c r="O190" i="11"/>
  <c r="O192" i="11"/>
  <c r="O193" i="11"/>
  <c r="O194" i="11"/>
  <c r="O196" i="11"/>
  <c r="O198" i="11"/>
  <c r="O201" i="11"/>
  <c r="O203" i="11"/>
  <c r="O205" i="11"/>
  <c r="O208" i="11"/>
  <c r="O210" i="11"/>
  <c r="O211" i="11"/>
  <c r="O212" i="11"/>
  <c r="O214" i="11"/>
  <c r="O215" i="11"/>
  <c r="O216" i="11"/>
  <c r="O221" i="11"/>
  <c r="O222" i="11"/>
  <c r="O225" i="11"/>
  <c r="O226" i="11"/>
  <c r="O232" i="11"/>
  <c r="O237" i="11"/>
  <c r="O240" i="11"/>
  <c r="O242" i="11"/>
  <c r="O243" i="11"/>
  <c r="O245" i="11"/>
  <c r="O249" i="11"/>
  <c r="O250" i="11"/>
  <c r="O251" i="11"/>
  <c r="O252" i="11"/>
  <c r="O260" i="11"/>
  <c r="O261" i="11"/>
  <c r="O264" i="11"/>
  <c r="O267" i="11"/>
  <c r="O269" i="11"/>
  <c r="O270" i="11"/>
  <c r="O271" i="11"/>
  <c r="O272" i="11"/>
  <c r="O274" i="11"/>
  <c r="O276" i="11"/>
  <c r="O278" i="11"/>
  <c r="O281" i="11"/>
  <c r="O282" i="11"/>
  <c r="O286" i="11"/>
  <c r="O288" i="11"/>
  <c r="O290" i="11"/>
  <c r="O293" i="11"/>
  <c r="O295" i="11"/>
  <c r="O296" i="11"/>
  <c r="O299" i="11"/>
  <c r="O302" i="11"/>
  <c r="O304" i="11"/>
  <c r="O305" i="11"/>
  <c r="O309" i="11"/>
  <c r="O314" i="11"/>
  <c r="O316" i="11"/>
  <c r="O317" i="11"/>
  <c r="O320" i="11"/>
  <c r="O329" i="11"/>
  <c r="O332" i="11"/>
  <c r="O334" i="11"/>
  <c r="O335" i="11"/>
  <c r="O340" i="11"/>
  <c r="O341" i="11"/>
  <c r="O343" i="11"/>
  <c r="O344" i="11"/>
  <c r="O345" i="11"/>
  <c r="O349" i="11"/>
  <c r="O350" i="11"/>
  <c r="O353" i="11"/>
  <c r="O355" i="11"/>
  <c r="O356" i="11"/>
  <c r="O359" i="11"/>
  <c r="O365" i="11"/>
  <c r="O369" i="11"/>
  <c r="O372" i="11"/>
  <c r="O374" i="11"/>
  <c r="O377" i="11"/>
  <c r="O378" i="11"/>
  <c r="O380" i="11"/>
  <c r="O383" i="11"/>
  <c r="O386" i="11"/>
  <c r="O388" i="11"/>
  <c r="O391" i="11"/>
  <c r="O392" i="11"/>
  <c r="O396" i="11"/>
  <c r="O397" i="11"/>
  <c r="O398" i="11"/>
  <c r="O399" i="11"/>
  <c r="O402" i="11"/>
  <c r="O406" i="11"/>
  <c r="O409" i="11"/>
  <c r="O414" i="11"/>
  <c r="O417" i="11"/>
  <c r="O418" i="11"/>
  <c r="O421" i="11"/>
  <c r="O422" i="11"/>
  <c r="O423" i="11"/>
  <c r="O426" i="11"/>
  <c r="O427" i="11"/>
  <c r="O431" i="11"/>
  <c r="O434" i="11"/>
  <c r="O438" i="11"/>
  <c r="O439" i="11"/>
  <c r="O441" i="11"/>
  <c r="O443" i="11"/>
  <c r="O448" i="11"/>
  <c r="O451" i="11"/>
  <c r="O452" i="11"/>
  <c r="O453" i="11"/>
  <c r="O454" i="11"/>
  <c r="O457" i="11"/>
  <c r="O460" i="11"/>
  <c r="O463" i="11"/>
  <c r="O465" i="11"/>
  <c r="O471" i="11"/>
  <c r="O472" i="11"/>
  <c r="O474" i="11"/>
  <c r="O475" i="11"/>
  <c r="O477" i="11"/>
  <c r="O478" i="11"/>
  <c r="O483" i="11"/>
  <c r="O487" i="11"/>
  <c r="O489" i="11"/>
  <c r="O492" i="11"/>
  <c r="O499" i="11"/>
  <c r="O502" i="11"/>
  <c r="O504" i="11"/>
  <c r="O508" i="11"/>
  <c r="O509" i="11"/>
  <c r="O510" i="11"/>
  <c r="O512" i="11"/>
  <c r="O517" i="11"/>
  <c r="O519" i="11"/>
  <c r="O521" i="11"/>
  <c r="O527" i="11"/>
  <c r="O528" i="11"/>
  <c r="O530" i="11"/>
  <c r="O531" i="11"/>
  <c r="O534" i="11"/>
  <c r="O537" i="11"/>
  <c r="O540" i="11"/>
  <c r="O542" i="11"/>
  <c r="O548" i="11"/>
  <c r="O549" i="11"/>
  <c r="O551" i="11"/>
  <c r="O552" i="11"/>
  <c r="O554" i="11"/>
  <c r="O557" i="11"/>
  <c r="O559" i="11"/>
  <c r="O560" i="11"/>
  <c r="O561" i="11"/>
  <c r="O563" i="11"/>
  <c r="O565" i="11"/>
  <c r="O567" i="11"/>
  <c r="O568" i="11"/>
  <c r="O573" i="11"/>
  <c r="O575" i="11"/>
  <c r="O578" i="11"/>
  <c r="O582" i="11"/>
  <c r="O585" i="11"/>
  <c r="O590" i="11"/>
  <c r="O591" i="11"/>
  <c r="O592" i="11"/>
  <c r="O595" i="11"/>
  <c r="O596" i="11"/>
  <c r="O598" i="11"/>
  <c r="O601" i="11"/>
  <c r="O607" i="11"/>
  <c r="O609" i="11"/>
  <c r="O610" i="11"/>
  <c r="O612" i="11"/>
  <c r="O613" i="11"/>
  <c r="O616" i="11"/>
  <c r="O620" i="11"/>
  <c r="O624" i="11"/>
  <c r="O629" i="11"/>
  <c r="O634" i="11"/>
  <c r="O636" i="11"/>
  <c r="O639" i="11"/>
  <c r="O641" i="11"/>
  <c r="O644" i="11"/>
  <c r="O648" i="11"/>
  <c r="O651" i="11"/>
  <c r="O653" i="11"/>
  <c r="O654" i="11"/>
  <c r="O659" i="11"/>
  <c r="O662" i="11"/>
  <c r="O664" i="11"/>
  <c r="O665" i="11"/>
  <c r="O669" i="11"/>
  <c r="Q622" i="11" l="1"/>
  <c r="N111" i="11"/>
  <c r="O103" i="11"/>
  <c r="P103" i="11"/>
  <c r="Q103" i="11"/>
  <c r="Q111" i="11"/>
  <c r="Q625" i="11"/>
  <c r="Q207" i="11"/>
  <c r="Q416" i="11"/>
  <c r="Q513" i="11"/>
  <c r="Q373" i="11"/>
  <c r="Q279" i="11"/>
  <c r="Q626" i="11"/>
  <c r="Q326" i="11"/>
  <c r="Q241" i="11"/>
  <c r="O76" i="11"/>
  <c r="Q614" i="11"/>
  <c r="Q482" i="11"/>
  <c r="Q387" i="11"/>
  <c r="Q46" i="11"/>
  <c r="Q555" i="11"/>
  <c r="Q652" i="11"/>
  <c r="Q142" i="11"/>
  <c r="Q692" i="11"/>
  <c r="Q572" i="11"/>
  <c r="Q498" i="11"/>
  <c r="Q16" i="11"/>
  <c r="Q429" i="11"/>
  <c r="Q385" i="11"/>
  <c r="Q721" i="11"/>
  <c r="Q45" i="11"/>
  <c r="Q593" i="11"/>
  <c r="N445" i="11"/>
  <c r="O445" i="11"/>
  <c r="P445" i="11"/>
  <c r="Q318" i="11"/>
  <c r="N41" i="11"/>
  <c r="O41" i="11"/>
  <c r="N413" i="11"/>
  <c r="O413" i="11"/>
  <c r="P413" i="11"/>
  <c r="N173" i="11"/>
  <c r="O173" i="11"/>
  <c r="P173" i="11"/>
  <c r="N51" i="11"/>
  <c r="O51" i="11"/>
  <c r="P51" i="11"/>
  <c r="O473" i="11"/>
  <c r="N473" i="11"/>
  <c r="P473" i="11"/>
  <c r="N56" i="11"/>
  <c r="O56" i="11"/>
  <c r="P56" i="11"/>
  <c r="N97" i="11"/>
  <c r="O97" i="11"/>
  <c r="P97" i="11"/>
  <c r="N84" i="11"/>
  <c r="O84" i="11"/>
  <c r="P84" i="11"/>
  <c r="O60" i="11"/>
  <c r="N60" i="11"/>
  <c r="P60" i="11"/>
  <c r="N179" i="11"/>
  <c r="O179" i="11"/>
  <c r="P179" i="11"/>
  <c r="N716" i="11"/>
  <c r="O716" i="11"/>
  <c r="P716" i="11"/>
  <c r="N313" i="11"/>
  <c r="O313" i="11"/>
  <c r="P313" i="11"/>
  <c r="O696" i="11"/>
  <c r="N696" i="11"/>
  <c r="P696" i="11"/>
  <c r="N246" i="11"/>
  <c r="O246" i="11"/>
  <c r="P246" i="11"/>
  <c r="N516" i="11"/>
  <c r="O516" i="11"/>
  <c r="P516" i="11"/>
  <c r="N88" i="11"/>
  <c r="O88" i="11"/>
  <c r="P88" i="11"/>
  <c r="O230" i="11"/>
  <c r="N230" i="11"/>
  <c r="P230" i="11"/>
  <c r="N677" i="11"/>
  <c r="O677" i="11"/>
  <c r="P677" i="11"/>
  <c r="N77" i="11"/>
  <c r="O77" i="11"/>
  <c r="P77" i="11"/>
  <c r="N234" i="11"/>
  <c r="O234" i="11"/>
  <c r="P234" i="11"/>
  <c r="Q526" i="11"/>
  <c r="Q64" i="11"/>
  <c r="Q149" i="11"/>
  <c r="Q632" i="11"/>
  <c r="Q150" i="11"/>
  <c r="Q363" i="11"/>
  <c r="Q658" i="11"/>
  <c r="Q702" i="11"/>
  <c r="N370" i="11"/>
  <c r="O370" i="11"/>
  <c r="P370" i="11"/>
  <c r="N522" i="11"/>
  <c r="O522" i="11"/>
  <c r="P522" i="11"/>
  <c r="O536" i="11"/>
  <c r="N536" i="11"/>
  <c r="P536" i="11"/>
  <c r="O623" i="11"/>
  <c r="N623" i="11"/>
  <c r="P623" i="11"/>
  <c r="O315" i="11"/>
  <c r="N315" i="11"/>
  <c r="P315" i="11"/>
  <c r="N91" i="11"/>
  <c r="O91" i="11"/>
  <c r="P91" i="11"/>
  <c r="Q467" i="11"/>
  <c r="Q291" i="11"/>
  <c r="Q361" i="11"/>
  <c r="N520" i="11"/>
  <c r="O520" i="11"/>
  <c r="P520" i="11"/>
  <c r="N408" i="11"/>
  <c r="O408" i="11"/>
  <c r="P408" i="11"/>
  <c r="N436" i="11"/>
  <c r="O436" i="11"/>
  <c r="P436" i="11"/>
  <c r="N75" i="11"/>
  <c r="O75" i="11"/>
  <c r="P75" i="11"/>
  <c r="N570" i="11"/>
  <c r="O570" i="11"/>
  <c r="P570" i="11"/>
  <c r="O714" i="11"/>
  <c r="N714" i="11"/>
  <c r="P714" i="11"/>
  <c r="N381" i="11"/>
  <c r="O381" i="11"/>
  <c r="P381" i="11"/>
  <c r="O79" i="11"/>
  <c r="N79" i="11"/>
  <c r="P79" i="11"/>
  <c r="N447" i="11"/>
  <c r="O447" i="11"/>
  <c r="P447" i="11"/>
  <c r="O159" i="11"/>
  <c r="N159" i="11"/>
  <c r="P159" i="11"/>
  <c r="N139" i="11"/>
  <c r="O139" i="11"/>
  <c r="P139" i="11"/>
  <c r="O643" i="11"/>
  <c r="N643" i="11"/>
  <c r="P643" i="11"/>
  <c r="N42" i="11"/>
  <c r="O42" i="11"/>
  <c r="P42" i="11"/>
  <c r="O524" i="11"/>
  <c r="N524" i="11"/>
  <c r="P524" i="11"/>
  <c r="N23" i="11"/>
  <c r="O23" i="11"/>
  <c r="P23" i="11"/>
  <c r="O661" i="11"/>
  <c r="N661" i="11"/>
  <c r="P661" i="11"/>
  <c r="N694" i="11"/>
  <c r="O694" i="11"/>
  <c r="P694" i="11"/>
  <c r="O562" i="11"/>
  <c r="N562" i="11"/>
  <c r="P562" i="11"/>
  <c r="N543" i="11"/>
  <c r="O543" i="11"/>
  <c r="P543" i="11"/>
  <c r="O262" i="11"/>
  <c r="N262" i="11"/>
  <c r="P262" i="11"/>
  <c r="N321" i="11"/>
  <c r="O321" i="11"/>
  <c r="P321" i="11"/>
  <c r="O366" i="11"/>
  <c r="N366" i="11"/>
  <c r="P366" i="11"/>
  <c r="N382" i="11"/>
  <c r="O382" i="11"/>
  <c r="P382" i="11"/>
  <c r="O514" i="11"/>
  <c r="N514" i="11"/>
  <c r="P514" i="11"/>
  <c r="O681" i="11"/>
  <c r="N681" i="11"/>
  <c r="P681" i="11"/>
  <c r="O390" i="11"/>
  <c r="N390" i="11"/>
  <c r="P390" i="11"/>
  <c r="N200" i="11"/>
  <c r="P200" i="11"/>
  <c r="O724" i="11"/>
  <c r="N724" i="11"/>
  <c r="P724" i="11"/>
  <c r="N368" i="11"/>
  <c r="P368" i="11"/>
  <c r="O576" i="11"/>
  <c r="N576" i="11"/>
  <c r="P576" i="11"/>
  <c r="N476" i="11"/>
  <c r="P476" i="11"/>
  <c r="O494" i="11"/>
  <c r="P494" i="11"/>
  <c r="N494" i="11"/>
  <c r="N594" i="11"/>
  <c r="P594" i="11"/>
  <c r="N712" i="11"/>
  <c r="O712" i="11"/>
  <c r="P712" i="11"/>
  <c r="N571" i="11"/>
  <c r="O571" i="11"/>
  <c r="P571" i="11"/>
  <c r="O121" i="11"/>
  <c r="P121" i="11"/>
  <c r="N121" i="11"/>
  <c r="Q695" i="11"/>
  <c r="Q107" i="11"/>
  <c r="O297" i="11"/>
  <c r="O476" i="11"/>
  <c r="P59" i="11"/>
  <c r="P455" i="11"/>
  <c r="P342" i="11"/>
  <c r="P667" i="11"/>
  <c r="P61" i="11"/>
  <c r="P701" i="11"/>
  <c r="P70" i="11"/>
  <c r="P511" i="11"/>
  <c r="P81" i="11"/>
  <c r="P280" i="11"/>
  <c r="O703" i="11"/>
  <c r="P713" i="11"/>
  <c r="O574" i="11"/>
  <c r="P676" i="11"/>
  <c r="P678" i="11"/>
  <c r="P437" i="11"/>
  <c r="N81" i="11"/>
  <c r="O34" i="11"/>
  <c r="N511" i="11"/>
  <c r="O506" i="11"/>
  <c r="N70" i="11"/>
  <c r="O485" i="11"/>
  <c r="O541" i="11"/>
  <c r="O375" i="11"/>
  <c r="O727" i="11"/>
  <c r="O50" i="11"/>
  <c r="O371" i="11"/>
  <c r="O30" i="11"/>
  <c r="O704" i="11"/>
  <c r="O85" i="11"/>
  <c r="O588" i="11"/>
  <c r="O395" i="11"/>
  <c r="O367" i="11"/>
  <c r="O327" i="11"/>
  <c r="O425" i="11"/>
  <c r="O126" i="11"/>
  <c r="O71" i="11"/>
  <c r="P113" i="11"/>
  <c r="N113" i="11"/>
  <c r="P348" i="11"/>
  <c r="N348" i="11"/>
  <c r="P308" i="11"/>
  <c r="N308" i="11"/>
  <c r="O331" i="11"/>
  <c r="P294" i="11"/>
  <c r="N294" i="11"/>
  <c r="O29" i="11"/>
  <c r="P456" i="11"/>
  <c r="N456" i="11"/>
  <c r="O48" i="11"/>
  <c r="P484" i="11"/>
  <c r="N484" i="11"/>
  <c r="O132" i="11"/>
  <c r="P116" i="11"/>
  <c r="N116" i="11"/>
  <c r="O6" i="11"/>
  <c r="P490" i="11"/>
  <c r="N490" i="11"/>
  <c r="O468" i="11"/>
  <c r="P106" i="11"/>
  <c r="N106" i="11"/>
  <c r="O535" i="11"/>
  <c r="P503" i="11"/>
  <c r="N503" i="11"/>
  <c r="O361" i="11"/>
  <c r="O167" i="11"/>
  <c r="P688" i="11"/>
  <c r="N688" i="11"/>
  <c r="O231" i="11"/>
  <c r="P488" i="11"/>
  <c r="N488" i="11"/>
  <c r="O342" i="11"/>
  <c r="O59" i="11"/>
  <c r="N676" i="11"/>
  <c r="N678" i="11"/>
  <c r="N437" i="11"/>
  <c r="P41" i="11"/>
  <c r="N277" i="11"/>
  <c r="O289" i="11"/>
  <c r="O633" i="11"/>
  <c r="P52" i="11"/>
  <c r="P635" i="11"/>
  <c r="P213" i="11"/>
  <c r="P69" i="11"/>
  <c r="N547" i="11"/>
  <c r="O404" i="11"/>
  <c r="O440" i="11"/>
  <c r="P440" i="11"/>
  <c r="N69" i="11"/>
  <c r="O470" i="11"/>
  <c r="P140" i="11"/>
  <c r="N458" i="11"/>
  <c r="N52" i="11"/>
  <c r="P615" i="11"/>
  <c r="P730" i="11"/>
  <c r="Q41" i="11"/>
  <c r="Q437" i="11"/>
  <c r="Q287" i="11"/>
  <c r="Q678" i="11"/>
  <c r="Q145" i="11"/>
  <c r="Q676" i="11"/>
  <c r="Q718" i="11"/>
  <c r="Q34" i="11"/>
  <c r="Q713" i="11"/>
  <c r="Q506" i="11"/>
  <c r="Q98" i="11"/>
  <c r="Q485" i="11"/>
  <c r="N233" i="11"/>
  <c r="O233" i="11"/>
  <c r="P233" i="11"/>
  <c r="N518" i="11"/>
  <c r="O518" i="11"/>
  <c r="P518" i="11"/>
  <c r="O497" i="11"/>
  <c r="N497" i="11"/>
  <c r="P497" i="11"/>
  <c r="Q413" i="11"/>
  <c r="Q173" i="11"/>
  <c r="Q51" i="11"/>
  <c r="Q473" i="11"/>
  <c r="Q56" i="11"/>
  <c r="Q97" i="11"/>
  <c r="Q84" i="11"/>
  <c r="Q60" i="11"/>
  <c r="Q179" i="11"/>
  <c r="Q716" i="11"/>
  <c r="Q313" i="11"/>
  <c r="Q696" i="11"/>
  <c r="Q246" i="11"/>
  <c r="Q516" i="11"/>
  <c r="Q88" i="11"/>
  <c r="Q230" i="11"/>
  <c r="Q677" i="11"/>
  <c r="O710" i="11"/>
  <c r="N710" i="11"/>
  <c r="P710" i="11"/>
  <c r="N73" i="11"/>
  <c r="O73" i="11"/>
  <c r="P73" i="11"/>
  <c r="N325" i="11"/>
  <c r="O325" i="11"/>
  <c r="P325" i="11"/>
  <c r="Q77" i="11"/>
  <c r="Q234" i="11"/>
  <c r="Q375" i="11"/>
  <c r="Q727" i="11"/>
  <c r="Q50" i="11"/>
  <c r="Q371" i="11"/>
  <c r="Q40" i="11"/>
  <c r="Q354" i="11"/>
  <c r="Q172" i="11"/>
  <c r="Q395" i="11"/>
  <c r="Q367" i="11"/>
  <c r="Q327" i="11"/>
  <c r="Q708" i="11"/>
  <c r="Q47" i="11"/>
  <c r="Q220" i="11"/>
  <c r="O532" i="11"/>
  <c r="N532" i="11"/>
  <c r="P532" i="11"/>
  <c r="N183" i="11"/>
  <c r="P183" i="11"/>
  <c r="O158" i="11"/>
  <c r="N158" i="11"/>
  <c r="P158" i="11"/>
  <c r="O674" i="11"/>
  <c r="N674" i="11"/>
  <c r="P674" i="11"/>
  <c r="N229" i="11"/>
  <c r="P229" i="11"/>
  <c r="O13" i="11"/>
  <c r="N13" i="11"/>
  <c r="P13" i="11"/>
  <c r="N347" i="11"/>
  <c r="P347" i="11"/>
  <c r="O376" i="11"/>
  <c r="N376" i="11"/>
  <c r="P376" i="11"/>
  <c r="N95" i="11"/>
  <c r="P95" i="11"/>
  <c r="Q370" i="11"/>
  <c r="N49" i="11"/>
  <c r="O49" i="11"/>
  <c r="P49" i="11"/>
  <c r="Q522" i="11"/>
  <c r="N553" i="11"/>
  <c r="P553" i="11"/>
  <c r="O553" i="11"/>
  <c r="Q536" i="11"/>
  <c r="N697" i="11"/>
  <c r="O697" i="11"/>
  <c r="P697" i="11"/>
  <c r="Q623" i="11"/>
  <c r="N339" i="11"/>
  <c r="P339" i="11"/>
  <c r="O339" i="11"/>
  <c r="Q315" i="11"/>
  <c r="N134" i="11"/>
  <c r="O134" i="11"/>
  <c r="P134" i="11"/>
  <c r="Q91" i="11"/>
  <c r="Q351" i="11"/>
  <c r="Q698" i="11"/>
  <c r="Q312" i="11"/>
  <c r="Q342" i="11"/>
  <c r="Q597" i="11"/>
  <c r="Q455" i="11"/>
  <c r="Q336" i="11"/>
  <c r="Q59" i="11"/>
  <c r="Q458" i="11"/>
  <c r="Q470" i="11"/>
  <c r="Q69" i="11"/>
  <c r="Q140" i="11"/>
  <c r="Q580" i="11"/>
  <c r="Q730" i="11"/>
  <c r="Q213" i="11"/>
  <c r="Q574" i="11"/>
  <c r="Q280" i="11"/>
  <c r="Q717" i="11"/>
  <c r="Q481" i="11"/>
  <c r="Q259" i="11"/>
  <c r="Q635" i="11"/>
  <c r="Q440" i="11"/>
  <c r="Q703" i="11"/>
  <c r="Q547" i="11"/>
  <c r="Q615" i="11"/>
  <c r="Q52" i="11"/>
  <c r="Q407" i="11"/>
  <c r="Q541" i="11"/>
  <c r="O700" i="11"/>
  <c r="N700" i="11"/>
  <c r="P700" i="11"/>
  <c r="Q520" i="11"/>
  <c r="N411" i="11"/>
  <c r="O411" i="11"/>
  <c r="P411" i="11"/>
  <c r="Q445" i="11"/>
  <c r="O247" i="11"/>
  <c r="N247" i="11"/>
  <c r="P247" i="11"/>
  <c r="Q408" i="11"/>
  <c r="N360" i="11"/>
  <c r="O360" i="11"/>
  <c r="P360" i="11"/>
  <c r="Q436" i="11"/>
  <c r="O12" i="11"/>
  <c r="N12" i="11"/>
  <c r="P12" i="11"/>
  <c r="Q75" i="11"/>
  <c r="N729" i="11"/>
  <c r="O729" i="11"/>
  <c r="P729" i="11"/>
  <c r="Q570" i="11"/>
  <c r="N218" i="11"/>
  <c r="O218" i="11"/>
  <c r="P218" i="11"/>
  <c r="Q714" i="11"/>
  <c r="N400" i="11"/>
  <c r="O400" i="11"/>
  <c r="P400" i="11"/>
  <c r="Q381" i="11"/>
  <c r="N604" i="11"/>
  <c r="O604" i="11"/>
  <c r="P604" i="11"/>
  <c r="Q79" i="11"/>
  <c r="N638" i="11"/>
  <c r="O638" i="11"/>
  <c r="P638" i="11"/>
  <c r="Q447" i="11"/>
  <c r="N223" i="11"/>
  <c r="O223" i="11"/>
  <c r="P223" i="11"/>
  <c r="Q159" i="11"/>
  <c r="Q139" i="11"/>
  <c r="N589" i="11"/>
  <c r="O589" i="11"/>
  <c r="P589" i="11"/>
  <c r="Q643" i="11"/>
  <c r="N123" i="11"/>
  <c r="O123" i="11"/>
  <c r="P123" i="11"/>
  <c r="Q42" i="11"/>
  <c r="N283" i="11"/>
  <c r="O283" i="11"/>
  <c r="P283" i="11"/>
  <c r="N699" i="11"/>
  <c r="O699" i="11"/>
  <c r="P699" i="11"/>
  <c r="Q524" i="11"/>
  <c r="N189" i="11"/>
  <c r="O189" i="11"/>
  <c r="P189" i="11"/>
  <c r="Q23" i="11"/>
  <c r="N24" i="11"/>
  <c r="O24" i="11"/>
  <c r="P24" i="11"/>
  <c r="Q661" i="11"/>
  <c r="N21" i="11"/>
  <c r="O21" i="11"/>
  <c r="P21" i="11"/>
  <c r="Q694" i="11"/>
  <c r="N307" i="11"/>
  <c r="O307" i="11"/>
  <c r="P307" i="11"/>
  <c r="Q562" i="11"/>
  <c r="N466" i="11"/>
  <c r="O466" i="11"/>
  <c r="P466" i="11"/>
  <c r="Q543" i="11"/>
  <c r="N346" i="11"/>
  <c r="O346" i="11"/>
  <c r="P346" i="11"/>
  <c r="Q262" i="11"/>
  <c r="N611" i="11"/>
  <c r="O611" i="11"/>
  <c r="P611" i="11"/>
  <c r="Q321" i="11"/>
  <c r="N99" i="11"/>
  <c r="O99" i="11"/>
  <c r="P99" i="11"/>
  <c r="Q366" i="11"/>
  <c r="N253" i="11"/>
  <c r="O253" i="11"/>
  <c r="P253" i="11"/>
  <c r="Q382" i="11"/>
  <c r="N112" i="11"/>
  <c r="O112" i="11"/>
  <c r="P112" i="11"/>
  <c r="Q514" i="11"/>
  <c r="Q19" i="11"/>
  <c r="Q30" i="11"/>
  <c r="Q704" i="11"/>
  <c r="Q85" i="11"/>
  <c r="Q588" i="11"/>
  <c r="Q425" i="11"/>
  <c r="Q126" i="11"/>
  <c r="Q71" i="11"/>
  <c r="Q306" i="11"/>
  <c r="Q239" i="11"/>
  <c r="Q63" i="11"/>
  <c r="Q564" i="11"/>
  <c r="Q505" i="11"/>
  <c r="Q479" i="11"/>
  <c r="Q265" i="11"/>
  <c r="Q96" i="11"/>
  <c r="Q109" i="11"/>
  <c r="Q18" i="11"/>
  <c r="Q681" i="11"/>
  <c r="Q668" i="11"/>
  <c r="Q273" i="11"/>
  <c r="Q390" i="11"/>
  <c r="Q200" i="11"/>
  <c r="Q127" i="11"/>
  <c r="Q11" i="11"/>
  <c r="Q724" i="11"/>
  <c r="Q368" i="11"/>
  <c r="Q576" i="11"/>
  <c r="Q476" i="11"/>
  <c r="Q494" i="11"/>
  <c r="Q594" i="11"/>
  <c r="Q404" i="11"/>
  <c r="N602" i="11"/>
  <c r="P602" i="11"/>
  <c r="O224" i="11"/>
  <c r="N224" i="11"/>
  <c r="P224" i="11"/>
  <c r="N25" i="11"/>
  <c r="P25" i="11"/>
  <c r="O25" i="11"/>
  <c r="Q712" i="11"/>
  <c r="Q571" i="11"/>
  <c r="O538" i="11"/>
  <c r="P538" i="11"/>
  <c r="N538" i="11"/>
  <c r="N39" i="11"/>
  <c r="P39" i="11"/>
  <c r="O39" i="11"/>
  <c r="N8" i="11"/>
  <c r="O8" i="11"/>
  <c r="P8" i="11"/>
  <c r="N550" i="11"/>
  <c r="O550" i="11"/>
  <c r="P550" i="11"/>
  <c r="Q121" i="11"/>
  <c r="P698" i="11"/>
  <c r="P96" i="11"/>
  <c r="P387" i="11"/>
  <c r="P207" i="11"/>
  <c r="P625" i="11"/>
  <c r="P40" i="11"/>
  <c r="P279" i="11"/>
  <c r="P241" i="11"/>
  <c r="N505" i="11"/>
  <c r="N306" i="11"/>
  <c r="N47" i="11"/>
  <c r="N614" i="11"/>
  <c r="O721" i="11"/>
  <c r="O429" i="11"/>
  <c r="O513" i="11"/>
  <c r="O625" i="11"/>
  <c r="O279" i="11"/>
  <c r="P721" i="11"/>
  <c r="P429" i="11"/>
  <c r="P513" i="11"/>
  <c r="D14" i="31"/>
  <c r="B15" i="20" s="1"/>
  <c r="O581" i="11"/>
  <c r="P581" i="11"/>
  <c r="N581" i="11"/>
  <c r="O202" i="11"/>
  <c r="P202" i="11"/>
  <c r="N202" i="11"/>
  <c r="O642" i="11"/>
  <c r="N642" i="11"/>
  <c r="N142" i="11"/>
  <c r="O142" i="11"/>
  <c r="N354" i="11"/>
  <c r="O354" i="11"/>
  <c r="N482" i="11"/>
  <c r="O482" i="11"/>
  <c r="O364" i="11"/>
  <c r="N364" i="11"/>
  <c r="N572" i="11"/>
  <c r="O572" i="11"/>
  <c r="O689" i="11"/>
  <c r="N689" i="11"/>
  <c r="N416" i="11"/>
  <c r="O416" i="11"/>
  <c r="O36" i="11"/>
  <c r="N36" i="11"/>
  <c r="N330" i="11"/>
  <c r="O330" i="11"/>
  <c r="P330" i="11"/>
  <c r="N656" i="11"/>
  <c r="P656" i="11"/>
  <c r="O656" i="11"/>
  <c r="O239" i="11"/>
  <c r="N239" i="11"/>
  <c r="N442" i="11"/>
  <c r="O442" i="11"/>
  <c r="P442" i="11"/>
  <c r="O564" i="11"/>
  <c r="N564" i="11"/>
  <c r="N244" i="11"/>
  <c r="P244" i="11"/>
  <c r="O244" i="11"/>
  <c r="O479" i="11"/>
  <c r="N479" i="11"/>
  <c r="N500" i="11"/>
  <c r="P500" i="11"/>
  <c r="O500" i="11"/>
  <c r="N35" i="11"/>
  <c r="P35" i="11"/>
  <c r="O35" i="11"/>
  <c r="M503" i="24"/>
  <c r="N503" i="24"/>
  <c r="M501" i="24"/>
  <c r="N501" i="24"/>
  <c r="M499" i="24"/>
  <c r="N499" i="24"/>
  <c r="M497" i="24"/>
  <c r="N497" i="24"/>
  <c r="M495" i="24"/>
  <c r="N495" i="24"/>
  <c r="M493" i="24"/>
  <c r="N493" i="24"/>
  <c r="M491" i="24"/>
  <c r="N491" i="24"/>
  <c r="M489" i="24"/>
  <c r="N489" i="24"/>
  <c r="M487" i="24"/>
  <c r="N487" i="24"/>
  <c r="M485" i="24"/>
  <c r="N485" i="24"/>
  <c r="M483" i="24"/>
  <c r="N483" i="24"/>
  <c r="M481" i="24"/>
  <c r="N481" i="24"/>
  <c r="M479" i="24"/>
  <c r="N479" i="24"/>
  <c r="M477" i="24"/>
  <c r="N477" i="24"/>
  <c r="M475" i="24"/>
  <c r="N475" i="24"/>
  <c r="M473" i="24"/>
  <c r="N473" i="24"/>
  <c r="M471" i="24"/>
  <c r="N471" i="24"/>
  <c r="M469" i="24"/>
  <c r="N469" i="24"/>
  <c r="M467" i="24"/>
  <c r="N467" i="24"/>
  <c r="M465" i="24"/>
  <c r="N465" i="24"/>
  <c r="M463" i="24"/>
  <c r="N463" i="24"/>
  <c r="M461" i="24"/>
  <c r="N461" i="24"/>
  <c r="M459" i="24"/>
  <c r="N459" i="24"/>
  <c r="M457" i="24"/>
  <c r="N457" i="24"/>
  <c r="N455" i="24"/>
  <c r="M455" i="24"/>
  <c r="M453" i="24"/>
  <c r="N453" i="24"/>
  <c r="N451" i="24"/>
  <c r="M451" i="24"/>
  <c r="M449" i="24"/>
  <c r="N449" i="24"/>
  <c r="N447" i="24"/>
  <c r="M447" i="24"/>
  <c r="M445" i="24"/>
  <c r="N445" i="24"/>
  <c r="N443" i="24"/>
  <c r="M443" i="24"/>
  <c r="M441" i="24"/>
  <c r="N441" i="24"/>
  <c r="N439" i="24"/>
  <c r="M439" i="24"/>
  <c r="M437" i="24"/>
  <c r="N437" i="24"/>
  <c r="N435" i="24"/>
  <c r="M435" i="24"/>
  <c r="M433" i="24"/>
  <c r="N433" i="24"/>
  <c r="N431" i="24"/>
  <c r="M431" i="24"/>
  <c r="M429" i="24"/>
  <c r="N429" i="24"/>
  <c r="N427" i="24"/>
  <c r="M427" i="24"/>
  <c r="M425" i="24"/>
  <c r="N425" i="24"/>
  <c r="N423" i="24"/>
  <c r="M423" i="24"/>
  <c r="O122" i="11"/>
  <c r="P122" i="11"/>
  <c r="N122" i="11"/>
  <c r="O683" i="11"/>
  <c r="P683" i="11"/>
  <c r="N683" i="11"/>
  <c r="O65" i="11"/>
  <c r="P65" i="11"/>
  <c r="N65" i="11"/>
  <c r="O420" i="11"/>
  <c r="P420" i="11"/>
  <c r="N420" i="11"/>
  <c r="O311" i="11"/>
  <c r="P311" i="11"/>
  <c r="N311" i="11"/>
  <c r="O599" i="11"/>
  <c r="P599" i="11"/>
  <c r="N599" i="11"/>
  <c r="O248" i="11"/>
  <c r="P248" i="11"/>
  <c r="N248" i="11"/>
  <c r="O258" i="11"/>
  <c r="P258" i="11"/>
  <c r="N258" i="11"/>
  <c r="O435" i="11"/>
  <c r="P435" i="11"/>
  <c r="N435" i="11"/>
  <c r="O631" i="11"/>
  <c r="P631" i="11"/>
  <c r="N631" i="11"/>
  <c r="O89" i="11"/>
  <c r="P89" i="11"/>
  <c r="N89" i="11"/>
  <c r="O577" i="11"/>
  <c r="P577" i="11"/>
  <c r="N577" i="11"/>
  <c r="O319" i="11"/>
  <c r="P319" i="11"/>
  <c r="N319" i="11"/>
  <c r="O719" i="11"/>
  <c r="P719" i="11"/>
  <c r="N719" i="11"/>
  <c r="O393" i="11"/>
  <c r="P393" i="11"/>
  <c r="N393" i="11"/>
  <c r="O148" i="11"/>
  <c r="P148" i="11"/>
  <c r="N148" i="11"/>
  <c r="O197" i="11"/>
  <c r="P197" i="11"/>
  <c r="N197" i="11"/>
  <c r="O129" i="11"/>
  <c r="P129" i="11"/>
  <c r="N129" i="11"/>
  <c r="O464" i="11"/>
  <c r="P464" i="11"/>
  <c r="N464" i="11"/>
  <c r="O9" i="11"/>
  <c r="P9" i="11"/>
  <c r="N9" i="11"/>
  <c r="O680" i="11"/>
  <c r="P680" i="11"/>
  <c r="N680" i="11"/>
  <c r="O227" i="11"/>
  <c r="P227" i="11"/>
  <c r="N227" i="11"/>
  <c r="O87" i="11"/>
  <c r="P87" i="11"/>
  <c r="N87" i="11"/>
  <c r="O191" i="11"/>
  <c r="P191" i="11"/>
  <c r="N191" i="11"/>
  <c r="O292" i="11"/>
  <c r="P292" i="11"/>
  <c r="N292" i="11"/>
  <c r="O720" i="11"/>
  <c r="P720" i="11"/>
  <c r="N720" i="11"/>
  <c r="O104" i="11"/>
  <c r="P104" i="11"/>
  <c r="N104" i="11"/>
  <c r="N389" i="11"/>
  <c r="O389" i="11"/>
  <c r="P389" i="11"/>
  <c r="N373" i="11"/>
  <c r="O373" i="11"/>
  <c r="O459" i="11"/>
  <c r="P459" i="11"/>
  <c r="N459" i="11"/>
  <c r="N701" i="11"/>
  <c r="O701" i="11"/>
  <c r="N526" i="11"/>
  <c r="O526" i="11"/>
  <c r="N668" i="11"/>
  <c r="O668" i="11"/>
  <c r="N11" i="11"/>
  <c r="O11" i="11"/>
  <c r="N149" i="11"/>
  <c r="O149" i="11"/>
  <c r="N150" i="11"/>
  <c r="O150" i="11"/>
  <c r="N363" i="11"/>
  <c r="O363" i="11"/>
  <c r="N702" i="11"/>
  <c r="O702" i="11"/>
  <c r="N667" i="11"/>
  <c r="O667" i="11"/>
  <c r="O37" i="11"/>
  <c r="P37" i="11"/>
  <c r="N37" i="11"/>
  <c r="N546" i="11"/>
  <c r="O546" i="11"/>
  <c r="P546" i="11"/>
  <c r="N204" i="11"/>
  <c r="O204" i="11"/>
  <c r="P204" i="11"/>
  <c r="N728" i="11"/>
  <c r="O728" i="11"/>
  <c r="P728" i="11"/>
  <c r="N432" i="11"/>
  <c r="O432" i="11"/>
  <c r="P432" i="11"/>
  <c r="O301" i="11"/>
  <c r="P301" i="11"/>
  <c r="N301" i="11"/>
  <c r="O469" i="11"/>
  <c r="P469" i="11"/>
  <c r="N469" i="11"/>
  <c r="N419" i="11"/>
  <c r="O419" i="11"/>
  <c r="P419" i="11"/>
  <c r="N119" i="11"/>
  <c r="O119" i="11"/>
  <c r="P119" i="11"/>
  <c r="O362" i="11"/>
  <c r="P362" i="11"/>
  <c r="N362" i="11"/>
  <c r="O115" i="11"/>
  <c r="P115" i="11"/>
  <c r="N115" i="11"/>
  <c r="O685" i="11"/>
  <c r="P685" i="11"/>
  <c r="N685" i="11"/>
  <c r="O679" i="11"/>
  <c r="P679" i="11"/>
  <c r="N679" i="11"/>
  <c r="N569" i="11"/>
  <c r="O569" i="11"/>
  <c r="P569" i="11"/>
  <c r="N27" i="11"/>
  <c r="O27" i="11"/>
  <c r="P27" i="11"/>
  <c r="N268" i="11"/>
  <c r="O268" i="11"/>
  <c r="P268" i="11"/>
  <c r="N556" i="11"/>
  <c r="P556" i="11"/>
  <c r="N647" i="11"/>
  <c r="P647" i="11"/>
  <c r="O647" i="11"/>
  <c r="N558" i="11"/>
  <c r="P558" i="11"/>
  <c r="O558" i="11"/>
  <c r="N649" i="11"/>
  <c r="P649" i="11"/>
  <c r="O649" i="11"/>
  <c r="P690" i="11"/>
  <c r="O690" i="11"/>
  <c r="N690" i="11"/>
  <c r="P7" i="11"/>
  <c r="O7" i="11"/>
  <c r="N7" i="11"/>
  <c r="P31" i="11"/>
  <c r="O31" i="11"/>
  <c r="N31" i="11"/>
  <c r="P401" i="11"/>
  <c r="O401" i="11"/>
  <c r="N401" i="11"/>
  <c r="N621" i="11"/>
  <c r="P621" i="11"/>
  <c r="O130" i="11"/>
  <c r="N130" i="11"/>
  <c r="P130" i="11"/>
  <c r="N695" i="11"/>
  <c r="P695" i="11"/>
  <c r="O583" i="11"/>
  <c r="P583" i="11"/>
  <c r="N583" i="11"/>
  <c r="N297" i="11"/>
  <c r="P297" i="11"/>
  <c r="O707" i="11"/>
  <c r="N707" i="11"/>
  <c r="P707" i="11"/>
  <c r="N107" i="11"/>
  <c r="P107" i="11"/>
  <c r="O105" i="11"/>
  <c r="P105" i="11"/>
  <c r="N105" i="11"/>
  <c r="N76" i="11"/>
  <c r="P76" i="11"/>
  <c r="O38" i="11"/>
  <c r="N38" i="11"/>
  <c r="P38" i="11"/>
  <c r="N318" i="11"/>
  <c r="P318" i="11"/>
  <c r="O691" i="11"/>
  <c r="P691" i="11"/>
  <c r="N691" i="11"/>
  <c r="O20" i="11"/>
  <c r="P20" i="11"/>
  <c r="N20" i="11"/>
  <c r="O673" i="11"/>
  <c r="P673" i="11"/>
  <c r="N673" i="11"/>
  <c r="O266" i="11"/>
  <c r="P266" i="11"/>
  <c r="N266" i="11"/>
  <c r="O675" i="11"/>
  <c r="P675" i="11"/>
  <c r="N675" i="11"/>
  <c r="O137" i="11"/>
  <c r="P137" i="11"/>
  <c r="N137" i="11"/>
  <c r="O92" i="11"/>
  <c r="P92" i="11"/>
  <c r="N92" i="11"/>
  <c r="O184" i="11"/>
  <c r="P184" i="11"/>
  <c r="N184" i="11"/>
  <c r="O66" i="11"/>
  <c r="P66" i="11"/>
  <c r="N66" i="11"/>
  <c r="O384" i="11"/>
  <c r="P384" i="11"/>
  <c r="N384" i="11"/>
  <c r="O525" i="11"/>
  <c r="P525" i="11"/>
  <c r="N525" i="11"/>
  <c r="O424" i="11"/>
  <c r="P424" i="11"/>
  <c r="N424" i="11"/>
  <c r="O709" i="11"/>
  <c r="P709" i="11"/>
  <c r="N709" i="11"/>
  <c r="O55" i="11"/>
  <c r="P55" i="11"/>
  <c r="N55" i="11"/>
  <c r="O72" i="11"/>
  <c r="P72" i="11"/>
  <c r="N72" i="11"/>
  <c r="O14" i="11"/>
  <c r="P14" i="11"/>
  <c r="N14" i="11"/>
  <c r="O328" i="11"/>
  <c r="P328" i="11"/>
  <c r="N328" i="11"/>
  <c r="O300" i="11"/>
  <c r="P300" i="11"/>
  <c r="N300" i="11"/>
  <c r="O630" i="11"/>
  <c r="P630" i="11"/>
  <c r="N630" i="11"/>
  <c r="O686" i="11"/>
  <c r="P686" i="11"/>
  <c r="N686" i="11"/>
  <c r="O152" i="11"/>
  <c r="P152" i="11"/>
  <c r="N152" i="11"/>
  <c r="O154" i="11"/>
  <c r="P154" i="11"/>
  <c r="N154" i="11"/>
  <c r="O725" i="11"/>
  <c r="P725" i="11"/>
  <c r="N725" i="11"/>
  <c r="O608" i="11"/>
  <c r="P608" i="11"/>
  <c r="N608" i="11"/>
  <c r="O533" i="11"/>
  <c r="P533" i="11"/>
  <c r="N533" i="11"/>
  <c r="O405" i="11"/>
  <c r="P405" i="11"/>
  <c r="N405" i="11"/>
  <c r="N236" i="11"/>
  <c r="O236" i="11"/>
  <c r="P236" i="11"/>
  <c r="N187" i="11"/>
  <c r="O187" i="11"/>
  <c r="P187" i="11"/>
  <c r="N135" i="11"/>
  <c r="O135" i="11"/>
  <c r="P135" i="11"/>
  <c r="N54" i="11"/>
  <c r="O54" i="11"/>
  <c r="P54" i="11"/>
  <c r="N655" i="11"/>
  <c r="O655" i="11"/>
  <c r="P655" i="11"/>
  <c r="N206" i="11"/>
  <c r="O206" i="11"/>
  <c r="N18" i="11"/>
  <c r="O18" i="11"/>
  <c r="N64" i="11"/>
  <c r="O64" i="11"/>
  <c r="N273" i="11"/>
  <c r="O273" i="11"/>
  <c r="N285" i="11"/>
  <c r="O285" i="11"/>
  <c r="N127" i="11"/>
  <c r="O127" i="11"/>
  <c r="N61" i="11"/>
  <c r="O61" i="11"/>
  <c r="N632" i="11"/>
  <c r="O632" i="11"/>
  <c r="N10" i="11"/>
  <c r="O10" i="11"/>
  <c r="N658" i="11"/>
  <c r="O658" i="11"/>
  <c r="N491" i="11"/>
  <c r="O491" i="11"/>
  <c r="P491" i="11"/>
  <c r="N351" i="11"/>
  <c r="O351" i="11"/>
  <c r="N312" i="11"/>
  <c r="O312" i="11"/>
  <c r="N652" i="11"/>
  <c r="O652" i="11"/>
  <c r="N291" i="11"/>
  <c r="O291" i="11"/>
  <c r="N33" i="11"/>
  <c r="O33" i="11"/>
  <c r="P33" i="11"/>
  <c r="N733" i="11"/>
  <c r="O733" i="11"/>
  <c r="P733" i="11"/>
  <c r="N446" i="11"/>
  <c r="O446" i="11"/>
  <c r="P446" i="11"/>
  <c r="N628" i="11"/>
  <c r="O628" i="11"/>
  <c r="P628" i="11"/>
  <c r="P62" i="11"/>
  <c r="N62" i="11"/>
  <c r="O62" i="11"/>
  <c r="N174" i="11"/>
  <c r="O174" i="11"/>
  <c r="P174" i="11"/>
  <c r="P545" i="11"/>
  <c r="N545" i="11"/>
  <c r="O545" i="11"/>
  <c r="N46" i="11"/>
  <c r="O46" i="11"/>
  <c r="N597" i="11"/>
  <c r="O597" i="11"/>
  <c r="N336" i="11"/>
  <c r="O336" i="11"/>
  <c r="O737" i="11"/>
  <c r="N737" i="11"/>
  <c r="P737" i="11"/>
  <c r="O501" i="11"/>
  <c r="N501" i="11"/>
  <c r="P501" i="11"/>
  <c r="O254" i="11"/>
  <c r="N254" i="11"/>
  <c r="P254" i="11"/>
  <c r="O146" i="11"/>
  <c r="N146" i="11"/>
  <c r="P146" i="11"/>
  <c r="O26" i="11"/>
  <c r="N26" i="11"/>
  <c r="P26" i="11"/>
  <c r="O235" i="11"/>
  <c r="N235" i="11"/>
  <c r="P235" i="11"/>
  <c r="O495" i="11"/>
  <c r="N495" i="11"/>
  <c r="P495" i="11"/>
  <c r="O125" i="11"/>
  <c r="N125" i="11"/>
  <c r="P125" i="11"/>
  <c r="O579" i="11"/>
  <c r="N579" i="11"/>
  <c r="P579" i="11"/>
  <c r="O44" i="11"/>
  <c r="N44" i="11"/>
  <c r="P44" i="11"/>
  <c r="O74" i="11"/>
  <c r="N74" i="11"/>
  <c r="P74" i="11"/>
  <c r="N444" i="11"/>
  <c r="P444" i="11"/>
  <c r="O444" i="11"/>
  <c r="N80" i="11"/>
  <c r="P80" i="11"/>
  <c r="O80" i="11"/>
  <c r="N618" i="11"/>
  <c r="P618" i="11"/>
  <c r="O618" i="11"/>
  <c r="N358" i="11"/>
  <c r="P358" i="11"/>
  <c r="O358" i="11"/>
  <c r="N357" i="11"/>
  <c r="P357" i="11"/>
  <c r="O357" i="11"/>
  <c r="N693" i="11"/>
  <c r="P693" i="11"/>
  <c r="O693" i="11"/>
  <c r="N263" i="11"/>
  <c r="P263" i="11"/>
  <c r="O263" i="11"/>
  <c r="N255" i="11"/>
  <c r="P255" i="11"/>
  <c r="O255" i="11"/>
  <c r="N43" i="11"/>
  <c r="P43" i="11"/>
  <c r="O43" i="11"/>
  <c r="N433" i="11"/>
  <c r="P433" i="11"/>
  <c r="O433" i="11"/>
  <c r="N715" i="11"/>
  <c r="P715" i="11"/>
  <c r="O715" i="11"/>
  <c r="N53" i="11"/>
  <c r="P53" i="11"/>
  <c r="O53" i="11"/>
  <c r="N682" i="11"/>
  <c r="P682" i="11"/>
  <c r="O682" i="11"/>
  <c r="N539" i="11"/>
  <c r="P539" i="11"/>
  <c r="O539" i="11"/>
  <c r="N256" i="11"/>
  <c r="P256" i="11"/>
  <c r="O256" i="11"/>
  <c r="N93" i="11"/>
  <c r="P93" i="11"/>
  <c r="O93" i="11"/>
  <c r="N394" i="11"/>
  <c r="P394" i="11"/>
  <c r="O394" i="11"/>
  <c r="N671" i="11"/>
  <c r="P671" i="11"/>
  <c r="O671" i="11"/>
  <c r="N83" i="11"/>
  <c r="P83" i="11"/>
  <c r="O83" i="11"/>
  <c r="N86" i="11"/>
  <c r="P86" i="11"/>
  <c r="O86" i="11"/>
  <c r="N337" i="11"/>
  <c r="P337" i="11"/>
  <c r="O337" i="11"/>
  <c r="N303" i="11"/>
  <c r="P303" i="11"/>
  <c r="O303" i="11"/>
  <c r="N186" i="11"/>
  <c r="P186" i="11"/>
  <c r="O186" i="11"/>
  <c r="N22" i="11"/>
  <c r="P22" i="11"/>
  <c r="O22" i="11"/>
  <c r="N461" i="11"/>
  <c r="P461" i="11"/>
  <c r="O461" i="11"/>
  <c r="N108" i="11"/>
  <c r="P108" i="11"/>
  <c r="O108" i="11"/>
  <c r="N430" i="11"/>
  <c r="P430" i="11"/>
  <c r="O430" i="11"/>
  <c r="O114" i="11"/>
  <c r="N114" i="11"/>
  <c r="P114" i="11"/>
  <c r="O735" i="11"/>
  <c r="N735" i="11"/>
  <c r="P735" i="11"/>
  <c r="O645" i="11"/>
  <c r="N645" i="11"/>
  <c r="P645" i="11"/>
  <c r="O82" i="11"/>
  <c r="N82" i="11"/>
  <c r="P82" i="11"/>
  <c r="O705" i="11"/>
  <c r="N705" i="11"/>
  <c r="P705" i="11"/>
  <c r="O15" i="11"/>
  <c r="N15" i="11"/>
  <c r="P15" i="11"/>
  <c r="O403" i="11"/>
  <c r="N403" i="11"/>
  <c r="P403" i="11"/>
  <c r="O322" i="11"/>
  <c r="N322" i="11"/>
  <c r="P322" i="11"/>
  <c r="O529" i="11"/>
  <c r="N529" i="11"/>
  <c r="P529" i="11"/>
  <c r="N275" i="11"/>
  <c r="O275" i="11"/>
  <c r="P275" i="11"/>
  <c r="N32" i="11"/>
  <c r="O32" i="11"/>
  <c r="P32" i="11"/>
  <c r="N195" i="11"/>
  <c r="P195" i="11"/>
  <c r="O195" i="11"/>
  <c r="P58" i="11"/>
  <c r="N58" i="11"/>
  <c r="O58" i="11"/>
  <c r="N17" i="11"/>
  <c r="P17" i="11"/>
  <c r="O17" i="11"/>
  <c r="N672" i="11"/>
  <c r="P672" i="11"/>
  <c r="O672" i="11"/>
  <c r="N605" i="11"/>
  <c r="P605" i="11"/>
  <c r="O605" i="11"/>
  <c r="P627" i="11"/>
  <c r="N627" i="11"/>
  <c r="O627" i="11"/>
  <c r="N68" i="11"/>
  <c r="P68" i="11"/>
  <c r="O68" i="11"/>
  <c r="N734" i="11"/>
  <c r="P734" i="11"/>
  <c r="O734" i="11"/>
  <c r="N117" i="11"/>
  <c r="P117" i="11"/>
  <c r="O117" i="11"/>
  <c r="N722" i="11"/>
  <c r="P722" i="11"/>
  <c r="O722" i="11"/>
  <c r="N141" i="11"/>
  <c r="P141" i="11"/>
  <c r="O141" i="11"/>
  <c r="N143" i="11"/>
  <c r="P143" i="11"/>
  <c r="O143" i="11"/>
  <c r="N544" i="11"/>
  <c r="P544" i="11"/>
  <c r="O544" i="11"/>
  <c r="N181" i="11"/>
  <c r="P181" i="11"/>
  <c r="O181" i="11"/>
  <c r="N323" i="11"/>
  <c r="P323" i="11"/>
  <c r="O323" i="11"/>
  <c r="N110" i="11"/>
  <c r="P110" i="11"/>
  <c r="O110" i="11"/>
  <c r="N663" i="11"/>
  <c r="P663" i="11"/>
  <c r="O663" i="11"/>
  <c r="N684" i="11"/>
  <c r="P684" i="11"/>
  <c r="O684" i="11"/>
  <c r="N726" i="11"/>
  <c r="P726" i="11"/>
  <c r="O726" i="11"/>
  <c r="N449" i="11"/>
  <c r="P449" i="11"/>
  <c r="O449" i="11"/>
  <c r="N57" i="11"/>
  <c r="P57" i="11"/>
  <c r="O57" i="11"/>
  <c r="P28" i="11"/>
  <c r="N28" i="11"/>
  <c r="O28" i="11"/>
  <c r="N410" i="11"/>
  <c r="P410" i="11"/>
  <c r="O410" i="11"/>
  <c r="N507" i="11"/>
  <c r="P507" i="11"/>
  <c r="O507" i="11"/>
  <c r="N94" i="11"/>
  <c r="P94" i="11"/>
  <c r="O94" i="11"/>
  <c r="N379" i="11"/>
  <c r="O379" i="11"/>
  <c r="P379" i="11"/>
  <c r="N646" i="11"/>
  <c r="O646" i="11"/>
  <c r="P646" i="11"/>
  <c r="N640" i="11"/>
  <c r="O640" i="11"/>
  <c r="P640" i="11"/>
  <c r="N100" i="11"/>
  <c r="P100" i="11"/>
  <c r="O100" i="11"/>
  <c r="N660" i="11"/>
  <c r="P660" i="11"/>
  <c r="O660" i="11"/>
  <c r="N217" i="11"/>
  <c r="P217" i="11"/>
  <c r="O217" i="11"/>
  <c r="N706" i="11"/>
  <c r="P706" i="11"/>
  <c r="O706" i="11"/>
  <c r="P199" i="11"/>
  <c r="N199" i="11"/>
  <c r="O199" i="11"/>
  <c r="N711" i="11"/>
  <c r="P711" i="11"/>
  <c r="O711" i="11"/>
  <c r="N67" i="11"/>
  <c r="P67" i="11"/>
  <c r="O67" i="11"/>
  <c r="N584" i="11"/>
  <c r="P584" i="11"/>
  <c r="O584" i="11"/>
  <c r="N450" i="11"/>
  <c r="P450" i="11"/>
  <c r="O450" i="11"/>
  <c r="N310" i="11"/>
  <c r="P310" i="11"/>
  <c r="O310" i="11"/>
  <c r="N90" i="11"/>
  <c r="P90" i="11"/>
  <c r="O90" i="11"/>
  <c r="N600" i="11"/>
  <c r="P600" i="11"/>
  <c r="O600" i="11"/>
  <c r="N324" i="11"/>
  <c r="P324" i="11"/>
  <c r="O324" i="11"/>
  <c r="N415" i="11"/>
  <c r="P415" i="11"/>
  <c r="O415" i="11"/>
  <c r="N120" i="11"/>
  <c r="N124" i="11"/>
  <c r="N128" i="11"/>
  <c r="N131" i="11"/>
  <c r="N133" i="11"/>
  <c r="N136" i="11"/>
  <c r="N138" i="11"/>
  <c r="N144" i="11"/>
  <c r="N147" i="11"/>
  <c r="N151" i="11"/>
  <c r="N153" i="11"/>
  <c r="N155" i="11"/>
  <c r="N157" i="11"/>
  <c r="N160" i="11"/>
  <c r="N161" i="11"/>
  <c r="N163" i="11"/>
  <c r="N165" i="11"/>
  <c r="N166" i="11"/>
  <c r="N168" i="11"/>
  <c r="N169" i="11"/>
  <c r="N171" i="11"/>
  <c r="N175" i="11"/>
  <c r="N176" i="11"/>
  <c r="N177" i="11"/>
  <c r="N178" i="11"/>
  <c r="N180" i="11"/>
  <c r="N182" i="11"/>
  <c r="N185" i="11"/>
  <c r="N188" i="11"/>
  <c r="N190" i="11"/>
  <c r="N192" i="11"/>
  <c r="N193" i="11"/>
  <c r="N194" i="11"/>
  <c r="N196" i="11"/>
  <c r="N198" i="11"/>
  <c r="N201" i="11"/>
  <c r="H6" i="31" s="1"/>
  <c r="N203" i="11"/>
  <c r="N205" i="11"/>
  <c r="N208" i="11"/>
  <c r="N210" i="11"/>
  <c r="N211" i="11"/>
  <c r="N212" i="11"/>
  <c r="N214" i="11"/>
  <c r="N215" i="11"/>
  <c r="N216" i="11"/>
  <c r="N221" i="11"/>
  <c r="N222" i="11"/>
  <c r="N225" i="11"/>
  <c r="N226" i="11"/>
  <c r="N232" i="11"/>
  <c r="N237" i="11"/>
  <c r="N240" i="11"/>
  <c r="N242" i="11"/>
  <c r="N243" i="11"/>
  <c r="N245" i="11"/>
  <c r="N249" i="11"/>
  <c r="N250" i="11"/>
  <c r="N251" i="11"/>
  <c r="N252" i="11"/>
  <c r="N260" i="11"/>
  <c r="N261" i="11"/>
  <c r="N264" i="11"/>
  <c r="N267" i="11"/>
  <c r="N269" i="11"/>
  <c r="N270" i="11"/>
  <c r="N271" i="11"/>
  <c r="N272" i="11"/>
  <c r="N274" i="11"/>
  <c r="N276" i="11"/>
  <c r="N278" i="11"/>
  <c r="N281" i="11"/>
  <c r="N282" i="11"/>
  <c r="N286" i="11"/>
  <c r="N288" i="11"/>
  <c r="N290" i="11"/>
  <c r="N293" i="11"/>
  <c r="N295" i="11"/>
  <c r="N296" i="11"/>
  <c r="N299" i="11"/>
  <c r="N302" i="11"/>
  <c r="N304" i="11"/>
  <c r="N305" i="11"/>
  <c r="N309" i="11"/>
  <c r="N314" i="11"/>
  <c r="N316" i="11"/>
  <c r="N317" i="11"/>
  <c r="N320" i="11"/>
  <c r="N329" i="11"/>
  <c r="N332" i="11"/>
  <c r="N334" i="11"/>
  <c r="N335" i="11"/>
  <c r="N340" i="11"/>
  <c r="N341" i="11"/>
  <c r="N343" i="11"/>
  <c r="N344" i="11"/>
  <c r="N345" i="11"/>
  <c r="N349" i="11"/>
  <c r="N350" i="11"/>
  <c r="N353" i="11"/>
  <c r="N355" i="11"/>
  <c r="N356" i="11"/>
  <c r="N359" i="11"/>
  <c r="N365" i="11"/>
  <c r="N369" i="11"/>
  <c r="N372" i="11"/>
  <c r="N374" i="11"/>
  <c r="N377" i="11"/>
  <c r="N378" i="11"/>
  <c r="N380" i="11"/>
  <c r="N383" i="11"/>
  <c r="N386" i="11"/>
  <c r="N388" i="11"/>
  <c r="N391" i="11"/>
  <c r="N392" i="11"/>
  <c r="N396" i="11"/>
  <c r="N397" i="11"/>
  <c r="N398" i="11"/>
  <c r="N399" i="11"/>
  <c r="N402" i="11"/>
  <c r="N406" i="11"/>
  <c r="N409" i="11"/>
  <c r="N414" i="11"/>
  <c r="N417" i="11"/>
  <c r="N418" i="11"/>
  <c r="N421" i="11"/>
  <c r="N422" i="11"/>
  <c r="N423" i="11"/>
  <c r="N426" i="11"/>
  <c r="N427" i="11"/>
  <c r="N431" i="11"/>
  <c r="N434" i="11"/>
  <c r="N438" i="11"/>
  <c r="N439" i="11"/>
  <c r="N441" i="11"/>
  <c r="N443" i="11"/>
  <c r="N448" i="11"/>
  <c r="N451" i="11"/>
  <c r="N452" i="11"/>
  <c r="N453" i="11"/>
  <c r="N454" i="11"/>
  <c r="N457" i="11"/>
  <c r="N460" i="11"/>
  <c r="N463" i="11"/>
  <c r="N465" i="11"/>
  <c r="N471" i="11"/>
  <c r="N472" i="11"/>
  <c r="N474" i="11"/>
  <c r="N475" i="11"/>
  <c r="N477" i="11"/>
  <c r="N478" i="11"/>
  <c r="N483" i="11"/>
  <c r="N487" i="11"/>
  <c r="N489" i="11"/>
  <c r="N492" i="11"/>
  <c r="N499" i="11"/>
  <c r="N502" i="11"/>
  <c r="N504" i="11"/>
  <c r="N508" i="11"/>
  <c r="N509" i="11"/>
  <c r="N510" i="11"/>
  <c r="N512" i="11"/>
  <c r="N517" i="11"/>
  <c r="N519" i="11"/>
  <c r="N521" i="11"/>
  <c r="N527" i="11"/>
  <c r="N528" i="11"/>
  <c r="N530" i="11"/>
  <c r="N531" i="11"/>
  <c r="N534" i="11"/>
  <c r="N537" i="11"/>
  <c r="N540" i="11"/>
  <c r="N542" i="11"/>
  <c r="N548" i="11"/>
  <c r="N549" i="11"/>
  <c r="N551" i="11"/>
  <c r="N552" i="11"/>
  <c r="N554" i="11"/>
  <c r="N557" i="11"/>
  <c r="N559" i="11"/>
  <c r="N560" i="11"/>
  <c r="N561" i="11"/>
  <c r="N563" i="11"/>
  <c r="N565" i="11"/>
  <c r="N567" i="11"/>
  <c r="N568" i="11"/>
  <c r="N573" i="11"/>
  <c r="N575" i="11"/>
  <c r="N578" i="11"/>
  <c r="N582" i="11"/>
  <c r="N585" i="11"/>
  <c r="N590" i="11"/>
  <c r="N591" i="11"/>
  <c r="N592" i="11"/>
  <c r="N595" i="11"/>
  <c r="N596" i="11"/>
  <c r="N598" i="11"/>
  <c r="N601" i="11"/>
  <c r="N607" i="11"/>
  <c r="N609" i="11"/>
  <c r="N610" i="11"/>
  <c r="N612" i="11"/>
  <c r="N613" i="11"/>
  <c r="N616" i="11"/>
  <c r="N620" i="11"/>
  <c r="N624" i="11"/>
  <c r="N629" i="11"/>
  <c r="N634" i="11"/>
  <c r="N636" i="11"/>
  <c r="N639" i="11"/>
  <c r="N641" i="11"/>
  <c r="N644" i="11"/>
  <c r="N648" i="11"/>
  <c r="N651" i="11"/>
  <c r="N653" i="11"/>
  <c r="N654" i="11"/>
  <c r="N659" i="11"/>
  <c r="N662" i="11"/>
  <c r="N664" i="11"/>
  <c r="N665" i="11"/>
  <c r="N669" i="11"/>
  <c r="N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58" i="24"/>
  <c r="N559" i="24"/>
  <c r="N560" i="24"/>
  <c r="N561" i="24"/>
  <c r="N562" i="24"/>
  <c r="N563" i="24"/>
  <c r="N564" i="24"/>
  <c r="N565" i="24"/>
  <c r="N566" i="24"/>
  <c r="N567" i="24"/>
  <c r="N568" i="24"/>
  <c r="N569" i="24"/>
  <c r="N570" i="24"/>
  <c r="N571" i="24"/>
  <c r="N572" i="24"/>
  <c r="N573" i="24"/>
  <c r="N574" i="24"/>
  <c r="N575" i="24"/>
  <c r="N576" i="24"/>
  <c r="N577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0" i="24"/>
  <c r="N631" i="24"/>
  <c r="N632" i="24"/>
  <c r="N633" i="24"/>
  <c r="N634" i="24"/>
  <c r="N635" i="24"/>
  <c r="N636" i="24"/>
  <c r="N637" i="24"/>
  <c r="N638" i="24"/>
  <c r="N639" i="24"/>
  <c r="N640" i="24"/>
  <c r="N641" i="24"/>
  <c r="N642" i="24"/>
  <c r="N643" i="24"/>
  <c r="N644" i="24"/>
  <c r="N645" i="24"/>
  <c r="N646" i="24"/>
  <c r="N647" i="24"/>
  <c r="N648" i="24"/>
  <c r="N649" i="24"/>
  <c r="N650" i="24"/>
  <c r="N651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4" i="24"/>
  <c r="N665" i="24"/>
  <c r="N666" i="24"/>
  <c r="N667" i="24"/>
  <c r="N668" i="24"/>
  <c r="N669" i="24"/>
  <c r="N670" i="24"/>
  <c r="N671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18" i="24"/>
  <c r="N719" i="24"/>
  <c r="N720" i="24"/>
  <c r="N721" i="24"/>
  <c r="N722" i="24"/>
  <c r="N723" i="24"/>
  <c r="N724" i="24"/>
  <c r="N725" i="24"/>
  <c r="N726" i="24"/>
  <c r="N727" i="24"/>
  <c r="N728" i="24"/>
  <c r="N729" i="24"/>
  <c r="N730" i="24"/>
  <c r="N731" i="24"/>
  <c r="N732" i="24"/>
  <c r="N733" i="24"/>
  <c r="N734" i="24"/>
  <c r="M6" i="24"/>
  <c r="M507" i="24"/>
  <c r="M508" i="24"/>
  <c r="M509" i="24"/>
  <c r="M510" i="24"/>
  <c r="M511" i="24"/>
  <c r="M512" i="24"/>
  <c r="M513" i="24"/>
  <c r="M514" i="24"/>
  <c r="M515" i="24"/>
  <c r="M516" i="24"/>
  <c r="M517" i="24"/>
  <c r="M518" i="24"/>
  <c r="M519" i="24"/>
  <c r="M520" i="24"/>
  <c r="M521" i="24"/>
  <c r="M522" i="24"/>
  <c r="M523" i="24"/>
  <c r="M524" i="24"/>
  <c r="M525" i="24"/>
  <c r="M526" i="24"/>
  <c r="M527" i="24"/>
  <c r="M528" i="24"/>
  <c r="M529" i="24"/>
  <c r="M530" i="24"/>
  <c r="M531" i="24"/>
  <c r="M532" i="24"/>
  <c r="M533" i="24"/>
  <c r="M534" i="24"/>
  <c r="M535" i="24"/>
  <c r="M536" i="24"/>
  <c r="M537" i="24"/>
  <c r="M538" i="24"/>
  <c r="M539" i="24"/>
  <c r="M540" i="24"/>
  <c r="M541" i="24"/>
  <c r="M542" i="24"/>
  <c r="M543" i="24"/>
  <c r="M544" i="24"/>
  <c r="M545" i="24"/>
  <c r="M546" i="24"/>
  <c r="M547" i="24"/>
  <c r="M548" i="24"/>
  <c r="M549" i="24"/>
  <c r="M550" i="24"/>
  <c r="M551" i="24"/>
  <c r="M552" i="24"/>
  <c r="M553" i="24"/>
  <c r="M554" i="24"/>
  <c r="M555" i="24"/>
  <c r="M556" i="24"/>
  <c r="M557" i="24"/>
  <c r="M558" i="24"/>
  <c r="M559" i="24"/>
  <c r="M560" i="24"/>
  <c r="M561" i="24"/>
  <c r="M562" i="24"/>
  <c r="M563" i="24"/>
  <c r="M564" i="24"/>
  <c r="M565" i="24"/>
  <c r="M566" i="24"/>
  <c r="M567" i="24"/>
  <c r="M568" i="24"/>
  <c r="M569" i="24"/>
  <c r="M570" i="24"/>
  <c r="M571" i="24"/>
  <c r="M572" i="24"/>
  <c r="M573" i="24"/>
  <c r="M574" i="24"/>
  <c r="M575" i="24"/>
  <c r="M576" i="24"/>
  <c r="M577" i="24"/>
  <c r="M578" i="24"/>
  <c r="M579" i="24"/>
  <c r="M580" i="24"/>
  <c r="M581" i="24"/>
  <c r="M582" i="24"/>
  <c r="M583" i="24"/>
  <c r="M584" i="24"/>
  <c r="M585" i="24"/>
  <c r="M586" i="24"/>
  <c r="M587" i="24"/>
  <c r="M588" i="24"/>
  <c r="M589" i="24"/>
  <c r="M590" i="24"/>
  <c r="M591" i="24"/>
  <c r="M592" i="24"/>
  <c r="M593" i="24"/>
  <c r="M594" i="24"/>
  <c r="M595" i="24"/>
  <c r="M596" i="24"/>
  <c r="M597" i="24"/>
  <c r="M598" i="24"/>
  <c r="M599" i="24"/>
  <c r="M600" i="24"/>
  <c r="M601" i="24"/>
  <c r="M602" i="24"/>
  <c r="M603" i="24"/>
  <c r="M604" i="24"/>
  <c r="M605" i="24"/>
  <c r="M606" i="24"/>
  <c r="M607" i="24"/>
  <c r="M608" i="24"/>
  <c r="M609" i="24"/>
  <c r="M610" i="24"/>
  <c r="M611" i="24"/>
  <c r="M612" i="24"/>
  <c r="M613" i="24"/>
  <c r="M614" i="24"/>
  <c r="M615" i="24"/>
  <c r="M616" i="24"/>
  <c r="M617" i="24"/>
  <c r="M618" i="24"/>
  <c r="M619" i="24"/>
  <c r="M620" i="24"/>
  <c r="M621" i="24"/>
  <c r="M622" i="24"/>
  <c r="M623" i="24"/>
  <c r="M624" i="24"/>
  <c r="M625" i="24"/>
  <c r="M626" i="24"/>
  <c r="M627" i="24"/>
  <c r="M628" i="24"/>
  <c r="M629" i="24"/>
  <c r="M630" i="24"/>
  <c r="M631" i="24"/>
  <c r="M632" i="24"/>
  <c r="M633" i="24"/>
  <c r="M634" i="24"/>
  <c r="M635" i="24"/>
  <c r="M636" i="24"/>
  <c r="M637" i="24"/>
  <c r="M638" i="24"/>
  <c r="M639" i="24"/>
  <c r="M640" i="24"/>
  <c r="M641" i="24"/>
  <c r="M642" i="24"/>
  <c r="M643" i="24"/>
  <c r="M644" i="24"/>
  <c r="M645" i="24"/>
  <c r="M646" i="24"/>
  <c r="M647" i="24"/>
  <c r="M648" i="24"/>
  <c r="M649" i="24"/>
  <c r="M650" i="24"/>
  <c r="M651" i="24"/>
  <c r="M652" i="24"/>
  <c r="M653" i="24"/>
  <c r="M654" i="24"/>
  <c r="M655" i="24"/>
  <c r="M656" i="24"/>
  <c r="M657" i="24"/>
  <c r="M658" i="24"/>
  <c r="M659" i="24"/>
  <c r="M660" i="24"/>
  <c r="M661" i="24"/>
  <c r="M662" i="24"/>
  <c r="M663" i="24"/>
  <c r="M664" i="24"/>
  <c r="M665" i="24"/>
  <c r="M666" i="24"/>
  <c r="M667" i="24"/>
  <c r="M668" i="24"/>
  <c r="M669" i="24"/>
  <c r="M670" i="24"/>
  <c r="M671" i="24"/>
  <c r="M672" i="24"/>
  <c r="M673" i="24"/>
  <c r="M674" i="24"/>
  <c r="M675" i="24"/>
  <c r="M676" i="24"/>
  <c r="M677" i="24"/>
  <c r="M678" i="24"/>
  <c r="M679" i="24"/>
  <c r="M680" i="24"/>
  <c r="M681" i="24"/>
  <c r="M682" i="24"/>
  <c r="M683" i="24"/>
  <c r="M684" i="24"/>
  <c r="M685" i="24"/>
  <c r="M686" i="24"/>
  <c r="M687" i="24"/>
  <c r="M688" i="24"/>
  <c r="M689" i="24"/>
  <c r="M690" i="24"/>
  <c r="M691" i="24"/>
  <c r="M692" i="24"/>
  <c r="M693" i="24"/>
  <c r="M694" i="24"/>
  <c r="M695" i="24"/>
  <c r="M696" i="24"/>
  <c r="M697" i="24"/>
  <c r="M698" i="24"/>
  <c r="M699" i="24"/>
  <c r="M700" i="24"/>
  <c r="M701" i="24"/>
  <c r="M702" i="24"/>
  <c r="M703" i="24"/>
  <c r="M704" i="24"/>
  <c r="M705" i="24"/>
  <c r="M706" i="24"/>
  <c r="M707" i="24"/>
  <c r="M708" i="24"/>
  <c r="M709" i="24"/>
  <c r="M710" i="24"/>
  <c r="M711" i="24"/>
  <c r="M712" i="24"/>
  <c r="M713" i="24"/>
  <c r="M714" i="24"/>
  <c r="M715" i="24"/>
  <c r="M716" i="24"/>
  <c r="M717" i="24"/>
  <c r="M718" i="24"/>
  <c r="M719" i="24"/>
  <c r="M720" i="24"/>
  <c r="M721" i="24"/>
  <c r="M722" i="24"/>
  <c r="M723" i="24"/>
  <c r="M724" i="24"/>
  <c r="M725" i="24"/>
  <c r="M726" i="24"/>
  <c r="M727" i="24"/>
  <c r="M728" i="24"/>
  <c r="M729" i="24"/>
  <c r="M730" i="24"/>
  <c r="M731" i="24"/>
  <c r="M732" i="24"/>
  <c r="M733" i="24"/>
  <c r="M734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6" i="24"/>
  <c r="H8" i="31" l="1"/>
  <c r="H12" i="31"/>
  <c r="H16" i="31"/>
  <c r="H7" i="31"/>
  <c r="H11" i="31"/>
  <c r="H15" i="31"/>
  <c r="H10" i="31"/>
  <c r="H14" i="31"/>
  <c r="H5" i="31"/>
  <c r="H9" i="31"/>
  <c r="H13" i="31"/>
  <c r="G6" i="31"/>
  <c r="G8" i="31"/>
  <c r="G10" i="31"/>
  <c r="G12" i="31"/>
  <c r="G14" i="31"/>
  <c r="G16" i="31"/>
  <c r="D13" i="31"/>
  <c r="B11" i="20" s="1"/>
  <c r="G5" i="31"/>
  <c r="G7" i="31"/>
  <c r="G9" i="31"/>
  <c r="G11" i="31"/>
  <c r="G13" i="31"/>
  <c r="G15" i="31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CW15" i="12"/>
  <c r="CX15" i="12"/>
  <c r="CY15" i="12"/>
  <c r="CZ15" i="12"/>
  <c r="DA15" i="12"/>
  <c r="DB15" i="12"/>
  <c r="DC15" i="12"/>
  <c r="DD15" i="12"/>
  <c r="DE15" i="12"/>
  <c r="DF15" i="12"/>
  <c r="DG15" i="12"/>
  <c r="DH15" i="12"/>
  <c r="DI15" i="12"/>
  <c r="DJ15" i="12"/>
  <c r="DK15" i="12"/>
  <c r="DL15" i="12"/>
  <c r="DM15" i="12"/>
  <c r="DN15" i="12"/>
  <c r="DO15" i="12"/>
  <c r="DP15" i="12"/>
  <c r="DQ15" i="12"/>
  <c r="DR15" i="12"/>
  <c r="DS15" i="12"/>
  <c r="DT15" i="12"/>
  <c r="DU15" i="12"/>
  <c r="DV15" i="12"/>
  <c r="DW15" i="12"/>
  <c r="DX15" i="12"/>
  <c r="DY15" i="12"/>
  <c r="DZ15" i="12"/>
  <c r="EA15" i="12"/>
  <c r="EB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EW15" i="12"/>
  <c r="EX15" i="12"/>
  <c r="EY15" i="12"/>
  <c r="EZ15" i="12"/>
  <c r="FA15" i="12"/>
  <c r="FB15" i="12"/>
  <c r="FC15" i="12"/>
  <c r="FD15" i="12"/>
  <c r="FE15" i="12"/>
  <c r="FF15" i="12"/>
  <c r="FG15" i="12"/>
  <c r="FH15" i="12"/>
  <c r="FI15" i="12"/>
  <c r="FJ15" i="12"/>
  <c r="FK15" i="12"/>
  <c r="FL15" i="12"/>
  <c r="FM15" i="12"/>
  <c r="FN15" i="12"/>
  <c r="FO15" i="12"/>
  <c r="FP15" i="12"/>
  <c r="FQ15" i="12"/>
  <c r="FR15" i="12"/>
  <c r="FS15" i="12"/>
  <c r="FT15" i="12"/>
  <c r="FU15" i="12"/>
  <c r="FV15" i="12"/>
  <c r="FW15" i="12"/>
  <c r="FX15" i="12"/>
  <c r="FY15" i="12"/>
  <c r="FZ15" i="12"/>
  <c r="GA15" i="12"/>
  <c r="GB15" i="12"/>
  <c r="GC15" i="12"/>
  <c r="GD15" i="12"/>
  <c r="GE15" i="12"/>
  <c r="GF15" i="12"/>
  <c r="GG15" i="12"/>
  <c r="GH15" i="12"/>
  <c r="GI15" i="12"/>
  <c r="GJ15" i="12"/>
  <c r="GK15" i="12"/>
  <c r="GL15" i="12"/>
  <c r="GM15" i="12"/>
  <c r="GN15" i="12"/>
  <c r="GO15" i="12"/>
  <c r="GP15" i="12"/>
  <c r="GQ15" i="12"/>
  <c r="GR15" i="12"/>
  <c r="GS15" i="12"/>
  <c r="GT15" i="12"/>
  <c r="GU15" i="12"/>
  <c r="GV15" i="12"/>
  <c r="GW15" i="12"/>
  <c r="GX15" i="12"/>
  <c r="GY15" i="12"/>
  <c r="GZ15" i="12"/>
  <c r="HA15" i="12"/>
  <c r="HB15" i="12"/>
  <c r="HC15" i="12"/>
  <c r="HD15" i="12"/>
  <c r="HE15" i="12"/>
  <c r="HF15" i="12"/>
  <c r="HG15" i="12"/>
  <c r="HH15" i="12"/>
  <c r="HI15" i="12"/>
  <c r="HJ15" i="12"/>
  <c r="HK15" i="12"/>
  <c r="HL15" i="12"/>
  <c r="HM15" i="12"/>
  <c r="HN15" i="12"/>
  <c r="HO15" i="12"/>
  <c r="HP15" i="12"/>
  <c r="HQ15" i="12"/>
  <c r="HR15" i="12"/>
  <c r="HS15" i="12"/>
  <c r="HT15" i="12"/>
  <c r="HU15" i="12"/>
  <c r="HV15" i="12"/>
  <c r="HW15" i="12"/>
  <c r="HX15" i="12"/>
  <c r="HY15" i="12"/>
  <c r="HZ15" i="12"/>
  <c r="IA15" i="12"/>
  <c r="IB15" i="12"/>
  <c r="IC15" i="12"/>
  <c r="ID15" i="12"/>
  <c r="IE15" i="12"/>
  <c r="IF15" i="12"/>
  <c r="IG15" i="12"/>
  <c r="IH15" i="12"/>
  <c r="II15" i="12"/>
  <c r="IJ15" i="12"/>
  <c r="IK15" i="12"/>
  <c r="IL15" i="12"/>
  <c r="IM15" i="12"/>
  <c r="IN15" i="12"/>
  <c r="IO15" i="12"/>
  <c r="IP15" i="12"/>
  <c r="IQ15" i="12"/>
  <c r="IR15" i="12"/>
  <c r="IS15" i="12"/>
  <c r="IT15" i="12"/>
  <c r="IU15" i="12"/>
  <c r="IV15" i="12"/>
  <c r="IW15" i="12"/>
  <c r="IX15" i="12"/>
  <c r="IY15" i="12"/>
  <c r="IZ15" i="12"/>
  <c r="JA15" i="12"/>
  <c r="JB15" i="12"/>
  <c r="JC15" i="12"/>
  <c r="JD15" i="12"/>
  <c r="JE15" i="12"/>
  <c r="JF15" i="12"/>
  <c r="JG15" i="12"/>
  <c r="JH15" i="12"/>
  <c r="JI15" i="12"/>
  <c r="JJ15" i="12"/>
  <c r="JK15" i="12"/>
  <c r="JL15" i="12"/>
  <c r="JM15" i="12"/>
  <c r="JN15" i="12"/>
  <c r="JO15" i="12"/>
  <c r="JP15" i="12"/>
  <c r="JQ15" i="12"/>
  <c r="JR15" i="12"/>
  <c r="JS15" i="12"/>
  <c r="JT15" i="12"/>
  <c r="JU15" i="12"/>
  <c r="JV15" i="12"/>
  <c r="JW15" i="12"/>
  <c r="JX15" i="12"/>
  <c r="JY15" i="12"/>
  <c r="JZ15" i="12"/>
  <c r="KA15" i="12"/>
  <c r="KB15" i="12"/>
  <c r="KC15" i="12"/>
  <c r="KD15" i="12"/>
  <c r="KE15" i="12"/>
  <c r="KF15" i="12"/>
  <c r="KG15" i="12"/>
  <c r="KH15" i="12"/>
  <c r="KI15" i="12"/>
  <c r="KJ15" i="12"/>
  <c r="KK15" i="12"/>
  <c r="KL15" i="12"/>
  <c r="KM15" i="12"/>
  <c r="KN15" i="12"/>
  <c r="KO15" i="12"/>
  <c r="KP15" i="12"/>
  <c r="KQ15" i="12"/>
  <c r="KR15" i="12"/>
  <c r="KS15" i="12"/>
  <c r="KT15" i="12"/>
  <c r="KU15" i="12"/>
  <c r="KV15" i="12"/>
  <c r="KW15" i="12"/>
  <c r="KX15" i="12"/>
  <c r="KY15" i="12"/>
  <c r="KZ15" i="12"/>
  <c r="LA15" i="12"/>
  <c r="LB15" i="12"/>
  <c r="LC15" i="12"/>
  <c r="LD15" i="12"/>
  <c r="LE15" i="12"/>
  <c r="LF15" i="12"/>
  <c r="LG15" i="12"/>
  <c r="LH15" i="12"/>
  <c r="LI15" i="12"/>
  <c r="LJ15" i="12"/>
  <c r="LK15" i="12"/>
  <c r="LL15" i="12"/>
  <c r="LM15" i="12"/>
  <c r="LN15" i="12"/>
  <c r="LO15" i="12"/>
  <c r="LP15" i="12"/>
  <c r="LQ15" i="12"/>
  <c r="LR15" i="12"/>
  <c r="LS15" i="12"/>
  <c r="LT15" i="12"/>
  <c r="LU15" i="12"/>
  <c r="LV15" i="12"/>
  <c r="LW15" i="12"/>
  <c r="LX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MO15" i="12"/>
  <c r="MP15" i="12"/>
  <c r="MQ15" i="12"/>
  <c r="MR15" i="12"/>
  <c r="MS15" i="12"/>
  <c r="MT15" i="12"/>
  <c r="MU15" i="12"/>
  <c r="MV15" i="12"/>
  <c r="MW15" i="12"/>
  <c r="MX15" i="12"/>
  <c r="MY15" i="12"/>
  <c r="MZ15" i="12"/>
  <c r="NA15" i="12"/>
  <c r="NB15" i="12"/>
  <c r="NC15" i="12"/>
  <c r="ND15" i="12"/>
  <c r="NE15" i="12"/>
  <c r="NF15" i="12"/>
  <c r="NG15" i="12"/>
  <c r="NH15" i="12"/>
  <c r="NI15" i="12"/>
  <c r="NJ15" i="12"/>
  <c r="NK15" i="12"/>
  <c r="NL15" i="12"/>
  <c r="NM15" i="12"/>
  <c r="NN15" i="12"/>
  <c r="NO15" i="12"/>
  <c r="NP15" i="12"/>
  <c r="NQ15" i="12"/>
  <c r="NR15" i="12"/>
  <c r="NS15" i="12"/>
  <c r="NT15" i="12"/>
  <c r="NU15" i="12"/>
  <c r="NV15" i="12"/>
  <c r="NW15" i="12"/>
  <c r="NX15" i="12"/>
  <c r="NY15" i="12"/>
  <c r="NZ15" i="12"/>
  <c r="OA15" i="12"/>
  <c r="OB15" i="12"/>
  <c r="OC15" i="12"/>
  <c r="OD15" i="12"/>
  <c r="OE15" i="12"/>
  <c r="OF15" i="12"/>
  <c r="OG15" i="12"/>
  <c r="OH15" i="12"/>
  <c r="OI15" i="12"/>
  <c r="OJ15" i="12"/>
  <c r="OK15" i="12"/>
  <c r="OL15" i="12"/>
  <c r="OM15" i="12"/>
  <c r="ON15" i="12"/>
  <c r="OO15" i="12"/>
  <c r="OP15" i="12"/>
  <c r="OQ15" i="12"/>
  <c r="OR15" i="12"/>
  <c r="OS15" i="12"/>
  <c r="OT15" i="12"/>
  <c r="OU15" i="12"/>
  <c r="OV15" i="12"/>
  <c r="OW15" i="12"/>
  <c r="OX15" i="12"/>
  <c r="OY15" i="12"/>
  <c r="OZ15" i="12"/>
  <c r="PA15" i="12"/>
  <c r="PB15" i="12"/>
  <c r="PC15" i="12"/>
  <c r="PD15" i="12"/>
  <c r="PE15" i="12"/>
  <c r="PF15" i="12"/>
  <c r="PG15" i="12"/>
  <c r="PH15" i="12"/>
  <c r="PI15" i="12"/>
  <c r="PJ15" i="12"/>
  <c r="PK15" i="12"/>
  <c r="PL15" i="12"/>
  <c r="PM15" i="12"/>
  <c r="PN15" i="12"/>
  <c r="PO15" i="12"/>
  <c r="PP15" i="12"/>
  <c r="PQ15" i="12"/>
  <c r="PR15" i="12"/>
  <c r="PS15" i="12"/>
  <c r="PT15" i="12"/>
  <c r="PU15" i="12"/>
  <c r="PV15" i="12"/>
  <c r="PW15" i="12"/>
  <c r="PX15" i="12"/>
  <c r="PY15" i="12"/>
  <c r="PZ15" i="12"/>
  <c r="QA15" i="12"/>
  <c r="QB15" i="12"/>
  <c r="QC15" i="12"/>
  <c r="QD15" i="12"/>
  <c r="QE15" i="12"/>
  <c r="QF15" i="12"/>
  <c r="QG15" i="12"/>
  <c r="QH15" i="12"/>
  <c r="QI15" i="12"/>
  <c r="QJ15" i="12"/>
  <c r="QK15" i="12"/>
  <c r="QL15" i="12"/>
  <c r="QM15" i="12"/>
  <c r="QN15" i="12"/>
  <c r="QO15" i="12"/>
  <c r="QP15" i="12"/>
  <c r="QQ15" i="12"/>
  <c r="QR15" i="12"/>
  <c r="QS15" i="12"/>
  <c r="QT15" i="12"/>
  <c r="QU15" i="12"/>
  <c r="QV15" i="12"/>
  <c r="QW15" i="12"/>
  <c r="QX15" i="12"/>
  <c r="QY15" i="12"/>
  <c r="QZ15" i="12"/>
  <c r="RA15" i="12"/>
  <c r="RB15" i="12"/>
  <c r="RC15" i="12"/>
  <c r="RD15" i="12"/>
  <c r="RE15" i="12"/>
  <c r="RF15" i="12"/>
  <c r="RG15" i="12"/>
  <c r="RH15" i="12"/>
  <c r="RI15" i="12"/>
  <c r="RJ15" i="12"/>
  <c r="RK15" i="12"/>
  <c r="RL15" i="12"/>
  <c r="RM15" i="12"/>
  <c r="RN15" i="12"/>
  <c r="RO15" i="12"/>
  <c r="RP15" i="12"/>
  <c r="RQ15" i="12"/>
  <c r="RR15" i="12"/>
  <c r="RS15" i="12"/>
  <c r="RT15" i="12"/>
  <c r="RU15" i="12"/>
  <c r="RV15" i="12"/>
  <c r="RW15" i="12"/>
  <c r="RX15" i="12"/>
  <c r="RY15" i="12"/>
  <c r="RZ15" i="12"/>
  <c r="SA15" i="12"/>
  <c r="SB15" i="12"/>
  <c r="SC15" i="12"/>
  <c r="SD15" i="12"/>
  <c r="SE15" i="12"/>
  <c r="SF15" i="12"/>
  <c r="SG15" i="12"/>
  <c r="SH15" i="12"/>
  <c r="SI15" i="12"/>
  <c r="SJ15" i="12"/>
  <c r="SK15" i="12"/>
  <c r="SL15" i="12"/>
  <c r="SM15" i="12"/>
  <c r="SN15" i="12"/>
  <c r="SO15" i="12"/>
  <c r="SP15" i="12"/>
  <c r="SQ15" i="12"/>
  <c r="SR15" i="12"/>
  <c r="SS15" i="12"/>
  <c r="ST15" i="12"/>
  <c r="SU15" i="12"/>
  <c r="SV15" i="12"/>
  <c r="SW15" i="12"/>
  <c r="SX15" i="12"/>
  <c r="SY15" i="12"/>
  <c r="SZ15" i="12"/>
  <c r="TA15" i="12"/>
  <c r="TB15" i="12"/>
  <c r="TC15" i="12"/>
  <c r="TD15" i="12"/>
  <c r="TE15" i="12"/>
  <c r="TF15" i="12"/>
  <c r="TG15" i="12"/>
  <c r="TH15" i="12"/>
  <c r="TI15" i="12"/>
  <c r="TJ15" i="12"/>
  <c r="TK15" i="12"/>
  <c r="TL15" i="12"/>
  <c r="TM15" i="12"/>
  <c r="TN15" i="12"/>
  <c r="TO15" i="12"/>
  <c r="TP15" i="12"/>
  <c r="TQ15" i="12"/>
  <c r="TR15" i="12"/>
  <c r="TS15" i="12"/>
  <c r="TT15" i="12"/>
  <c r="TU15" i="12"/>
  <c r="TV15" i="12"/>
  <c r="TW15" i="12"/>
  <c r="TX15" i="12"/>
  <c r="TY15" i="12"/>
  <c r="TZ15" i="12"/>
  <c r="UA15" i="12"/>
  <c r="UB15" i="12"/>
  <c r="UC15" i="12"/>
  <c r="UD15" i="12"/>
  <c r="UE15" i="12"/>
  <c r="UF15" i="12"/>
  <c r="UG15" i="12"/>
  <c r="UH15" i="12"/>
  <c r="UI15" i="12"/>
  <c r="UJ15" i="12"/>
  <c r="UK15" i="12"/>
  <c r="UL15" i="12"/>
  <c r="UM15" i="12"/>
  <c r="UN15" i="12"/>
  <c r="UO15" i="12"/>
  <c r="UP15" i="12"/>
  <c r="UQ15" i="12"/>
  <c r="UR15" i="12"/>
  <c r="US15" i="12"/>
  <c r="UT15" i="12"/>
  <c r="UU15" i="12"/>
  <c r="UV15" i="12"/>
  <c r="UW15" i="12"/>
  <c r="UX15" i="12"/>
  <c r="UY15" i="12"/>
  <c r="UZ15" i="12"/>
  <c r="VA15" i="12"/>
  <c r="VB15" i="12"/>
  <c r="VC15" i="12"/>
  <c r="VD15" i="12"/>
  <c r="VE15" i="12"/>
  <c r="VF15" i="12"/>
  <c r="VG15" i="12"/>
  <c r="VH15" i="12"/>
  <c r="VI15" i="12"/>
  <c r="VJ15" i="12"/>
  <c r="VK15" i="12"/>
  <c r="VL15" i="12"/>
  <c r="VM15" i="12"/>
  <c r="VN15" i="12"/>
  <c r="VO15" i="12"/>
  <c r="VP15" i="12"/>
  <c r="VQ15" i="12"/>
  <c r="VR15" i="12"/>
  <c r="VS15" i="12"/>
  <c r="VT15" i="12"/>
  <c r="VU15" i="12"/>
  <c r="VV15" i="12"/>
  <c r="VW15" i="12"/>
  <c r="VX15" i="12"/>
  <c r="VY15" i="12"/>
  <c r="VZ15" i="12"/>
  <c r="WA15" i="12"/>
  <c r="WB15" i="12"/>
  <c r="WC15" i="12"/>
  <c r="WD15" i="12"/>
  <c r="WE15" i="12"/>
  <c r="WF15" i="12"/>
  <c r="WG15" i="12"/>
  <c r="WH15" i="12"/>
  <c r="WI15" i="12"/>
  <c r="WJ15" i="12"/>
  <c r="WK15" i="12"/>
  <c r="WL15" i="12"/>
  <c r="WM15" i="12"/>
  <c r="WN15" i="12"/>
  <c r="WO15" i="12"/>
  <c r="WP15" i="12"/>
  <c r="WQ15" i="12"/>
  <c r="WR15" i="12"/>
  <c r="WS15" i="12"/>
  <c r="WT15" i="12"/>
  <c r="WU15" i="12"/>
  <c r="WV15" i="12"/>
  <c r="WW15" i="12"/>
  <c r="WX15" i="12"/>
  <c r="WY15" i="12"/>
  <c r="WZ15" i="12"/>
  <c r="XA15" i="12"/>
  <c r="XB15" i="12"/>
  <c r="XC15" i="12"/>
  <c r="XD15" i="12"/>
  <c r="XE15" i="12"/>
  <c r="XF15" i="12"/>
  <c r="XG15" i="12"/>
  <c r="XH15" i="12"/>
  <c r="XI15" i="12"/>
  <c r="XJ15" i="12"/>
  <c r="XK15" i="12"/>
  <c r="XL15" i="12"/>
  <c r="XM15" i="12"/>
  <c r="XN15" i="12"/>
  <c r="XO15" i="12"/>
  <c r="XP15" i="12"/>
  <c r="XQ15" i="12"/>
  <c r="XR15" i="12"/>
  <c r="XS15" i="12"/>
  <c r="XT15" i="12"/>
  <c r="XU15" i="12"/>
  <c r="XV15" i="12"/>
  <c r="XW15" i="12"/>
  <c r="XX15" i="12"/>
  <c r="XY15" i="12"/>
  <c r="XZ15" i="12"/>
  <c r="YA15" i="12"/>
  <c r="YB15" i="12"/>
  <c r="YC15" i="12"/>
  <c r="YD15" i="12"/>
  <c r="YE15" i="12"/>
  <c r="YF15" i="12"/>
  <c r="YG15" i="12"/>
  <c r="YH15" i="12"/>
  <c r="YI15" i="12"/>
  <c r="YJ15" i="12"/>
  <c r="YK15" i="12"/>
  <c r="YL15" i="12"/>
  <c r="YM15" i="12"/>
  <c r="YN15" i="12"/>
  <c r="YO15" i="12"/>
  <c r="YP15" i="12"/>
  <c r="YQ15" i="12"/>
  <c r="YR15" i="12"/>
  <c r="YS15" i="12"/>
  <c r="YT15" i="12"/>
  <c r="YU15" i="12"/>
  <c r="YV15" i="12"/>
  <c r="YW15" i="12"/>
  <c r="YX15" i="12"/>
  <c r="YY15" i="12"/>
  <c r="YZ15" i="12"/>
  <c r="ZA15" i="12"/>
  <c r="ZB15" i="12"/>
  <c r="ZC15" i="12"/>
  <c r="ZD15" i="12"/>
  <c r="ZE15" i="12"/>
  <c r="ZF15" i="12"/>
  <c r="ZG15" i="12"/>
  <c r="ZH15" i="12"/>
  <c r="ZI15" i="12"/>
  <c r="ZJ15" i="12"/>
  <c r="ZK15" i="12"/>
  <c r="ZL15" i="12"/>
  <c r="ZM15" i="12"/>
  <c r="ZN15" i="12"/>
  <c r="ZO15" i="12"/>
  <c r="ZP15" i="12"/>
  <c r="ZQ15" i="12"/>
  <c r="ZR15" i="12"/>
  <c r="ZS15" i="12"/>
  <c r="ZT15" i="12"/>
  <c r="ZU15" i="12"/>
  <c r="ZV15" i="12"/>
  <c r="ZW15" i="12"/>
  <c r="ZX15" i="12"/>
  <c r="ZY15" i="12"/>
  <c r="ZZ15" i="12"/>
  <c r="AAA15" i="12"/>
  <c r="AAB15" i="12"/>
  <c r="AAC15" i="12"/>
  <c r="AAD15" i="12"/>
  <c r="AAE15" i="12"/>
  <c r="AAF15" i="12"/>
  <c r="AAG15" i="12"/>
  <c r="AAH15" i="12"/>
  <c r="AAI15" i="12"/>
  <c r="AAJ15" i="12"/>
  <c r="AAK15" i="12"/>
  <c r="AAL15" i="12"/>
  <c r="AAM15" i="12"/>
  <c r="AAN15" i="12"/>
  <c r="AAO15" i="12"/>
  <c r="AAP15" i="12"/>
  <c r="AAQ15" i="12"/>
  <c r="AAR15" i="12"/>
  <c r="AAS15" i="12"/>
  <c r="AAT15" i="12"/>
  <c r="AAU15" i="12"/>
  <c r="AAV15" i="12"/>
  <c r="AAW15" i="12"/>
  <c r="AAX15" i="12"/>
  <c r="AAY15" i="12"/>
  <c r="AAZ15" i="12"/>
  <c r="ABA15" i="12"/>
  <c r="ABB15" i="12"/>
  <c r="ABC15" i="12"/>
  <c r="ABD15" i="12"/>
  <c r="ABE15" i="12"/>
  <c r="ABF15" i="12"/>
  <c r="ABG15" i="12"/>
  <c r="ABH15" i="12"/>
  <c r="ABI15" i="12"/>
  <c r="ABJ15" i="12"/>
  <c r="ABK15" i="12"/>
  <c r="ABL15" i="12"/>
  <c r="ABM15" i="12"/>
  <c r="ABN15" i="12"/>
  <c r="ABO15" i="12"/>
  <c r="ABP15" i="12"/>
  <c r="ABQ15" i="12"/>
  <c r="ABR15" i="12"/>
  <c r="ABS15" i="12"/>
  <c r="ABT15" i="12"/>
  <c r="ABU15" i="12"/>
  <c r="ABV15" i="12"/>
  <c r="ABW15" i="12"/>
  <c r="ABX15" i="12"/>
  <c r="ABY15" i="12"/>
  <c r="ABZ15" i="12"/>
  <c r="ACA15" i="12"/>
  <c r="ACB15" i="12"/>
  <c r="ACC15" i="12"/>
  <c r="ACD15" i="12"/>
  <c r="ACE15" i="12"/>
  <c r="ACF15" i="12"/>
  <c r="ACG15" i="12"/>
  <c r="ACH15" i="12"/>
  <c r="ACI15" i="12"/>
  <c r="ACJ15" i="12"/>
  <c r="ACK15" i="12"/>
  <c r="ACL15" i="12"/>
  <c r="ACM15" i="12"/>
  <c r="ACN15" i="12"/>
  <c r="ACO15" i="12"/>
  <c r="ACP15" i="12"/>
  <c r="ACQ15" i="12"/>
  <c r="ACR15" i="12"/>
  <c r="ACS15" i="12"/>
  <c r="ACT15" i="12"/>
  <c r="ACU15" i="12"/>
  <c r="ACV15" i="12"/>
  <c r="ACW15" i="12"/>
  <c r="ACX15" i="12"/>
  <c r="ACY15" i="12"/>
  <c r="ACZ15" i="12"/>
  <c r="ADA15" i="12"/>
  <c r="ADB15" i="12"/>
  <c r="ADC15" i="12"/>
  <c r="ADD15" i="12"/>
  <c r="ADE15" i="12"/>
  <c r="ADF15" i="12"/>
  <c r="ADG15" i="12"/>
  <c r="ADH15" i="12"/>
  <c r="ADI15" i="12"/>
  <c r="ADJ15" i="12"/>
  <c r="ADK15" i="12"/>
  <c r="ADL15" i="12"/>
  <c r="ADM15" i="12"/>
  <c r="ADN15" i="12"/>
  <c r="ADO15" i="12"/>
  <c r="ADP15" i="12"/>
  <c r="ADQ15" i="12"/>
  <c r="ADR15" i="12"/>
  <c r="ADS15" i="12"/>
  <c r="ADT15" i="12"/>
  <c r="ADU15" i="12"/>
  <c r="ADV15" i="12"/>
  <c r="ADW15" i="12"/>
  <c r="ADX15" i="12"/>
  <c r="ADY15" i="12"/>
  <c r="ADZ15" i="12"/>
  <c r="AEA15" i="12"/>
  <c r="AEB15" i="12"/>
  <c r="AEC15" i="12"/>
  <c r="AED15" i="12"/>
  <c r="AEE15" i="12"/>
  <c r="AEF15" i="12"/>
  <c r="AEG15" i="12"/>
  <c r="AEH15" i="12"/>
  <c r="AEI15" i="12"/>
  <c r="AEJ15" i="12"/>
  <c r="AEK15" i="12"/>
  <c r="AEL15" i="12"/>
  <c r="AEM15" i="12"/>
  <c r="AEN15" i="12"/>
  <c r="AEO15" i="12"/>
  <c r="AEP15" i="12"/>
  <c r="AEQ15" i="12"/>
  <c r="AER15" i="12"/>
  <c r="AES15" i="12"/>
  <c r="AET15" i="12"/>
  <c r="AEU15" i="12"/>
  <c r="AEV15" i="12"/>
  <c r="AEW15" i="12"/>
  <c r="AEX15" i="12"/>
  <c r="AEY15" i="12"/>
  <c r="AEZ15" i="12"/>
  <c r="AFA15" i="12"/>
  <c r="AFB15" i="12"/>
  <c r="AFC15" i="12"/>
  <c r="AFD15" i="12"/>
  <c r="AFE15" i="12"/>
  <c r="AFF15" i="12"/>
  <c r="AFG15" i="12"/>
  <c r="AFH15" i="12"/>
  <c r="AFI15" i="12"/>
  <c r="AFJ15" i="12"/>
  <c r="AFK15" i="12"/>
  <c r="AFL15" i="12"/>
  <c r="AFM15" i="12"/>
  <c r="AFN15" i="12"/>
  <c r="AFO15" i="12"/>
  <c r="AFP15" i="12"/>
  <c r="AFQ15" i="12"/>
  <c r="AFR15" i="12"/>
  <c r="AFS15" i="12"/>
  <c r="AFT15" i="12"/>
  <c r="AFU15" i="12"/>
  <c r="AFV15" i="12"/>
  <c r="AFW15" i="12"/>
  <c r="AFX15" i="12"/>
  <c r="AFY15" i="12"/>
  <c r="AFZ15" i="12"/>
  <c r="AGA15" i="12"/>
  <c r="AGB15" i="12"/>
  <c r="AGC15" i="12"/>
  <c r="AGD15" i="12"/>
  <c r="AGE15" i="12"/>
  <c r="AGF15" i="12"/>
  <c r="AGG15" i="12"/>
  <c r="AGH15" i="12"/>
  <c r="AGI15" i="12"/>
  <c r="AGJ15" i="12"/>
  <c r="AGK15" i="12"/>
  <c r="AGL15" i="12"/>
  <c r="AGM15" i="12"/>
  <c r="AGN15" i="12"/>
  <c r="AGO15" i="12"/>
  <c r="AGP15" i="12"/>
  <c r="AGQ15" i="12"/>
  <c r="AGR15" i="12"/>
  <c r="AGS15" i="12"/>
  <c r="AGT15" i="12"/>
  <c r="AGU15" i="12"/>
  <c r="AGV15" i="12"/>
  <c r="AGW15" i="12"/>
  <c r="AGX15" i="12"/>
  <c r="AGY15" i="12"/>
  <c r="AGZ15" i="12"/>
  <c r="AHA15" i="12"/>
  <c r="AHB15" i="12"/>
  <c r="AHC15" i="12"/>
  <c r="AHD15" i="12"/>
  <c r="AHE15" i="12"/>
  <c r="AHF15" i="12"/>
  <c r="AHG15" i="12"/>
  <c r="AHH15" i="12"/>
  <c r="AHI15" i="12"/>
  <c r="AHJ15" i="12"/>
  <c r="AHK15" i="12"/>
  <c r="AHL15" i="12"/>
  <c r="AHM15" i="12"/>
  <c r="AHN15" i="12"/>
  <c r="AHO15" i="12"/>
  <c r="AHP15" i="12"/>
  <c r="AHQ15" i="12"/>
  <c r="AHR15" i="12"/>
  <c r="AHS15" i="12"/>
  <c r="AHT15" i="12"/>
  <c r="AHU15" i="12"/>
  <c r="AHV15" i="12"/>
  <c r="AHW15" i="12"/>
  <c r="AHX15" i="12"/>
  <c r="AHY15" i="12"/>
  <c r="AHZ15" i="12"/>
  <c r="AIA15" i="12"/>
  <c r="AIB15" i="12"/>
  <c r="AIC15" i="12"/>
  <c r="AID15" i="12"/>
  <c r="AIE15" i="12"/>
  <c r="AIF15" i="12"/>
  <c r="AIG15" i="12"/>
  <c r="AIH15" i="12"/>
  <c r="AII15" i="12"/>
  <c r="AIJ15" i="12"/>
  <c r="AIK15" i="12"/>
  <c r="AIL15" i="12"/>
  <c r="AIM15" i="12"/>
  <c r="AIN15" i="12"/>
  <c r="AIO15" i="12"/>
  <c r="AIP15" i="12"/>
  <c r="AIQ15" i="12"/>
  <c r="AIR15" i="12"/>
  <c r="AIS15" i="12"/>
  <c r="AIT15" i="12"/>
  <c r="AIU15" i="12"/>
  <c r="AIV15" i="12"/>
  <c r="AIW15" i="12"/>
  <c r="AIX15" i="12"/>
  <c r="AIY15" i="12"/>
  <c r="AIZ15" i="12"/>
  <c r="AJA15" i="12"/>
  <c r="AJB15" i="12"/>
  <c r="AJC15" i="12"/>
  <c r="AJD15" i="12"/>
  <c r="AJE15" i="12"/>
  <c r="AJF15" i="12"/>
  <c r="AJG15" i="12"/>
  <c r="AJH15" i="12"/>
  <c r="AJI15" i="12"/>
  <c r="AJJ15" i="12"/>
  <c r="AJK15" i="12"/>
  <c r="AJL15" i="12"/>
  <c r="AJM15" i="12"/>
  <c r="AJN15" i="12"/>
  <c r="AJO15" i="12"/>
  <c r="AJP15" i="12"/>
  <c r="AJQ15" i="12"/>
  <c r="AJR15" i="12"/>
  <c r="AJS15" i="12"/>
  <c r="AJT15" i="12"/>
  <c r="AJU15" i="12"/>
  <c r="AJV15" i="12"/>
  <c r="AJW15" i="12"/>
  <c r="AJX15" i="12"/>
  <c r="AJY15" i="12"/>
  <c r="AJZ15" i="12"/>
  <c r="AKA15" i="12"/>
  <c r="AKB15" i="12"/>
  <c r="AKC15" i="12"/>
  <c r="AKD15" i="12"/>
  <c r="AKE15" i="12"/>
  <c r="AKF15" i="12"/>
  <c r="AKG15" i="12"/>
  <c r="AKH15" i="12"/>
  <c r="AKI15" i="12"/>
  <c r="AKJ15" i="12"/>
  <c r="AKK15" i="12"/>
  <c r="AKL15" i="12"/>
  <c r="AKM15" i="12"/>
  <c r="AKN15" i="12"/>
  <c r="AKO15" i="12"/>
  <c r="AKP15" i="12"/>
  <c r="AKQ15" i="12"/>
  <c r="AKR15" i="12"/>
  <c r="AKS15" i="12"/>
  <c r="AKT15" i="12"/>
  <c r="AKU15" i="12"/>
  <c r="AKV15" i="12"/>
  <c r="AKW15" i="12"/>
  <c r="AKX15" i="12"/>
  <c r="AKY15" i="12"/>
  <c r="AKZ15" i="12"/>
  <c r="ALA15" i="12"/>
  <c r="ALB15" i="12"/>
  <c r="ALC15" i="12"/>
  <c r="ALD15" i="12"/>
  <c r="ALE15" i="12"/>
  <c r="ALF15" i="12"/>
  <c r="ALG15" i="12"/>
  <c r="ALH15" i="12"/>
  <c r="ALI15" i="12"/>
  <c r="ALJ15" i="12"/>
  <c r="ALK15" i="12"/>
  <c r="ALL15" i="12"/>
  <c r="ALM15" i="12"/>
  <c r="ALN15" i="12"/>
  <c r="ALO15" i="12"/>
  <c r="ALP15" i="12"/>
  <c r="ALQ15" i="12"/>
  <c r="ALR15" i="12"/>
  <c r="ALS15" i="12"/>
  <c r="ALT15" i="12"/>
  <c r="ALU15" i="12"/>
  <c r="ALV15" i="12"/>
  <c r="ALW15" i="12"/>
  <c r="ALX15" i="12"/>
  <c r="ALY15" i="12"/>
  <c r="ALZ15" i="12"/>
  <c r="AMA15" i="12"/>
  <c r="AMB15" i="12"/>
  <c r="AMC15" i="12"/>
  <c r="AMD15" i="12"/>
  <c r="AME15" i="12"/>
  <c r="AMF15" i="12"/>
  <c r="AMG15" i="12"/>
  <c r="AMH15" i="12"/>
  <c r="AMI15" i="12"/>
  <c r="AMJ15" i="12"/>
  <c r="AMK15" i="12"/>
  <c r="AML15" i="12"/>
  <c r="AMM15" i="12"/>
  <c r="AMN15" i="12"/>
  <c r="AMO15" i="12"/>
  <c r="AMP15" i="12"/>
  <c r="AMQ15" i="12"/>
  <c r="AMR15" i="12"/>
  <c r="AMS15" i="12"/>
  <c r="AMT15" i="12"/>
  <c r="AMU15" i="12"/>
  <c r="AMV15" i="12"/>
  <c r="AMW15" i="12"/>
  <c r="AMX15" i="12"/>
  <c r="AMY15" i="12"/>
  <c r="AMZ15" i="12"/>
  <c r="ANA15" i="12"/>
  <c r="ANB15" i="12"/>
  <c r="ANC15" i="12"/>
  <c r="AND15" i="12"/>
  <c r="ANE15" i="12"/>
  <c r="ANF15" i="12"/>
  <c r="ANG15" i="12"/>
  <c r="ANH15" i="12"/>
  <c r="ANI15" i="12"/>
  <c r="ANJ15" i="12"/>
  <c r="ANK15" i="12"/>
  <c r="ANL15" i="12"/>
  <c r="ANM15" i="12"/>
  <c r="ANN15" i="12"/>
  <c r="ANO15" i="12"/>
  <c r="ANP15" i="12"/>
  <c r="ANQ15" i="12"/>
  <c r="ANR15" i="12"/>
  <c r="ANS15" i="12"/>
  <c r="ANT15" i="12"/>
  <c r="ANU15" i="12"/>
  <c r="ANV15" i="12"/>
  <c r="ANW15" i="12"/>
  <c r="ANX15" i="12"/>
  <c r="ANY15" i="12"/>
  <c r="ANZ15" i="12"/>
  <c r="AOA15" i="12"/>
  <c r="AOB15" i="12"/>
  <c r="AOC15" i="12"/>
  <c r="AOD15" i="12"/>
  <c r="AOE15" i="12"/>
  <c r="AOF15" i="12"/>
  <c r="AOG15" i="12"/>
  <c r="AOH15" i="12"/>
  <c r="AOI15" i="12"/>
  <c r="AOJ15" i="12"/>
  <c r="AOK15" i="12"/>
  <c r="AOL15" i="12"/>
  <c r="AOM15" i="12"/>
  <c r="AON15" i="12"/>
  <c r="AOO15" i="12"/>
  <c r="AOP15" i="12"/>
  <c r="AOQ15" i="12"/>
  <c r="AOR15" i="12"/>
  <c r="AOS15" i="12"/>
  <c r="AOT15" i="12"/>
  <c r="AOU15" i="12"/>
  <c r="AOV15" i="12"/>
  <c r="AOW15" i="12"/>
  <c r="AOX15" i="12"/>
  <c r="AOY15" i="12"/>
  <c r="AOZ15" i="12"/>
  <c r="APA15" i="12"/>
  <c r="APB15" i="12"/>
  <c r="APC15" i="12"/>
  <c r="APD15" i="12"/>
  <c r="APE15" i="12"/>
  <c r="APF15" i="12"/>
  <c r="APG15" i="12"/>
  <c r="APH15" i="12"/>
  <c r="API15" i="12"/>
  <c r="APJ15" i="12"/>
  <c r="APK15" i="12"/>
  <c r="APL15" i="12"/>
  <c r="APM15" i="12"/>
  <c r="APN15" i="12"/>
  <c r="APO15" i="12"/>
  <c r="APP15" i="12"/>
  <c r="APQ15" i="12"/>
  <c r="APR15" i="12"/>
  <c r="APS15" i="12"/>
  <c r="APT15" i="12"/>
  <c r="APU15" i="12"/>
  <c r="APV15" i="12"/>
  <c r="APW15" i="12"/>
  <c r="APX15" i="12"/>
  <c r="APY15" i="12"/>
  <c r="APZ15" i="12"/>
  <c r="AQA15" i="12"/>
  <c r="AQB15" i="12"/>
  <c r="AQC15" i="12"/>
  <c r="AQD15" i="12"/>
  <c r="AQE15" i="12"/>
  <c r="AQF15" i="12"/>
  <c r="AQG15" i="12"/>
  <c r="AQH15" i="12"/>
  <c r="AQI15" i="12"/>
  <c r="AQJ15" i="12"/>
  <c r="AQK15" i="12"/>
  <c r="AQL15" i="12"/>
  <c r="AQM15" i="12"/>
  <c r="AQN15" i="12"/>
  <c r="AQO15" i="12"/>
  <c r="AQP15" i="12"/>
  <c r="AQQ15" i="12"/>
  <c r="AQR15" i="12"/>
  <c r="AQS15" i="12"/>
  <c r="AQT15" i="12"/>
  <c r="AQU15" i="12"/>
  <c r="AQV15" i="12"/>
  <c r="AQW15" i="12"/>
  <c r="AQX15" i="12"/>
  <c r="AQY15" i="12"/>
  <c r="AQZ15" i="12"/>
  <c r="ARA15" i="12"/>
  <c r="ARB15" i="12"/>
  <c r="ARC15" i="12"/>
  <c r="ARD15" i="12"/>
  <c r="ARE15" i="12"/>
  <c r="ARF15" i="12"/>
  <c r="ARG15" i="12"/>
  <c r="ARH15" i="12"/>
  <c r="ARI15" i="12"/>
  <c r="ARJ15" i="12"/>
  <c r="ARK15" i="12"/>
  <c r="ARL15" i="12"/>
  <c r="ARM15" i="12"/>
  <c r="ARN15" i="12"/>
  <c r="ARO15" i="12"/>
  <c r="ARP15" i="12"/>
  <c r="ARQ15" i="12"/>
  <c r="ARR15" i="12"/>
  <c r="ARS15" i="12"/>
  <c r="ART15" i="12"/>
  <c r="ARU15" i="12"/>
  <c r="ARV15" i="12"/>
  <c r="ARW15" i="12"/>
  <c r="ARX15" i="12"/>
  <c r="ARY15" i="12"/>
  <c r="ARZ15" i="12"/>
  <c r="ASA15" i="12"/>
  <c r="ASB15" i="12"/>
  <c r="ASC15" i="12"/>
  <c r="ASD15" i="12"/>
  <c r="ASE15" i="12"/>
  <c r="ASF15" i="12"/>
  <c r="ASG15" i="12"/>
  <c r="ASH15" i="12"/>
  <c r="ASI15" i="12"/>
  <c r="ASJ15" i="12"/>
  <c r="ASK15" i="12"/>
  <c r="ASL15" i="12"/>
  <c r="ASM15" i="12"/>
  <c r="ASN15" i="12"/>
  <c r="ASO15" i="12"/>
  <c r="ASP15" i="12"/>
  <c r="ASQ15" i="12"/>
  <c r="ASR15" i="12"/>
  <c r="ASS15" i="12"/>
  <c r="AST15" i="12"/>
  <c r="ASU15" i="12"/>
  <c r="ASV15" i="12"/>
  <c r="ASW15" i="12"/>
  <c r="ASX15" i="12"/>
  <c r="ASY15" i="12"/>
  <c r="ASZ15" i="12"/>
  <c r="ATA15" i="12"/>
  <c r="ATB15" i="12"/>
  <c r="ATC15" i="12"/>
  <c r="ATD15" i="12"/>
  <c r="ATE15" i="12"/>
  <c r="ATF15" i="12"/>
  <c r="ATG15" i="12"/>
  <c r="ATH15" i="12"/>
  <c r="ATI15" i="12"/>
  <c r="ATJ15" i="12"/>
  <c r="ATK15" i="12"/>
  <c r="ATL15" i="12"/>
  <c r="ATM15" i="12"/>
  <c r="ATN15" i="12"/>
  <c r="ATO15" i="12"/>
  <c r="ATP15" i="12"/>
  <c r="ATQ15" i="12"/>
  <c r="ATR15" i="12"/>
  <c r="ATS15" i="12"/>
  <c r="ATT15" i="12"/>
  <c r="ATU15" i="12"/>
  <c r="ATV15" i="12"/>
  <c r="ATW15" i="12"/>
  <c r="ATX15" i="12"/>
  <c r="ATY15" i="12"/>
  <c r="ATZ15" i="12"/>
  <c r="AUA15" i="12"/>
  <c r="AUB15" i="12"/>
  <c r="AUC15" i="12"/>
  <c r="AUD15" i="12"/>
  <c r="AUE15" i="12"/>
  <c r="AUF15" i="12"/>
  <c r="AUG15" i="12"/>
  <c r="AUH15" i="12"/>
  <c r="AUI15" i="12"/>
  <c r="AUJ15" i="12"/>
  <c r="AUK15" i="12"/>
  <c r="AUL15" i="12"/>
  <c r="AUM15" i="12"/>
  <c r="AUN15" i="12"/>
  <c r="AUO15" i="12"/>
  <c r="AUP15" i="12"/>
  <c r="AUQ15" i="12"/>
  <c r="AUR15" i="12"/>
  <c r="AUS15" i="12"/>
  <c r="AUT15" i="12"/>
  <c r="AUU15" i="12"/>
  <c r="AUV15" i="12"/>
  <c r="AUW15" i="12"/>
  <c r="AUX15" i="12"/>
  <c r="AUY15" i="12"/>
  <c r="AUZ15" i="12"/>
  <c r="AVA15" i="12"/>
  <c r="AVB15" i="12"/>
  <c r="AVC15" i="12"/>
  <c r="AVD15" i="12"/>
  <c r="AVE15" i="12"/>
  <c r="AVF15" i="12"/>
  <c r="AVG15" i="12"/>
  <c r="AVH15" i="12"/>
  <c r="AVI15" i="12"/>
  <c r="AVJ15" i="12"/>
  <c r="AVK15" i="12"/>
  <c r="AVL15" i="12"/>
  <c r="AVM15" i="12"/>
  <c r="AVN15" i="12"/>
  <c r="AVO15" i="12"/>
  <c r="AVP15" i="12"/>
  <c r="AVQ15" i="12"/>
  <c r="AVR15" i="12"/>
  <c r="AVS15" i="12"/>
  <c r="AVT15" i="12"/>
  <c r="AVU15" i="12"/>
  <c r="AVV15" i="12"/>
  <c r="AVW15" i="12"/>
  <c r="AVX15" i="12"/>
  <c r="AVY15" i="12"/>
  <c r="AVZ15" i="12"/>
  <c r="AWA15" i="12"/>
  <c r="AWB15" i="12"/>
  <c r="AWC15" i="12"/>
  <c r="AWD15" i="12"/>
  <c r="AWE15" i="12"/>
  <c r="AWF15" i="12"/>
  <c r="AWG15" i="12"/>
  <c r="AWH15" i="12"/>
  <c r="AWI15" i="12"/>
  <c r="AWJ15" i="12"/>
  <c r="AWK15" i="12"/>
  <c r="AWL15" i="12"/>
  <c r="AWM15" i="12"/>
  <c r="AWN15" i="12"/>
  <c r="AWO15" i="12"/>
  <c r="AWP15" i="12"/>
  <c r="AWQ15" i="12"/>
  <c r="AWR15" i="12"/>
  <c r="AWS15" i="12"/>
  <c r="AWT15" i="12"/>
  <c r="AWU15" i="12"/>
  <c r="AWV15" i="12"/>
  <c r="AWW15" i="12"/>
  <c r="AWX15" i="12"/>
  <c r="AWY15" i="12"/>
  <c r="AWZ15" i="12"/>
  <c r="AXA15" i="12"/>
  <c r="AXB15" i="12"/>
  <c r="AXC15" i="12"/>
  <c r="AXD15" i="12"/>
  <c r="AXE15" i="12"/>
  <c r="AXF15" i="12"/>
  <c r="AXG15" i="12"/>
  <c r="AXH15" i="12"/>
  <c r="AXI15" i="12"/>
  <c r="AXJ15" i="12"/>
  <c r="AXK15" i="12"/>
  <c r="AXL15" i="12"/>
  <c r="AXM15" i="12"/>
  <c r="AXN15" i="12"/>
  <c r="AXO15" i="12"/>
  <c r="AXP15" i="12"/>
  <c r="AXQ15" i="12"/>
  <c r="AXR15" i="12"/>
  <c r="AXS15" i="12"/>
  <c r="AXT15" i="12"/>
  <c r="AXU15" i="12"/>
  <c r="AXV15" i="12"/>
  <c r="AXW15" i="12"/>
  <c r="AXX15" i="12"/>
  <c r="AXY15" i="12"/>
  <c r="AXZ15" i="12"/>
  <c r="AYA15" i="12"/>
  <c r="AYB15" i="12"/>
  <c r="AYC15" i="12"/>
  <c r="AYD15" i="12"/>
  <c r="AYE15" i="12"/>
  <c r="AYF15" i="12"/>
  <c r="AYG15" i="12"/>
  <c r="AYH15" i="12"/>
  <c r="AYI15" i="12"/>
  <c r="AYJ15" i="12"/>
  <c r="AYK15" i="12"/>
  <c r="AYL15" i="12"/>
  <c r="AYM15" i="12"/>
  <c r="AYN15" i="12"/>
  <c r="AYO15" i="12"/>
  <c r="AYP15" i="12"/>
  <c r="AYQ15" i="12"/>
  <c r="AYR15" i="12"/>
  <c r="AYS15" i="12"/>
  <c r="AYT15" i="12"/>
  <c r="AYU15" i="12"/>
  <c r="AYV15" i="12"/>
  <c r="AYW15" i="12"/>
  <c r="AYX15" i="12"/>
  <c r="AYY15" i="12"/>
  <c r="AYZ15" i="12"/>
  <c r="AZA15" i="12"/>
  <c r="AZB15" i="12"/>
  <c r="AZC15" i="12"/>
  <c r="AZD15" i="12"/>
  <c r="AZE15" i="12"/>
  <c r="AZF15" i="12"/>
  <c r="AZG15" i="12"/>
  <c r="AZH15" i="12"/>
  <c r="AZI15" i="12"/>
  <c r="AZJ15" i="12"/>
  <c r="AZK15" i="12"/>
  <c r="AZL15" i="12"/>
  <c r="AZM15" i="12"/>
  <c r="AZN15" i="12"/>
  <c r="AZO15" i="12"/>
  <c r="AZP15" i="12"/>
  <c r="AZQ15" i="12"/>
  <c r="AZR15" i="12"/>
  <c r="AZS15" i="12"/>
  <c r="AZT15" i="12"/>
  <c r="AZU15" i="12"/>
  <c r="AZV15" i="12"/>
  <c r="AZW15" i="12"/>
  <c r="AZX15" i="12"/>
  <c r="AZY15" i="12"/>
  <c r="AZZ15" i="12"/>
  <c r="BAA15" i="12"/>
  <c r="BAB15" i="12"/>
  <c r="BAC15" i="12"/>
  <c r="BAD15" i="12"/>
  <c r="BAE15" i="12"/>
  <c r="BAF15" i="12"/>
  <c r="BAG15" i="12"/>
  <c r="BAH15" i="12"/>
  <c r="BAI15" i="12"/>
  <c r="BAJ15" i="12"/>
  <c r="BAK15" i="12"/>
  <c r="BAL15" i="12"/>
  <c r="BAM15" i="12"/>
  <c r="BAN15" i="12"/>
  <c r="BAO15" i="12"/>
  <c r="BAP15" i="12"/>
  <c r="BAQ15" i="12"/>
  <c r="BAR15" i="12"/>
  <c r="BAS15" i="12"/>
  <c r="BAT15" i="12"/>
  <c r="BAU15" i="12"/>
  <c r="BAV15" i="12"/>
  <c r="BAW15" i="12"/>
  <c r="BAX15" i="12"/>
  <c r="BAY15" i="12"/>
  <c r="BAZ15" i="12"/>
  <c r="BBA15" i="12"/>
  <c r="BBB15" i="12"/>
  <c r="BBC15" i="12"/>
  <c r="BBD15" i="12"/>
  <c r="BBE15" i="12"/>
  <c r="BBF15" i="12"/>
  <c r="BBG15" i="12"/>
  <c r="BBH15" i="12"/>
  <c r="BBI15" i="12"/>
  <c r="BBJ15" i="12"/>
  <c r="BBK15" i="12"/>
  <c r="BBL15" i="12"/>
  <c r="BBM15" i="12"/>
  <c r="BBN15" i="12"/>
  <c r="BBO15" i="12"/>
  <c r="BBP15" i="12"/>
  <c r="BBQ15" i="12"/>
  <c r="BBR15" i="12"/>
  <c r="BBS15" i="12"/>
  <c r="BBT15" i="12"/>
  <c r="BBU15" i="12"/>
  <c r="BBV15" i="12"/>
  <c r="BBW15" i="12"/>
  <c r="BBX15" i="12"/>
  <c r="BBY15" i="12"/>
  <c r="BBZ15" i="12"/>
  <c r="BCA15" i="12"/>
  <c r="BCB15" i="12"/>
  <c r="BCC15" i="12"/>
  <c r="BCD15" i="12"/>
  <c r="BCE15" i="12"/>
  <c r="BCF15" i="12"/>
  <c r="BCG15" i="12"/>
  <c r="BCH15" i="12"/>
  <c r="BCI15" i="12"/>
  <c r="BCJ15" i="12"/>
  <c r="BCK15" i="12"/>
  <c r="BCL15" i="12"/>
  <c r="BCM15" i="12"/>
  <c r="BCN15" i="12"/>
  <c r="BCO15" i="12"/>
  <c r="BCP15" i="12"/>
  <c r="BCQ15" i="12"/>
  <c r="BCR15" i="12"/>
  <c r="BCS15" i="12"/>
  <c r="BCT15" i="12"/>
  <c r="BCU15" i="12"/>
  <c r="BCV15" i="12"/>
  <c r="BCW15" i="12"/>
  <c r="BCX15" i="12"/>
  <c r="BCY15" i="12"/>
  <c r="BCZ15" i="12"/>
  <c r="BDA15" i="12"/>
  <c r="BDB15" i="12"/>
  <c r="BDC15" i="12"/>
  <c r="BDD15" i="12"/>
  <c r="BDE15" i="12"/>
  <c r="BDF15" i="12"/>
  <c r="BDG15" i="12"/>
  <c r="BDH15" i="12"/>
  <c r="BDI15" i="12"/>
  <c r="BDJ15" i="12"/>
  <c r="BDK15" i="12"/>
  <c r="BDL15" i="12"/>
  <c r="BDM15" i="12"/>
  <c r="BDN15" i="12"/>
  <c r="BDO15" i="12"/>
  <c r="BDP15" i="12"/>
  <c r="BDQ15" i="12"/>
  <c r="BDR15" i="12"/>
  <c r="BDS15" i="12"/>
  <c r="BDT15" i="12"/>
  <c r="BDU15" i="12"/>
  <c r="BDV15" i="12"/>
  <c r="BDW15" i="12"/>
  <c r="BDX15" i="12"/>
  <c r="BDY15" i="12"/>
  <c r="BDZ15" i="12"/>
  <c r="BEA15" i="12"/>
  <c r="BEB15" i="12"/>
  <c r="BEC15" i="12"/>
  <c r="BED15" i="12"/>
  <c r="BEE15" i="12"/>
  <c r="BEF15" i="12"/>
  <c r="BEG15" i="12"/>
  <c r="BEH15" i="12"/>
  <c r="BEI15" i="12"/>
  <c r="BEJ15" i="12"/>
  <c r="BEK15" i="12"/>
  <c r="BEL15" i="12"/>
  <c r="BEM15" i="12"/>
  <c r="BEN15" i="12"/>
  <c r="BEO15" i="12"/>
  <c r="BEP15" i="12"/>
  <c r="BEQ15" i="12"/>
  <c r="BER15" i="12"/>
  <c r="BES15" i="12"/>
  <c r="BET15" i="12"/>
  <c r="BEU15" i="12"/>
  <c r="BEV15" i="12"/>
  <c r="BEW15" i="12"/>
  <c r="BEX15" i="12"/>
  <c r="BEY15" i="12"/>
  <c r="BEZ15" i="12"/>
  <c r="BFA15" i="12"/>
  <c r="BFB15" i="12"/>
  <c r="BFC15" i="12"/>
  <c r="BFD15" i="12"/>
  <c r="BFE15" i="12"/>
  <c r="BFF15" i="12"/>
  <c r="BFG15" i="12"/>
  <c r="BFH15" i="12"/>
  <c r="BFI15" i="12"/>
  <c r="BFJ15" i="12"/>
  <c r="BFK15" i="12"/>
  <c r="BFL15" i="12"/>
  <c r="BFM15" i="12"/>
  <c r="BFN15" i="12"/>
  <c r="BFO15" i="12"/>
  <c r="BFP15" i="12"/>
  <c r="BFQ15" i="12"/>
  <c r="BFR15" i="12"/>
  <c r="BFS15" i="12"/>
  <c r="BFT15" i="12"/>
  <c r="BFU15" i="12"/>
  <c r="BFV15" i="12"/>
  <c r="BFW15" i="12"/>
  <c r="BFX15" i="12"/>
  <c r="BFY15" i="12"/>
  <c r="BFZ15" i="12"/>
  <c r="BGA15" i="12"/>
  <c r="BGB15" i="12"/>
  <c r="BGC15" i="12"/>
  <c r="BGD15" i="12"/>
  <c r="BGE15" i="12"/>
  <c r="BGF15" i="12"/>
  <c r="BGG15" i="12"/>
  <c r="BGH15" i="12"/>
  <c r="BGI15" i="12"/>
  <c r="BGJ15" i="12"/>
  <c r="BGK15" i="12"/>
  <c r="BGL15" i="12"/>
  <c r="BGM15" i="12"/>
  <c r="BGN15" i="12"/>
  <c r="BGO15" i="12"/>
  <c r="BGP15" i="12"/>
  <c r="BGQ15" i="12"/>
  <c r="BGR15" i="12"/>
  <c r="BGS15" i="12"/>
  <c r="BGT15" i="12"/>
  <c r="BGU15" i="12"/>
  <c r="BGV15" i="12"/>
  <c r="BGW15" i="12"/>
  <c r="BGX15" i="12"/>
  <c r="BGY15" i="12"/>
  <c r="BGZ15" i="12"/>
  <c r="BHA15" i="12"/>
  <c r="BHB15" i="12"/>
  <c r="BHC15" i="12"/>
  <c r="BHD15" i="12"/>
  <c r="BHE15" i="12"/>
  <c r="BHF15" i="12"/>
  <c r="BHG15" i="12"/>
  <c r="BHH15" i="12"/>
  <c r="BHI15" i="12"/>
  <c r="BHJ15" i="12"/>
  <c r="BHK15" i="12"/>
  <c r="BHL15" i="12"/>
  <c r="BHM15" i="12"/>
  <c r="BHN15" i="12"/>
  <c r="BHO15" i="12"/>
  <c r="BHP15" i="12"/>
  <c r="BHQ15" i="12"/>
  <c r="BHR15" i="12"/>
  <c r="BHS15" i="12"/>
  <c r="BHT15" i="12"/>
  <c r="BHU15" i="12"/>
  <c r="BHV15" i="12"/>
  <c r="BHW15" i="12"/>
  <c r="BHX15" i="12"/>
  <c r="BHY15" i="12"/>
  <c r="BHZ15" i="12"/>
  <c r="BIA15" i="12"/>
  <c r="BIB15" i="12"/>
  <c r="BIC15" i="12"/>
  <c r="BID15" i="12"/>
  <c r="BIE15" i="12"/>
  <c r="BIF15" i="12"/>
  <c r="BIG15" i="12"/>
  <c r="BIH15" i="12"/>
  <c r="BII15" i="12"/>
  <c r="BIJ15" i="12"/>
  <c r="BIK15" i="12"/>
  <c r="BIL15" i="12"/>
  <c r="BIM15" i="12"/>
  <c r="BIN15" i="12"/>
  <c r="BIO15" i="12"/>
  <c r="BIP15" i="12"/>
  <c r="BIQ15" i="12"/>
  <c r="BIR15" i="12"/>
  <c r="BIS15" i="12"/>
  <c r="BIT15" i="12"/>
  <c r="BIU15" i="12"/>
  <c r="BIV15" i="12"/>
  <c r="BIW15" i="12"/>
  <c r="BIX15" i="12"/>
  <c r="BIY15" i="12"/>
  <c r="BIZ15" i="12"/>
  <c r="BJA15" i="12"/>
  <c r="BJB15" i="12"/>
  <c r="BJC15" i="12"/>
  <c r="BJD15" i="12"/>
  <c r="BJE15" i="12"/>
  <c r="BJF15" i="12"/>
  <c r="BJG15" i="12"/>
  <c r="BJH15" i="12"/>
  <c r="BJI15" i="12"/>
  <c r="BJJ15" i="12"/>
  <c r="BJK15" i="12"/>
  <c r="BJL15" i="12"/>
  <c r="BJM15" i="12"/>
  <c r="BJN15" i="12"/>
  <c r="BJO15" i="12"/>
  <c r="BJP15" i="12"/>
  <c r="BJQ15" i="12"/>
  <c r="BJR15" i="12"/>
  <c r="BJS15" i="12"/>
  <c r="BJT15" i="12"/>
  <c r="BJU15" i="12"/>
  <c r="BJV15" i="12"/>
  <c r="BJW15" i="12"/>
  <c r="BJX15" i="12"/>
  <c r="BJY15" i="12"/>
  <c r="BJZ15" i="12"/>
  <c r="BKA15" i="12"/>
  <c r="BKB15" i="12"/>
  <c r="BKC15" i="12"/>
  <c r="BKD15" i="12"/>
  <c r="BKE15" i="12"/>
  <c r="BKF15" i="12"/>
  <c r="BKG15" i="12"/>
  <c r="BKH15" i="12"/>
  <c r="BKI15" i="12"/>
  <c r="BKJ15" i="12"/>
  <c r="BKK15" i="12"/>
  <c r="BKL15" i="12"/>
  <c r="BKM15" i="12"/>
  <c r="BKN15" i="12"/>
  <c r="BKO15" i="12"/>
  <c r="BKP15" i="12"/>
  <c r="BKQ15" i="12"/>
  <c r="BKR15" i="12"/>
  <c r="BKS15" i="12"/>
  <c r="BKT15" i="12"/>
  <c r="BKU15" i="12"/>
  <c r="BKV15" i="12"/>
  <c r="BKW15" i="12"/>
  <c r="BKX15" i="12"/>
  <c r="BKY15" i="12"/>
  <c r="BKZ15" i="12"/>
  <c r="BLA15" i="12"/>
  <c r="BLB15" i="12"/>
  <c r="BLC15" i="12"/>
  <c r="BLD15" i="12"/>
  <c r="BLE15" i="12"/>
  <c r="BLF15" i="12"/>
  <c r="BLG15" i="12"/>
  <c r="BLH15" i="12"/>
  <c r="BLI15" i="12"/>
  <c r="BLJ15" i="12"/>
  <c r="BLK15" i="12"/>
  <c r="BLL15" i="12"/>
  <c r="BLM15" i="12"/>
  <c r="BLN15" i="12"/>
  <c r="BLO15" i="12"/>
  <c r="BLP15" i="12"/>
  <c r="BLQ15" i="12"/>
  <c r="BLR15" i="12"/>
  <c r="BLS15" i="12"/>
  <c r="BLT15" i="12"/>
  <c r="BLU15" i="12"/>
  <c r="BLV15" i="12"/>
  <c r="BLW15" i="12"/>
  <c r="BLX15" i="12"/>
  <c r="BLY15" i="12"/>
  <c r="BLZ15" i="12"/>
  <c r="BMA15" i="12"/>
  <c r="BMB15" i="12"/>
  <c r="BMC15" i="12"/>
  <c r="BMD15" i="12"/>
  <c r="BME15" i="12"/>
  <c r="BMF15" i="12"/>
  <c r="BMG15" i="12"/>
  <c r="BMH15" i="12"/>
  <c r="BMI15" i="12"/>
  <c r="BMJ15" i="12"/>
  <c r="BMK15" i="12"/>
  <c r="BML15" i="12"/>
  <c r="BMM15" i="12"/>
  <c r="BMN15" i="12"/>
  <c r="BMO15" i="12"/>
  <c r="BMP15" i="12"/>
  <c r="BMQ15" i="12"/>
  <c r="BMR15" i="12"/>
  <c r="BMS15" i="12"/>
  <c r="BMT15" i="12"/>
  <c r="BMU15" i="12"/>
  <c r="BMV15" i="12"/>
  <c r="BMW15" i="12"/>
  <c r="BMX15" i="12"/>
  <c r="BMY15" i="12"/>
  <c r="BMZ15" i="12"/>
  <c r="BNA15" i="12"/>
  <c r="BNB15" i="12"/>
  <c r="BNC15" i="12"/>
  <c r="BND15" i="12"/>
  <c r="BNE15" i="12"/>
  <c r="BNF15" i="12"/>
  <c r="BNG15" i="12"/>
  <c r="BNH15" i="12"/>
  <c r="BNI15" i="12"/>
  <c r="BNJ15" i="12"/>
  <c r="BNK15" i="12"/>
  <c r="BNL15" i="12"/>
  <c r="BNM15" i="12"/>
  <c r="BNN15" i="12"/>
  <c r="BNO15" i="12"/>
  <c r="BNP15" i="12"/>
  <c r="BNQ15" i="12"/>
  <c r="BNR15" i="12"/>
  <c r="BNS15" i="12"/>
  <c r="BNT15" i="12"/>
  <c r="BNU15" i="12"/>
  <c r="BNV15" i="12"/>
  <c r="BNW15" i="12"/>
  <c r="BNX15" i="12"/>
  <c r="BNY15" i="12"/>
  <c r="BNZ15" i="12"/>
  <c r="BOA15" i="12"/>
  <c r="BOB15" i="12"/>
  <c r="BOC15" i="12"/>
  <c r="BOD15" i="12"/>
  <c r="BOE15" i="12"/>
  <c r="BOF15" i="12"/>
  <c r="BOG15" i="12"/>
  <c r="BOH15" i="12"/>
  <c r="BOI15" i="12"/>
  <c r="BOJ15" i="12"/>
  <c r="BOK15" i="12"/>
  <c r="BOL15" i="12"/>
  <c r="BOM15" i="12"/>
  <c r="BON15" i="12"/>
  <c r="BOO15" i="12"/>
  <c r="BOP15" i="12"/>
  <c r="BOQ15" i="12"/>
  <c r="BOR15" i="12"/>
  <c r="BOS15" i="12"/>
  <c r="BOT15" i="12"/>
  <c r="BOU15" i="12"/>
  <c r="BOV15" i="12"/>
  <c r="BOW15" i="12"/>
  <c r="BOX15" i="12"/>
  <c r="BOY15" i="12"/>
  <c r="BOZ15" i="12"/>
  <c r="BPA15" i="12"/>
  <c r="BPB15" i="12"/>
  <c r="BPC15" i="12"/>
  <c r="BPD15" i="12"/>
  <c r="BPE15" i="12"/>
  <c r="BPF15" i="12"/>
  <c r="BPG15" i="12"/>
  <c r="BPH15" i="12"/>
  <c r="BPI15" i="12"/>
  <c r="BPJ15" i="12"/>
  <c r="BPK15" i="12"/>
  <c r="BPL15" i="12"/>
  <c r="BPM15" i="12"/>
  <c r="BPN15" i="12"/>
  <c r="BPO15" i="12"/>
  <c r="BPP15" i="12"/>
  <c r="BPQ15" i="12"/>
  <c r="BPR15" i="12"/>
  <c r="BPS15" i="12"/>
  <c r="BPT15" i="12"/>
  <c r="BPU15" i="12"/>
  <c r="BPV15" i="12"/>
  <c r="BPW15" i="12"/>
  <c r="BPX15" i="12"/>
  <c r="BPY15" i="12"/>
  <c r="BPZ15" i="12"/>
  <c r="BQA15" i="12"/>
  <c r="BQB15" i="12"/>
  <c r="BQC15" i="12"/>
  <c r="BQD15" i="12"/>
  <c r="BQE15" i="12"/>
  <c r="BQF15" i="12"/>
  <c r="BQG15" i="12"/>
  <c r="BQH15" i="12"/>
  <c r="BQI15" i="12"/>
  <c r="BQJ15" i="12"/>
  <c r="BQK15" i="12"/>
  <c r="BQL15" i="12"/>
  <c r="BQM15" i="12"/>
  <c r="BQN15" i="12"/>
  <c r="BQO15" i="12"/>
  <c r="BQP15" i="12"/>
  <c r="BQQ15" i="12"/>
  <c r="BQR15" i="12"/>
  <c r="BQS15" i="12"/>
  <c r="BQT15" i="12"/>
  <c r="BQU15" i="12"/>
  <c r="BQV15" i="12"/>
  <c r="BQW15" i="12"/>
  <c r="BQX15" i="12"/>
  <c r="BQY15" i="12"/>
  <c r="BQZ15" i="12"/>
  <c r="BRA15" i="12"/>
  <c r="BRB15" i="12"/>
  <c r="BRC15" i="12"/>
  <c r="BRD15" i="12"/>
  <c r="BRE15" i="12"/>
  <c r="BRF15" i="12"/>
  <c r="BRG15" i="12"/>
  <c r="BRH15" i="12"/>
  <c r="BRI15" i="12"/>
  <c r="BRJ15" i="12"/>
  <c r="BRK15" i="12"/>
  <c r="BRL15" i="12"/>
  <c r="BRM15" i="12"/>
  <c r="BRN15" i="12"/>
  <c r="BRO15" i="12"/>
  <c r="BRP15" i="12"/>
  <c r="BRQ15" i="12"/>
  <c r="BRR15" i="12"/>
  <c r="BRS15" i="12"/>
  <c r="BRT15" i="12"/>
  <c r="BRU15" i="12"/>
  <c r="BRV15" i="12"/>
  <c r="BRW15" i="12"/>
  <c r="BRX15" i="12"/>
  <c r="BRY15" i="12"/>
  <c r="BRZ15" i="12"/>
  <c r="BSA15" i="12"/>
  <c r="BSB15" i="12"/>
  <c r="BSC15" i="12"/>
  <c r="BSD15" i="12"/>
  <c r="BSE15" i="12"/>
  <c r="BSF15" i="12"/>
  <c r="BSG15" i="12"/>
  <c r="BSH15" i="12"/>
  <c r="BSI15" i="12"/>
  <c r="BSJ15" i="12"/>
  <c r="BSK15" i="12"/>
  <c r="BSL15" i="12"/>
  <c r="BSM15" i="12"/>
  <c r="BSN15" i="12"/>
  <c r="BSO15" i="12"/>
  <c r="BSP15" i="12"/>
  <c r="BSQ15" i="12"/>
  <c r="BSR15" i="12"/>
  <c r="BSS15" i="12"/>
  <c r="BST15" i="12"/>
  <c r="BSU15" i="12"/>
  <c r="BSV15" i="12"/>
  <c r="BSW15" i="12"/>
  <c r="BSX15" i="12"/>
  <c r="BSY15" i="12"/>
  <c r="BSZ15" i="12"/>
  <c r="BTA15" i="12"/>
  <c r="BTB15" i="12"/>
  <c r="BTC15" i="12"/>
  <c r="BTD15" i="12"/>
  <c r="BTE15" i="12"/>
  <c r="BTF15" i="12"/>
  <c r="BTG15" i="12"/>
  <c r="BTH15" i="12"/>
  <c r="BTI15" i="12"/>
  <c r="BTJ15" i="12"/>
  <c r="BTK15" i="12"/>
  <c r="BTL15" i="12"/>
  <c r="BTM15" i="12"/>
  <c r="BTN15" i="12"/>
  <c r="BTO15" i="12"/>
  <c r="BTP15" i="12"/>
  <c r="BTQ15" i="12"/>
  <c r="BTR15" i="12"/>
  <c r="BTS15" i="12"/>
  <c r="BTT15" i="12"/>
  <c r="BTU15" i="12"/>
  <c r="BTV15" i="12"/>
  <c r="BTW15" i="12"/>
  <c r="BTX15" i="12"/>
  <c r="BTY15" i="12"/>
  <c r="BTZ15" i="12"/>
  <c r="BUA15" i="12"/>
  <c r="BUB15" i="12"/>
  <c r="BUC15" i="12"/>
  <c r="BUD15" i="12"/>
  <c r="BUE15" i="12"/>
  <c r="BUF15" i="12"/>
  <c r="BUG15" i="12"/>
  <c r="BUH15" i="12"/>
  <c r="BUI15" i="12"/>
  <c r="BUJ15" i="12"/>
  <c r="BUK15" i="12"/>
  <c r="BUL15" i="12"/>
  <c r="BUM15" i="12"/>
  <c r="BUN15" i="12"/>
  <c r="BUO15" i="12"/>
  <c r="BUP15" i="12"/>
  <c r="BUQ15" i="12"/>
  <c r="BUR15" i="12"/>
  <c r="BUS15" i="12"/>
  <c r="BUT15" i="12"/>
  <c r="BUU15" i="12"/>
  <c r="BUV15" i="12"/>
  <c r="BUW15" i="12"/>
  <c r="BUX15" i="12"/>
  <c r="BUY15" i="12"/>
  <c r="BUZ15" i="12"/>
  <c r="BVA15" i="12"/>
  <c r="BVB15" i="12"/>
  <c r="BVC15" i="12"/>
  <c r="BVD15" i="12"/>
  <c r="BVE15" i="12"/>
  <c r="BVF15" i="12"/>
  <c r="BVG15" i="12"/>
  <c r="BVH15" i="12"/>
  <c r="BVI15" i="12"/>
  <c r="BVJ15" i="12"/>
  <c r="BVK15" i="12"/>
  <c r="BVL15" i="12"/>
  <c r="BVM15" i="12"/>
  <c r="BVN15" i="12"/>
  <c r="BVO15" i="12"/>
  <c r="BVP15" i="12"/>
  <c r="BVQ15" i="12"/>
  <c r="BVR15" i="12"/>
  <c r="BVS15" i="12"/>
  <c r="BVT15" i="12"/>
  <c r="BVU15" i="12"/>
  <c r="BVV15" i="12"/>
  <c r="BVW15" i="12"/>
  <c r="BVX15" i="12"/>
  <c r="BVY15" i="12"/>
  <c r="BVZ15" i="12"/>
  <c r="BWA15" i="12"/>
  <c r="BWB15" i="12"/>
  <c r="BWC15" i="12"/>
  <c r="BWD15" i="12"/>
  <c r="BWE15" i="12"/>
  <c r="BWF15" i="12"/>
  <c r="BWG15" i="12"/>
  <c r="BWH15" i="12"/>
  <c r="BWI15" i="12"/>
  <c r="BWJ15" i="12"/>
  <c r="BWK15" i="12"/>
  <c r="BWL15" i="12"/>
  <c r="BWM15" i="12"/>
  <c r="BWN15" i="12"/>
  <c r="BWO15" i="12"/>
  <c r="BWP15" i="12"/>
  <c r="BWQ15" i="12"/>
  <c r="BWR15" i="12"/>
  <c r="BWS15" i="12"/>
  <c r="BWT15" i="12"/>
  <c r="BWU15" i="12"/>
  <c r="BWV15" i="12"/>
  <c r="BWW15" i="12"/>
  <c r="BWX15" i="12"/>
  <c r="BWY15" i="12"/>
  <c r="BWZ15" i="12"/>
  <c r="BXA15" i="12"/>
  <c r="BXB15" i="12"/>
  <c r="BXC15" i="12"/>
  <c r="BXD15" i="12"/>
  <c r="BXE15" i="12"/>
  <c r="BXF15" i="12"/>
  <c r="BXG15" i="12"/>
  <c r="BXH15" i="12"/>
  <c r="BXI15" i="12"/>
  <c r="BXJ15" i="12"/>
  <c r="BXK15" i="12"/>
  <c r="BXL15" i="12"/>
  <c r="BXM15" i="12"/>
  <c r="BXN15" i="12"/>
  <c r="BXO15" i="12"/>
  <c r="BXP15" i="12"/>
  <c r="BXQ15" i="12"/>
  <c r="BXR15" i="12"/>
  <c r="BXS15" i="12"/>
  <c r="BXT15" i="12"/>
  <c r="BXU15" i="12"/>
  <c r="BXV15" i="12"/>
  <c r="BXW15" i="12"/>
  <c r="BXX15" i="12"/>
  <c r="BXY15" i="12"/>
  <c r="BXZ15" i="12"/>
  <c r="BYA15" i="12"/>
  <c r="BYB15" i="12"/>
  <c r="BYC15" i="12"/>
  <c r="BYD15" i="12"/>
  <c r="BYE15" i="12"/>
  <c r="BYF15" i="12"/>
  <c r="BYG15" i="12"/>
  <c r="BYH15" i="12"/>
  <c r="BYI15" i="12"/>
  <c r="BYJ15" i="12"/>
  <c r="BYK15" i="12"/>
  <c r="BYL15" i="12"/>
  <c r="BYM15" i="12"/>
  <c r="BYN15" i="12"/>
  <c r="BYO15" i="12"/>
  <c r="BYP15" i="12"/>
  <c r="BYQ15" i="12"/>
  <c r="BYR15" i="12"/>
  <c r="BYS15" i="12"/>
  <c r="BYT15" i="12"/>
  <c r="BYU15" i="12"/>
  <c r="BYV15" i="12"/>
  <c r="BYW15" i="12"/>
  <c r="BYX15" i="12"/>
  <c r="BYY15" i="12"/>
  <c r="BYZ15" i="12"/>
  <c r="BZA15" i="12"/>
  <c r="BZB15" i="12"/>
  <c r="BZC15" i="12"/>
  <c r="BZD15" i="12"/>
  <c r="BZE15" i="12"/>
  <c r="BZF15" i="12"/>
  <c r="BZG15" i="12"/>
  <c r="BZH15" i="12"/>
  <c r="BZI15" i="12"/>
  <c r="BZJ15" i="12"/>
  <c r="BZK15" i="12"/>
  <c r="BZL15" i="12"/>
  <c r="BZM15" i="12"/>
  <c r="BZN15" i="12"/>
  <c r="BZO15" i="12"/>
  <c r="BZP15" i="12"/>
  <c r="BZQ15" i="12"/>
  <c r="BZR15" i="12"/>
  <c r="BZS15" i="12"/>
  <c r="BZT15" i="12"/>
  <c r="BZU15" i="12"/>
  <c r="BZV15" i="12"/>
  <c r="BZW15" i="12"/>
  <c r="BZX15" i="12"/>
  <c r="BZY15" i="12"/>
  <c r="BZZ15" i="12"/>
  <c r="CAA15" i="12"/>
  <c r="CAB15" i="12"/>
  <c r="CAC15" i="12"/>
  <c r="CAD15" i="12"/>
  <c r="CAE15" i="12"/>
  <c r="CAF15" i="12"/>
  <c r="CAG15" i="12"/>
  <c r="CAH15" i="12"/>
  <c r="CAI15" i="12"/>
  <c r="CAJ15" i="12"/>
  <c r="CAK15" i="12"/>
  <c r="CAL15" i="12"/>
  <c r="CAM15" i="12"/>
  <c r="CAN15" i="12"/>
  <c r="CAO15" i="12"/>
  <c r="CAP15" i="12"/>
  <c r="CAQ15" i="12"/>
  <c r="CAR15" i="12"/>
  <c r="CAS15" i="12"/>
  <c r="CAT15" i="12"/>
  <c r="CAU15" i="12"/>
  <c r="CAV15" i="12"/>
  <c r="CAW15" i="12"/>
  <c r="CAX15" i="12"/>
  <c r="CAY15" i="12"/>
  <c r="CAZ15" i="12"/>
  <c r="CBA15" i="12"/>
  <c r="CBB15" i="12"/>
  <c r="CBC15" i="12"/>
  <c r="CBD15" i="12"/>
  <c r="CBE15" i="12"/>
  <c r="CBF15" i="12"/>
  <c r="CBG15" i="12"/>
  <c r="CBH15" i="12"/>
  <c r="CBI15" i="12"/>
  <c r="CBJ15" i="12"/>
  <c r="CBK15" i="12"/>
  <c r="CBL15" i="12"/>
  <c r="CBM15" i="12"/>
  <c r="CBN15" i="12"/>
  <c r="CBO15" i="12"/>
  <c r="CBP15" i="12"/>
  <c r="CBQ15" i="12"/>
  <c r="CBR15" i="12"/>
  <c r="CBS15" i="12"/>
  <c r="CBT15" i="12"/>
  <c r="CBU15" i="12"/>
  <c r="CBV15" i="12"/>
  <c r="CBW15" i="12"/>
  <c r="CBX15" i="12"/>
  <c r="CBY15" i="12"/>
  <c r="CBZ15" i="12"/>
  <c r="CCA15" i="12"/>
  <c r="CCB15" i="12"/>
  <c r="CCC15" i="12"/>
  <c r="CCD15" i="12"/>
  <c r="CCE15" i="12"/>
  <c r="CCF15" i="12"/>
  <c r="CCG15" i="12"/>
  <c r="CCH15" i="12"/>
  <c r="CCI15" i="12"/>
  <c r="CCJ15" i="12"/>
  <c r="CCK15" i="12"/>
  <c r="CCL15" i="12"/>
  <c r="CCM15" i="12"/>
  <c r="CCN15" i="12"/>
  <c r="CCO15" i="12"/>
  <c r="CCP15" i="12"/>
  <c r="CCQ15" i="12"/>
  <c r="CCR15" i="12"/>
  <c r="CCS15" i="12"/>
  <c r="CCT15" i="12"/>
  <c r="CCU15" i="12"/>
  <c r="CCV15" i="12"/>
  <c r="CCW15" i="12"/>
  <c r="CCX15" i="12"/>
  <c r="CCY15" i="12"/>
  <c r="CCZ15" i="12"/>
  <c r="CDA15" i="12"/>
  <c r="CDB15" i="12"/>
  <c r="CDC15" i="12"/>
  <c r="CDD15" i="12"/>
  <c r="CDE15" i="12"/>
  <c r="CDF15" i="12"/>
  <c r="CDG15" i="12"/>
  <c r="CDH15" i="12"/>
  <c r="CDI15" i="12"/>
  <c r="CDJ15" i="12"/>
  <c r="CDK15" i="12"/>
  <c r="CDL15" i="12"/>
  <c r="CDM15" i="12"/>
  <c r="CDN15" i="12"/>
  <c r="CDO15" i="12"/>
  <c r="CDP15" i="12"/>
  <c r="CDQ15" i="12"/>
  <c r="CDR15" i="12"/>
  <c r="CDS15" i="12"/>
  <c r="CDT15" i="12"/>
  <c r="CDU15" i="12"/>
  <c r="CDV15" i="12"/>
  <c r="CDW15" i="12"/>
  <c r="CDX15" i="12"/>
  <c r="CDY15" i="12"/>
  <c r="CDZ15" i="12"/>
  <c r="CEA15" i="12"/>
  <c r="CEB15" i="12"/>
  <c r="CEC15" i="12"/>
  <c r="CED15" i="12"/>
  <c r="CEE15" i="12"/>
  <c r="CEF15" i="12"/>
  <c r="CEG15" i="12"/>
  <c r="CEH15" i="12"/>
  <c r="CEI15" i="12"/>
  <c r="CEJ15" i="12"/>
  <c r="CEK15" i="12"/>
  <c r="CEL15" i="12"/>
  <c r="CEM15" i="12"/>
  <c r="CEN15" i="12"/>
  <c r="CEO15" i="12"/>
  <c r="CEP15" i="12"/>
  <c r="CEQ15" i="12"/>
  <c r="CER15" i="12"/>
  <c r="CES15" i="12"/>
  <c r="CET15" i="12"/>
  <c r="CEU15" i="12"/>
  <c r="CEV15" i="12"/>
  <c r="CEW15" i="12"/>
  <c r="CEX15" i="12"/>
  <c r="CEY15" i="12"/>
  <c r="CEZ15" i="12"/>
  <c r="CFA15" i="12"/>
  <c r="CFB15" i="12"/>
  <c r="CFC15" i="12"/>
  <c r="CFD15" i="12"/>
  <c r="CFE15" i="12"/>
  <c r="CFF15" i="12"/>
  <c r="CFG15" i="12"/>
  <c r="CFH15" i="12"/>
  <c r="CFI15" i="12"/>
  <c r="CFJ15" i="12"/>
  <c r="CFK15" i="12"/>
  <c r="CFL15" i="12"/>
  <c r="CFM15" i="12"/>
  <c r="CFN15" i="12"/>
  <c r="CFO15" i="12"/>
  <c r="CFP15" i="12"/>
  <c r="CFQ15" i="12"/>
  <c r="CFR15" i="12"/>
  <c r="CFS15" i="12"/>
  <c r="CFT15" i="12"/>
  <c r="CFU15" i="12"/>
  <c r="CFV15" i="12"/>
  <c r="CFW15" i="12"/>
  <c r="CFX15" i="12"/>
  <c r="CFY15" i="12"/>
  <c r="CFZ15" i="12"/>
  <c r="CGA15" i="12"/>
  <c r="CGB15" i="12"/>
  <c r="CGC15" i="12"/>
  <c r="CGD15" i="12"/>
  <c r="CGE15" i="12"/>
  <c r="CGF15" i="12"/>
  <c r="CGG15" i="12"/>
  <c r="CGH15" i="12"/>
  <c r="CGI15" i="12"/>
  <c r="CGJ15" i="12"/>
  <c r="CGK15" i="12"/>
  <c r="CGL15" i="12"/>
  <c r="CGM15" i="12"/>
  <c r="CGN15" i="12"/>
  <c r="CGO15" i="12"/>
  <c r="CGP15" i="12"/>
  <c r="CGQ15" i="12"/>
  <c r="CGR15" i="12"/>
  <c r="CGS15" i="12"/>
  <c r="CGT15" i="12"/>
  <c r="CGU15" i="12"/>
  <c r="CGV15" i="12"/>
  <c r="CGW15" i="12"/>
  <c r="CGX15" i="12"/>
  <c r="CGY15" i="12"/>
  <c r="CGZ15" i="12"/>
  <c r="CHA15" i="12"/>
  <c r="CHB15" i="12"/>
  <c r="CHC15" i="12"/>
  <c r="CHD15" i="12"/>
  <c r="CHE15" i="12"/>
  <c r="CHF15" i="12"/>
  <c r="CHG15" i="12"/>
  <c r="CHH15" i="12"/>
  <c r="CHI15" i="12"/>
  <c r="CHJ15" i="12"/>
  <c r="CHK15" i="12"/>
  <c r="CHL15" i="12"/>
  <c r="CHM15" i="12"/>
  <c r="CHN15" i="12"/>
  <c r="CHO15" i="12"/>
  <c r="CHP15" i="12"/>
  <c r="CHQ15" i="12"/>
  <c r="CHR15" i="12"/>
  <c r="CHS15" i="12"/>
  <c r="CHT15" i="12"/>
  <c r="CHU15" i="12"/>
  <c r="CHV15" i="12"/>
  <c r="CHW15" i="12"/>
  <c r="CHX15" i="12"/>
  <c r="CHY15" i="12"/>
  <c r="CHZ15" i="12"/>
  <c r="CIA15" i="12"/>
  <c r="CIB15" i="12"/>
  <c r="CIC15" i="12"/>
  <c r="CID15" i="12"/>
  <c r="CIE15" i="12"/>
  <c r="CIF15" i="12"/>
  <c r="CIG15" i="12"/>
  <c r="CIH15" i="12"/>
  <c r="CII15" i="12"/>
  <c r="CIJ15" i="12"/>
  <c r="CIK15" i="12"/>
  <c r="CIL15" i="12"/>
  <c r="CIM15" i="12"/>
  <c r="CIN15" i="12"/>
  <c r="CIO15" i="12"/>
  <c r="CIP15" i="12"/>
  <c r="CIQ15" i="12"/>
  <c r="CIR15" i="12"/>
  <c r="CIS15" i="12"/>
  <c r="CIT15" i="12"/>
  <c r="CIU15" i="12"/>
  <c r="CIV15" i="12"/>
  <c r="CIW15" i="12"/>
  <c r="CIX15" i="12"/>
  <c r="CIY15" i="12"/>
  <c r="CIZ15" i="12"/>
  <c r="CJA15" i="12"/>
  <c r="CJB15" i="12"/>
  <c r="CJC15" i="12"/>
  <c r="CJD15" i="12"/>
  <c r="CJE15" i="12"/>
  <c r="CJF15" i="12"/>
  <c r="CJG15" i="12"/>
  <c r="CJH15" i="12"/>
  <c r="CJI15" i="12"/>
  <c r="CJJ15" i="12"/>
  <c r="CJK15" i="12"/>
  <c r="CJL15" i="12"/>
  <c r="CJM15" i="12"/>
  <c r="CJN15" i="12"/>
  <c r="CJO15" i="12"/>
  <c r="CJP15" i="12"/>
  <c r="CJQ15" i="12"/>
  <c r="CJR15" i="12"/>
  <c r="CJS15" i="12"/>
  <c r="CJT15" i="12"/>
  <c r="CJU15" i="12"/>
  <c r="CJV15" i="12"/>
  <c r="CJW15" i="12"/>
  <c r="CJX15" i="12"/>
  <c r="CJY15" i="12"/>
  <c r="CJZ15" i="12"/>
  <c r="CKA15" i="12"/>
  <c r="CKB15" i="12"/>
  <c r="CKC15" i="12"/>
  <c r="CKD15" i="12"/>
  <c r="CKE15" i="12"/>
  <c r="CKF15" i="12"/>
  <c r="CKG15" i="12"/>
  <c r="CKH15" i="12"/>
  <c r="CKI15" i="12"/>
  <c r="CKJ15" i="12"/>
  <c r="CKK15" i="12"/>
  <c r="CKL15" i="12"/>
  <c r="CKM15" i="12"/>
  <c r="CKN15" i="12"/>
  <c r="CKO15" i="12"/>
  <c r="CKP15" i="12"/>
  <c r="CKQ15" i="12"/>
  <c r="CKR15" i="12"/>
  <c r="CKS15" i="12"/>
  <c r="CKT15" i="12"/>
  <c r="CKU15" i="12"/>
  <c r="CKV15" i="12"/>
  <c r="CKW15" i="12"/>
  <c r="CKX15" i="12"/>
  <c r="CKY15" i="12"/>
  <c r="CKZ15" i="12"/>
  <c r="CLA15" i="12"/>
  <c r="CLB15" i="12"/>
  <c r="CLC15" i="12"/>
  <c r="CLD15" i="12"/>
  <c r="CLE15" i="12"/>
  <c r="CLF15" i="12"/>
  <c r="CLG15" i="12"/>
  <c r="CLH15" i="12"/>
  <c r="CLI15" i="12"/>
  <c r="CLJ15" i="12"/>
  <c r="CLK15" i="12"/>
  <c r="CLL15" i="12"/>
  <c r="CLM15" i="12"/>
  <c r="CLN15" i="12"/>
  <c r="CLO15" i="12"/>
  <c r="CLP15" i="12"/>
  <c r="CLQ15" i="12"/>
  <c r="CLR15" i="12"/>
  <c r="CLS15" i="12"/>
  <c r="CLT15" i="12"/>
  <c r="CLU15" i="12"/>
  <c r="CLV15" i="12"/>
  <c r="CLW15" i="12"/>
  <c r="CLX15" i="12"/>
  <c r="CLY15" i="12"/>
  <c r="CLZ15" i="12"/>
  <c r="CMA15" i="12"/>
  <c r="CMB15" i="12"/>
  <c r="CMC15" i="12"/>
  <c r="CMD15" i="12"/>
  <c r="CME15" i="12"/>
  <c r="CMF15" i="12"/>
  <c r="CMG15" i="12"/>
  <c r="CMH15" i="12"/>
  <c r="CMI15" i="12"/>
  <c r="CMJ15" i="12"/>
  <c r="CMK15" i="12"/>
  <c r="CML15" i="12"/>
  <c r="CMM15" i="12"/>
  <c r="CMN15" i="12"/>
  <c r="CMO15" i="12"/>
  <c r="CMP15" i="12"/>
  <c r="CMQ15" i="12"/>
  <c r="CMR15" i="12"/>
  <c r="CMS15" i="12"/>
  <c r="CMT15" i="12"/>
  <c r="CMU15" i="12"/>
  <c r="CMV15" i="12"/>
  <c r="CMW15" i="12"/>
  <c r="CMX15" i="12"/>
  <c r="CMY15" i="12"/>
  <c r="CMZ15" i="12"/>
  <c r="CNA15" i="12"/>
  <c r="CNB15" i="12"/>
  <c r="CNC15" i="12"/>
  <c r="CND15" i="12"/>
  <c r="CNE15" i="12"/>
  <c r="CNF15" i="12"/>
  <c r="CNG15" i="12"/>
  <c r="CNH15" i="12"/>
  <c r="CNI15" i="12"/>
  <c r="CNJ15" i="12"/>
  <c r="CNK15" i="12"/>
  <c r="CNL15" i="12"/>
  <c r="CNM15" i="12"/>
  <c r="CNN15" i="12"/>
  <c r="CNO15" i="12"/>
  <c r="CNP15" i="12"/>
  <c r="CNQ15" i="12"/>
  <c r="CNR15" i="12"/>
  <c r="CNS15" i="12"/>
  <c r="CNT15" i="12"/>
  <c r="CNU15" i="12"/>
  <c r="CNV15" i="12"/>
  <c r="CNW15" i="12"/>
  <c r="CNX15" i="12"/>
  <c r="CNY15" i="12"/>
  <c r="CNZ15" i="12"/>
  <c r="COA15" i="12"/>
  <c r="COB15" i="12"/>
  <c r="COC15" i="12"/>
  <c r="COD15" i="12"/>
  <c r="COE15" i="12"/>
  <c r="COF15" i="12"/>
  <c r="COG15" i="12"/>
  <c r="COH15" i="12"/>
  <c r="COI15" i="12"/>
  <c r="COJ15" i="12"/>
  <c r="COK15" i="12"/>
  <c r="COL15" i="12"/>
  <c r="COM15" i="12"/>
  <c r="CON15" i="12"/>
  <c r="COO15" i="12"/>
  <c r="COP15" i="12"/>
  <c r="COQ15" i="12"/>
  <c r="COR15" i="12"/>
  <c r="COS15" i="12"/>
  <c r="COT15" i="12"/>
  <c r="COU15" i="12"/>
  <c r="COV15" i="12"/>
  <c r="COW15" i="12"/>
  <c r="COX15" i="12"/>
  <c r="COY15" i="12"/>
  <c r="COZ15" i="12"/>
  <c r="CPA15" i="12"/>
  <c r="CPB15" i="12"/>
  <c r="CPC15" i="12"/>
  <c r="CPD15" i="12"/>
  <c r="CPE15" i="12"/>
  <c r="CPF15" i="12"/>
  <c r="CPG15" i="12"/>
  <c r="CPH15" i="12"/>
  <c r="CPI15" i="12"/>
  <c r="CPJ15" i="12"/>
  <c r="CPK15" i="12"/>
  <c r="CPL15" i="12"/>
  <c r="CPM15" i="12"/>
  <c r="CPN15" i="12"/>
  <c r="CPO15" i="12"/>
  <c r="CPP15" i="12"/>
  <c r="CPQ15" i="12"/>
  <c r="CPR15" i="12"/>
  <c r="CPS15" i="12"/>
  <c r="CPT15" i="12"/>
  <c r="CPU15" i="12"/>
  <c r="CPV15" i="12"/>
  <c r="CPW15" i="12"/>
  <c r="CPX15" i="12"/>
  <c r="CPY15" i="12"/>
  <c r="CPZ15" i="12"/>
  <c r="CQA15" i="12"/>
  <c r="CQB15" i="12"/>
  <c r="CQC15" i="12"/>
  <c r="CQD15" i="12"/>
  <c r="CQE15" i="12"/>
  <c r="CQF15" i="12"/>
  <c r="CQG15" i="12"/>
  <c r="CQH15" i="12"/>
  <c r="CQI15" i="12"/>
  <c r="CQJ15" i="12"/>
  <c r="CQK15" i="12"/>
  <c r="CQL15" i="12"/>
  <c r="CQM15" i="12"/>
  <c r="CQN15" i="12"/>
  <c r="CQO15" i="12"/>
  <c r="CQP15" i="12"/>
  <c r="CQQ15" i="12"/>
  <c r="CQR15" i="12"/>
  <c r="CQS15" i="12"/>
  <c r="CQT15" i="12"/>
  <c r="CQU15" i="12"/>
  <c r="CQV15" i="12"/>
  <c r="CQW15" i="12"/>
  <c r="CQX15" i="12"/>
  <c r="CQY15" i="12"/>
  <c r="CQZ15" i="12"/>
  <c r="CRA15" i="12"/>
  <c r="CRB15" i="12"/>
  <c r="CRC15" i="12"/>
  <c r="CRD15" i="12"/>
  <c r="CRE15" i="12"/>
  <c r="CRF15" i="12"/>
  <c r="CRG15" i="12"/>
  <c r="CRH15" i="12"/>
  <c r="CRI15" i="12"/>
  <c r="CRJ15" i="12"/>
  <c r="CRK15" i="12"/>
  <c r="CRL15" i="12"/>
  <c r="CRM15" i="12"/>
  <c r="CRN15" i="12"/>
  <c r="CRO15" i="12"/>
  <c r="CRP15" i="12"/>
  <c r="CRQ15" i="12"/>
  <c r="CRR15" i="12"/>
  <c r="CRS15" i="12"/>
  <c r="CRT15" i="12"/>
  <c r="CRU15" i="12"/>
  <c r="CRV15" i="12"/>
  <c r="CRW15" i="12"/>
  <c r="CRX15" i="12"/>
  <c r="CRY15" i="12"/>
  <c r="CRZ15" i="12"/>
  <c r="CSA15" i="12"/>
  <c r="CSB15" i="12"/>
  <c r="CSC15" i="12"/>
  <c r="CSD15" i="12"/>
  <c r="CSE15" i="12"/>
  <c r="CSF15" i="12"/>
  <c r="CSG15" i="12"/>
  <c r="CSH15" i="12"/>
  <c r="CSI15" i="12"/>
  <c r="CSJ15" i="12"/>
  <c r="CSK15" i="12"/>
  <c r="CSL15" i="12"/>
  <c r="CSM15" i="12"/>
  <c r="CSN15" i="12"/>
  <c r="CSO15" i="12"/>
  <c r="CSP15" i="12"/>
  <c r="CSQ15" i="12"/>
  <c r="CSR15" i="12"/>
  <c r="CSS15" i="12"/>
  <c r="CST15" i="12"/>
  <c r="CSU15" i="12"/>
  <c r="CSV15" i="12"/>
  <c r="CSW15" i="12"/>
  <c r="CSX15" i="12"/>
  <c r="CSY15" i="12"/>
  <c r="CSZ15" i="12"/>
  <c r="CTA15" i="12"/>
  <c r="CTB15" i="12"/>
  <c r="CTC15" i="12"/>
  <c r="CTD15" i="12"/>
  <c r="CTE15" i="12"/>
  <c r="CTF15" i="12"/>
  <c r="CTG15" i="12"/>
  <c r="CTH15" i="12"/>
  <c r="CTI15" i="12"/>
  <c r="CTJ15" i="12"/>
  <c r="CTK15" i="12"/>
  <c r="CTL15" i="12"/>
  <c r="CTM15" i="12"/>
  <c r="CTN15" i="12"/>
  <c r="CTO15" i="12"/>
  <c r="CTP15" i="12"/>
  <c r="CTQ15" i="12"/>
  <c r="CTR15" i="12"/>
  <c r="CTS15" i="12"/>
  <c r="CTT15" i="12"/>
  <c r="CTU15" i="12"/>
  <c r="CTV15" i="12"/>
  <c r="CTW15" i="12"/>
  <c r="CTX15" i="12"/>
  <c r="CTY15" i="12"/>
  <c r="CTZ15" i="12"/>
  <c r="CUA15" i="12"/>
  <c r="CUB15" i="12"/>
  <c r="CUC15" i="12"/>
  <c r="CUD15" i="12"/>
  <c r="CUE15" i="12"/>
  <c r="CUF15" i="12"/>
  <c r="CUG15" i="12"/>
  <c r="CUH15" i="12"/>
  <c r="CUI15" i="12"/>
  <c r="CUJ15" i="12"/>
  <c r="CUK15" i="12"/>
  <c r="CUL15" i="12"/>
  <c r="CUM15" i="12"/>
  <c r="CUN15" i="12"/>
  <c r="CUO15" i="12"/>
  <c r="CUP15" i="12"/>
  <c r="CUQ15" i="12"/>
  <c r="CUR15" i="12"/>
  <c r="CUS15" i="12"/>
  <c r="CUT15" i="12"/>
  <c r="CUU15" i="12"/>
  <c r="CUV15" i="12"/>
  <c r="CUW15" i="12"/>
  <c r="CUX15" i="12"/>
  <c r="CUY15" i="12"/>
  <c r="CUZ15" i="12"/>
  <c r="CVA15" i="12"/>
  <c r="CVB15" i="12"/>
  <c r="CVC15" i="12"/>
  <c r="CVD15" i="12"/>
  <c r="CVE15" i="12"/>
  <c r="CVF15" i="12"/>
  <c r="CVG15" i="12"/>
  <c r="CVH15" i="12"/>
  <c r="CVI15" i="12"/>
  <c r="CVJ15" i="12"/>
  <c r="CVK15" i="12"/>
  <c r="CVL15" i="12"/>
  <c r="CVM15" i="12"/>
  <c r="CVN15" i="12"/>
  <c r="CVO15" i="12"/>
  <c r="CVP15" i="12"/>
  <c r="CVQ15" i="12"/>
  <c r="CVR15" i="12"/>
  <c r="CVS15" i="12"/>
  <c r="CVT15" i="12"/>
  <c r="CVU15" i="12"/>
  <c r="CVV15" i="12"/>
  <c r="CVW15" i="12"/>
  <c r="CVX15" i="12"/>
  <c r="CVY15" i="12"/>
  <c r="CVZ15" i="12"/>
  <c r="CWA15" i="12"/>
  <c r="CWB15" i="12"/>
  <c r="CWC15" i="12"/>
  <c r="CWD15" i="12"/>
  <c r="CWE15" i="12"/>
  <c r="CWF15" i="12"/>
  <c r="CWG15" i="12"/>
  <c r="CWH15" i="12"/>
  <c r="CWI15" i="12"/>
  <c r="CWJ15" i="12"/>
  <c r="CWK15" i="12"/>
  <c r="CWL15" i="12"/>
  <c r="CWM15" i="12"/>
  <c r="CWN15" i="12"/>
  <c r="CWO15" i="12"/>
  <c r="CWP15" i="12"/>
  <c r="CWQ15" i="12"/>
  <c r="CWR15" i="12"/>
  <c r="CWS15" i="12"/>
  <c r="CWT15" i="12"/>
  <c r="CWU15" i="12"/>
  <c r="CWV15" i="12"/>
  <c r="CWW15" i="12"/>
  <c r="CWX15" i="12"/>
  <c r="CWY15" i="12"/>
  <c r="CWZ15" i="12"/>
  <c r="CXA15" i="12"/>
  <c r="CXB15" i="12"/>
  <c r="CXC15" i="12"/>
  <c r="CXD15" i="12"/>
  <c r="CXE15" i="12"/>
  <c r="CXF15" i="12"/>
  <c r="CXG15" i="12"/>
  <c r="CXH15" i="12"/>
  <c r="CXI15" i="12"/>
  <c r="CXJ15" i="12"/>
  <c r="CXK15" i="12"/>
  <c r="CXL15" i="12"/>
  <c r="CXM15" i="12"/>
  <c r="CXN15" i="12"/>
  <c r="CXO15" i="12"/>
  <c r="CXP15" i="12"/>
  <c r="CXQ15" i="12"/>
  <c r="CXR15" i="12"/>
  <c r="CXS15" i="12"/>
  <c r="CXT15" i="12"/>
  <c r="CXU15" i="12"/>
  <c r="CXV15" i="12"/>
  <c r="CXW15" i="12"/>
  <c r="CXX15" i="12"/>
  <c r="CXY15" i="12"/>
  <c r="CXZ15" i="12"/>
  <c r="CYA15" i="12"/>
  <c r="CYB15" i="12"/>
  <c r="CYC15" i="12"/>
  <c r="CYD15" i="12"/>
  <c r="CYE15" i="12"/>
  <c r="CYF15" i="12"/>
  <c r="CYG15" i="12"/>
  <c r="CYH15" i="12"/>
  <c r="CYI15" i="12"/>
  <c r="CYJ15" i="12"/>
  <c r="CYK15" i="12"/>
  <c r="CYL15" i="12"/>
  <c r="CYM15" i="12"/>
  <c r="CYN15" i="12"/>
  <c r="CYO15" i="12"/>
  <c r="CYP15" i="12"/>
  <c r="CYQ15" i="12"/>
  <c r="CYR15" i="12"/>
  <c r="CYS15" i="12"/>
  <c r="CYT15" i="12"/>
  <c r="CYU15" i="12"/>
  <c r="CYV15" i="12"/>
  <c r="CYW15" i="12"/>
  <c r="CYX15" i="12"/>
  <c r="CYY15" i="12"/>
  <c r="CYZ15" i="12"/>
  <c r="CZA15" i="12"/>
  <c r="CZB15" i="12"/>
  <c r="CZC15" i="12"/>
  <c r="CZD15" i="12"/>
  <c r="CZE15" i="12"/>
  <c r="CZF15" i="12"/>
  <c r="CZG15" i="12"/>
  <c r="CZH15" i="12"/>
  <c r="CZI15" i="12"/>
  <c r="CZJ15" i="12"/>
  <c r="CZK15" i="12"/>
  <c r="CZL15" i="12"/>
  <c r="CZM15" i="12"/>
  <c r="CZN15" i="12"/>
  <c r="CZO15" i="12"/>
  <c r="CZP15" i="12"/>
  <c r="CZQ15" i="12"/>
  <c r="CZR15" i="12"/>
  <c r="CZS15" i="12"/>
  <c r="CZT15" i="12"/>
  <c r="CZU15" i="12"/>
  <c r="CZV15" i="12"/>
  <c r="CZW15" i="12"/>
  <c r="CZX15" i="12"/>
  <c r="CZY15" i="12"/>
  <c r="CZZ15" i="12"/>
  <c r="DAA15" i="12"/>
  <c r="DAB15" i="12"/>
  <c r="DAC15" i="12"/>
  <c r="DAD15" i="12"/>
  <c r="DAE15" i="12"/>
  <c r="DAF15" i="12"/>
  <c r="DAG15" i="12"/>
  <c r="DAH15" i="12"/>
  <c r="DAI15" i="12"/>
  <c r="DAJ15" i="12"/>
  <c r="DAK15" i="12"/>
  <c r="DAL15" i="12"/>
  <c r="DAM15" i="12"/>
  <c r="DAN15" i="12"/>
  <c r="DAO15" i="12"/>
  <c r="DAP15" i="12"/>
  <c r="DAQ15" i="12"/>
  <c r="DAR15" i="12"/>
  <c r="DAS15" i="12"/>
  <c r="DAT15" i="12"/>
  <c r="DAU15" i="12"/>
  <c r="DAV15" i="12"/>
  <c r="DAW15" i="12"/>
  <c r="DAX15" i="12"/>
  <c r="DAY15" i="12"/>
  <c r="DAZ15" i="12"/>
  <c r="DBA15" i="12"/>
  <c r="DBB15" i="12"/>
  <c r="DBC15" i="12"/>
  <c r="DBD15" i="12"/>
  <c r="DBE15" i="12"/>
  <c r="DBF15" i="12"/>
  <c r="DBG15" i="12"/>
  <c r="DBH15" i="12"/>
  <c r="DBI15" i="12"/>
  <c r="DBJ15" i="12"/>
  <c r="DBK15" i="12"/>
  <c r="DBL15" i="12"/>
  <c r="DBM15" i="12"/>
  <c r="DBN15" i="12"/>
  <c r="DBO15" i="12"/>
  <c r="DBP15" i="12"/>
  <c r="DBQ15" i="12"/>
  <c r="DBR15" i="12"/>
  <c r="DBS15" i="12"/>
  <c r="DBT15" i="12"/>
  <c r="DBU15" i="12"/>
  <c r="DBV15" i="12"/>
  <c r="DBW15" i="12"/>
  <c r="DBX15" i="12"/>
  <c r="DBY15" i="12"/>
  <c r="DBZ15" i="12"/>
  <c r="DCA15" i="12"/>
  <c r="DCB15" i="12"/>
  <c r="DCC15" i="12"/>
  <c r="DCD15" i="12"/>
  <c r="DCE15" i="12"/>
  <c r="DCF15" i="12"/>
  <c r="DCG15" i="12"/>
  <c r="DCH15" i="12"/>
  <c r="DCI15" i="12"/>
  <c r="DCJ15" i="12"/>
  <c r="DCK15" i="12"/>
  <c r="DCL15" i="12"/>
  <c r="DCM15" i="12"/>
  <c r="DCN15" i="12"/>
  <c r="DCO15" i="12"/>
  <c r="DCP15" i="12"/>
  <c r="DCQ15" i="12"/>
  <c r="DCR15" i="12"/>
  <c r="DCS15" i="12"/>
  <c r="DCT15" i="12"/>
  <c r="DCU15" i="12"/>
  <c r="DCV15" i="12"/>
  <c r="DCW15" i="12"/>
  <c r="DCX15" i="12"/>
  <c r="DCY15" i="12"/>
  <c r="DCZ15" i="12"/>
  <c r="DDA15" i="12"/>
  <c r="DDB15" i="12"/>
  <c r="DDC15" i="12"/>
  <c r="DDD15" i="12"/>
  <c r="DDE15" i="12"/>
  <c r="DDF15" i="12"/>
  <c r="DDG15" i="12"/>
  <c r="DDH15" i="12"/>
  <c r="DDI15" i="12"/>
  <c r="DDJ15" i="12"/>
  <c r="DDK15" i="12"/>
  <c r="DDL15" i="12"/>
  <c r="DDM15" i="12"/>
  <c r="DDN15" i="12"/>
  <c r="DDO15" i="12"/>
  <c r="DDP15" i="12"/>
  <c r="DDQ15" i="12"/>
  <c r="DDR15" i="12"/>
  <c r="DDS15" i="12"/>
  <c r="DDT15" i="12"/>
  <c r="DDU15" i="12"/>
  <c r="DDV15" i="12"/>
  <c r="DDW15" i="12"/>
  <c r="DDX15" i="12"/>
  <c r="DDY15" i="12"/>
  <c r="DDZ15" i="12"/>
  <c r="DEA15" i="12"/>
  <c r="DEB15" i="12"/>
  <c r="DEC15" i="12"/>
  <c r="DED15" i="12"/>
  <c r="DEE15" i="12"/>
  <c r="DEF15" i="12"/>
  <c r="DEG15" i="12"/>
  <c r="DEH15" i="12"/>
  <c r="DEI15" i="12"/>
  <c r="DEJ15" i="12"/>
  <c r="DEK15" i="12"/>
  <c r="DEL15" i="12"/>
  <c r="DEM15" i="12"/>
  <c r="DEN15" i="12"/>
  <c r="DEO15" i="12"/>
  <c r="DEP15" i="12"/>
  <c r="DEQ15" i="12"/>
  <c r="DER15" i="12"/>
  <c r="DES15" i="12"/>
  <c r="DET15" i="12"/>
  <c r="DEU15" i="12"/>
  <c r="DEV15" i="12"/>
  <c r="DEW15" i="12"/>
  <c r="DEX15" i="12"/>
  <c r="DEY15" i="12"/>
  <c r="DEZ15" i="12"/>
  <c r="DFA15" i="12"/>
  <c r="DFB15" i="12"/>
  <c r="DFC15" i="12"/>
  <c r="DFD15" i="12"/>
  <c r="DFE15" i="12"/>
  <c r="DFF15" i="12"/>
  <c r="DFG15" i="12"/>
  <c r="DFH15" i="12"/>
  <c r="DFI15" i="12"/>
  <c r="DFJ15" i="12"/>
  <c r="DFK15" i="12"/>
  <c r="DFL15" i="12"/>
  <c r="DFM15" i="12"/>
  <c r="DFN15" i="12"/>
  <c r="DFO15" i="12"/>
  <c r="DFP15" i="12"/>
  <c r="DFQ15" i="12"/>
  <c r="DFR15" i="12"/>
  <c r="DFS15" i="12"/>
  <c r="DFT15" i="12"/>
  <c r="DFU15" i="12"/>
  <c r="DFV15" i="12"/>
  <c r="DFW15" i="12"/>
  <c r="DFX15" i="12"/>
  <c r="DFY15" i="12"/>
  <c r="DFZ15" i="12"/>
  <c r="DGA15" i="12"/>
  <c r="DGB15" i="12"/>
  <c r="DGC15" i="12"/>
  <c r="DGD15" i="12"/>
  <c r="DGE15" i="12"/>
  <c r="DGF15" i="12"/>
  <c r="DGG15" i="12"/>
  <c r="DGH15" i="12"/>
  <c r="DGI15" i="12"/>
  <c r="DGJ15" i="12"/>
  <c r="DGK15" i="12"/>
  <c r="DGL15" i="12"/>
  <c r="DGM15" i="12"/>
  <c r="DGN15" i="12"/>
  <c r="DGO15" i="12"/>
  <c r="DGP15" i="12"/>
  <c r="DGQ15" i="12"/>
  <c r="DGR15" i="12"/>
  <c r="DGS15" i="12"/>
  <c r="DGT15" i="12"/>
  <c r="DGU15" i="12"/>
  <c r="DGV15" i="12"/>
  <c r="DGW15" i="12"/>
  <c r="DGX15" i="12"/>
  <c r="DGY15" i="12"/>
  <c r="DGZ15" i="12"/>
  <c r="DHA15" i="12"/>
  <c r="DHB15" i="12"/>
  <c r="DHC15" i="12"/>
  <c r="DHD15" i="12"/>
  <c r="DHE15" i="12"/>
  <c r="DHF15" i="12"/>
  <c r="DHG15" i="12"/>
  <c r="DHH15" i="12"/>
  <c r="DHI15" i="12"/>
  <c r="DHJ15" i="12"/>
  <c r="DHK15" i="12"/>
  <c r="DHL15" i="12"/>
  <c r="DHM15" i="12"/>
  <c r="DHN15" i="12"/>
  <c r="DHO15" i="12"/>
  <c r="DHP15" i="12"/>
  <c r="DHQ15" i="12"/>
  <c r="DHR15" i="12"/>
  <c r="DHS15" i="12"/>
  <c r="DHT15" i="12"/>
  <c r="DHU15" i="12"/>
  <c r="DHV15" i="12"/>
  <c r="DHW15" i="12"/>
  <c r="DHX15" i="12"/>
  <c r="DHY15" i="12"/>
  <c r="DHZ15" i="12"/>
  <c r="DIA15" i="12"/>
  <c r="DIB15" i="12"/>
  <c r="DIC15" i="12"/>
  <c r="DID15" i="12"/>
  <c r="DIE15" i="12"/>
  <c r="DIF15" i="12"/>
  <c r="DIG15" i="12"/>
  <c r="DIH15" i="12"/>
  <c r="DII15" i="12"/>
  <c r="DIJ15" i="12"/>
  <c r="DIK15" i="12"/>
  <c r="DIL15" i="12"/>
  <c r="DIM15" i="12"/>
  <c r="DIN15" i="12"/>
  <c r="DIO15" i="12"/>
  <c r="DIP15" i="12"/>
  <c r="DIQ15" i="12"/>
  <c r="DIR15" i="12"/>
  <c r="DIS15" i="12"/>
  <c r="DIT15" i="12"/>
  <c r="DIU15" i="12"/>
  <c r="DIV15" i="12"/>
  <c r="DIW15" i="12"/>
  <c r="DIX15" i="12"/>
  <c r="DIY15" i="12"/>
  <c r="DIZ15" i="12"/>
  <c r="DJA15" i="12"/>
  <c r="DJB15" i="12"/>
  <c r="DJC15" i="12"/>
  <c r="DJD15" i="12"/>
  <c r="DJE15" i="12"/>
  <c r="DJF15" i="12"/>
  <c r="DJG15" i="12"/>
  <c r="DJH15" i="12"/>
  <c r="DJI15" i="12"/>
  <c r="DJJ15" i="12"/>
  <c r="DJK15" i="12"/>
  <c r="DJL15" i="12"/>
  <c r="DJM15" i="12"/>
  <c r="DJN15" i="12"/>
  <c r="DJO15" i="12"/>
  <c r="DJP15" i="12"/>
  <c r="DJQ15" i="12"/>
  <c r="DJR15" i="12"/>
  <c r="DJS15" i="12"/>
  <c r="DJT15" i="12"/>
  <c r="DJU15" i="12"/>
  <c r="DJV15" i="12"/>
  <c r="DJW15" i="12"/>
  <c r="DJX15" i="12"/>
  <c r="DJY15" i="12"/>
  <c r="DJZ15" i="12"/>
  <c r="DKA15" i="12"/>
  <c r="DKB15" i="12"/>
  <c r="DKC15" i="12"/>
  <c r="DKD15" i="12"/>
  <c r="DKE15" i="12"/>
  <c r="DKF15" i="12"/>
  <c r="DKG15" i="12"/>
  <c r="DKH15" i="12"/>
  <c r="DKI15" i="12"/>
  <c r="DKJ15" i="12"/>
  <c r="DKK15" i="12"/>
  <c r="DKL15" i="12"/>
  <c r="DKM15" i="12"/>
  <c r="DKN15" i="12"/>
  <c r="DKO15" i="12"/>
  <c r="DKP15" i="12"/>
  <c r="DKQ15" i="12"/>
  <c r="DKR15" i="12"/>
  <c r="DKS15" i="12"/>
  <c r="DKT15" i="12"/>
  <c r="DKU15" i="12"/>
  <c r="DKV15" i="12"/>
  <c r="DKW15" i="12"/>
  <c r="DKX15" i="12"/>
  <c r="DKY15" i="12"/>
  <c r="DKZ15" i="12"/>
  <c r="DLA15" i="12"/>
  <c r="DLB15" i="12"/>
  <c r="DLC15" i="12"/>
  <c r="DLD15" i="12"/>
  <c r="DLE15" i="12"/>
  <c r="DLF15" i="12"/>
  <c r="DLG15" i="12"/>
  <c r="DLH15" i="12"/>
  <c r="DLI15" i="12"/>
  <c r="DLJ15" i="12"/>
  <c r="DLK15" i="12"/>
  <c r="DLL15" i="12"/>
  <c r="DLM15" i="12"/>
  <c r="DLN15" i="12"/>
  <c r="DLO15" i="12"/>
  <c r="DLP15" i="12"/>
  <c r="DLQ15" i="12"/>
  <c r="DLR15" i="12"/>
  <c r="DLS15" i="12"/>
  <c r="DLT15" i="12"/>
  <c r="DLU15" i="12"/>
  <c r="DLV15" i="12"/>
  <c r="DLW15" i="12"/>
  <c r="DLX15" i="12"/>
  <c r="DLY15" i="12"/>
  <c r="DLZ15" i="12"/>
  <c r="DMA15" i="12"/>
  <c r="DMB15" i="12"/>
  <c r="DMC15" i="12"/>
  <c r="DMD15" i="12"/>
  <c r="DME15" i="12"/>
  <c r="DMF15" i="12"/>
  <c r="DMG15" i="12"/>
  <c r="DMH15" i="12"/>
  <c r="DMI15" i="12"/>
  <c r="DMJ15" i="12"/>
  <c r="DMK15" i="12"/>
  <c r="DML15" i="12"/>
  <c r="DMM15" i="12"/>
  <c r="DMN15" i="12"/>
  <c r="DMO15" i="12"/>
  <c r="DMP15" i="12"/>
  <c r="DMQ15" i="12"/>
  <c r="DMR15" i="12"/>
  <c r="DMS15" i="12"/>
  <c r="DMT15" i="12"/>
  <c r="DMU15" i="12"/>
  <c r="DMV15" i="12"/>
  <c r="DMW15" i="12"/>
  <c r="DMX15" i="12"/>
  <c r="DMY15" i="12"/>
  <c r="DMZ15" i="12"/>
  <c r="DNA15" i="12"/>
  <c r="DNB15" i="12"/>
  <c r="DNC15" i="12"/>
  <c r="DND15" i="12"/>
  <c r="DNE15" i="12"/>
  <c r="DNF15" i="12"/>
  <c r="DNG15" i="12"/>
  <c r="DNH15" i="12"/>
  <c r="DNI15" i="12"/>
  <c r="DNJ15" i="12"/>
  <c r="DNK15" i="12"/>
  <c r="DNL15" i="12"/>
  <c r="DNM15" i="12"/>
  <c r="DNN15" i="12"/>
  <c r="DNO15" i="12"/>
  <c r="DNP15" i="12"/>
  <c r="DNQ15" i="12"/>
  <c r="DNR15" i="12"/>
  <c r="DNS15" i="12"/>
  <c r="DNT15" i="12"/>
  <c r="DNU15" i="12"/>
  <c r="DNV15" i="12"/>
  <c r="DNW15" i="12"/>
  <c r="DNX15" i="12"/>
  <c r="DNY15" i="12"/>
  <c r="DNZ15" i="12"/>
  <c r="DOA15" i="12"/>
  <c r="DOB15" i="12"/>
  <c r="DOC15" i="12"/>
  <c r="DOD15" i="12"/>
  <c r="DOE15" i="12"/>
  <c r="DOF15" i="12"/>
  <c r="DOG15" i="12"/>
  <c r="DOH15" i="12"/>
  <c r="DOI15" i="12"/>
  <c r="DOJ15" i="12"/>
  <c r="DOK15" i="12"/>
  <c r="DOL15" i="12"/>
  <c r="DOM15" i="12"/>
  <c r="DON15" i="12"/>
  <c r="DOO15" i="12"/>
  <c r="DOP15" i="12"/>
  <c r="DOQ15" i="12"/>
  <c r="DOR15" i="12"/>
  <c r="DOS15" i="12"/>
  <c r="DOT15" i="12"/>
  <c r="DOU15" i="12"/>
  <c r="DOV15" i="12"/>
  <c r="DOW15" i="12"/>
  <c r="DOX15" i="12"/>
  <c r="DOY15" i="12"/>
  <c r="DOZ15" i="12"/>
  <c r="DPA15" i="12"/>
  <c r="DPB15" i="12"/>
  <c r="DPC15" i="12"/>
  <c r="DPD15" i="12"/>
  <c r="DPE15" i="12"/>
  <c r="DPF15" i="12"/>
  <c r="DPG15" i="12"/>
  <c r="DPH15" i="12"/>
  <c r="DPI15" i="12"/>
  <c r="DPJ15" i="12"/>
  <c r="DPK15" i="12"/>
  <c r="DPL15" i="12"/>
  <c r="DPM15" i="12"/>
  <c r="DPN15" i="12"/>
  <c r="DPO15" i="12"/>
  <c r="DPP15" i="12"/>
  <c r="DPQ15" i="12"/>
  <c r="DPR15" i="12"/>
  <c r="DPS15" i="12"/>
  <c r="DPT15" i="12"/>
  <c r="DPU15" i="12"/>
  <c r="DPV15" i="12"/>
  <c r="DPW15" i="12"/>
  <c r="DPX15" i="12"/>
  <c r="DPY15" i="12"/>
  <c r="DPZ15" i="12"/>
  <c r="DQA15" i="12"/>
  <c r="DQB15" i="12"/>
  <c r="DQC15" i="12"/>
  <c r="DQD15" i="12"/>
  <c r="DQE15" i="12"/>
  <c r="DQF15" i="12"/>
  <c r="DQG15" i="12"/>
  <c r="DQH15" i="12"/>
  <c r="DQI15" i="12"/>
  <c r="DQJ15" i="12"/>
  <c r="DQK15" i="12"/>
  <c r="DQL15" i="12"/>
  <c r="DQM15" i="12"/>
  <c r="DQN15" i="12"/>
  <c r="DQO15" i="12"/>
  <c r="DQP15" i="12"/>
  <c r="DQQ15" i="12"/>
  <c r="DQR15" i="12"/>
  <c r="DQS15" i="12"/>
  <c r="DQT15" i="12"/>
  <c r="DQU15" i="12"/>
  <c r="DQV15" i="12"/>
  <c r="DQW15" i="12"/>
  <c r="DQX15" i="12"/>
  <c r="DQY15" i="12"/>
  <c r="DQZ15" i="12"/>
  <c r="DRA15" i="12"/>
  <c r="DRB15" i="12"/>
  <c r="DRC15" i="12"/>
  <c r="DRD15" i="12"/>
  <c r="DRE15" i="12"/>
  <c r="DRF15" i="12"/>
  <c r="DRG15" i="12"/>
  <c r="DRH15" i="12"/>
  <c r="DRI15" i="12"/>
  <c r="DRJ15" i="12"/>
  <c r="DRK15" i="12"/>
  <c r="DRL15" i="12"/>
  <c r="DRM15" i="12"/>
  <c r="DRN15" i="12"/>
  <c r="DRO15" i="12"/>
  <c r="DRP15" i="12"/>
  <c r="DRQ15" i="12"/>
  <c r="DRR15" i="12"/>
  <c r="DRS15" i="12"/>
  <c r="DRT15" i="12"/>
  <c r="DRU15" i="12"/>
  <c r="DRV15" i="12"/>
  <c r="DRW15" i="12"/>
  <c r="DRX15" i="12"/>
  <c r="DRY15" i="12"/>
  <c r="DRZ15" i="12"/>
  <c r="DSA15" i="12"/>
  <c r="DSB15" i="12"/>
  <c r="DSC15" i="12"/>
  <c r="DSD15" i="12"/>
  <c r="DSE15" i="12"/>
  <c r="DSF15" i="12"/>
  <c r="DSG15" i="12"/>
  <c r="DSH15" i="12"/>
  <c r="DSI15" i="12"/>
  <c r="DSJ15" i="12"/>
  <c r="DSK15" i="12"/>
  <c r="DSL15" i="12"/>
  <c r="DSM15" i="12"/>
  <c r="DSN15" i="12"/>
  <c r="DSO15" i="12"/>
  <c r="DSP15" i="12"/>
  <c r="DSQ15" i="12"/>
  <c r="DSR15" i="12"/>
  <c r="DSS15" i="12"/>
  <c r="DST15" i="12"/>
  <c r="DSU15" i="12"/>
  <c r="DSV15" i="12"/>
  <c r="DSW15" i="12"/>
  <c r="DSX15" i="12"/>
  <c r="DSY15" i="12"/>
  <c r="DSZ15" i="12"/>
  <c r="DTA15" i="12"/>
  <c r="DTB15" i="12"/>
  <c r="DTC15" i="12"/>
  <c r="DTD15" i="12"/>
  <c r="DTE15" i="12"/>
  <c r="DTF15" i="12"/>
  <c r="DTG15" i="12"/>
  <c r="DTH15" i="12"/>
  <c r="DTI15" i="12"/>
  <c r="DTJ15" i="12"/>
  <c r="DTK15" i="12"/>
  <c r="DTL15" i="12"/>
  <c r="DTM15" i="12"/>
  <c r="DTN15" i="12"/>
  <c r="DTO15" i="12"/>
  <c r="DTP15" i="12"/>
  <c r="DTQ15" i="12"/>
  <c r="DTR15" i="12"/>
  <c r="DTS15" i="12"/>
  <c r="DTT15" i="12"/>
  <c r="DTU15" i="12"/>
  <c r="DTV15" i="12"/>
  <c r="DTW15" i="12"/>
  <c r="DTX15" i="12"/>
  <c r="DTY15" i="12"/>
  <c r="DTZ15" i="12"/>
  <c r="DUA15" i="12"/>
  <c r="DUB15" i="12"/>
  <c r="DUC15" i="12"/>
  <c r="DUD15" i="12"/>
  <c r="DUE15" i="12"/>
  <c r="DUF15" i="12"/>
  <c r="DUG15" i="12"/>
  <c r="DUH15" i="12"/>
  <c r="DUI15" i="12"/>
  <c r="DUJ15" i="12"/>
  <c r="DUK15" i="12"/>
  <c r="DUL15" i="12"/>
  <c r="DUM15" i="12"/>
  <c r="DUN15" i="12"/>
  <c r="DUO15" i="12"/>
  <c r="DUP15" i="12"/>
  <c r="DUQ15" i="12"/>
  <c r="DUR15" i="12"/>
  <c r="DUS15" i="12"/>
  <c r="DUT15" i="12"/>
  <c r="DUU15" i="12"/>
  <c r="DUV15" i="12"/>
  <c r="DUW15" i="12"/>
  <c r="DUX15" i="12"/>
  <c r="DUY15" i="12"/>
  <c r="DUZ15" i="12"/>
  <c r="DVA15" i="12"/>
  <c r="DVB15" i="12"/>
  <c r="DVC15" i="12"/>
  <c r="DVD15" i="12"/>
  <c r="DVE15" i="12"/>
  <c r="DVF15" i="12"/>
  <c r="DVG15" i="12"/>
  <c r="DVH15" i="12"/>
  <c r="DVI15" i="12"/>
  <c r="DVJ15" i="12"/>
  <c r="DVK15" i="12"/>
  <c r="DVL15" i="12"/>
  <c r="DVM15" i="12"/>
  <c r="DVN15" i="12"/>
  <c r="DVO15" i="12"/>
  <c r="DVP15" i="12"/>
  <c r="DVQ15" i="12"/>
  <c r="DVR15" i="12"/>
  <c r="DVS15" i="12"/>
  <c r="DVT15" i="12"/>
  <c r="DVU15" i="12"/>
  <c r="DVV15" i="12"/>
  <c r="DVW15" i="12"/>
  <c r="DVX15" i="12"/>
  <c r="DVY15" i="12"/>
  <c r="DVZ15" i="12"/>
  <c r="DWA15" i="12"/>
  <c r="DWB15" i="12"/>
  <c r="DWC15" i="12"/>
  <c r="DWD15" i="12"/>
  <c r="DWE15" i="12"/>
  <c r="DWF15" i="12"/>
  <c r="DWG15" i="12"/>
  <c r="DWH15" i="12"/>
  <c r="DWI15" i="12"/>
  <c r="DWJ15" i="12"/>
  <c r="DWK15" i="12"/>
  <c r="DWL15" i="12"/>
  <c r="DWM15" i="12"/>
  <c r="DWN15" i="12"/>
  <c r="DWO15" i="12"/>
  <c r="DWP15" i="12"/>
  <c r="DWQ15" i="12"/>
  <c r="DWR15" i="12"/>
  <c r="DWS15" i="12"/>
  <c r="DWT15" i="12"/>
  <c r="DWU15" i="12"/>
  <c r="DWV15" i="12"/>
  <c r="DWW15" i="12"/>
  <c r="DWX15" i="12"/>
  <c r="DWY15" i="12"/>
  <c r="DWZ15" i="12"/>
  <c r="DXA15" i="12"/>
  <c r="DXB15" i="12"/>
  <c r="DXC15" i="12"/>
  <c r="DXD15" i="12"/>
  <c r="DXE15" i="12"/>
  <c r="DXF15" i="12"/>
  <c r="DXG15" i="12"/>
  <c r="DXH15" i="12"/>
  <c r="DXI15" i="12"/>
  <c r="DXJ15" i="12"/>
  <c r="DXK15" i="12"/>
  <c r="DXL15" i="12"/>
  <c r="DXM15" i="12"/>
  <c r="DXN15" i="12"/>
  <c r="DXO15" i="12"/>
  <c r="DXP15" i="12"/>
  <c r="DXQ15" i="12"/>
  <c r="DXR15" i="12"/>
  <c r="DXS15" i="12"/>
  <c r="DXT15" i="12"/>
  <c r="DXU15" i="12"/>
  <c r="DXV15" i="12"/>
  <c r="DXW15" i="12"/>
  <c r="DXX15" i="12"/>
  <c r="DXY15" i="12"/>
  <c r="DXZ15" i="12"/>
  <c r="DYA15" i="12"/>
  <c r="DYB15" i="12"/>
  <c r="DYC15" i="12"/>
  <c r="DYD15" i="12"/>
  <c r="DYE15" i="12"/>
  <c r="DYF15" i="12"/>
  <c r="DYG15" i="12"/>
  <c r="DYH15" i="12"/>
  <c r="DYI15" i="12"/>
  <c r="DYJ15" i="12"/>
  <c r="DYK15" i="12"/>
  <c r="DYL15" i="12"/>
  <c r="DYM15" i="12"/>
  <c r="DYN15" i="12"/>
  <c r="DYO15" i="12"/>
  <c r="DYP15" i="12"/>
  <c r="DYQ15" i="12"/>
  <c r="DYR15" i="12"/>
  <c r="DYS15" i="12"/>
  <c r="DYT15" i="12"/>
  <c r="DYU15" i="12"/>
  <c r="DYV15" i="12"/>
  <c r="DYW15" i="12"/>
  <c r="DYX15" i="12"/>
  <c r="DYY15" i="12"/>
  <c r="DYZ15" i="12"/>
  <c r="DZA15" i="12"/>
  <c r="DZB15" i="12"/>
  <c r="DZC15" i="12"/>
  <c r="DZD15" i="12"/>
  <c r="DZE15" i="12"/>
  <c r="DZF15" i="12"/>
  <c r="DZG15" i="12"/>
  <c r="DZH15" i="12"/>
  <c r="DZI15" i="12"/>
  <c r="DZJ15" i="12"/>
  <c r="DZK15" i="12"/>
  <c r="DZL15" i="12"/>
  <c r="DZM15" i="12"/>
  <c r="DZN15" i="12"/>
  <c r="DZO15" i="12"/>
  <c r="DZP15" i="12"/>
  <c r="DZQ15" i="12"/>
  <c r="DZR15" i="12"/>
  <c r="DZS15" i="12"/>
  <c r="DZT15" i="12"/>
  <c r="DZU15" i="12"/>
  <c r="DZV15" i="12"/>
  <c r="DZW15" i="12"/>
  <c r="DZX15" i="12"/>
  <c r="DZY15" i="12"/>
  <c r="DZZ15" i="12"/>
  <c r="EAA15" i="12"/>
  <c r="EAB15" i="12"/>
  <c r="EAC15" i="12"/>
  <c r="EAD15" i="12"/>
  <c r="EAE15" i="12"/>
  <c r="EAF15" i="12"/>
  <c r="EAG15" i="12"/>
  <c r="EAH15" i="12"/>
  <c r="EAI15" i="12"/>
  <c r="EAJ15" i="12"/>
  <c r="EAK15" i="12"/>
  <c r="EAL15" i="12"/>
  <c r="EAM15" i="12"/>
  <c r="EAN15" i="12"/>
  <c r="EAO15" i="12"/>
  <c r="EAP15" i="12"/>
  <c r="EAQ15" i="12"/>
  <c r="EAR15" i="12"/>
  <c r="EAS15" i="12"/>
  <c r="EAT15" i="12"/>
  <c r="EAU15" i="12"/>
  <c r="EAV15" i="12"/>
  <c r="EAW15" i="12"/>
  <c r="EAX15" i="12"/>
  <c r="EAY15" i="12"/>
  <c r="EAZ15" i="12"/>
  <c r="EBA15" i="12"/>
  <c r="EBB15" i="12"/>
  <c r="EBC15" i="12"/>
  <c r="EBD15" i="12"/>
  <c r="EBE15" i="12"/>
  <c r="EBF15" i="12"/>
  <c r="EBG15" i="12"/>
  <c r="EBH15" i="12"/>
  <c r="EBI15" i="12"/>
  <c r="EBJ15" i="12"/>
  <c r="EBK15" i="12"/>
  <c r="EBL15" i="12"/>
  <c r="EBM15" i="12"/>
  <c r="EBN15" i="12"/>
  <c r="EBO15" i="12"/>
  <c r="EBP15" i="12"/>
  <c r="EBQ15" i="12"/>
  <c r="EBR15" i="12"/>
  <c r="EBS15" i="12"/>
  <c r="EBT15" i="12"/>
  <c r="EBU15" i="12"/>
  <c r="EBV15" i="12"/>
  <c r="EBW15" i="12"/>
  <c r="EBX15" i="12"/>
  <c r="EBY15" i="12"/>
  <c r="EBZ15" i="12"/>
  <c r="ECA15" i="12"/>
  <c r="ECB15" i="12"/>
  <c r="ECC15" i="12"/>
  <c r="ECD15" i="12"/>
  <c r="ECE15" i="12"/>
  <c r="ECF15" i="12"/>
  <c r="ECG15" i="12"/>
  <c r="ECH15" i="12"/>
  <c r="ECI15" i="12"/>
  <c r="ECJ15" i="12"/>
  <c r="ECK15" i="12"/>
  <c r="ECL15" i="12"/>
  <c r="ECM15" i="12"/>
  <c r="ECN15" i="12"/>
  <c r="ECO15" i="12"/>
  <c r="ECP15" i="12"/>
  <c r="ECQ15" i="12"/>
  <c r="ECR15" i="12"/>
  <c r="ECS15" i="12"/>
  <c r="ECT15" i="12"/>
  <c r="ECU15" i="12"/>
  <c r="ECV15" i="12"/>
  <c r="ECW15" i="12"/>
  <c r="ECX15" i="12"/>
  <c r="ECY15" i="12"/>
  <c r="ECZ15" i="12"/>
  <c r="EDA15" i="12"/>
  <c r="EDB15" i="12"/>
  <c r="EDC15" i="12"/>
  <c r="EDD15" i="12"/>
  <c r="EDE15" i="12"/>
  <c r="EDF15" i="12"/>
  <c r="EDG15" i="12"/>
  <c r="EDH15" i="12"/>
  <c r="EDI15" i="12"/>
  <c r="EDJ15" i="12"/>
  <c r="EDK15" i="12"/>
  <c r="EDL15" i="12"/>
  <c r="EDM15" i="12"/>
  <c r="EDN15" i="12"/>
  <c r="EDO15" i="12"/>
  <c r="EDP15" i="12"/>
  <c r="EDQ15" i="12"/>
  <c r="EDR15" i="12"/>
  <c r="EDS15" i="12"/>
  <c r="EDT15" i="12"/>
  <c r="EDU15" i="12"/>
  <c r="EDV15" i="12"/>
  <c r="EDW15" i="12"/>
  <c r="EDX15" i="12"/>
  <c r="EDY15" i="12"/>
  <c r="EDZ15" i="12"/>
  <c r="EEA15" i="12"/>
  <c r="EEB15" i="12"/>
  <c r="EEC15" i="12"/>
  <c r="EED15" i="12"/>
  <c r="EEE15" i="12"/>
  <c r="EEF15" i="12"/>
  <c r="EEG15" i="12"/>
  <c r="EEH15" i="12"/>
  <c r="EEI15" i="12"/>
  <c r="EEJ15" i="12"/>
  <c r="EEK15" i="12"/>
  <c r="EEL15" i="12"/>
  <c r="EEM15" i="12"/>
  <c r="EEN15" i="12"/>
  <c r="EEO15" i="12"/>
  <c r="EEP15" i="12"/>
  <c r="EEQ15" i="12"/>
  <c r="EER15" i="12"/>
  <c r="EES15" i="12"/>
  <c r="EET15" i="12"/>
  <c r="EEU15" i="12"/>
  <c r="EEV15" i="12"/>
  <c r="EEW15" i="12"/>
  <c r="EEX15" i="12"/>
  <c r="EEY15" i="12"/>
  <c r="EEZ15" i="12"/>
  <c r="EFA15" i="12"/>
  <c r="EFB15" i="12"/>
  <c r="EFC15" i="12"/>
  <c r="EFD15" i="12"/>
  <c r="EFE15" i="12"/>
  <c r="EFF15" i="12"/>
  <c r="EFG15" i="12"/>
  <c r="EFH15" i="12"/>
  <c r="EFI15" i="12"/>
  <c r="EFJ15" i="12"/>
  <c r="EFK15" i="12"/>
  <c r="EFL15" i="12"/>
  <c r="EFM15" i="12"/>
  <c r="EFN15" i="12"/>
  <c r="EFO15" i="12"/>
  <c r="EFP15" i="12"/>
  <c r="EFQ15" i="12"/>
  <c r="EFR15" i="12"/>
  <c r="EFS15" i="12"/>
  <c r="EFT15" i="12"/>
  <c r="EFU15" i="12"/>
  <c r="EFV15" i="12"/>
  <c r="EFW15" i="12"/>
  <c r="EFX15" i="12"/>
  <c r="EFY15" i="12"/>
  <c r="EFZ15" i="12"/>
  <c r="EGA15" i="12"/>
  <c r="EGB15" i="12"/>
  <c r="EGC15" i="12"/>
  <c r="EGD15" i="12"/>
  <c r="EGE15" i="12"/>
  <c r="EGF15" i="12"/>
  <c r="EGG15" i="12"/>
  <c r="EGH15" i="12"/>
  <c r="EGI15" i="12"/>
  <c r="EGJ15" i="12"/>
  <c r="EGK15" i="12"/>
  <c r="EGL15" i="12"/>
  <c r="EGM15" i="12"/>
  <c r="EGN15" i="12"/>
  <c r="EGO15" i="12"/>
  <c r="EGP15" i="12"/>
  <c r="EGQ15" i="12"/>
  <c r="EGR15" i="12"/>
  <c r="EGS15" i="12"/>
  <c r="EGT15" i="12"/>
  <c r="EGU15" i="12"/>
  <c r="EGV15" i="12"/>
  <c r="EGW15" i="12"/>
  <c r="EGX15" i="12"/>
  <c r="EGY15" i="12"/>
  <c r="EGZ15" i="12"/>
  <c r="EHA15" i="12"/>
  <c r="EHB15" i="12"/>
  <c r="EHC15" i="12"/>
  <c r="EHD15" i="12"/>
  <c r="EHE15" i="12"/>
  <c r="EHF15" i="12"/>
  <c r="EHG15" i="12"/>
  <c r="EHH15" i="12"/>
  <c r="EHI15" i="12"/>
  <c r="EHJ15" i="12"/>
  <c r="EHK15" i="12"/>
  <c r="EHL15" i="12"/>
  <c r="EHM15" i="12"/>
  <c r="EHN15" i="12"/>
  <c r="EHO15" i="12"/>
  <c r="EHP15" i="12"/>
  <c r="EHQ15" i="12"/>
  <c r="EHR15" i="12"/>
  <c r="EHS15" i="12"/>
  <c r="EHT15" i="12"/>
  <c r="EHU15" i="12"/>
  <c r="EHV15" i="12"/>
  <c r="EHW15" i="12"/>
  <c r="EHX15" i="12"/>
  <c r="EHY15" i="12"/>
  <c r="EHZ15" i="12"/>
  <c r="EIA15" i="12"/>
  <c r="EIB15" i="12"/>
  <c r="EIC15" i="12"/>
  <c r="EID15" i="12"/>
  <c r="EIE15" i="12"/>
  <c r="EIF15" i="12"/>
  <c r="EIG15" i="12"/>
  <c r="EIH15" i="12"/>
  <c r="EII15" i="12"/>
  <c r="EIJ15" i="12"/>
  <c r="EIK15" i="12"/>
  <c r="EIL15" i="12"/>
  <c r="EIM15" i="12"/>
  <c r="EIN15" i="12"/>
  <c r="EIO15" i="12"/>
  <c r="EIP15" i="12"/>
  <c r="EIQ15" i="12"/>
  <c r="EIR15" i="12"/>
  <c r="EIS15" i="12"/>
  <c r="EIT15" i="12"/>
  <c r="EIU15" i="12"/>
  <c r="EIV15" i="12"/>
  <c r="EIW15" i="12"/>
  <c r="EIX15" i="12"/>
  <c r="EIY15" i="12"/>
  <c r="EIZ15" i="12"/>
  <c r="EJA15" i="12"/>
  <c r="EJB15" i="12"/>
  <c r="EJC15" i="12"/>
  <c r="EJD15" i="12"/>
  <c r="EJE15" i="12"/>
  <c r="EJF15" i="12"/>
  <c r="EJG15" i="12"/>
  <c r="EJH15" i="12"/>
  <c r="EJI15" i="12"/>
  <c r="EJJ15" i="12"/>
  <c r="EJK15" i="12"/>
  <c r="EJL15" i="12"/>
  <c r="EJM15" i="12"/>
  <c r="EJN15" i="12"/>
  <c r="EJO15" i="12"/>
  <c r="EJP15" i="12"/>
  <c r="EJQ15" i="12"/>
  <c r="EJR15" i="12"/>
  <c r="EJS15" i="12"/>
  <c r="EJT15" i="12"/>
  <c r="EJU15" i="12"/>
  <c r="EJV15" i="12"/>
  <c r="EJW15" i="12"/>
  <c r="EJX15" i="12"/>
  <c r="EJY15" i="12"/>
  <c r="EJZ15" i="12"/>
  <c r="EKA15" i="12"/>
  <c r="EKB15" i="12"/>
  <c r="EKC15" i="12"/>
  <c r="EKD15" i="12"/>
  <c r="EKE15" i="12"/>
  <c r="EKF15" i="12"/>
  <c r="EKG15" i="12"/>
  <c r="EKH15" i="12"/>
  <c r="EKI15" i="12"/>
  <c r="EKJ15" i="12"/>
  <c r="EKK15" i="12"/>
  <c r="EKL15" i="12"/>
  <c r="EKM15" i="12"/>
  <c r="EKN15" i="12"/>
  <c r="EKO15" i="12"/>
  <c r="EKP15" i="12"/>
  <c r="EKQ15" i="12"/>
  <c r="EKR15" i="12"/>
  <c r="EKS15" i="12"/>
  <c r="EKT15" i="12"/>
  <c r="EKU15" i="12"/>
  <c r="EKV15" i="12"/>
  <c r="EKW15" i="12"/>
  <c r="EKX15" i="12"/>
  <c r="EKY15" i="12"/>
  <c r="EKZ15" i="12"/>
  <c r="ELA15" i="12"/>
  <c r="ELB15" i="12"/>
  <c r="ELC15" i="12"/>
  <c r="ELD15" i="12"/>
  <c r="ELE15" i="12"/>
  <c r="ELF15" i="12"/>
  <c r="ELG15" i="12"/>
  <c r="ELH15" i="12"/>
  <c r="ELI15" i="12"/>
  <c r="ELJ15" i="12"/>
  <c r="ELK15" i="12"/>
  <c r="ELL15" i="12"/>
  <c r="ELM15" i="12"/>
  <c r="ELN15" i="12"/>
  <c r="ELO15" i="12"/>
  <c r="ELP15" i="12"/>
  <c r="ELQ15" i="12"/>
  <c r="ELR15" i="12"/>
  <c r="ELS15" i="12"/>
  <c r="ELT15" i="12"/>
  <c r="ELU15" i="12"/>
  <c r="ELV15" i="12"/>
  <c r="ELW15" i="12"/>
  <c r="ELX15" i="12"/>
  <c r="ELY15" i="12"/>
  <c r="ELZ15" i="12"/>
  <c r="EMA15" i="12"/>
  <c r="EMB15" i="12"/>
  <c r="EMC15" i="12"/>
  <c r="EMD15" i="12"/>
  <c r="EME15" i="12"/>
  <c r="EMF15" i="12"/>
  <c r="EMG15" i="12"/>
  <c r="EMH15" i="12"/>
  <c r="EMI15" i="12"/>
  <c r="EMJ15" i="12"/>
  <c r="EMK15" i="12"/>
  <c r="EML15" i="12"/>
  <c r="EMM15" i="12"/>
  <c r="EMN15" i="12"/>
  <c r="EMO15" i="12"/>
  <c r="EMP15" i="12"/>
  <c r="EMQ15" i="12"/>
  <c r="EMR15" i="12"/>
  <c r="EMS15" i="12"/>
  <c r="EMT15" i="12"/>
  <c r="EMU15" i="12"/>
  <c r="EMV15" i="12"/>
  <c r="EMW15" i="12"/>
  <c r="EMX15" i="12"/>
  <c r="EMY15" i="12"/>
  <c r="EMZ15" i="12"/>
  <c r="ENA15" i="12"/>
  <c r="ENB15" i="12"/>
  <c r="ENC15" i="12"/>
  <c r="END15" i="12"/>
  <c r="ENE15" i="12"/>
  <c r="ENF15" i="12"/>
  <c r="ENG15" i="12"/>
  <c r="ENH15" i="12"/>
  <c r="ENI15" i="12"/>
  <c r="ENJ15" i="12"/>
  <c r="ENK15" i="12"/>
  <c r="ENL15" i="12"/>
  <c r="ENM15" i="12"/>
  <c r="ENN15" i="12"/>
  <c r="ENO15" i="12"/>
  <c r="ENP15" i="12"/>
  <c r="ENQ15" i="12"/>
  <c r="ENR15" i="12"/>
  <c r="ENS15" i="12"/>
  <c r="ENT15" i="12"/>
  <c r="ENU15" i="12"/>
  <c r="ENV15" i="12"/>
  <c r="ENW15" i="12"/>
  <c r="ENX15" i="12"/>
  <c r="ENY15" i="12"/>
  <c r="ENZ15" i="12"/>
  <c r="EOA15" i="12"/>
  <c r="EOB15" i="12"/>
  <c r="EOC15" i="12"/>
  <c r="EOD15" i="12"/>
  <c r="EOE15" i="12"/>
  <c r="EOF15" i="12"/>
  <c r="EOG15" i="12"/>
  <c r="EOH15" i="12"/>
  <c r="EOI15" i="12"/>
  <c r="EOJ15" i="12"/>
  <c r="EOK15" i="12"/>
  <c r="EOL15" i="12"/>
  <c r="EOM15" i="12"/>
  <c r="EON15" i="12"/>
  <c r="EOO15" i="12"/>
  <c r="EOP15" i="12"/>
  <c r="EOQ15" i="12"/>
  <c r="EOR15" i="12"/>
  <c r="EOS15" i="12"/>
  <c r="EOT15" i="12"/>
  <c r="EOU15" i="12"/>
  <c r="EOV15" i="12"/>
  <c r="EOW15" i="12"/>
  <c r="EOX15" i="12"/>
  <c r="EOY15" i="12"/>
  <c r="EOZ15" i="12"/>
  <c r="EPA15" i="12"/>
  <c r="EPB15" i="12"/>
  <c r="EPC15" i="12"/>
  <c r="EPD15" i="12"/>
  <c r="EPE15" i="12"/>
  <c r="EPF15" i="12"/>
  <c r="EPG15" i="12"/>
  <c r="EPH15" i="12"/>
  <c r="EPI15" i="12"/>
  <c r="EPJ15" i="12"/>
  <c r="EPK15" i="12"/>
  <c r="EPL15" i="12"/>
  <c r="EPM15" i="12"/>
  <c r="EPN15" i="12"/>
  <c r="EPO15" i="12"/>
  <c r="EPP15" i="12"/>
  <c r="EPQ15" i="12"/>
  <c r="EPR15" i="12"/>
  <c r="EPS15" i="12"/>
  <c r="EPT15" i="12"/>
  <c r="EPU15" i="12"/>
  <c r="EPV15" i="12"/>
  <c r="EPW15" i="12"/>
  <c r="EPX15" i="12"/>
  <c r="EPY15" i="12"/>
  <c r="EPZ15" i="12"/>
  <c r="EQA15" i="12"/>
  <c r="EQB15" i="12"/>
  <c r="EQC15" i="12"/>
  <c r="EQD15" i="12"/>
  <c r="EQE15" i="12"/>
  <c r="EQF15" i="12"/>
  <c r="EQG15" i="12"/>
  <c r="EQH15" i="12"/>
  <c r="EQI15" i="12"/>
  <c r="EQJ15" i="12"/>
  <c r="EQK15" i="12"/>
  <c r="EQL15" i="12"/>
  <c r="EQM15" i="12"/>
  <c r="EQN15" i="12"/>
  <c r="EQO15" i="12"/>
  <c r="EQP15" i="12"/>
  <c r="EQQ15" i="12"/>
  <c r="EQR15" i="12"/>
  <c r="EQS15" i="12"/>
  <c r="EQT15" i="12"/>
  <c r="EQU15" i="12"/>
  <c r="EQV15" i="12"/>
  <c r="EQW15" i="12"/>
  <c r="EQX15" i="12"/>
  <c r="EQY15" i="12"/>
  <c r="EQZ15" i="12"/>
  <c r="ERA15" i="12"/>
  <c r="ERB15" i="12"/>
  <c r="ERC15" i="12"/>
  <c r="ERD15" i="12"/>
  <c r="ERE15" i="12"/>
  <c r="ERF15" i="12"/>
  <c r="ERG15" i="12"/>
  <c r="ERH15" i="12"/>
  <c r="ERI15" i="12"/>
  <c r="ERJ15" i="12"/>
  <c r="ERK15" i="12"/>
  <c r="ERL15" i="12"/>
  <c r="ERM15" i="12"/>
  <c r="ERN15" i="12"/>
  <c r="ERO15" i="12"/>
  <c r="ERP15" i="12"/>
  <c r="ERQ15" i="12"/>
  <c r="ERR15" i="12"/>
  <c r="ERS15" i="12"/>
  <c r="ERT15" i="12"/>
  <c r="ERU15" i="12"/>
  <c r="ERV15" i="12"/>
  <c r="ERW15" i="12"/>
  <c r="ERX15" i="12"/>
  <c r="ERY15" i="12"/>
  <c r="ERZ15" i="12"/>
  <c r="ESA15" i="12"/>
  <c r="ESB15" i="12"/>
  <c r="ESC15" i="12"/>
  <c r="ESD15" i="12"/>
  <c r="ESE15" i="12"/>
  <c r="ESF15" i="12"/>
  <c r="ESG15" i="12"/>
  <c r="ESH15" i="12"/>
  <c r="ESI15" i="12"/>
  <c r="ESJ15" i="12"/>
  <c r="ESK15" i="12"/>
  <c r="ESL15" i="12"/>
  <c r="ESM15" i="12"/>
  <c r="ESN15" i="12"/>
  <c r="ESO15" i="12"/>
  <c r="ESP15" i="12"/>
  <c r="ESQ15" i="12"/>
  <c r="ESR15" i="12"/>
  <c r="ESS15" i="12"/>
  <c r="EST15" i="12"/>
  <c r="ESU15" i="12"/>
  <c r="ESV15" i="12"/>
  <c r="ESW15" i="12"/>
  <c r="ESX15" i="12"/>
  <c r="ESY15" i="12"/>
  <c r="ESZ15" i="12"/>
  <c r="ETA15" i="12"/>
  <c r="ETB15" i="12"/>
  <c r="ETC15" i="12"/>
  <c r="ETD15" i="12"/>
  <c r="ETE15" i="12"/>
  <c r="ETF15" i="12"/>
  <c r="ETG15" i="12"/>
  <c r="ETH15" i="12"/>
  <c r="ETI15" i="12"/>
  <c r="ETJ15" i="12"/>
  <c r="ETK15" i="12"/>
  <c r="ETL15" i="12"/>
  <c r="ETM15" i="12"/>
  <c r="ETN15" i="12"/>
  <c r="ETO15" i="12"/>
  <c r="ETP15" i="12"/>
  <c r="ETQ15" i="12"/>
  <c r="ETR15" i="12"/>
  <c r="ETS15" i="12"/>
  <c r="ETT15" i="12"/>
  <c r="ETU15" i="12"/>
  <c r="ETV15" i="12"/>
  <c r="ETW15" i="12"/>
  <c r="ETX15" i="12"/>
  <c r="ETY15" i="12"/>
  <c r="ETZ15" i="12"/>
  <c r="EUA15" i="12"/>
  <c r="EUB15" i="12"/>
  <c r="EUC15" i="12"/>
  <c r="EUD15" i="12"/>
  <c r="EUE15" i="12"/>
  <c r="EUF15" i="12"/>
  <c r="EUG15" i="12"/>
  <c r="EUH15" i="12"/>
  <c r="EUI15" i="12"/>
  <c r="EUJ15" i="12"/>
  <c r="EUK15" i="12"/>
  <c r="EUL15" i="12"/>
  <c r="EUM15" i="12"/>
  <c r="EUN15" i="12"/>
  <c r="EUO15" i="12"/>
  <c r="EUP15" i="12"/>
  <c r="EUQ15" i="12"/>
  <c r="EUR15" i="12"/>
  <c r="EUS15" i="12"/>
  <c r="EUT15" i="12"/>
  <c r="EUU15" i="12"/>
  <c r="EUV15" i="12"/>
  <c r="EUW15" i="12"/>
  <c r="EUX15" i="12"/>
  <c r="EUY15" i="12"/>
  <c r="EUZ15" i="12"/>
  <c r="EVA15" i="12"/>
  <c r="EVB15" i="12"/>
  <c r="EVC15" i="12"/>
  <c r="EVD15" i="12"/>
  <c r="EVE15" i="12"/>
  <c r="EVF15" i="12"/>
  <c r="EVG15" i="12"/>
  <c r="EVH15" i="12"/>
  <c r="EVI15" i="12"/>
  <c r="EVJ15" i="12"/>
  <c r="EVK15" i="12"/>
  <c r="EVL15" i="12"/>
  <c r="EVM15" i="12"/>
  <c r="EVN15" i="12"/>
  <c r="EVO15" i="12"/>
  <c r="EVP15" i="12"/>
  <c r="EVQ15" i="12"/>
  <c r="EVR15" i="12"/>
  <c r="EVS15" i="12"/>
  <c r="EVT15" i="12"/>
  <c r="EVU15" i="12"/>
  <c r="EVV15" i="12"/>
  <c r="EVW15" i="12"/>
  <c r="EVX15" i="12"/>
  <c r="EVY15" i="12"/>
  <c r="EVZ15" i="12"/>
  <c r="EWA15" i="12"/>
  <c r="EWB15" i="12"/>
  <c r="EWC15" i="12"/>
  <c r="EWD15" i="12"/>
  <c r="EWE15" i="12"/>
  <c r="EWF15" i="12"/>
  <c r="EWG15" i="12"/>
  <c r="EWH15" i="12"/>
  <c r="EWI15" i="12"/>
  <c r="EWJ15" i="12"/>
  <c r="EWK15" i="12"/>
  <c r="EWL15" i="12"/>
  <c r="EWM15" i="12"/>
  <c r="EWN15" i="12"/>
  <c r="EWO15" i="12"/>
  <c r="EWP15" i="12"/>
  <c r="EWQ15" i="12"/>
  <c r="EWR15" i="12"/>
  <c r="EWS15" i="12"/>
  <c r="EWT15" i="12"/>
  <c r="EWU15" i="12"/>
  <c r="EWV15" i="12"/>
  <c r="EWW15" i="12"/>
  <c r="EWX15" i="12"/>
  <c r="EWY15" i="12"/>
  <c r="EWZ15" i="12"/>
  <c r="EXA15" i="12"/>
  <c r="EXB15" i="12"/>
  <c r="EXC15" i="12"/>
  <c r="EXD15" i="12"/>
  <c r="EXE15" i="12"/>
  <c r="EXF15" i="12"/>
  <c r="EXG15" i="12"/>
  <c r="EXH15" i="12"/>
  <c r="EXI15" i="12"/>
  <c r="EXJ15" i="12"/>
  <c r="EXK15" i="12"/>
  <c r="EXL15" i="12"/>
  <c r="EXM15" i="12"/>
  <c r="EXN15" i="12"/>
  <c r="EXO15" i="12"/>
  <c r="EXP15" i="12"/>
  <c r="EXQ15" i="12"/>
  <c r="EXR15" i="12"/>
  <c r="EXS15" i="12"/>
  <c r="EXT15" i="12"/>
  <c r="EXU15" i="12"/>
  <c r="EXV15" i="12"/>
  <c r="EXW15" i="12"/>
  <c r="EXX15" i="12"/>
  <c r="EXY15" i="12"/>
  <c r="EXZ15" i="12"/>
  <c r="EYA15" i="12"/>
  <c r="EYB15" i="12"/>
  <c r="EYC15" i="12"/>
  <c r="EYD15" i="12"/>
  <c r="EYE15" i="12"/>
  <c r="EYF15" i="12"/>
  <c r="EYG15" i="12"/>
  <c r="EYH15" i="12"/>
  <c r="EYI15" i="12"/>
  <c r="EYJ15" i="12"/>
  <c r="EYK15" i="12"/>
  <c r="EYL15" i="12"/>
  <c r="EYM15" i="12"/>
  <c r="EYN15" i="12"/>
  <c r="EYO15" i="12"/>
  <c r="EYP15" i="12"/>
  <c r="EYQ15" i="12"/>
  <c r="EYR15" i="12"/>
  <c r="EYS15" i="12"/>
  <c r="EYT15" i="12"/>
  <c r="EYU15" i="12"/>
  <c r="EYV15" i="12"/>
  <c r="EYW15" i="12"/>
  <c r="EYX15" i="12"/>
  <c r="EYY15" i="12"/>
  <c r="EYZ15" i="12"/>
  <c r="EZA15" i="12"/>
  <c r="EZB15" i="12"/>
  <c r="EZC15" i="12"/>
  <c r="EZD15" i="12"/>
  <c r="EZE15" i="12"/>
  <c r="EZF15" i="12"/>
  <c r="EZG15" i="12"/>
  <c r="EZH15" i="12"/>
  <c r="EZI15" i="12"/>
  <c r="EZJ15" i="12"/>
  <c r="EZK15" i="12"/>
  <c r="EZL15" i="12"/>
  <c r="EZM15" i="12"/>
  <c r="EZN15" i="12"/>
  <c r="EZO15" i="12"/>
  <c r="EZP15" i="12"/>
  <c r="EZQ15" i="12"/>
  <c r="EZR15" i="12"/>
  <c r="EZS15" i="12"/>
  <c r="EZT15" i="12"/>
  <c r="EZU15" i="12"/>
  <c r="EZV15" i="12"/>
  <c r="EZW15" i="12"/>
  <c r="EZX15" i="12"/>
  <c r="EZY15" i="12"/>
  <c r="EZZ15" i="12"/>
  <c r="FAA15" i="12"/>
  <c r="FAB15" i="12"/>
  <c r="FAC15" i="12"/>
  <c r="FAD15" i="12"/>
  <c r="FAE15" i="12"/>
  <c r="FAF15" i="12"/>
  <c r="FAG15" i="12"/>
  <c r="FAH15" i="12"/>
  <c r="FAI15" i="12"/>
  <c r="FAJ15" i="12"/>
  <c r="FAK15" i="12"/>
  <c r="FAL15" i="12"/>
  <c r="FAM15" i="12"/>
  <c r="FAN15" i="12"/>
  <c r="FAO15" i="12"/>
  <c r="FAP15" i="12"/>
  <c r="FAQ15" i="12"/>
  <c r="FAR15" i="12"/>
  <c r="FAS15" i="12"/>
  <c r="FAT15" i="12"/>
  <c r="FAU15" i="12"/>
  <c r="FAV15" i="12"/>
  <c r="FAW15" i="12"/>
  <c r="FAX15" i="12"/>
  <c r="FAY15" i="12"/>
  <c r="FAZ15" i="12"/>
  <c r="FBA15" i="12"/>
  <c r="FBB15" i="12"/>
  <c r="FBC15" i="12"/>
  <c r="FBD15" i="12"/>
  <c r="FBE15" i="12"/>
  <c r="FBF15" i="12"/>
  <c r="FBG15" i="12"/>
  <c r="FBH15" i="12"/>
  <c r="FBI15" i="12"/>
  <c r="FBJ15" i="12"/>
  <c r="FBK15" i="12"/>
  <c r="FBL15" i="12"/>
  <c r="FBM15" i="12"/>
  <c r="FBN15" i="12"/>
  <c r="FBO15" i="12"/>
  <c r="FBP15" i="12"/>
  <c r="FBQ15" i="12"/>
  <c r="FBR15" i="12"/>
  <c r="FBS15" i="12"/>
  <c r="FBT15" i="12"/>
  <c r="FBU15" i="12"/>
  <c r="FBV15" i="12"/>
  <c r="FBW15" i="12"/>
  <c r="FBX15" i="12"/>
  <c r="FBY15" i="12"/>
  <c r="FBZ15" i="12"/>
  <c r="FCA15" i="12"/>
  <c r="FCB15" i="12"/>
  <c r="FCC15" i="12"/>
  <c r="FCD15" i="12"/>
  <c r="FCE15" i="12"/>
  <c r="FCF15" i="12"/>
  <c r="FCG15" i="12"/>
  <c r="FCH15" i="12"/>
  <c r="FCI15" i="12"/>
  <c r="FCJ15" i="12"/>
  <c r="FCK15" i="12"/>
  <c r="FCL15" i="12"/>
  <c r="FCM15" i="12"/>
  <c r="FCN15" i="12"/>
  <c r="FCO15" i="12"/>
  <c r="FCP15" i="12"/>
  <c r="FCQ15" i="12"/>
  <c r="FCR15" i="12"/>
  <c r="FCS15" i="12"/>
  <c r="FCT15" i="12"/>
  <c r="FCU15" i="12"/>
  <c r="FCV15" i="12"/>
  <c r="FCW15" i="12"/>
  <c r="FCX15" i="12"/>
  <c r="FCY15" i="12"/>
  <c r="FCZ15" i="12"/>
  <c r="FDA15" i="12"/>
  <c r="FDB15" i="12"/>
  <c r="FDC15" i="12"/>
  <c r="FDD15" i="12"/>
  <c r="FDE15" i="12"/>
  <c r="FDF15" i="12"/>
  <c r="FDG15" i="12"/>
  <c r="FDH15" i="12"/>
  <c r="FDI15" i="12"/>
  <c r="FDJ15" i="12"/>
  <c r="FDK15" i="12"/>
  <c r="FDL15" i="12"/>
  <c r="FDM15" i="12"/>
  <c r="FDN15" i="12"/>
  <c r="FDO15" i="12"/>
  <c r="FDP15" i="12"/>
  <c r="FDQ15" i="12"/>
  <c r="FDR15" i="12"/>
  <c r="FDS15" i="12"/>
  <c r="FDT15" i="12"/>
  <c r="FDU15" i="12"/>
  <c r="FDV15" i="12"/>
  <c r="FDW15" i="12"/>
  <c r="FDX15" i="12"/>
  <c r="FDY15" i="12"/>
  <c r="FDZ15" i="12"/>
  <c r="FEA15" i="12"/>
  <c r="FEB15" i="12"/>
  <c r="FEC15" i="12"/>
  <c r="FED15" i="12"/>
  <c r="FEE15" i="12"/>
  <c r="FEF15" i="12"/>
  <c r="FEG15" i="12"/>
  <c r="FEH15" i="12"/>
  <c r="FEI15" i="12"/>
  <c r="FEJ15" i="12"/>
  <c r="FEK15" i="12"/>
  <c r="FEL15" i="12"/>
  <c r="FEM15" i="12"/>
  <c r="FEN15" i="12"/>
  <c r="FEO15" i="12"/>
  <c r="FEP15" i="12"/>
  <c r="FEQ15" i="12"/>
  <c r="FER15" i="12"/>
  <c r="FES15" i="12"/>
  <c r="FET15" i="12"/>
  <c r="FEU15" i="12"/>
  <c r="FEV15" i="12"/>
  <c r="FEW15" i="12"/>
  <c r="FEX15" i="12"/>
  <c r="FEY15" i="12"/>
  <c r="FEZ15" i="12"/>
  <c r="FFA15" i="12"/>
  <c r="FFB15" i="12"/>
  <c r="FFC15" i="12"/>
  <c r="FFD15" i="12"/>
  <c r="FFE15" i="12"/>
  <c r="FFF15" i="12"/>
  <c r="FFG15" i="12"/>
  <c r="FFH15" i="12"/>
  <c r="FFI15" i="12"/>
  <c r="FFJ15" i="12"/>
  <c r="FFK15" i="12"/>
  <c r="FFL15" i="12"/>
  <c r="FFM15" i="12"/>
  <c r="FFN15" i="12"/>
  <c r="FFO15" i="12"/>
  <c r="FFP15" i="12"/>
  <c r="FFQ15" i="12"/>
  <c r="FFR15" i="12"/>
  <c r="FFS15" i="12"/>
  <c r="FFT15" i="12"/>
  <c r="FFU15" i="12"/>
  <c r="FFV15" i="12"/>
  <c r="FFW15" i="12"/>
  <c r="FFX15" i="12"/>
  <c r="FFY15" i="12"/>
  <c r="FFZ15" i="12"/>
  <c r="FGA15" i="12"/>
  <c r="FGB15" i="12"/>
  <c r="FGC15" i="12"/>
  <c r="FGD15" i="12"/>
  <c r="FGE15" i="12"/>
  <c r="FGF15" i="12"/>
  <c r="FGG15" i="12"/>
  <c r="FGH15" i="12"/>
  <c r="FGI15" i="12"/>
  <c r="FGJ15" i="12"/>
  <c r="FGK15" i="12"/>
  <c r="FGL15" i="12"/>
  <c r="FGM15" i="12"/>
  <c r="FGN15" i="12"/>
  <c r="FGO15" i="12"/>
  <c r="FGP15" i="12"/>
  <c r="FGQ15" i="12"/>
  <c r="FGR15" i="12"/>
  <c r="FGS15" i="12"/>
  <c r="FGT15" i="12"/>
  <c r="FGU15" i="12"/>
  <c r="FGV15" i="12"/>
  <c r="FGW15" i="12"/>
  <c r="FGX15" i="12"/>
  <c r="FGY15" i="12"/>
  <c r="FGZ15" i="12"/>
  <c r="FHA15" i="12"/>
  <c r="FHB15" i="12"/>
  <c r="FHC15" i="12"/>
  <c r="FHD15" i="12"/>
  <c r="FHE15" i="12"/>
  <c r="FHF15" i="12"/>
  <c r="FHG15" i="12"/>
  <c r="FHH15" i="12"/>
  <c r="FHI15" i="12"/>
  <c r="FHJ15" i="12"/>
  <c r="FHK15" i="12"/>
  <c r="FHL15" i="12"/>
  <c r="FHM15" i="12"/>
  <c r="FHN15" i="12"/>
  <c r="FHO15" i="12"/>
  <c r="FHP15" i="12"/>
  <c r="FHQ15" i="12"/>
  <c r="FHR15" i="12"/>
  <c r="FHS15" i="12"/>
  <c r="FHT15" i="12"/>
  <c r="FHU15" i="12"/>
  <c r="FHV15" i="12"/>
  <c r="FHW15" i="12"/>
  <c r="FHX15" i="12"/>
  <c r="FHY15" i="12"/>
  <c r="FHZ15" i="12"/>
  <c r="FIA15" i="12"/>
  <c r="FIB15" i="12"/>
  <c r="FIC15" i="12"/>
  <c r="FID15" i="12"/>
  <c r="FIE15" i="12"/>
  <c r="FIF15" i="12"/>
  <c r="FIG15" i="12"/>
  <c r="FIH15" i="12"/>
  <c r="FII15" i="12"/>
  <c r="FIJ15" i="12"/>
  <c r="FIK15" i="12"/>
  <c r="FIL15" i="12"/>
  <c r="FIM15" i="12"/>
  <c r="FIN15" i="12"/>
  <c r="FIO15" i="12"/>
  <c r="FIP15" i="12"/>
  <c r="FIQ15" i="12"/>
  <c r="FIR15" i="12"/>
  <c r="FIS15" i="12"/>
  <c r="FIT15" i="12"/>
  <c r="FIU15" i="12"/>
  <c r="FIV15" i="12"/>
  <c r="FIW15" i="12"/>
  <c r="FIX15" i="12"/>
  <c r="FIY15" i="12"/>
  <c r="FIZ15" i="12"/>
  <c r="FJA15" i="12"/>
  <c r="FJB15" i="12"/>
  <c r="FJC15" i="12"/>
  <c r="FJD15" i="12"/>
  <c r="FJE15" i="12"/>
  <c r="FJF15" i="12"/>
  <c r="FJG15" i="12"/>
  <c r="FJH15" i="12"/>
  <c r="FJI15" i="12"/>
  <c r="FJJ15" i="12"/>
  <c r="FJK15" i="12"/>
  <c r="FJL15" i="12"/>
  <c r="FJM15" i="12"/>
  <c r="FJN15" i="12"/>
  <c r="FJO15" i="12"/>
  <c r="FJP15" i="12"/>
  <c r="FJQ15" i="12"/>
  <c r="FJR15" i="12"/>
  <c r="FJS15" i="12"/>
  <c r="FJT15" i="12"/>
  <c r="FJU15" i="12"/>
  <c r="FJV15" i="12"/>
  <c r="FJW15" i="12"/>
  <c r="FJX15" i="12"/>
  <c r="FJY15" i="12"/>
  <c r="FJZ15" i="12"/>
  <c r="FKA15" i="12"/>
  <c r="FKB15" i="12"/>
  <c r="FKC15" i="12"/>
  <c r="FKD15" i="12"/>
  <c r="FKE15" i="12"/>
  <c r="FKF15" i="12"/>
  <c r="FKG15" i="12"/>
  <c r="FKH15" i="12"/>
  <c r="FKI15" i="12"/>
  <c r="FKJ15" i="12"/>
  <c r="FKK15" i="12"/>
  <c r="FKL15" i="12"/>
  <c r="FKM15" i="12"/>
  <c r="FKN15" i="12"/>
  <c r="FKO15" i="12"/>
  <c r="FKP15" i="12"/>
  <c r="FKQ15" i="12"/>
  <c r="FKR15" i="12"/>
  <c r="FKS15" i="12"/>
  <c r="FKT15" i="12"/>
  <c r="FKU15" i="12"/>
  <c r="FKV15" i="12"/>
  <c r="FKW15" i="12"/>
  <c r="FKX15" i="12"/>
  <c r="FKY15" i="12"/>
  <c r="FKZ15" i="12"/>
  <c r="FLA15" i="12"/>
  <c r="FLB15" i="12"/>
  <c r="FLC15" i="12"/>
  <c r="FLD15" i="12"/>
  <c r="FLE15" i="12"/>
  <c r="FLF15" i="12"/>
  <c r="FLG15" i="12"/>
  <c r="FLH15" i="12"/>
  <c r="FLI15" i="12"/>
  <c r="FLJ15" i="12"/>
  <c r="FLK15" i="12"/>
  <c r="FLL15" i="12"/>
  <c r="FLM15" i="12"/>
  <c r="FLN15" i="12"/>
  <c r="FLO15" i="12"/>
  <c r="FLP15" i="12"/>
  <c r="FLQ15" i="12"/>
  <c r="FLR15" i="12"/>
  <c r="FLS15" i="12"/>
  <c r="FLT15" i="12"/>
  <c r="FLU15" i="12"/>
  <c r="FLV15" i="12"/>
  <c r="FLW15" i="12"/>
  <c r="FLX15" i="12"/>
  <c r="FLY15" i="12"/>
  <c r="FLZ15" i="12"/>
  <c r="FMA15" i="12"/>
  <c r="FMB15" i="12"/>
  <c r="FMC15" i="12"/>
  <c r="FMD15" i="12"/>
  <c r="FME15" i="12"/>
  <c r="FMF15" i="12"/>
  <c r="FMG15" i="12"/>
  <c r="FMH15" i="12"/>
  <c r="FMI15" i="12"/>
  <c r="FMJ15" i="12"/>
  <c r="FMK15" i="12"/>
  <c r="FML15" i="12"/>
  <c r="FMM15" i="12"/>
  <c r="FMN15" i="12"/>
  <c r="FMO15" i="12"/>
  <c r="FMP15" i="12"/>
  <c r="FMQ15" i="12"/>
  <c r="FMR15" i="12"/>
  <c r="FMS15" i="12"/>
  <c r="FMT15" i="12"/>
  <c r="FMU15" i="12"/>
  <c r="FMV15" i="12"/>
  <c r="FMW15" i="12"/>
  <c r="FMX15" i="12"/>
  <c r="FMY15" i="12"/>
  <c r="FMZ15" i="12"/>
  <c r="FNA15" i="12"/>
  <c r="FNB15" i="12"/>
  <c r="FNC15" i="12"/>
  <c r="FND15" i="12"/>
  <c r="FNE15" i="12"/>
  <c r="FNF15" i="12"/>
  <c r="FNG15" i="12"/>
  <c r="FNH15" i="12"/>
  <c r="FNI15" i="12"/>
  <c r="FNJ15" i="12"/>
  <c r="FNK15" i="12"/>
  <c r="FNL15" i="12"/>
  <c r="FNM15" i="12"/>
  <c r="FNN15" i="12"/>
  <c r="FNO15" i="12"/>
  <c r="FNP15" i="12"/>
  <c r="FNQ15" i="12"/>
  <c r="FNR15" i="12"/>
  <c r="FNS15" i="12"/>
  <c r="FNT15" i="12"/>
  <c r="FNU15" i="12"/>
  <c r="FNV15" i="12"/>
  <c r="FNW15" i="12"/>
  <c r="FNX15" i="12"/>
  <c r="FNY15" i="12"/>
  <c r="FNZ15" i="12"/>
  <c r="FOA15" i="12"/>
  <c r="FOB15" i="12"/>
  <c r="FOC15" i="12"/>
  <c r="FOD15" i="12"/>
  <c r="FOE15" i="12"/>
  <c r="FOF15" i="12"/>
  <c r="FOG15" i="12"/>
  <c r="FOH15" i="12"/>
  <c r="FOI15" i="12"/>
  <c r="FOJ15" i="12"/>
  <c r="FOK15" i="12"/>
  <c r="FOL15" i="12"/>
  <c r="FOM15" i="12"/>
  <c r="FON15" i="12"/>
  <c r="FOO15" i="12"/>
  <c r="FOP15" i="12"/>
  <c r="FOQ15" i="12"/>
  <c r="FOR15" i="12"/>
  <c r="FOS15" i="12"/>
  <c r="FOT15" i="12"/>
  <c r="FOU15" i="12"/>
  <c r="FOV15" i="12"/>
  <c r="FOW15" i="12"/>
  <c r="FOX15" i="12"/>
  <c r="FOY15" i="12"/>
  <c r="FOZ15" i="12"/>
  <c r="FPA15" i="12"/>
  <c r="FPB15" i="12"/>
  <c r="FPC15" i="12"/>
  <c r="FPD15" i="12"/>
  <c r="FPE15" i="12"/>
  <c r="FPF15" i="12"/>
  <c r="FPG15" i="12"/>
  <c r="FPH15" i="12"/>
  <c r="FPI15" i="12"/>
  <c r="FPJ15" i="12"/>
  <c r="FPK15" i="12"/>
  <c r="FPL15" i="12"/>
  <c r="FPM15" i="12"/>
  <c r="FPN15" i="12"/>
  <c r="FPO15" i="12"/>
  <c r="FPP15" i="12"/>
  <c r="FPQ15" i="12"/>
  <c r="FPR15" i="12"/>
  <c r="FPS15" i="12"/>
  <c r="FPT15" i="12"/>
  <c r="FPU15" i="12"/>
  <c r="FPV15" i="12"/>
  <c r="FPW15" i="12"/>
  <c r="FPX15" i="12"/>
  <c r="FPY15" i="12"/>
  <c r="FPZ15" i="12"/>
  <c r="FQA15" i="12"/>
  <c r="FQB15" i="12"/>
  <c r="FQC15" i="12"/>
  <c r="FQD15" i="12"/>
  <c r="FQE15" i="12"/>
  <c r="FQF15" i="12"/>
  <c r="FQG15" i="12"/>
  <c r="FQH15" i="12"/>
  <c r="FQI15" i="12"/>
  <c r="FQJ15" i="12"/>
  <c r="FQK15" i="12"/>
  <c r="FQL15" i="12"/>
  <c r="FQM15" i="12"/>
  <c r="FQN15" i="12"/>
  <c r="FQO15" i="12"/>
  <c r="FQP15" i="12"/>
  <c r="FQQ15" i="12"/>
  <c r="FQR15" i="12"/>
  <c r="FQS15" i="12"/>
  <c r="FQT15" i="12"/>
  <c r="FQU15" i="12"/>
  <c r="FQV15" i="12"/>
  <c r="FQW15" i="12"/>
  <c r="FQX15" i="12"/>
  <c r="FQY15" i="12"/>
  <c r="FQZ15" i="12"/>
  <c r="FRA15" i="12"/>
  <c r="FRB15" i="12"/>
  <c r="FRC15" i="12"/>
  <c r="FRD15" i="12"/>
  <c r="FRE15" i="12"/>
  <c r="FRF15" i="12"/>
  <c r="FRG15" i="12"/>
  <c r="FRH15" i="12"/>
  <c r="FRI15" i="12"/>
  <c r="FRJ15" i="12"/>
  <c r="FRK15" i="12"/>
  <c r="FRL15" i="12"/>
  <c r="FRM15" i="12"/>
  <c r="FRN15" i="12"/>
  <c r="FRO15" i="12"/>
  <c r="FRP15" i="12"/>
  <c r="FRQ15" i="12"/>
  <c r="FRR15" i="12"/>
  <c r="FRS15" i="12"/>
  <c r="FRT15" i="12"/>
  <c r="FRU15" i="12"/>
  <c r="FRV15" i="12"/>
  <c r="FRW15" i="12"/>
  <c r="FRX15" i="12"/>
  <c r="FRY15" i="12"/>
  <c r="FRZ15" i="12"/>
  <c r="FSA15" i="12"/>
  <c r="FSB15" i="12"/>
  <c r="FSC15" i="12"/>
  <c r="FSD15" i="12"/>
  <c r="FSE15" i="12"/>
  <c r="FSF15" i="12"/>
  <c r="FSG15" i="12"/>
  <c r="FSH15" i="12"/>
  <c r="FSI15" i="12"/>
  <c r="FSJ15" i="12"/>
  <c r="FSK15" i="12"/>
  <c r="FSL15" i="12"/>
  <c r="FSM15" i="12"/>
  <c r="FSN15" i="12"/>
  <c r="FSO15" i="12"/>
  <c r="FSP15" i="12"/>
  <c r="FSQ15" i="12"/>
  <c r="FSR15" i="12"/>
  <c r="FSS15" i="12"/>
  <c r="FST15" i="12"/>
  <c r="FSU15" i="12"/>
  <c r="FSV15" i="12"/>
  <c r="FSW15" i="12"/>
  <c r="FSX15" i="12"/>
  <c r="FSY15" i="12"/>
  <c r="FSZ15" i="12"/>
  <c r="FTA15" i="12"/>
  <c r="FTB15" i="12"/>
  <c r="FTC15" i="12"/>
  <c r="FTD15" i="12"/>
  <c r="FTE15" i="12"/>
  <c r="FTF15" i="12"/>
  <c r="FTG15" i="12"/>
  <c r="FTH15" i="12"/>
  <c r="FTI15" i="12"/>
  <c r="FTJ15" i="12"/>
  <c r="FTK15" i="12"/>
  <c r="FTL15" i="12"/>
  <c r="FTM15" i="12"/>
  <c r="FTN15" i="12"/>
  <c r="FTO15" i="12"/>
  <c r="FTP15" i="12"/>
  <c r="FTQ15" i="12"/>
  <c r="FTR15" i="12"/>
  <c r="FTS15" i="12"/>
  <c r="FTT15" i="12"/>
  <c r="FTU15" i="12"/>
  <c r="FTV15" i="12"/>
  <c r="FTW15" i="12"/>
  <c r="FTX15" i="12"/>
  <c r="FTY15" i="12"/>
  <c r="FTZ15" i="12"/>
  <c r="FUA15" i="12"/>
  <c r="FUB15" i="12"/>
  <c r="FUC15" i="12"/>
  <c r="FUD15" i="12"/>
  <c r="FUE15" i="12"/>
  <c r="FUF15" i="12"/>
  <c r="FUG15" i="12"/>
  <c r="FUH15" i="12"/>
  <c r="FUI15" i="12"/>
  <c r="FUJ15" i="12"/>
  <c r="FUK15" i="12"/>
  <c r="FUL15" i="12"/>
  <c r="FUM15" i="12"/>
  <c r="FUN15" i="12"/>
  <c r="FUO15" i="12"/>
  <c r="FUP15" i="12"/>
  <c r="FUQ15" i="12"/>
  <c r="FUR15" i="12"/>
  <c r="FUS15" i="12"/>
  <c r="FUT15" i="12"/>
  <c r="FUU15" i="12"/>
  <c r="FUV15" i="12"/>
  <c r="FUW15" i="12"/>
  <c r="FUX15" i="12"/>
  <c r="FUY15" i="12"/>
  <c r="FUZ15" i="12"/>
  <c r="FVA15" i="12"/>
  <c r="FVB15" i="12"/>
  <c r="FVC15" i="12"/>
  <c r="FVD15" i="12"/>
  <c r="FVE15" i="12"/>
  <c r="FVF15" i="12"/>
  <c r="FVG15" i="12"/>
  <c r="FVH15" i="12"/>
  <c r="FVI15" i="12"/>
  <c r="FVJ15" i="12"/>
  <c r="FVK15" i="12"/>
  <c r="FVL15" i="12"/>
  <c r="FVM15" i="12"/>
  <c r="FVN15" i="12"/>
  <c r="FVO15" i="12"/>
  <c r="FVP15" i="12"/>
  <c r="FVQ15" i="12"/>
  <c r="FVR15" i="12"/>
  <c r="FVS15" i="12"/>
  <c r="FVT15" i="12"/>
  <c r="FVU15" i="12"/>
  <c r="FVV15" i="12"/>
  <c r="FVW15" i="12"/>
  <c r="FVX15" i="12"/>
  <c r="FVY15" i="12"/>
  <c r="FVZ15" i="12"/>
  <c r="FWA15" i="12"/>
  <c r="FWB15" i="12"/>
  <c r="FWC15" i="12"/>
  <c r="FWD15" i="12"/>
  <c r="FWE15" i="12"/>
  <c r="FWF15" i="12"/>
  <c r="FWG15" i="12"/>
  <c r="FWH15" i="12"/>
  <c r="FWI15" i="12"/>
  <c r="FWJ15" i="12"/>
  <c r="FWK15" i="12"/>
  <c r="FWL15" i="12"/>
  <c r="FWM15" i="12"/>
  <c r="FWN15" i="12"/>
  <c r="FWO15" i="12"/>
  <c r="FWP15" i="12"/>
  <c r="FWQ15" i="12"/>
  <c r="FWR15" i="12"/>
  <c r="FWS15" i="12"/>
  <c r="FWT15" i="12"/>
  <c r="FWU15" i="12"/>
  <c r="FWV15" i="12"/>
  <c r="FWW15" i="12"/>
  <c r="FWX15" i="12"/>
  <c r="FWY15" i="12"/>
  <c r="FWZ15" i="12"/>
  <c r="FXA15" i="12"/>
  <c r="FXB15" i="12"/>
  <c r="FXC15" i="12"/>
  <c r="FXD15" i="12"/>
  <c r="FXE15" i="12"/>
  <c r="FXF15" i="12"/>
  <c r="FXG15" i="12"/>
  <c r="FXH15" i="12"/>
  <c r="FXI15" i="12"/>
  <c r="FXJ15" i="12"/>
  <c r="FXK15" i="12"/>
  <c r="FXL15" i="12"/>
  <c r="FXM15" i="12"/>
  <c r="FXN15" i="12"/>
  <c r="FXO15" i="12"/>
  <c r="FXP15" i="12"/>
  <c r="FXQ15" i="12"/>
  <c r="FXR15" i="12"/>
  <c r="FXS15" i="12"/>
  <c r="FXT15" i="12"/>
  <c r="FXU15" i="12"/>
  <c r="FXV15" i="12"/>
  <c r="FXW15" i="12"/>
  <c r="FXX15" i="12"/>
  <c r="FXY15" i="12"/>
  <c r="FXZ15" i="12"/>
  <c r="FYA15" i="12"/>
  <c r="FYB15" i="12"/>
  <c r="FYC15" i="12"/>
  <c r="FYD15" i="12"/>
  <c r="FYE15" i="12"/>
  <c r="FYF15" i="12"/>
  <c r="FYG15" i="12"/>
  <c r="FYH15" i="12"/>
  <c r="FYI15" i="12"/>
  <c r="FYJ15" i="12"/>
  <c r="FYK15" i="12"/>
  <c r="FYL15" i="12"/>
  <c r="FYM15" i="12"/>
  <c r="FYN15" i="12"/>
  <c r="FYO15" i="12"/>
  <c r="FYP15" i="12"/>
  <c r="FYQ15" i="12"/>
  <c r="FYR15" i="12"/>
  <c r="FYS15" i="12"/>
  <c r="FYT15" i="12"/>
  <c r="FYU15" i="12"/>
  <c r="FYV15" i="12"/>
  <c r="FYW15" i="12"/>
  <c r="FYX15" i="12"/>
  <c r="FYY15" i="12"/>
  <c r="FYZ15" i="12"/>
  <c r="FZA15" i="12"/>
  <c r="FZB15" i="12"/>
  <c r="FZC15" i="12"/>
  <c r="FZD15" i="12"/>
  <c r="FZE15" i="12"/>
  <c r="FZF15" i="12"/>
  <c r="FZG15" i="12"/>
  <c r="FZH15" i="12"/>
  <c r="FZI15" i="12"/>
  <c r="FZJ15" i="12"/>
  <c r="FZK15" i="12"/>
  <c r="FZL15" i="12"/>
  <c r="FZM15" i="12"/>
  <c r="FZN15" i="12"/>
  <c r="FZO15" i="12"/>
  <c r="FZP15" i="12"/>
  <c r="FZQ15" i="12"/>
  <c r="FZR15" i="12"/>
  <c r="FZS15" i="12"/>
  <c r="FZT15" i="12"/>
  <c r="FZU15" i="12"/>
  <c r="FZV15" i="12"/>
  <c r="FZW15" i="12"/>
  <c r="FZX15" i="12"/>
  <c r="FZY15" i="12"/>
  <c r="FZZ15" i="12"/>
  <c r="GAA15" i="12"/>
  <c r="GAB15" i="12"/>
  <c r="GAC15" i="12"/>
  <c r="GAD15" i="12"/>
  <c r="GAE15" i="12"/>
  <c r="GAF15" i="12"/>
  <c r="GAG15" i="12"/>
  <c r="GAH15" i="12"/>
  <c r="GAI15" i="12"/>
  <c r="GAJ15" i="12"/>
  <c r="GAK15" i="12"/>
  <c r="GAL15" i="12"/>
  <c r="GAM15" i="12"/>
  <c r="GAN15" i="12"/>
  <c r="GAO15" i="12"/>
  <c r="GAP15" i="12"/>
  <c r="GAQ15" i="12"/>
  <c r="GAR15" i="12"/>
  <c r="GAS15" i="12"/>
  <c r="GAT15" i="12"/>
  <c r="GAU15" i="12"/>
  <c r="GAV15" i="12"/>
  <c r="GAW15" i="12"/>
  <c r="GAX15" i="12"/>
  <c r="GAY15" i="12"/>
  <c r="GAZ15" i="12"/>
  <c r="GBA15" i="12"/>
  <c r="GBB15" i="12"/>
  <c r="GBC15" i="12"/>
  <c r="GBD15" i="12"/>
  <c r="GBE15" i="12"/>
  <c r="GBF15" i="12"/>
  <c r="GBG15" i="12"/>
  <c r="GBH15" i="12"/>
  <c r="GBI15" i="12"/>
  <c r="GBJ15" i="12"/>
  <c r="GBK15" i="12"/>
  <c r="GBL15" i="12"/>
  <c r="GBM15" i="12"/>
  <c r="GBN15" i="12"/>
  <c r="GBO15" i="12"/>
  <c r="GBP15" i="12"/>
  <c r="GBQ15" i="12"/>
  <c r="GBR15" i="12"/>
  <c r="GBS15" i="12"/>
  <c r="GBT15" i="12"/>
  <c r="GBU15" i="12"/>
  <c r="GBV15" i="12"/>
  <c r="GBW15" i="12"/>
  <c r="GBX15" i="12"/>
  <c r="GBY15" i="12"/>
  <c r="GBZ15" i="12"/>
  <c r="GCA15" i="12"/>
  <c r="GCB15" i="12"/>
  <c r="GCC15" i="12"/>
  <c r="GCD15" i="12"/>
  <c r="GCE15" i="12"/>
  <c r="GCF15" i="12"/>
  <c r="GCG15" i="12"/>
  <c r="GCH15" i="12"/>
  <c r="GCI15" i="12"/>
  <c r="GCJ15" i="12"/>
  <c r="GCK15" i="12"/>
  <c r="GCL15" i="12"/>
  <c r="GCM15" i="12"/>
  <c r="GCN15" i="12"/>
  <c r="GCO15" i="12"/>
  <c r="GCP15" i="12"/>
  <c r="GCQ15" i="12"/>
  <c r="GCR15" i="12"/>
  <c r="GCS15" i="12"/>
  <c r="GCT15" i="12"/>
  <c r="GCU15" i="12"/>
  <c r="GCV15" i="12"/>
  <c r="GCW15" i="12"/>
  <c r="GCX15" i="12"/>
  <c r="GCY15" i="12"/>
  <c r="GCZ15" i="12"/>
  <c r="GDA15" i="12"/>
  <c r="GDB15" i="12"/>
  <c r="GDC15" i="12"/>
  <c r="GDD15" i="12"/>
  <c r="GDE15" i="12"/>
  <c r="GDF15" i="12"/>
  <c r="GDG15" i="12"/>
  <c r="GDH15" i="12"/>
  <c r="GDI15" i="12"/>
  <c r="GDJ15" i="12"/>
  <c r="GDK15" i="12"/>
  <c r="GDL15" i="12"/>
  <c r="GDM15" i="12"/>
  <c r="GDN15" i="12"/>
  <c r="GDO15" i="12"/>
  <c r="GDP15" i="12"/>
  <c r="GDQ15" i="12"/>
  <c r="GDR15" i="12"/>
  <c r="GDS15" i="12"/>
  <c r="GDT15" i="12"/>
  <c r="GDU15" i="12"/>
  <c r="GDV15" i="12"/>
  <c r="GDW15" i="12"/>
  <c r="GDX15" i="12"/>
  <c r="GDY15" i="12"/>
  <c r="GDZ15" i="12"/>
  <c r="GEA15" i="12"/>
  <c r="GEB15" i="12"/>
  <c r="GEC15" i="12"/>
  <c r="GED15" i="12"/>
  <c r="GEE15" i="12"/>
  <c r="GEF15" i="12"/>
  <c r="GEG15" i="12"/>
  <c r="GEH15" i="12"/>
  <c r="GEI15" i="12"/>
  <c r="GEJ15" i="12"/>
  <c r="GEK15" i="12"/>
  <c r="GEL15" i="12"/>
  <c r="GEM15" i="12"/>
  <c r="GEN15" i="12"/>
  <c r="GEO15" i="12"/>
  <c r="GEP15" i="12"/>
  <c r="GEQ15" i="12"/>
  <c r="GER15" i="12"/>
  <c r="GES15" i="12"/>
  <c r="GET15" i="12"/>
  <c r="GEU15" i="12"/>
  <c r="GEV15" i="12"/>
  <c r="GEW15" i="12"/>
  <c r="GEX15" i="12"/>
  <c r="GEY15" i="12"/>
  <c r="GEZ15" i="12"/>
  <c r="GFA15" i="12"/>
  <c r="GFB15" i="12"/>
  <c r="GFC15" i="12"/>
  <c r="GFD15" i="12"/>
  <c r="GFE15" i="12"/>
  <c r="GFF15" i="12"/>
  <c r="GFG15" i="12"/>
  <c r="GFH15" i="12"/>
  <c r="GFI15" i="12"/>
  <c r="GFJ15" i="12"/>
  <c r="GFK15" i="12"/>
  <c r="GFL15" i="12"/>
  <c r="GFM15" i="12"/>
  <c r="GFN15" i="12"/>
  <c r="GFO15" i="12"/>
  <c r="GFP15" i="12"/>
  <c r="GFQ15" i="12"/>
  <c r="GFR15" i="12"/>
  <c r="GFS15" i="12"/>
  <c r="GFT15" i="12"/>
  <c r="GFU15" i="12"/>
  <c r="GFV15" i="12"/>
  <c r="GFW15" i="12"/>
  <c r="GFX15" i="12"/>
  <c r="GFY15" i="12"/>
  <c r="GFZ15" i="12"/>
  <c r="GGA15" i="12"/>
  <c r="GGB15" i="12"/>
  <c r="GGC15" i="12"/>
  <c r="GGD15" i="12"/>
  <c r="GGE15" i="12"/>
  <c r="GGF15" i="12"/>
  <c r="GGG15" i="12"/>
  <c r="GGH15" i="12"/>
  <c r="GGI15" i="12"/>
  <c r="GGJ15" i="12"/>
  <c r="GGK15" i="12"/>
  <c r="GGL15" i="12"/>
  <c r="GGM15" i="12"/>
  <c r="GGN15" i="12"/>
  <c r="GGO15" i="12"/>
  <c r="GGP15" i="12"/>
  <c r="GGQ15" i="12"/>
  <c r="GGR15" i="12"/>
  <c r="GGS15" i="12"/>
  <c r="GGT15" i="12"/>
  <c r="GGU15" i="12"/>
  <c r="GGV15" i="12"/>
  <c r="GGW15" i="12"/>
  <c r="GGX15" i="12"/>
  <c r="GGY15" i="12"/>
  <c r="GGZ15" i="12"/>
  <c r="GHA15" i="12"/>
  <c r="GHB15" i="12"/>
  <c r="GHC15" i="12"/>
  <c r="GHD15" i="12"/>
  <c r="GHE15" i="12"/>
  <c r="GHF15" i="12"/>
  <c r="GHG15" i="12"/>
  <c r="GHH15" i="12"/>
  <c r="GHI15" i="12"/>
  <c r="GHJ15" i="12"/>
  <c r="GHK15" i="12"/>
  <c r="GHL15" i="12"/>
  <c r="GHM15" i="12"/>
  <c r="GHN15" i="12"/>
  <c r="GHO15" i="12"/>
  <c r="GHP15" i="12"/>
  <c r="GHQ15" i="12"/>
  <c r="GHR15" i="12"/>
  <c r="GHS15" i="12"/>
  <c r="GHT15" i="12"/>
  <c r="GHU15" i="12"/>
  <c r="GHV15" i="12"/>
  <c r="GHW15" i="12"/>
  <c r="GHX15" i="12"/>
  <c r="GHY15" i="12"/>
  <c r="GHZ15" i="12"/>
  <c r="GIA15" i="12"/>
  <c r="GIB15" i="12"/>
  <c r="GIC15" i="12"/>
  <c r="GID15" i="12"/>
  <c r="GIE15" i="12"/>
  <c r="GIF15" i="12"/>
  <c r="GIG15" i="12"/>
  <c r="GIH15" i="12"/>
  <c r="GII15" i="12"/>
  <c r="GIJ15" i="12"/>
  <c r="GIK15" i="12"/>
  <c r="GIL15" i="12"/>
  <c r="GIM15" i="12"/>
  <c r="GIN15" i="12"/>
  <c r="GIO15" i="12"/>
  <c r="GIP15" i="12"/>
  <c r="GIQ15" i="12"/>
  <c r="GIR15" i="12"/>
  <c r="GIS15" i="12"/>
  <c r="GIT15" i="12"/>
  <c r="GIU15" i="12"/>
  <c r="GIV15" i="12"/>
  <c r="GIW15" i="12"/>
  <c r="GIX15" i="12"/>
  <c r="GIY15" i="12"/>
  <c r="GIZ15" i="12"/>
  <c r="GJA15" i="12"/>
  <c r="GJB15" i="12"/>
  <c r="GJC15" i="12"/>
  <c r="GJD15" i="12"/>
  <c r="GJE15" i="12"/>
  <c r="GJF15" i="12"/>
  <c r="GJG15" i="12"/>
  <c r="GJH15" i="12"/>
  <c r="GJI15" i="12"/>
  <c r="GJJ15" i="12"/>
  <c r="GJK15" i="12"/>
  <c r="GJL15" i="12"/>
  <c r="GJM15" i="12"/>
  <c r="GJN15" i="12"/>
  <c r="GJO15" i="12"/>
  <c r="GJP15" i="12"/>
  <c r="GJQ15" i="12"/>
  <c r="GJR15" i="12"/>
  <c r="GJS15" i="12"/>
  <c r="GJT15" i="12"/>
  <c r="GJU15" i="12"/>
  <c r="GJV15" i="12"/>
  <c r="GJW15" i="12"/>
  <c r="GJX15" i="12"/>
  <c r="GJY15" i="12"/>
  <c r="GJZ15" i="12"/>
  <c r="GKA15" i="12"/>
  <c r="GKB15" i="12"/>
  <c r="GKC15" i="12"/>
  <c r="GKD15" i="12"/>
  <c r="GKE15" i="12"/>
  <c r="GKF15" i="12"/>
  <c r="GKG15" i="12"/>
  <c r="GKH15" i="12"/>
  <c r="GKI15" i="12"/>
  <c r="GKJ15" i="12"/>
  <c r="GKK15" i="12"/>
  <c r="GKL15" i="12"/>
  <c r="GKM15" i="12"/>
  <c r="GKN15" i="12"/>
  <c r="GKO15" i="12"/>
  <c r="GKP15" i="12"/>
  <c r="GKQ15" i="12"/>
  <c r="GKR15" i="12"/>
  <c r="GKS15" i="12"/>
  <c r="GKT15" i="12"/>
  <c r="GKU15" i="12"/>
  <c r="GKV15" i="12"/>
  <c r="GKW15" i="12"/>
  <c r="GKX15" i="12"/>
  <c r="GKY15" i="12"/>
  <c r="GKZ15" i="12"/>
  <c r="GLA15" i="12"/>
  <c r="GLB15" i="12"/>
  <c r="GLC15" i="12"/>
  <c r="GLD15" i="12"/>
  <c r="GLE15" i="12"/>
  <c r="GLF15" i="12"/>
  <c r="GLG15" i="12"/>
  <c r="GLH15" i="12"/>
  <c r="GLI15" i="12"/>
  <c r="GLJ15" i="12"/>
  <c r="GLK15" i="12"/>
  <c r="GLL15" i="12"/>
  <c r="GLM15" i="12"/>
  <c r="GLN15" i="12"/>
  <c r="GLO15" i="12"/>
  <c r="GLP15" i="12"/>
  <c r="GLQ15" i="12"/>
  <c r="GLR15" i="12"/>
  <c r="GLS15" i="12"/>
  <c r="GLT15" i="12"/>
  <c r="GLU15" i="12"/>
  <c r="GLV15" i="12"/>
  <c r="GLW15" i="12"/>
  <c r="GLX15" i="12"/>
  <c r="GLY15" i="12"/>
  <c r="GLZ15" i="12"/>
  <c r="GMA15" i="12"/>
  <c r="GMB15" i="12"/>
  <c r="GMC15" i="12"/>
  <c r="GMD15" i="12"/>
  <c r="GME15" i="12"/>
  <c r="GMF15" i="12"/>
  <c r="GMG15" i="12"/>
  <c r="GMH15" i="12"/>
  <c r="GMI15" i="12"/>
  <c r="GMJ15" i="12"/>
  <c r="GMK15" i="12"/>
  <c r="GML15" i="12"/>
  <c r="GMM15" i="12"/>
  <c r="GMN15" i="12"/>
  <c r="GMO15" i="12"/>
  <c r="GMP15" i="12"/>
  <c r="GMQ15" i="12"/>
  <c r="GMR15" i="12"/>
  <c r="GMS15" i="12"/>
  <c r="GMT15" i="12"/>
  <c r="GMU15" i="12"/>
  <c r="GMV15" i="12"/>
  <c r="GMW15" i="12"/>
  <c r="GMX15" i="12"/>
  <c r="GMY15" i="12"/>
  <c r="GMZ15" i="12"/>
  <c r="GNA15" i="12"/>
  <c r="GNB15" i="12"/>
  <c r="GNC15" i="12"/>
  <c r="GND15" i="12"/>
  <c r="GNE15" i="12"/>
  <c r="GNF15" i="12"/>
  <c r="GNG15" i="12"/>
  <c r="GNH15" i="12"/>
  <c r="GNI15" i="12"/>
  <c r="GNJ15" i="12"/>
  <c r="GNK15" i="12"/>
  <c r="GNL15" i="12"/>
  <c r="GNM15" i="12"/>
  <c r="GNN15" i="12"/>
  <c r="GNO15" i="12"/>
  <c r="GNP15" i="12"/>
  <c r="GNQ15" i="12"/>
  <c r="GNR15" i="12"/>
  <c r="GNS15" i="12"/>
  <c r="GNT15" i="12"/>
  <c r="GNU15" i="12"/>
  <c r="GNV15" i="12"/>
  <c r="GNW15" i="12"/>
  <c r="GNX15" i="12"/>
  <c r="GNY15" i="12"/>
  <c r="GNZ15" i="12"/>
  <c r="GOA15" i="12"/>
  <c r="GOB15" i="12"/>
  <c r="GOC15" i="12"/>
  <c r="GOD15" i="12"/>
  <c r="GOE15" i="12"/>
  <c r="GOF15" i="12"/>
  <c r="GOG15" i="12"/>
  <c r="GOH15" i="12"/>
  <c r="GOI15" i="12"/>
  <c r="GOJ15" i="12"/>
  <c r="GOK15" i="12"/>
  <c r="GOL15" i="12"/>
  <c r="GOM15" i="12"/>
  <c r="GON15" i="12"/>
  <c r="GOO15" i="12"/>
  <c r="GOP15" i="12"/>
  <c r="GOQ15" i="12"/>
  <c r="GOR15" i="12"/>
  <c r="GOS15" i="12"/>
  <c r="GOT15" i="12"/>
  <c r="GOU15" i="12"/>
  <c r="GOV15" i="12"/>
  <c r="GOW15" i="12"/>
  <c r="GOX15" i="12"/>
  <c r="GOY15" i="12"/>
  <c r="GOZ15" i="12"/>
  <c r="GPA15" i="12"/>
  <c r="GPB15" i="12"/>
  <c r="GPC15" i="12"/>
  <c r="GPD15" i="12"/>
  <c r="GPE15" i="12"/>
  <c r="GPF15" i="12"/>
  <c r="GPG15" i="12"/>
  <c r="GPH15" i="12"/>
  <c r="GPI15" i="12"/>
  <c r="GPJ15" i="12"/>
  <c r="GPK15" i="12"/>
  <c r="GPL15" i="12"/>
  <c r="GPM15" i="12"/>
  <c r="GPN15" i="12"/>
  <c r="GPO15" i="12"/>
  <c r="GPP15" i="12"/>
  <c r="GPQ15" i="12"/>
  <c r="GPR15" i="12"/>
  <c r="GPS15" i="12"/>
  <c r="GPT15" i="12"/>
  <c r="GPU15" i="12"/>
  <c r="GPV15" i="12"/>
  <c r="GPW15" i="12"/>
  <c r="GPX15" i="12"/>
  <c r="GPY15" i="12"/>
  <c r="GPZ15" i="12"/>
  <c r="GQA15" i="12"/>
  <c r="GQB15" i="12"/>
  <c r="GQC15" i="12"/>
  <c r="GQD15" i="12"/>
  <c r="GQE15" i="12"/>
  <c r="GQF15" i="12"/>
  <c r="GQG15" i="12"/>
  <c r="GQH15" i="12"/>
  <c r="GQI15" i="12"/>
  <c r="GQJ15" i="12"/>
  <c r="GQK15" i="12"/>
  <c r="GQL15" i="12"/>
  <c r="GQM15" i="12"/>
  <c r="GQN15" i="12"/>
  <c r="GQO15" i="12"/>
  <c r="GQP15" i="12"/>
  <c r="GQQ15" i="12"/>
  <c r="GQR15" i="12"/>
  <c r="GQS15" i="12"/>
  <c r="GQT15" i="12"/>
  <c r="GQU15" i="12"/>
  <c r="GQV15" i="12"/>
  <c r="GQW15" i="12"/>
  <c r="GQX15" i="12"/>
  <c r="GQY15" i="12"/>
  <c r="GQZ15" i="12"/>
  <c r="GRA15" i="12"/>
  <c r="GRB15" i="12"/>
  <c r="GRC15" i="12"/>
  <c r="GRD15" i="12"/>
  <c r="GRE15" i="12"/>
  <c r="GRF15" i="12"/>
  <c r="GRG15" i="12"/>
  <c r="GRH15" i="12"/>
  <c r="GRI15" i="12"/>
  <c r="GRJ15" i="12"/>
  <c r="GRK15" i="12"/>
  <c r="GRL15" i="12"/>
  <c r="GRM15" i="12"/>
  <c r="GRN15" i="12"/>
  <c r="GRO15" i="12"/>
  <c r="GRP15" i="12"/>
  <c r="GRQ15" i="12"/>
  <c r="GRR15" i="12"/>
  <c r="GRS15" i="12"/>
  <c r="GRT15" i="12"/>
  <c r="GRU15" i="12"/>
  <c r="GRV15" i="12"/>
  <c r="GRW15" i="12"/>
  <c r="GRX15" i="12"/>
  <c r="GRY15" i="12"/>
  <c r="GRZ15" i="12"/>
  <c r="GSA15" i="12"/>
  <c r="GSB15" i="12"/>
  <c r="GSC15" i="12"/>
  <c r="GSD15" i="12"/>
  <c r="GSE15" i="12"/>
  <c r="GSF15" i="12"/>
  <c r="GSG15" i="12"/>
  <c r="GSH15" i="12"/>
  <c r="GSI15" i="12"/>
  <c r="GSJ15" i="12"/>
  <c r="GSK15" i="12"/>
  <c r="GSL15" i="12"/>
  <c r="GSM15" i="12"/>
  <c r="GSN15" i="12"/>
  <c r="GSO15" i="12"/>
  <c r="GSP15" i="12"/>
  <c r="GSQ15" i="12"/>
  <c r="GSR15" i="12"/>
  <c r="GSS15" i="12"/>
  <c r="GST15" i="12"/>
  <c r="GSU15" i="12"/>
  <c r="GSV15" i="12"/>
  <c r="GSW15" i="12"/>
  <c r="GSX15" i="12"/>
  <c r="GSY15" i="12"/>
  <c r="GSZ15" i="12"/>
  <c r="GTA15" i="12"/>
  <c r="GTB15" i="12"/>
  <c r="GTC15" i="12"/>
  <c r="GTD15" i="12"/>
  <c r="GTE15" i="12"/>
  <c r="GTF15" i="12"/>
  <c r="GTG15" i="12"/>
  <c r="GTH15" i="12"/>
  <c r="GTI15" i="12"/>
  <c r="GTJ15" i="12"/>
  <c r="GTK15" i="12"/>
  <c r="GTL15" i="12"/>
  <c r="GTM15" i="12"/>
  <c r="GTN15" i="12"/>
  <c r="GTO15" i="12"/>
  <c r="GTP15" i="12"/>
  <c r="GTQ15" i="12"/>
  <c r="GTR15" i="12"/>
  <c r="GTS15" i="12"/>
  <c r="GTT15" i="12"/>
  <c r="GTU15" i="12"/>
  <c r="GTV15" i="12"/>
  <c r="GTW15" i="12"/>
  <c r="GTX15" i="12"/>
  <c r="GTY15" i="12"/>
  <c r="GTZ15" i="12"/>
  <c r="GUA15" i="12"/>
  <c r="GUB15" i="12"/>
  <c r="GUC15" i="12"/>
  <c r="GUD15" i="12"/>
  <c r="GUE15" i="12"/>
  <c r="GUF15" i="12"/>
  <c r="GUG15" i="12"/>
  <c r="GUH15" i="12"/>
  <c r="GUI15" i="12"/>
  <c r="GUJ15" i="12"/>
  <c r="GUK15" i="12"/>
  <c r="GUL15" i="12"/>
  <c r="GUM15" i="12"/>
  <c r="GUN15" i="12"/>
  <c r="GUO15" i="12"/>
  <c r="GUP15" i="12"/>
  <c r="GUQ15" i="12"/>
  <c r="GUR15" i="12"/>
  <c r="GUS15" i="12"/>
  <c r="GUT15" i="12"/>
  <c r="GUU15" i="12"/>
  <c r="GUV15" i="12"/>
  <c r="GUW15" i="12"/>
  <c r="GUX15" i="12"/>
  <c r="GUY15" i="12"/>
  <c r="GUZ15" i="12"/>
  <c r="GVA15" i="12"/>
  <c r="GVB15" i="12"/>
  <c r="GVC15" i="12"/>
  <c r="GVD15" i="12"/>
  <c r="GVE15" i="12"/>
  <c r="GVF15" i="12"/>
  <c r="GVG15" i="12"/>
  <c r="GVH15" i="12"/>
  <c r="GVI15" i="12"/>
  <c r="GVJ15" i="12"/>
  <c r="GVK15" i="12"/>
  <c r="GVL15" i="12"/>
  <c r="GVM15" i="12"/>
  <c r="GVN15" i="12"/>
  <c r="GVO15" i="12"/>
  <c r="GVP15" i="12"/>
  <c r="GVQ15" i="12"/>
  <c r="GVR15" i="12"/>
  <c r="GVS15" i="12"/>
  <c r="GVT15" i="12"/>
  <c r="GVU15" i="12"/>
  <c r="GVV15" i="12"/>
  <c r="GVW15" i="12"/>
  <c r="GVX15" i="12"/>
  <c r="GVY15" i="12"/>
  <c r="GVZ15" i="12"/>
  <c r="GWA15" i="12"/>
  <c r="GWB15" i="12"/>
  <c r="GWC15" i="12"/>
  <c r="GWD15" i="12"/>
  <c r="GWE15" i="12"/>
  <c r="GWF15" i="12"/>
  <c r="GWG15" i="12"/>
  <c r="GWH15" i="12"/>
  <c r="GWI15" i="12"/>
  <c r="GWJ15" i="12"/>
  <c r="GWK15" i="12"/>
  <c r="GWL15" i="12"/>
  <c r="GWM15" i="12"/>
  <c r="GWN15" i="12"/>
  <c r="GWO15" i="12"/>
  <c r="GWP15" i="12"/>
  <c r="GWQ15" i="12"/>
  <c r="GWR15" i="12"/>
  <c r="GWS15" i="12"/>
  <c r="GWT15" i="12"/>
  <c r="GWU15" i="12"/>
  <c r="GWV15" i="12"/>
  <c r="GWW15" i="12"/>
  <c r="GWX15" i="12"/>
  <c r="GWY15" i="12"/>
  <c r="GWZ15" i="12"/>
  <c r="GXA15" i="12"/>
  <c r="GXB15" i="12"/>
  <c r="GXC15" i="12"/>
  <c r="GXD15" i="12"/>
  <c r="GXE15" i="12"/>
  <c r="GXF15" i="12"/>
  <c r="GXG15" i="12"/>
  <c r="GXH15" i="12"/>
  <c r="GXI15" i="12"/>
  <c r="GXJ15" i="12"/>
  <c r="GXK15" i="12"/>
  <c r="GXL15" i="12"/>
  <c r="GXM15" i="12"/>
  <c r="GXN15" i="12"/>
  <c r="GXO15" i="12"/>
  <c r="GXP15" i="12"/>
  <c r="GXQ15" i="12"/>
  <c r="GXR15" i="12"/>
  <c r="GXS15" i="12"/>
  <c r="GXT15" i="12"/>
  <c r="GXU15" i="12"/>
  <c r="GXV15" i="12"/>
  <c r="GXW15" i="12"/>
  <c r="GXX15" i="12"/>
  <c r="GXY15" i="12"/>
  <c r="GXZ15" i="12"/>
  <c r="GYA15" i="12"/>
  <c r="GYB15" i="12"/>
  <c r="GYC15" i="12"/>
  <c r="GYD15" i="12"/>
  <c r="GYE15" i="12"/>
  <c r="GYF15" i="12"/>
  <c r="GYG15" i="12"/>
  <c r="GYH15" i="12"/>
  <c r="GYI15" i="12"/>
  <c r="GYJ15" i="12"/>
  <c r="GYK15" i="12"/>
  <c r="GYL15" i="12"/>
  <c r="GYM15" i="12"/>
  <c r="GYN15" i="12"/>
  <c r="GYO15" i="12"/>
  <c r="GYP15" i="12"/>
  <c r="GYQ15" i="12"/>
  <c r="GYR15" i="12"/>
  <c r="GYS15" i="12"/>
  <c r="GYT15" i="12"/>
  <c r="GYU15" i="12"/>
  <c r="GYV15" i="12"/>
  <c r="GYW15" i="12"/>
  <c r="GYX15" i="12"/>
  <c r="GYY15" i="12"/>
  <c r="GYZ15" i="12"/>
  <c r="GZA15" i="12"/>
  <c r="GZB15" i="12"/>
  <c r="GZC15" i="12"/>
  <c r="GZD15" i="12"/>
  <c r="GZE15" i="12"/>
  <c r="GZF15" i="12"/>
  <c r="GZG15" i="12"/>
  <c r="GZH15" i="12"/>
  <c r="GZI15" i="12"/>
  <c r="GZJ15" i="12"/>
  <c r="GZK15" i="12"/>
  <c r="GZL15" i="12"/>
  <c r="GZM15" i="12"/>
  <c r="GZN15" i="12"/>
  <c r="GZO15" i="12"/>
  <c r="GZP15" i="12"/>
  <c r="GZQ15" i="12"/>
  <c r="GZR15" i="12"/>
  <c r="GZS15" i="12"/>
  <c r="GZT15" i="12"/>
  <c r="GZU15" i="12"/>
  <c r="GZV15" i="12"/>
  <c r="GZW15" i="12"/>
  <c r="GZX15" i="12"/>
  <c r="GZY15" i="12"/>
  <c r="GZZ15" i="12"/>
  <c r="HAA15" i="12"/>
  <c r="HAB15" i="12"/>
  <c r="HAC15" i="12"/>
  <c r="HAD15" i="12"/>
  <c r="HAE15" i="12"/>
  <c r="HAF15" i="12"/>
  <c r="HAG15" i="12"/>
  <c r="HAH15" i="12"/>
  <c r="HAI15" i="12"/>
  <c r="HAJ15" i="12"/>
  <c r="HAK15" i="12"/>
  <c r="HAL15" i="12"/>
  <c r="HAM15" i="12"/>
  <c r="HAN15" i="12"/>
  <c r="HAO15" i="12"/>
  <c r="HAP15" i="12"/>
  <c r="HAQ15" i="12"/>
  <c r="HAR15" i="12"/>
  <c r="HAS15" i="12"/>
  <c r="HAT15" i="12"/>
  <c r="HAU15" i="12"/>
  <c r="HAV15" i="12"/>
  <c r="HAW15" i="12"/>
  <c r="HAX15" i="12"/>
  <c r="HAY15" i="12"/>
  <c r="HAZ15" i="12"/>
  <c r="HBA15" i="12"/>
  <c r="HBB15" i="12"/>
  <c r="HBC15" i="12"/>
  <c r="HBD15" i="12"/>
  <c r="HBE15" i="12"/>
  <c r="HBF15" i="12"/>
  <c r="HBG15" i="12"/>
  <c r="HBH15" i="12"/>
  <c r="HBI15" i="12"/>
  <c r="HBJ15" i="12"/>
  <c r="HBK15" i="12"/>
  <c r="HBL15" i="12"/>
  <c r="HBM15" i="12"/>
  <c r="HBN15" i="12"/>
  <c r="HBO15" i="12"/>
  <c r="HBP15" i="12"/>
  <c r="HBQ15" i="12"/>
  <c r="HBR15" i="12"/>
  <c r="HBS15" i="12"/>
  <c r="HBT15" i="12"/>
  <c r="HBU15" i="12"/>
  <c r="HBV15" i="12"/>
  <c r="HBW15" i="12"/>
  <c r="HBX15" i="12"/>
  <c r="HBY15" i="12"/>
  <c r="HBZ15" i="12"/>
  <c r="HCA15" i="12"/>
  <c r="HCB15" i="12"/>
  <c r="HCC15" i="12"/>
  <c r="HCD15" i="12"/>
  <c r="HCE15" i="12"/>
  <c r="HCF15" i="12"/>
  <c r="HCG15" i="12"/>
  <c r="HCH15" i="12"/>
  <c r="HCI15" i="12"/>
  <c r="HCJ15" i="12"/>
  <c r="HCK15" i="12"/>
  <c r="HCL15" i="12"/>
  <c r="HCM15" i="12"/>
  <c r="HCN15" i="12"/>
  <c r="HCO15" i="12"/>
  <c r="HCP15" i="12"/>
  <c r="HCQ15" i="12"/>
  <c r="HCR15" i="12"/>
  <c r="HCS15" i="12"/>
  <c r="HCT15" i="12"/>
  <c r="HCU15" i="12"/>
  <c r="HCV15" i="12"/>
  <c r="HCW15" i="12"/>
  <c r="HCX15" i="12"/>
  <c r="HCY15" i="12"/>
  <c r="HCZ15" i="12"/>
  <c r="HDA15" i="12"/>
  <c r="HDB15" i="12"/>
  <c r="HDC15" i="12"/>
  <c r="HDD15" i="12"/>
  <c r="HDE15" i="12"/>
  <c r="HDF15" i="12"/>
  <c r="HDG15" i="12"/>
  <c r="HDH15" i="12"/>
  <c r="HDI15" i="12"/>
  <c r="HDJ15" i="12"/>
  <c r="HDK15" i="12"/>
  <c r="HDL15" i="12"/>
  <c r="HDM15" i="12"/>
  <c r="HDN15" i="12"/>
  <c r="HDO15" i="12"/>
  <c r="HDP15" i="12"/>
  <c r="HDQ15" i="12"/>
  <c r="HDR15" i="12"/>
  <c r="HDS15" i="12"/>
  <c r="HDT15" i="12"/>
  <c r="HDU15" i="12"/>
  <c r="HDV15" i="12"/>
  <c r="HDW15" i="12"/>
  <c r="HDX15" i="12"/>
  <c r="HDY15" i="12"/>
  <c r="HDZ15" i="12"/>
  <c r="HEA15" i="12"/>
  <c r="HEB15" i="12"/>
  <c r="HEC15" i="12"/>
  <c r="HED15" i="12"/>
  <c r="HEE15" i="12"/>
  <c r="HEF15" i="12"/>
  <c r="HEG15" i="12"/>
  <c r="HEH15" i="12"/>
  <c r="HEI15" i="12"/>
  <c r="HEJ15" i="12"/>
  <c r="HEK15" i="12"/>
  <c r="HEL15" i="12"/>
  <c r="HEM15" i="12"/>
  <c r="HEN15" i="12"/>
  <c r="HEO15" i="12"/>
  <c r="HEP15" i="12"/>
  <c r="HEQ15" i="12"/>
  <c r="HER15" i="12"/>
  <c r="HES15" i="12"/>
  <c r="HET15" i="12"/>
  <c r="HEU15" i="12"/>
  <c r="HEV15" i="12"/>
  <c r="HEW15" i="12"/>
  <c r="HEX15" i="12"/>
  <c r="HEY15" i="12"/>
  <c r="HEZ15" i="12"/>
  <c r="HFA15" i="12"/>
  <c r="HFB15" i="12"/>
  <c r="HFC15" i="12"/>
  <c r="HFD15" i="12"/>
  <c r="HFE15" i="12"/>
  <c r="HFF15" i="12"/>
  <c r="HFG15" i="12"/>
  <c r="HFH15" i="12"/>
  <c r="HFI15" i="12"/>
  <c r="HFJ15" i="12"/>
  <c r="HFK15" i="12"/>
  <c r="HFL15" i="12"/>
  <c r="HFM15" i="12"/>
  <c r="HFN15" i="12"/>
  <c r="HFO15" i="12"/>
  <c r="HFP15" i="12"/>
  <c r="HFQ15" i="12"/>
  <c r="HFR15" i="12"/>
  <c r="HFS15" i="12"/>
  <c r="HFT15" i="12"/>
  <c r="HFU15" i="12"/>
  <c r="HFV15" i="12"/>
  <c r="HFW15" i="12"/>
  <c r="HFX15" i="12"/>
  <c r="HFY15" i="12"/>
  <c r="HFZ15" i="12"/>
  <c r="HGA15" i="12"/>
  <c r="HGB15" i="12"/>
  <c r="HGC15" i="12"/>
  <c r="HGD15" i="12"/>
  <c r="HGE15" i="12"/>
  <c r="HGF15" i="12"/>
  <c r="HGG15" i="12"/>
  <c r="HGH15" i="12"/>
  <c r="HGI15" i="12"/>
  <c r="HGJ15" i="12"/>
  <c r="HGK15" i="12"/>
  <c r="HGL15" i="12"/>
  <c r="HGM15" i="12"/>
  <c r="HGN15" i="12"/>
  <c r="HGO15" i="12"/>
  <c r="HGP15" i="12"/>
  <c r="HGQ15" i="12"/>
  <c r="HGR15" i="12"/>
  <c r="HGS15" i="12"/>
  <c r="HGT15" i="12"/>
  <c r="HGU15" i="12"/>
  <c r="HGV15" i="12"/>
  <c r="HGW15" i="12"/>
  <c r="HGX15" i="12"/>
  <c r="HGY15" i="12"/>
  <c r="HGZ15" i="12"/>
  <c r="HHA15" i="12"/>
  <c r="HHB15" i="12"/>
  <c r="HHC15" i="12"/>
  <c r="HHD15" i="12"/>
  <c r="HHE15" i="12"/>
  <c r="HHF15" i="12"/>
  <c r="HHG15" i="12"/>
  <c r="HHH15" i="12"/>
  <c r="HHI15" i="12"/>
  <c r="HHJ15" i="12"/>
  <c r="HHK15" i="12"/>
  <c r="HHL15" i="12"/>
  <c r="HHM15" i="12"/>
  <c r="HHN15" i="12"/>
  <c r="HHO15" i="12"/>
  <c r="HHP15" i="12"/>
  <c r="HHQ15" i="12"/>
  <c r="HHR15" i="12"/>
  <c r="HHS15" i="12"/>
  <c r="HHT15" i="12"/>
  <c r="HHU15" i="12"/>
  <c r="HHV15" i="12"/>
  <c r="HHW15" i="12"/>
  <c r="HHX15" i="12"/>
  <c r="HHY15" i="12"/>
  <c r="HHZ15" i="12"/>
  <c r="HIA15" i="12"/>
  <c r="HIB15" i="12"/>
  <c r="HIC15" i="12"/>
  <c r="HID15" i="12"/>
  <c r="HIE15" i="12"/>
  <c r="HIF15" i="12"/>
  <c r="HIG15" i="12"/>
  <c r="HIH15" i="12"/>
  <c r="HII15" i="12"/>
  <c r="HIJ15" i="12"/>
  <c r="HIK15" i="12"/>
  <c r="HIL15" i="12"/>
  <c r="HIM15" i="12"/>
  <c r="HIN15" i="12"/>
  <c r="HIO15" i="12"/>
  <c r="HIP15" i="12"/>
  <c r="HIQ15" i="12"/>
  <c r="HIR15" i="12"/>
  <c r="HIS15" i="12"/>
  <c r="HIT15" i="12"/>
  <c r="HIU15" i="12"/>
  <c r="HIV15" i="12"/>
  <c r="HIW15" i="12"/>
  <c r="HIX15" i="12"/>
  <c r="HIY15" i="12"/>
  <c r="HIZ15" i="12"/>
  <c r="HJA15" i="12"/>
  <c r="HJB15" i="12"/>
  <c r="HJC15" i="12"/>
  <c r="HJD15" i="12"/>
  <c r="HJE15" i="12"/>
  <c r="HJF15" i="12"/>
  <c r="HJG15" i="12"/>
  <c r="HJH15" i="12"/>
  <c r="HJI15" i="12"/>
  <c r="HJJ15" i="12"/>
  <c r="HJK15" i="12"/>
  <c r="HJL15" i="12"/>
  <c r="HJM15" i="12"/>
  <c r="HJN15" i="12"/>
  <c r="HJO15" i="12"/>
  <c r="HJP15" i="12"/>
  <c r="HJQ15" i="12"/>
  <c r="HJR15" i="12"/>
  <c r="HJS15" i="12"/>
  <c r="HJT15" i="12"/>
  <c r="HJU15" i="12"/>
  <c r="HJV15" i="12"/>
  <c r="HJW15" i="12"/>
  <c r="HJX15" i="12"/>
  <c r="HJY15" i="12"/>
  <c r="HJZ15" i="12"/>
  <c r="HKA15" i="12"/>
  <c r="HKB15" i="12"/>
  <c r="HKC15" i="12"/>
  <c r="HKD15" i="12"/>
  <c r="HKE15" i="12"/>
  <c r="HKF15" i="12"/>
  <c r="HKG15" i="12"/>
  <c r="HKH15" i="12"/>
  <c r="HKI15" i="12"/>
  <c r="HKJ15" i="12"/>
  <c r="HKK15" i="12"/>
  <c r="HKL15" i="12"/>
  <c r="HKM15" i="12"/>
  <c r="HKN15" i="12"/>
  <c r="HKO15" i="12"/>
  <c r="HKP15" i="12"/>
  <c r="HKQ15" i="12"/>
  <c r="HKR15" i="12"/>
  <c r="HKS15" i="12"/>
  <c r="HKT15" i="12"/>
  <c r="HKU15" i="12"/>
  <c r="HKV15" i="12"/>
  <c r="HKW15" i="12"/>
  <c r="HKX15" i="12"/>
  <c r="HKY15" i="12"/>
  <c r="HKZ15" i="12"/>
  <c r="HLA15" i="12"/>
  <c r="HLB15" i="12"/>
  <c r="HLC15" i="12"/>
  <c r="HLD15" i="12"/>
  <c r="HLE15" i="12"/>
  <c r="HLF15" i="12"/>
  <c r="HLG15" i="12"/>
  <c r="HLH15" i="12"/>
  <c r="HLI15" i="12"/>
  <c r="HLJ15" i="12"/>
  <c r="HLK15" i="12"/>
  <c r="HLL15" i="12"/>
  <c r="HLM15" i="12"/>
  <c r="HLN15" i="12"/>
  <c r="HLO15" i="12"/>
  <c r="HLP15" i="12"/>
  <c r="HLQ15" i="12"/>
  <c r="HLR15" i="12"/>
  <c r="HLS15" i="12"/>
  <c r="HLT15" i="12"/>
  <c r="HLU15" i="12"/>
  <c r="HLV15" i="12"/>
  <c r="HLW15" i="12"/>
  <c r="HLX15" i="12"/>
  <c r="HLY15" i="12"/>
  <c r="HLZ15" i="12"/>
  <c r="HMA15" i="12"/>
  <c r="HMB15" i="12"/>
  <c r="HMC15" i="12"/>
  <c r="HMD15" i="12"/>
  <c r="HME15" i="12"/>
  <c r="HMF15" i="12"/>
  <c r="HMG15" i="12"/>
  <c r="HMH15" i="12"/>
  <c r="HMI15" i="12"/>
  <c r="HMJ15" i="12"/>
  <c r="HMK15" i="12"/>
  <c r="HML15" i="12"/>
  <c r="HMM15" i="12"/>
  <c r="HMN15" i="12"/>
  <c r="HMO15" i="12"/>
  <c r="HMP15" i="12"/>
  <c r="HMQ15" i="12"/>
  <c r="HMR15" i="12"/>
  <c r="HMS15" i="12"/>
  <c r="HMT15" i="12"/>
  <c r="HMU15" i="12"/>
  <c r="HMV15" i="12"/>
  <c r="HMW15" i="12"/>
  <c r="HMX15" i="12"/>
  <c r="HMY15" i="12"/>
  <c r="HMZ15" i="12"/>
  <c r="HNA15" i="12"/>
  <c r="HNB15" i="12"/>
  <c r="HNC15" i="12"/>
  <c r="HND15" i="12"/>
  <c r="HNE15" i="12"/>
  <c r="HNF15" i="12"/>
  <c r="HNG15" i="12"/>
  <c r="HNH15" i="12"/>
  <c r="HNI15" i="12"/>
  <c r="HNJ15" i="12"/>
  <c r="HNK15" i="12"/>
  <c r="HNL15" i="12"/>
  <c r="HNM15" i="12"/>
  <c r="HNN15" i="12"/>
  <c r="HNO15" i="12"/>
  <c r="HNP15" i="12"/>
  <c r="HNQ15" i="12"/>
  <c r="HNR15" i="12"/>
  <c r="HNS15" i="12"/>
  <c r="HNT15" i="12"/>
  <c r="HNU15" i="12"/>
  <c r="HNV15" i="12"/>
  <c r="HNW15" i="12"/>
  <c r="HNX15" i="12"/>
  <c r="HNY15" i="12"/>
  <c r="HNZ15" i="12"/>
  <c r="HOA15" i="12"/>
  <c r="HOB15" i="12"/>
  <c r="HOC15" i="12"/>
  <c r="HOD15" i="12"/>
  <c r="HOE15" i="12"/>
  <c r="HOF15" i="12"/>
  <c r="HOG15" i="12"/>
  <c r="HOH15" i="12"/>
  <c r="HOI15" i="12"/>
  <c r="HOJ15" i="12"/>
  <c r="HOK15" i="12"/>
  <c r="HOL15" i="12"/>
  <c r="HOM15" i="12"/>
  <c r="HON15" i="12"/>
  <c r="HOO15" i="12"/>
  <c r="HOP15" i="12"/>
  <c r="HOQ15" i="12"/>
  <c r="HOR15" i="12"/>
  <c r="HOS15" i="12"/>
  <c r="HOT15" i="12"/>
  <c r="HOU15" i="12"/>
  <c r="HOV15" i="12"/>
  <c r="HOW15" i="12"/>
  <c r="HOX15" i="12"/>
  <c r="HOY15" i="12"/>
  <c r="HOZ15" i="12"/>
  <c r="HPA15" i="12"/>
  <c r="HPB15" i="12"/>
  <c r="HPC15" i="12"/>
  <c r="HPD15" i="12"/>
  <c r="HPE15" i="12"/>
  <c r="HPF15" i="12"/>
  <c r="HPG15" i="12"/>
  <c r="HPH15" i="12"/>
  <c r="HPI15" i="12"/>
  <c r="HPJ15" i="12"/>
  <c r="HPK15" i="12"/>
  <c r="HPL15" i="12"/>
  <c r="HPM15" i="12"/>
  <c r="HPN15" i="12"/>
  <c r="HPO15" i="12"/>
  <c r="HPP15" i="12"/>
  <c r="HPQ15" i="12"/>
  <c r="HPR15" i="12"/>
  <c r="HPS15" i="12"/>
  <c r="HPT15" i="12"/>
  <c r="HPU15" i="12"/>
  <c r="HPV15" i="12"/>
  <c r="HPW15" i="12"/>
  <c r="HPX15" i="12"/>
  <c r="HPY15" i="12"/>
  <c r="HPZ15" i="12"/>
  <c r="HQA15" i="12"/>
  <c r="HQB15" i="12"/>
  <c r="HQC15" i="12"/>
  <c r="HQD15" i="12"/>
  <c r="HQE15" i="12"/>
  <c r="HQF15" i="12"/>
  <c r="HQG15" i="12"/>
  <c r="HQH15" i="12"/>
  <c r="HQI15" i="12"/>
  <c r="HQJ15" i="12"/>
  <c r="HQK15" i="12"/>
  <c r="HQL15" i="12"/>
  <c r="HQM15" i="12"/>
  <c r="HQN15" i="12"/>
  <c r="HQO15" i="12"/>
  <c r="HQP15" i="12"/>
  <c r="HQQ15" i="12"/>
  <c r="HQR15" i="12"/>
  <c r="HQS15" i="12"/>
  <c r="HQT15" i="12"/>
  <c r="HQU15" i="12"/>
  <c r="HQV15" i="12"/>
  <c r="HQW15" i="12"/>
  <c r="HQX15" i="12"/>
  <c r="HQY15" i="12"/>
  <c r="HQZ15" i="12"/>
  <c r="HRA15" i="12"/>
  <c r="HRB15" i="12"/>
  <c r="HRC15" i="12"/>
  <c r="HRD15" i="12"/>
  <c r="HRE15" i="12"/>
  <c r="HRF15" i="12"/>
  <c r="HRG15" i="12"/>
  <c r="HRH15" i="12"/>
  <c r="HRI15" i="12"/>
  <c r="HRJ15" i="12"/>
  <c r="HRK15" i="12"/>
  <c r="HRL15" i="12"/>
  <c r="HRM15" i="12"/>
  <c r="HRN15" i="12"/>
  <c r="HRO15" i="12"/>
  <c r="HRP15" i="12"/>
  <c r="HRQ15" i="12"/>
  <c r="HRR15" i="12"/>
  <c r="HRS15" i="12"/>
  <c r="HRT15" i="12"/>
  <c r="HRU15" i="12"/>
  <c r="HRV15" i="12"/>
  <c r="HRW15" i="12"/>
  <c r="HRX15" i="12"/>
  <c r="HRY15" i="12"/>
  <c r="HRZ15" i="12"/>
  <c r="HSA15" i="12"/>
  <c r="HSB15" i="12"/>
  <c r="HSC15" i="12"/>
  <c r="HSD15" i="12"/>
  <c r="HSE15" i="12"/>
  <c r="HSF15" i="12"/>
  <c r="HSG15" i="12"/>
  <c r="HSH15" i="12"/>
  <c r="HSI15" i="12"/>
  <c r="HSJ15" i="12"/>
  <c r="HSK15" i="12"/>
  <c r="HSL15" i="12"/>
  <c r="HSM15" i="12"/>
  <c r="HSN15" i="12"/>
  <c r="HSO15" i="12"/>
  <c r="HSP15" i="12"/>
  <c r="HSQ15" i="12"/>
  <c r="HSR15" i="12"/>
  <c r="HSS15" i="12"/>
  <c r="HST15" i="12"/>
  <c r="HSU15" i="12"/>
  <c r="HSV15" i="12"/>
  <c r="HSW15" i="12"/>
  <c r="HSX15" i="12"/>
  <c r="HSY15" i="12"/>
  <c r="HSZ15" i="12"/>
  <c r="HTA15" i="12"/>
  <c r="HTB15" i="12"/>
  <c r="HTC15" i="12"/>
  <c r="HTD15" i="12"/>
  <c r="HTE15" i="12"/>
  <c r="HTF15" i="12"/>
  <c r="HTG15" i="12"/>
  <c r="HTH15" i="12"/>
  <c r="HTI15" i="12"/>
  <c r="HTJ15" i="12"/>
  <c r="HTK15" i="12"/>
  <c r="HTL15" i="12"/>
  <c r="HTM15" i="12"/>
  <c r="HTN15" i="12"/>
  <c r="HTO15" i="12"/>
  <c r="HTP15" i="12"/>
  <c r="HTQ15" i="12"/>
  <c r="HTR15" i="12"/>
  <c r="HTS15" i="12"/>
  <c r="HTT15" i="12"/>
  <c r="HTU15" i="12"/>
  <c r="HTV15" i="12"/>
  <c r="HTW15" i="12"/>
  <c r="HTX15" i="12"/>
  <c r="HTY15" i="12"/>
  <c r="HTZ15" i="12"/>
  <c r="HUA15" i="12"/>
  <c r="HUB15" i="12"/>
  <c r="HUC15" i="12"/>
  <c r="HUD15" i="12"/>
  <c r="HUE15" i="12"/>
  <c r="HUF15" i="12"/>
  <c r="HUG15" i="12"/>
  <c r="HUH15" i="12"/>
  <c r="HUI15" i="12"/>
  <c r="HUJ15" i="12"/>
  <c r="HUK15" i="12"/>
  <c r="HUL15" i="12"/>
  <c r="HUM15" i="12"/>
  <c r="HUN15" i="12"/>
  <c r="HUO15" i="12"/>
  <c r="HUP15" i="12"/>
  <c r="HUQ15" i="12"/>
  <c r="HUR15" i="12"/>
  <c r="HUS15" i="12"/>
  <c r="HUT15" i="12"/>
  <c r="HUU15" i="12"/>
  <c r="HUV15" i="12"/>
  <c r="HUW15" i="12"/>
  <c r="HUX15" i="12"/>
  <c r="HUY15" i="12"/>
  <c r="HUZ15" i="12"/>
  <c r="HVA15" i="12"/>
  <c r="HVB15" i="12"/>
  <c r="HVC15" i="12"/>
  <c r="HVD15" i="12"/>
  <c r="HVE15" i="12"/>
  <c r="HVF15" i="12"/>
  <c r="HVG15" i="12"/>
  <c r="HVH15" i="12"/>
  <c r="HVI15" i="12"/>
  <c r="HVJ15" i="12"/>
  <c r="HVK15" i="12"/>
  <c r="HVL15" i="12"/>
  <c r="HVM15" i="12"/>
  <c r="HVN15" i="12"/>
  <c r="HVO15" i="12"/>
  <c r="HVP15" i="12"/>
  <c r="HVQ15" i="12"/>
  <c r="HVR15" i="12"/>
  <c r="HVS15" i="12"/>
  <c r="HVT15" i="12"/>
  <c r="HVU15" i="12"/>
  <c r="HVV15" i="12"/>
  <c r="HVW15" i="12"/>
  <c r="HVX15" i="12"/>
  <c r="HVY15" i="12"/>
  <c r="HVZ15" i="12"/>
  <c r="HWA15" i="12"/>
  <c r="HWB15" i="12"/>
  <c r="HWC15" i="12"/>
  <c r="HWD15" i="12"/>
  <c r="HWE15" i="12"/>
  <c r="HWF15" i="12"/>
  <c r="HWG15" i="12"/>
  <c r="HWH15" i="12"/>
  <c r="HWI15" i="12"/>
  <c r="HWJ15" i="12"/>
  <c r="HWK15" i="12"/>
  <c r="HWL15" i="12"/>
  <c r="HWM15" i="12"/>
  <c r="HWN15" i="12"/>
  <c r="HWO15" i="12"/>
  <c r="HWP15" i="12"/>
  <c r="HWQ15" i="12"/>
  <c r="HWR15" i="12"/>
  <c r="HWS15" i="12"/>
  <c r="HWT15" i="12"/>
  <c r="HWU15" i="12"/>
  <c r="HWV15" i="12"/>
  <c r="HWW15" i="12"/>
  <c r="HWX15" i="12"/>
  <c r="HWY15" i="12"/>
  <c r="HWZ15" i="12"/>
  <c r="HXA15" i="12"/>
  <c r="HXB15" i="12"/>
  <c r="HXC15" i="12"/>
  <c r="HXD15" i="12"/>
  <c r="HXE15" i="12"/>
  <c r="HXF15" i="12"/>
  <c r="HXG15" i="12"/>
  <c r="HXH15" i="12"/>
  <c r="HXI15" i="12"/>
  <c r="HXJ15" i="12"/>
  <c r="HXK15" i="12"/>
  <c r="HXL15" i="12"/>
  <c r="HXM15" i="12"/>
  <c r="HXN15" i="12"/>
  <c r="HXO15" i="12"/>
  <c r="HXP15" i="12"/>
  <c r="HXQ15" i="12"/>
  <c r="HXR15" i="12"/>
  <c r="HXS15" i="12"/>
  <c r="HXT15" i="12"/>
  <c r="HXU15" i="12"/>
  <c r="HXV15" i="12"/>
  <c r="HXW15" i="12"/>
  <c r="HXX15" i="12"/>
  <c r="HXY15" i="12"/>
  <c r="HXZ15" i="12"/>
  <c r="HYA15" i="12"/>
  <c r="HYB15" i="12"/>
  <c r="HYC15" i="12"/>
  <c r="HYD15" i="12"/>
  <c r="HYE15" i="12"/>
  <c r="HYF15" i="12"/>
  <c r="HYG15" i="12"/>
  <c r="HYH15" i="12"/>
  <c r="HYI15" i="12"/>
  <c r="HYJ15" i="12"/>
  <c r="HYK15" i="12"/>
  <c r="HYL15" i="12"/>
  <c r="HYM15" i="12"/>
  <c r="HYN15" i="12"/>
  <c r="HYO15" i="12"/>
  <c r="HYP15" i="12"/>
  <c r="HYQ15" i="12"/>
  <c r="HYR15" i="12"/>
  <c r="HYS15" i="12"/>
  <c r="HYT15" i="12"/>
  <c r="HYU15" i="12"/>
  <c r="HYV15" i="12"/>
  <c r="HYW15" i="12"/>
  <c r="HYX15" i="12"/>
  <c r="HYY15" i="12"/>
  <c r="HYZ15" i="12"/>
  <c r="HZA15" i="12"/>
  <c r="HZB15" i="12"/>
  <c r="HZC15" i="12"/>
  <c r="HZD15" i="12"/>
  <c r="HZE15" i="12"/>
  <c r="HZF15" i="12"/>
  <c r="HZG15" i="12"/>
  <c r="HZH15" i="12"/>
  <c r="HZI15" i="12"/>
  <c r="HZJ15" i="12"/>
  <c r="HZK15" i="12"/>
  <c r="HZL15" i="12"/>
  <c r="HZM15" i="12"/>
  <c r="HZN15" i="12"/>
  <c r="HZO15" i="12"/>
  <c r="HZP15" i="12"/>
  <c r="HZQ15" i="12"/>
  <c r="HZR15" i="12"/>
  <c r="HZS15" i="12"/>
  <c r="HZT15" i="12"/>
  <c r="HZU15" i="12"/>
  <c r="HZV15" i="12"/>
  <c r="HZW15" i="12"/>
  <c r="HZX15" i="12"/>
  <c r="HZY15" i="12"/>
  <c r="HZZ15" i="12"/>
  <c r="IAA15" i="12"/>
  <c r="IAB15" i="12"/>
  <c r="IAC15" i="12"/>
  <c r="IAD15" i="12"/>
  <c r="IAE15" i="12"/>
  <c r="IAF15" i="12"/>
  <c r="IAG15" i="12"/>
  <c r="IAH15" i="12"/>
  <c r="IAI15" i="12"/>
  <c r="IAJ15" i="12"/>
  <c r="IAK15" i="12"/>
  <c r="IAL15" i="12"/>
  <c r="IAM15" i="12"/>
  <c r="IAN15" i="12"/>
  <c r="IAO15" i="12"/>
  <c r="IAP15" i="12"/>
  <c r="IAQ15" i="12"/>
  <c r="IAR15" i="12"/>
  <c r="IAS15" i="12"/>
  <c r="IAT15" i="12"/>
  <c r="IAU15" i="12"/>
  <c r="IAV15" i="12"/>
  <c r="IAW15" i="12"/>
  <c r="IAX15" i="12"/>
  <c r="IAY15" i="12"/>
  <c r="IAZ15" i="12"/>
  <c r="IBA15" i="12"/>
  <c r="IBB15" i="12"/>
  <c r="IBC15" i="12"/>
  <c r="IBD15" i="12"/>
  <c r="IBE15" i="12"/>
  <c r="IBF15" i="12"/>
  <c r="IBG15" i="12"/>
  <c r="IBH15" i="12"/>
  <c r="IBI15" i="12"/>
  <c r="IBJ15" i="12"/>
  <c r="IBK15" i="12"/>
  <c r="IBL15" i="12"/>
  <c r="IBM15" i="12"/>
  <c r="IBN15" i="12"/>
  <c r="IBO15" i="12"/>
  <c r="IBP15" i="12"/>
  <c r="IBQ15" i="12"/>
  <c r="IBR15" i="12"/>
  <c r="IBS15" i="12"/>
  <c r="IBT15" i="12"/>
  <c r="IBU15" i="12"/>
  <c r="IBV15" i="12"/>
  <c r="IBW15" i="12"/>
  <c r="IBX15" i="12"/>
  <c r="IBY15" i="12"/>
  <c r="IBZ15" i="12"/>
  <c r="ICA15" i="12"/>
  <c r="ICB15" i="12"/>
  <c r="ICC15" i="12"/>
  <c r="ICD15" i="12"/>
  <c r="ICE15" i="12"/>
  <c r="ICF15" i="12"/>
  <c r="ICG15" i="12"/>
  <c r="ICH15" i="12"/>
  <c r="ICI15" i="12"/>
  <c r="ICJ15" i="12"/>
  <c r="ICK15" i="12"/>
  <c r="ICL15" i="12"/>
  <c r="ICM15" i="12"/>
  <c r="ICN15" i="12"/>
  <c r="ICO15" i="12"/>
  <c r="ICP15" i="12"/>
  <c r="ICQ15" i="12"/>
  <c r="ICR15" i="12"/>
  <c r="ICS15" i="12"/>
  <c r="ICT15" i="12"/>
  <c r="ICU15" i="12"/>
  <c r="ICV15" i="12"/>
  <c r="ICW15" i="12"/>
  <c r="ICX15" i="12"/>
  <c r="ICY15" i="12"/>
  <c r="ICZ15" i="12"/>
  <c r="IDA15" i="12"/>
  <c r="IDB15" i="12"/>
  <c r="IDC15" i="12"/>
  <c r="IDD15" i="12"/>
  <c r="IDE15" i="12"/>
  <c r="IDF15" i="12"/>
  <c r="IDG15" i="12"/>
  <c r="IDH15" i="12"/>
  <c r="IDI15" i="12"/>
  <c r="IDJ15" i="12"/>
  <c r="IDK15" i="12"/>
  <c r="IDL15" i="12"/>
  <c r="IDM15" i="12"/>
  <c r="IDN15" i="12"/>
  <c r="IDO15" i="12"/>
  <c r="IDP15" i="12"/>
  <c r="IDQ15" i="12"/>
  <c r="IDR15" i="12"/>
  <c r="IDS15" i="12"/>
  <c r="IDT15" i="12"/>
  <c r="IDU15" i="12"/>
  <c r="IDV15" i="12"/>
  <c r="IDW15" i="12"/>
  <c r="IDX15" i="12"/>
  <c r="IDY15" i="12"/>
  <c r="IDZ15" i="12"/>
  <c r="IEA15" i="12"/>
  <c r="IEB15" i="12"/>
  <c r="IEC15" i="12"/>
  <c r="IED15" i="12"/>
  <c r="IEE15" i="12"/>
  <c r="IEF15" i="12"/>
  <c r="IEG15" i="12"/>
  <c r="IEH15" i="12"/>
  <c r="IEI15" i="12"/>
  <c r="IEJ15" i="12"/>
  <c r="IEK15" i="12"/>
  <c r="IEL15" i="12"/>
  <c r="IEM15" i="12"/>
  <c r="IEN15" i="12"/>
  <c r="IEO15" i="12"/>
  <c r="IEP15" i="12"/>
  <c r="IEQ15" i="12"/>
  <c r="IER15" i="12"/>
  <c r="IES15" i="12"/>
  <c r="IET15" i="12"/>
  <c r="IEU15" i="12"/>
  <c r="IEV15" i="12"/>
  <c r="IEW15" i="12"/>
  <c r="IEX15" i="12"/>
  <c r="IEY15" i="12"/>
  <c r="IEZ15" i="12"/>
  <c r="IFA15" i="12"/>
  <c r="IFB15" i="12"/>
  <c r="IFC15" i="12"/>
  <c r="IFD15" i="12"/>
  <c r="IFE15" i="12"/>
  <c r="IFF15" i="12"/>
  <c r="IFG15" i="12"/>
  <c r="IFH15" i="12"/>
  <c r="IFI15" i="12"/>
  <c r="IFJ15" i="12"/>
  <c r="IFK15" i="12"/>
  <c r="IFL15" i="12"/>
  <c r="IFM15" i="12"/>
  <c r="IFN15" i="12"/>
  <c r="IFO15" i="12"/>
  <c r="IFP15" i="12"/>
  <c r="IFQ15" i="12"/>
  <c r="IFR15" i="12"/>
  <c r="IFS15" i="12"/>
  <c r="IFT15" i="12"/>
  <c r="IFU15" i="12"/>
  <c r="IFV15" i="12"/>
  <c r="IFW15" i="12"/>
  <c r="IFX15" i="12"/>
  <c r="IFY15" i="12"/>
  <c r="IFZ15" i="12"/>
  <c r="IGA15" i="12"/>
  <c r="IGB15" i="12"/>
  <c r="IGC15" i="12"/>
  <c r="IGD15" i="12"/>
  <c r="IGE15" i="12"/>
  <c r="IGF15" i="12"/>
  <c r="IGG15" i="12"/>
  <c r="IGH15" i="12"/>
  <c r="IGI15" i="12"/>
  <c r="IGJ15" i="12"/>
  <c r="IGK15" i="12"/>
  <c r="IGL15" i="12"/>
  <c r="IGM15" i="12"/>
  <c r="IGN15" i="12"/>
  <c r="IGO15" i="12"/>
  <c r="IGP15" i="12"/>
  <c r="IGQ15" i="12"/>
  <c r="IGR15" i="12"/>
  <c r="IGS15" i="12"/>
  <c r="IGT15" i="12"/>
  <c r="IGU15" i="12"/>
  <c r="IGV15" i="12"/>
  <c r="IGW15" i="12"/>
  <c r="IGX15" i="12"/>
  <c r="IGY15" i="12"/>
  <c r="IGZ15" i="12"/>
  <c r="IHA15" i="12"/>
  <c r="IHB15" i="12"/>
  <c r="IHC15" i="12"/>
  <c r="IHD15" i="12"/>
  <c r="IHE15" i="12"/>
  <c r="IHF15" i="12"/>
  <c r="IHG15" i="12"/>
  <c r="IHH15" i="12"/>
  <c r="IHI15" i="12"/>
  <c r="IHJ15" i="12"/>
  <c r="IHK15" i="12"/>
  <c r="IHL15" i="12"/>
  <c r="IHM15" i="12"/>
  <c r="IHN15" i="12"/>
  <c r="IHO15" i="12"/>
  <c r="IHP15" i="12"/>
  <c r="IHQ15" i="12"/>
  <c r="IHR15" i="12"/>
  <c r="IHS15" i="12"/>
  <c r="IHT15" i="12"/>
  <c r="IHU15" i="12"/>
  <c r="IHV15" i="12"/>
  <c r="IHW15" i="12"/>
  <c r="IHX15" i="12"/>
  <c r="IHY15" i="12"/>
  <c r="IHZ15" i="12"/>
  <c r="IIA15" i="12"/>
  <c r="IIB15" i="12"/>
  <c r="IIC15" i="12"/>
  <c r="IID15" i="12"/>
  <c r="IIE15" i="12"/>
  <c r="IIF15" i="12"/>
  <c r="IIG15" i="12"/>
  <c r="IIH15" i="12"/>
  <c r="III15" i="12"/>
  <c r="IIJ15" i="12"/>
  <c r="IIK15" i="12"/>
  <c r="IIL15" i="12"/>
  <c r="IIM15" i="12"/>
  <c r="IIN15" i="12"/>
  <c r="IIO15" i="12"/>
  <c r="IIP15" i="12"/>
  <c r="IIQ15" i="12"/>
  <c r="IIR15" i="12"/>
  <c r="IIS15" i="12"/>
  <c r="IIT15" i="12"/>
  <c r="IIU15" i="12"/>
  <c r="IIV15" i="12"/>
  <c r="IIW15" i="12"/>
  <c r="IIX15" i="12"/>
  <c r="IIY15" i="12"/>
  <c r="IIZ15" i="12"/>
  <c r="IJA15" i="12"/>
  <c r="IJB15" i="12"/>
  <c r="IJC15" i="12"/>
  <c r="IJD15" i="12"/>
  <c r="IJE15" i="12"/>
  <c r="IJF15" i="12"/>
  <c r="IJG15" i="12"/>
  <c r="IJH15" i="12"/>
  <c r="IJI15" i="12"/>
  <c r="IJJ15" i="12"/>
  <c r="IJK15" i="12"/>
  <c r="IJL15" i="12"/>
  <c r="IJM15" i="12"/>
  <c r="IJN15" i="12"/>
  <c r="IJO15" i="12"/>
  <c r="IJP15" i="12"/>
  <c r="IJQ15" i="12"/>
  <c r="IJR15" i="12"/>
  <c r="IJS15" i="12"/>
  <c r="IJT15" i="12"/>
  <c r="IJU15" i="12"/>
  <c r="IJV15" i="12"/>
  <c r="IJW15" i="12"/>
  <c r="IJX15" i="12"/>
  <c r="IJY15" i="12"/>
  <c r="IJZ15" i="12"/>
  <c r="IKA15" i="12"/>
  <c r="IKB15" i="12"/>
  <c r="IKC15" i="12"/>
  <c r="IKD15" i="12"/>
  <c r="IKE15" i="12"/>
  <c r="IKF15" i="12"/>
  <c r="IKG15" i="12"/>
  <c r="IKH15" i="12"/>
  <c r="IKI15" i="12"/>
  <c r="IKJ15" i="12"/>
  <c r="IKK15" i="12"/>
  <c r="IKL15" i="12"/>
  <c r="IKM15" i="12"/>
  <c r="IKN15" i="12"/>
  <c r="IKO15" i="12"/>
  <c r="IKP15" i="12"/>
  <c r="IKQ15" i="12"/>
  <c r="IKR15" i="12"/>
  <c r="IKS15" i="12"/>
  <c r="IKT15" i="12"/>
  <c r="IKU15" i="12"/>
  <c r="IKV15" i="12"/>
  <c r="IKW15" i="12"/>
  <c r="IKX15" i="12"/>
  <c r="IKY15" i="12"/>
  <c r="IKZ15" i="12"/>
  <c r="ILA15" i="12"/>
  <c r="ILB15" i="12"/>
  <c r="ILC15" i="12"/>
  <c r="ILD15" i="12"/>
  <c r="ILE15" i="12"/>
  <c r="ILF15" i="12"/>
  <c r="ILG15" i="12"/>
  <c r="ILH15" i="12"/>
  <c r="ILI15" i="12"/>
  <c r="ILJ15" i="12"/>
  <c r="ILK15" i="12"/>
  <c r="ILL15" i="12"/>
  <c r="ILM15" i="12"/>
  <c r="ILN15" i="12"/>
  <c r="ILO15" i="12"/>
  <c r="ILP15" i="12"/>
  <c r="ILQ15" i="12"/>
  <c r="ILR15" i="12"/>
  <c r="ILS15" i="12"/>
  <c r="ILT15" i="12"/>
  <c r="ILU15" i="12"/>
  <c r="ILV15" i="12"/>
  <c r="ILW15" i="12"/>
  <c r="ILX15" i="12"/>
  <c r="ILY15" i="12"/>
  <c r="ILZ15" i="12"/>
  <c r="IMA15" i="12"/>
  <c r="IMB15" i="12"/>
  <c r="IMC15" i="12"/>
  <c r="IMD15" i="12"/>
  <c r="IME15" i="12"/>
  <c r="IMF15" i="12"/>
  <c r="IMG15" i="12"/>
  <c r="IMH15" i="12"/>
  <c r="IMI15" i="12"/>
  <c r="IMJ15" i="12"/>
  <c r="IMK15" i="12"/>
  <c r="IML15" i="12"/>
  <c r="IMM15" i="12"/>
  <c r="IMN15" i="12"/>
  <c r="IMO15" i="12"/>
  <c r="IMP15" i="12"/>
  <c r="IMQ15" i="12"/>
  <c r="IMR15" i="12"/>
  <c r="IMS15" i="12"/>
  <c r="IMT15" i="12"/>
  <c r="IMU15" i="12"/>
  <c r="IMV15" i="12"/>
  <c r="IMW15" i="12"/>
  <c r="IMX15" i="12"/>
  <c r="IMY15" i="12"/>
  <c r="IMZ15" i="12"/>
  <c r="INA15" i="12"/>
  <c r="INB15" i="12"/>
  <c r="INC15" i="12"/>
  <c r="IND15" i="12"/>
  <c r="INE15" i="12"/>
  <c r="INF15" i="12"/>
  <c r="ING15" i="12"/>
  <c r="INH15" i="12"/>
  <c r="INI15" i="12"/>
  <c r="INJ15" i="12"/>
  <c r="INK15" i="12"/>
  <c r="INL15" i="12"/>
  <c r="INM15" i="12"/>
  <c r="INN15" i="12"/>
  <c r="INO15" i="12"/>
  <c r="INP15" i="12"/>
  <c r="INQ15" i="12"/>
  <c r="INR15" i="12"/>
  <c r="INS15" i="12"/>
  <c r="INT15" i="12"/>
  <c r="INU15" i="12"/>
  <c r="INV15" i="12"/>
  <c r="INW15" i="12"/>
  <c r="INX15" i="12"/>
  <c r="INY15" i="12"/>
  <c r="INZ15" i="12"/>
  <c r="IOA15" i="12"/>
  <c r="IOB15" i="12"/>
  <c r="IOC15" i="12"/>
  <c r="IOD15" i="12"/>
  <c r="IOE15" i="12"/>
  <c r="IOF15" i="12"/>
  <c r="IOG15" i="12"/>
  <c r="IOH15" i="12"/>
  <c r="IOI15" i="12"/>
  <c r="IOJ15" i="12"/>
  <c r="IOK15" i="12"/>
  <c r="IOL15" i="12"/>
  <c r="IOM15" i="12"/>
  <c r="ION15" i="12"/>
  <c r="IOO15" i="12"/>
  <c r="IOP15" i="12"/>
  <c r="IOQ15" i="12"/>
  <c r="IOR15" i="12"/>
  <c r="IOS15" i="12"/>
  <c r="IOT15" i="12"/>
  <c r="IOU15" i="12"/>
  <c r="IOV15" i="12"/>
  <c r="IOW15" i="12"/>
  <c r="IOX15" i="12"/>
  <c r="IOY15" i="12"/>
  <c r="IOZ15" i="12"/>
  <c r="IPA15" i="12"/>
  <c r="IPB15" i="12"/>
  <c r="IPC15" i="12"/>
  <c r="IPD15" i="12"/>
  <c r="IPE15" i="12"/>
  <c r="IPF15" i="12"/>
  <c r="IPG15" i="12"/>
  <c r="IPH15" i="12"/>
  <c r="IPI15" i="12"/>
  <c r="IPJ15" i="12"/>
  <c r="IPK15" i="12"/>
  <c r="IPL15" i="12"/>
  <c r="IPM15" i="12"/>
  <c r="IPN15" i="12"/>
  <c r="IPO15" i="12"/>
  <c r="IPP15" i="12"/>
  <c r="IPQ15" i="12"/>
  <c r="IPR15" i="12"/>
  <c r="IPS15" i="12"/>
  <c r="IPT15" i="12"/>
  <c r="IPU15" i="12"/>
  <c r="IPV15" i="12"/>
  <c r="IPW15" i="12"/>
  <c r="IPX15" i="12"/>
  <c r="IPY15" i="12"/>
  <c r="IPZ15" i="12"/>
  <c r="IQA15" i="12"/>
  <c r="IQB15" i="12"/>
  <c r="IQC15" i="12"/>
  <c r="IQD15" i="12"/>
  <c r="IQE15" i="12"/>
  <c r="IQF15" i="12"/>
  <c r="IQG15" i="12"/>
  <c r="IQH15" i="12"/>
  <c r="IQI15" i="12"/>
  <c r="IQJ15" i="12"/>
  <c r="IQK15" i="12"/>
  <c r="IQL15" i="12"/>
  <c r="IQM15" i="12"/>
  <c r="IQN15" i="12"/>
  <c r="IQO15" i="12"/>
  <c r="IQP15" i="12"/>
  <c r="IQQ15" i="12"/>
  <c r="IQR15" i="12"/>
  <c r="IQS15" i="12"/>
  <c r="IQT15" i="12"/>
  <c r="IQU15" i="12"/>
  <c r="IQV15" i="12"/>
  <c r="IQW15" i="12"/>
  <c r="IQX15" i="12"/>
  <c r="IQY15" i="12"/>
  <c r="IQZ15" i="12"/>
  <c r="IRA15" i="12"/>
  <c r="IRB15" i="12"/>
  <c r="IRC15" i="12"/>
  <c r="IRD15" i="12"/>
  <c r="IRE15" i="12"/>
  <c r="IRF15" i="12"/>
  <c r="IRG15" i="12"/>
  <c r="IRH15" i="12"/>
  <c r="IRI15" i="12"/>
  <c r="IRJ15" i="12"/>
  <c r="IRK15" i="12"/>
  <c r="IRL15" i="12"/>
  <c r="IRM15" i="12"/>
  <c r="IRN15" i="12"/>
  <c r="IRO15" i="12"/>
  <c r="IRP15" i="12"/>
  <c r="IRQ15" i="12"/>
  <c r="IRR15" i="12"/>
  <c r="IRS15" i="12"/>
  <c r="IRT15" i="12"/>
  <c r="IRU15" i="12"/>
  <c r="IRV15" i="12"/>
  <c r="IRW15" i="12"/>
  <c r="IRX15" i="12"/>
  <c r="IRY15" i="12"/>
  <c r="IRZ15" i="12"/>
  <c r="ISA15" i="12"/>
  <c r="ISB15" i="12"/>
  <c r="ISC15" i="12"/>
  <c r="ISD15" i="12"/>
  <c r="ISE15" i="12"/>
  <c r="ISF15" i="12"/>
  <c r="ISG15" i="12"/>
  <c r="ISH15" i="12"/>
  <c r="ISI15" i="12"/>
  <c r="ISJ15" i="12"/>
  <c r="ISK15" i="12"/>
  <c r="ISL15" i="12"/>
  <c r="ISM15" i="12"/>
  <c r="ISN15" i="12"/>
  <c r="ISO15" i="12"/>
  <c r="ISP15" i="12"/>
  <c r="ISQ15" i="12"/>
  <c r="ISR15" i="12"/>
  <c r="ISS15" i="12"/>
  <c r="IST15" i="12"/>
  <c r="ISU15" i="12"/>
  <c r="ISV15" i="12"/>
  <c r="ISW15" i="12"/>
  <c r="ISX15" i="12"/>
  <c r="ISY15" i="12"/>
  <c r="ISZ15" i="12"/>
  <c r="ITA15" i="12"/>
  <c r="ITB15" i="12"/>
  <c r="ITC15" i="12"/>
  <c r="ITD15" i="12"/>
  <c r="ITE15" i="12"/>
  <c r="ITF15" i="12"/>
  <c r="ITG15" i="12"/>
  <c r="ITH15" i="12"/>
  <c r="ITI15" i="12"/>
  <c r="ITJ15" i="12"/>
  <c r="ITK15" i="12"/>
  <c r="ITL15" i="12"/>
  <c r="ITM15" i="12"/>
  <c r="ITN15" i="12"/>
  <c r="ITO15" i="12"/>
  <c r="ITP15" i="12"/>
  <c r="ITQ15" i="12"/>
  <c r="ITR15" i="12"/>
  <c r="ITS15" i="12"/>
  <c r="ITT15" i="12"/>
  <c r="ITU15" i="12"/>
  <c r="ITV15" i="12"/>
  <c r="ITW15" i="12"/>
  <c r="ITX15" i="12"/>
  <c r="ITY15" i="12"/>
  <c r="ITZ15" i="12"/>
  <c r="IUA15" i="12"/>
  <c r="IUB15" i="12"/>
  <c r="IUC15" i="12"/>
  <c r="IUD15" i="12"/>
  <c r="IUE15" i="12"/>
  <c r="IUF15" i="12"/>
  <c r="IUG15" i="12"/>
  <c r="IUH15" i="12"/>
  <c r="IUI15" i="12"/>
  <c r="IUJ15" i="12"/>
  <c r="IUK15" i="12"/>
  <c r="IUL15" i="12"/>
  <c r="IUM15" i="12"/>
  <c r="IUN15" i="12"/>
  <c r="IUO15" i="12"/>
  <c r="IUP15" i="12"/>
  <c r="IUQ15" i="12"/>
  <c r="IUR15" i="12"/>
  <c r="IUS15" i="12"/>
  <c r="IUT15" i="12"/>
  <c r="IUU15" i="12"/>
  <c r="IUV15" i="12"/>
  <c r="IUW15" i="12"/>
  <c r="IUX15" i="12"/>
  <c r="IUY15" i="12"/>
  <c r="IUZ15" i="12"/>
  <c r="IVA15" i="12"/>
  <c r="IVB15" i="12"/>
  <c r="IVC15" i="12"/>
  <c r="IVD15" i="12"/>
  <c r="IVE15" i="12"/>
  <c r="IVF15" i="12"/>
  <c r="IVG15" i="12"/>
  <c r="IVH15" i="12"/>
  <c r="IVI15" i="12"/>
  <c r="IVJ15" i="12"/>
  <c r="IVK15" i="12"/>
  <c r="IVL15" i="12"/>
  <c r="IVM15" i="12"/>
  <c r="IVN15" i="12"/>
  <c r="IVO15" i="12"/>
  <c r="IVP15" i="12"/>
  <c r="IVQ15" i="12"/>
  <c r="IVR15" i="12"/>
  <c r="IVS15" i="12"/>
  <c r="IVT15" i="12"/>
  <c r="IVU15" i="12"/>
  <c r="IVV15" i="12"/>
  <c r="IVW15" i="12"/>
  <c r="IVX15" i="12"/>
  <c r="IVY15" i="12"/>
  <c r="IVZ15" i="12"/>
  <c r="IWA15" i="12"/>
  <c r="IWB15" i="12"/>
  <c r="IWC15" i="12"/>
  <c r="IWD15" i="12"/>
  <c r="IWE15" i="12"/>
  <c r="IWF15" i="12"/>
  <c r="IWG15" i="12"/>
  <c r="IWH15" i="12"/>
  <c r="IWI15" i="12"/>
  <c r="IWJ15" i="12"/>
  <c r="IWK15" i="12"/>
  <c r="IWL15" i="12"/>
  <c r="IWM15" i="12"/>
  <c r="IWN15" i="12"/>
  <c r="IWO15" i="12"/>
  <c r="IWP15" i="12"/>
  <c r="IWQ15" i="12"/>
  <c r="IWR15" i="12"/>
  <c r="IWS15" i="12"/>
  <c r="IWT15" i="12"/>
  <c r="IWU15" i="12"/>
  <c r="IWV15" i="12"/>
  <c r="IWW15" i="12"/>
  <c r="IWX15" i="12"/>
  <c r="IWY15" i="12"/>
  <c r="IWZ15" i="12"/>
  <c r="IXA15" i="12"/>
  <c r="IXB15" i="12"/>
  <c r="IXC15" i="12"/>
  <c r="IXD15" i="12"/>
  <c r="IXE15" i="12"/>
  <c r="IXF15" i="12"/>
  <c r="IXG15" i="12"/>
  <c r="IXH15" i="12"/>
  <c r="IXI15" i="12"/>
  <c r="IXJ15" i="12"/>
  <c r="IXK15" i="12"/>
  <c r="IXL15" i="12"/>
  <c r="IXM15" i="12"/>
  <c r="IXN15" i="12"/>
  <c r="IXO15" i="12"/>
  <c r="IXP15" i="12"/>
  <c r="IXQ15" i="12"/>
  <c r="IXR15" i="12"/>
  <c r="IXS15" i="12"/>
  <c r="IXT15" i="12"/>
  <c r="IXU15" i="12"/>
  <c r="IXV15" i="12"/>
  <c r="IXW15" i="12"/>
  <c r="IXX15" i="12"/>
  <c r="IXY15" i="12"/>
  <c r="IXZ15" i="12"/>
  <c r="IYA15" i="12"/>
  <c r="IYB15" i="12"/>
  <c r="IYC15" i="12"/>
  <c r="IYD15" i="12"/>
  <c r="IYE15" i="12"/>
  <c r="IYF15" i="12"/>
  <c r="IYG15" i="12"/>
  <c r="IYH15" i="12"/>
  <c r="IYI15" i="12"/>
  <c r="IYJ15" i="12"/>
  <c r="IYK15" i="12"/>
  <c r="IYL15" i="12"/>
  <c r="IYM15" i="12"/>
  <c r="IYN15" i="12"/>
  <c r="IYO15" i="12"/>
  <c r="IYP15" i="12"/>
  <c r="IYQ15" i="12"/>
  <c r="IYR15" i="12"/>
  <c r="IYS15" i="12"/>
  <c r="IYT15" i="12"/>
  <c r="IYU15" i="12"/>
  <c r="IYV15" i="12"/>
  <c r="IYW15" i="12"/>
  <c r="IYX15" i="12"/>
  <c r="IYY15" i="12"/>
  <c r="IYZ15" i="12"/>
  <c r="IZA15" i="12"/>
  <c r="IZB15" i="12"/>
  <c r="IZC15" i="12"/>
  <c r="IZD15" i="12"/>
  <c r="IZE15" i="12"/>
  <c r="IZF15" i="12"/>
  <c r="IZG15" i="12"/>
  <c r="IZH15" i="12"/>
  <c r="IZI15" i="12"/>
  <c r="IZJ15" i="12"/>
  <c r="IZK15" i="12"/>
  <c r="IZL15" i="12"/>
  <c r="IZM15" i="12"/>
  <c r="IZN15" i="12"/>
  <c r="IZO15" i="12"/>
  <c r="IZP15" i="12"/>
  <c r="IZQ15" i="12"/>
  <c r="IZR15" i="12"/>
  <c r="IZS15" i="12"/>
  <c r="IZT15" i="12"/>
  <c r="IZU15" i="12"/>
  <c r="IZV15" i="12"/>
  <c r="IZW15" i="12"/>
  <c r="IZX15" i="12"/>
  <c r="IZY15" i="12"/>
  <c r="IZZ15" i="12"/>
  <c r="JAA15" i="12"/>
  <c r="JAB15" i="12"/>
  <c r="JAC15" i="12"/>
  <c r="JAD15" i="12"/>
  <c r="JAE15" i="12"/>
  <c r="JAF15" i="12"/>
  <c r="JAG15" i="12"/>
  <c r="JAH15" i="12"/>
  <c r="JAI15" i="12"/>
  <c r="JAJ15" i="12"/>
  <c r="JAK15" i="12"/>
  <c r="JAL15" i="12"/>
  <c r="JAM15" i="12"/>
  <c r="JAN15" i="12"/>
  <c r="JAO15" i="12"/>
  <c r="JAP15" i="12"/>
  <c r="JAQ15" i="12"/>
  <c r="JAR15" i="12"/>
  <c r="JAS15" i="12"/>
  <c r="JAT15" i="12"/>
  <c r="JAU15" i="12"/>
  <c r="JAV15" i="12"/>
  <c r="JAW15" i="12"/>
  <c r="JAX15" i="12"/>
  <c r="JAY15" i="12"/>
  <c r="JAZ15" i="12"/>
  <c r="JBA15" i="12"/>
  <c r="JBB15" i="12"/>
  <c r="JBC15" i="12"/>
  <c r="JBD15" i="12"/>
  <c r="JBE15" i="12"/>
  <c r="JBF15" i="12"/>
  <c r="JBG15" i="12"/>
  <c r="JBH15" i="12"/>
  <c r="JBI15" i="12"/>
  <c r="JBJ15" i="12"/>
  <c r="JBK15" i="12"/>
  <c r="JBL15" i="12"/>
  <c r="JBM15" i="12"/>
  <c r="JBN15" i="12"/>
  <c r="JBO15" i="12"/>
  <c r="JBP15" i="12"/>
  <c r="JBQ15" i="12"/>
  <c r="JBR15" i="12"/>
  <c r="JBS15" i="12"/>
  <c r="JBT15" i="12"/>
  <c r="JBU15" i="12"/>
  <c r="JBV15" i="12"/>
  <c r="JBW15" i="12"/>
  <c r="JBX15" i="12"/>
  <c r="JBY15" i="12"/>
  <c r="JBZ15" i="12"/>
  <c r="JCA15" i="12"/>
  <c r="JCB15" i="12"/>
  <c r="JCC15" i="12"/>
  <c r="JCD15" i="12"/>
  <c r="JCE15" i="12"/>
  <c r="JCF15" i="12"/>
  <c r="JCG15" i="12"/>
  <c r="JCH15" i="12"/>
  <c r="JCI15" i="12"/>
  <c r="JCJ15" i="12"/>
  <c r="JCK15" i="12"/>
  <c r="JCL15" i="12"/>
  <c r="JCM15" i="12"/>
  <c r="JCN15" i="12"/>
  <c r="JCO15" i="12"/>
  <c r="JCP15" i="12"/>
  <c r="JCQ15" i="12"/>
  <c r="JCR15" i="12"/>
  <c r="JCS15" i="12"/>
  <c r="JCT15" i="12"/>
  <c r="JCU15" i="12"/>
  <c r="JCV15" i="12"/>
  <c r="JCW15" i="12"/>
  <c r="JCX15" i="12"/>
  <c r="JCY15" i="12"/>
  <c r="JCZ15" i="12"/>
  <c r="JDA15" i="12"/>
  <c r="JDB15" i="12"/>
  <c r="JDC15" i="12"/>
  <c r="JDD15" i="12"/>
  <c r="JDE15" i="12"/>
  <c r="JDF15" i="12"/>
  <c r="JDG15" i="12"/>
  <c r="JDH15" i="12"/>
  <c r="JDI15" i="12"/>
  <c r="JDJ15" i="12"/>
  <c r="JDK15" i="12"/>
  <c r="JDL15" i="12"/>
  <c r="JDM15" i="12"/>
  <c r="JDN15" i="12"/>
  <c r="JDO15" i="12"/>
  <c r="JDP15" i="12"/>
  <c r="JDQ15" i="12"/>
  <c r="JDR15" i="12"/>
  <c r="JDS15" i="12"/>
  <c r="JDT15" i="12"/>
  <c r="JDU15" i="12"/>
  <c r="JDV15" i="12"/>
  <c r="JDW15" i="12"/>
  <c r="JDX15" i="12"/>
  <c r="JDY15" i="12"/>
  <c r="JDZ15" i="12"/>
  <c r="JEA15" i="12"/>
  <c r="JEB15" i="12"/>
  <c r="JEC15" i="12"/>
  <c r="JED15" i="12"/>
  <c r="JEE15" i="12"/>
  <c r="JEF15" i="12"/>
  <c r="JEG15" i="12"/>
  <c r="JEH15" i="12"/>
  <c r="JEI15" i="12"/>
  <c r="JEJ15" i="12"/>
  <c r="JEK15" i="12"/>
  <c r="JEL15" i="12"/>
  <c r="JEM15" i="12"/>
  <c r="JEN15" i="12"/>
  <c r="JEO15" i="12"/>
  <c r="JEP15" i="12"/>
  <c r="JEQ15" i="12"/>
  <c r="JER15" i="12"/>
  <c r="JES15" i="12"/>
  <c r="JET15" i="12"/>
  <c r="JEU15" i="12"/>
  <c r="JEV15" i="12"/>
  <c r="JEW15" i="12"/>
  <c r="JEX15" i="12"/>
  <c r="JEY15" i="12"/>
  <c r="JEZ15" i="12"/>
  <c r="JFA15" i="12"/>
  <c r="JFB15" i="12"/>
  <c r="JFC15" i="12"/>
  <c r="JFD15" i="12"/>
  <c r="JFE15" i="12"/>
  <c r="JFF15" i="12"/>
  <c r="JFG15" i="12"/>
  <c r="JFH15" i="12"/>
  <c r="JFI15" i="12"/>
  <c r="JFJ15" i="12"/>
  <c r="JFK15" i="12"/>
  <c r="JFL15" i="12"/>
  <c r="JFM15" i="12"/>
  <c r="JFN15" i="12"/>
  <c r="JFO15" i="12"/>
  <c r="JFP15" i="12"/>
  <c r="JFQ15" i="12"/>
  <c r="JFR15" i="12"/>
  <c r="JFS15" i="12"/>
  <c r="JFT15" i="12"/>
  <c r="JFU15" i="12"/>
  <c r="JFV15" i="12"/>
  <c r="JFW15" i="12"/>
  <c r="JFX15" i="12"/>
  <c r="JFY15" i="12"/>
  <c r="JFZ15" i="12"/>
  <c r="JGA15" i="12"/>
  <c r="JGB15" i="12"/>
  <c r="JGC15" i="12"/>
  <c r="JGD15" i="12"/>
  <c r="JGE15" i="12"/>
  <c r="JGF15" i="12"/>
  <c r="JGG15" i="12"/>
  <c r="JGH15" i="12"/>
  <c r="JGI15" i="12"/>
  <c r="JGJ15" i="12"/>
  <c r="JGK15" i="12"/>
  <c r="JGL15" i="12"/>
  <c r="JGM15" i="12"/>
  <c r="JGN15" i="12"/>
  <c r="JGO15" i="12"/>
  <c r="JGP15" i="12"/>
  <c r="JGQ15" i="12"/>
  <c r="JGR15" i="12"/>
  <c r="JGS15" i="12"/>
  <c r="JGT15" i="12"/>
  <c r="JGU15" i="12"/>
  <c r="JGV15" i="12"/>
  <c r="JGW15" i="12"/>
  <c r="JGX15" i="12"/>
  <c r="JGY15" i="12"/>
  <c r="JGZ15" i="12"/>
  <c r="JHA15" i="12"/>
  <c r="JHB15" i="12"/>
  <c r="JHC15" i="12"/>
  <c r="JHD15" i="12"/>
  <c r="JHE15" i="12"/>
  <c r="JHF15" i="12"/>
  <c r="JHG15" i="12"/>
  <c r="JHH15" i="12"/>
  <c r="JHI15" i="12"/>
  <c r="JHJ15" i="12"/>
  <c r="JHK15" i="12"/>
  <c r="JHL15" i="12"/>
  <c r="JHM15" i="12"/>
  <c r="JHN15" i="12"/>
  <c r="JHO15" i="12"/>
  <c r="JHP15" i="12"/>
  <c r="JHQ15" i="12"/>
  <c r="JHR15" i="12"/>
  <c r="JHS15" i="12"/>
  <c r="JHT15" i="12"/>
  <c r="JHU15" i="12"/>
  <c r="JHV15" i="12"/>
  <c r="JHW15" i="12"/>
  <c r="JHX15" i="12"/>
  <c r="JHY15" i="12"/>
  <c r="JHZ15" i="12"/>
  <c r="JIA15" i="12"/>
  <c r="JIB15" i="12"/>
  <c r="JIC15" i="12"/>
  <c r="JID15" i="12"/>
  <c r="JIE15" i="12"/>
  <c r="JIF15" i="12"/>
  <c r="JIG15" i="12"/>
  <c r="JIH15" i="12"/>
  <c r="JII15" i="12"/>
  <c r="JIJ15" i="12"/>
  <c r="JIK15" i="12"/>
  <c r="JIL15" i="12"/>
  <c r="JIM15" i="12"/>
  <c r="JIN15" i="12"/>
  <c r="JIO15" i="12"/>
  <c r="JIP15" i="12"/>
  <c r="JIQ15" i="12"/>
  <c r="JIR15" i="12"/>
  <c r="JIS15" i="12"/>
  <c r="JIT15" i="12"/>
  <c r="JIU15" i="12"/>
  <c r="JIV15" i="12"/>
  <c r="JIW15" i="12"/>
  <c r="JIX15" i="12"/>
  <c r="JIY15" i="12"/>
  <c r="JIZ15" i="12"/>
  <c r="JJA15" i="12"/>
  <c r="JJB15" i="12"/>
  <c r="JJC15" i="12"/>
  <c r="JJD15" i="12"/>
  <c r="JJE15" i="12"/>
  <c r="JJF15" i="12"/>
  <c r="JJG15" i="12"/>
  <c r="JJH15" i="12"/>
  <c r="JJI15" i="12"/>
  <c r="JJJ15" i="12"/>
  <c r="JJK15" i="12"/>
  <c r="JJL15" i="12"/>
  <c r="JJM15" i="12"/>
  <c r="JJN15" i="12"/>
  <c r="JJO15" i="12"/>
  <c r="JJP15" i="12"/>
  <c r="JJQ15" i="12"/>
  <c r="JJR15" i="12"/>
  <c r="JJS15" i="12"/>
  <c r="JJT15" i="12"/>
  <c r="JJU15" i="12"/>
  <c r="JJV15" i="12"/>
  <c r="JJW15" i="12"/>
  <c r="JJX15" i="12"/>
  <c r="JJY15" i="12"/>
  <c r="JJZ15" i="12"/>
  <c r="JKA15" i="12"/>
  <c r="JKB15" i="12"/>
  <c r="JKC15" i="12"/>
  <c r="JKD15" i="12"/>
  <c r="JKE15" i="12"/>
  <c r="JKF15" i="12"/>
  <c r="JKG15" i="12"/>
  <c r="JKH15" i="12"/>
  <c r="JKI15" i="12"/>
  <c r="JKJ15" i="12"/>
  <c r="JKK15" i="12"/>
  <c r="JKL15" i="12"/>
  <c r="JKM15" i="12"/>
  <c r="JKN15" i="12"/>
  <c r="JKO15" i="12"/>
  <c r="JKP15" i="12"/>
  <c r="JKQ15" i="12"/>
  <c r="JKR15" i="12"/>
  <c r="JKS15" i="12"/>
  <c r="JKT15" i="12"/>
  <c r="JKU15" i="12"/>
  <c r="JKV15" i="12"/>
  <c r="JKW15" i="12"/>
  <c r="JKX15" i="12"/>
  <c r="JKY15" i="12"/>
  <c r="JKZ15" i="12"/>
  <c r="JLA15" i="12"/>
  <c r="JLB15" i="12"/>
  <c r="JLC15" i="12"/>
  <c r="JLD15" i="12"/>
  <c r="JLE15" i="12"/>
  <c r="JLF15" i="12"/>
  <c r="JLG15" i="12"/>
  <c r="JLH15" i="12"/>
  <c r="JLI15" i="12"/>
  <c r="JLJ15" i="12"/>
  <c r="JLK15" i="12"/>
  <c r="JLL15" i="12"/>
  <c r="JLM15" i="12"/>
  <c r="JLN15" i="12"/>
  <c r="JLO15" i="12"/>
  <c r="JLP15" i="12"/>
  <c r="JLQ15" i="12"/>
  <c r="JLR15" i="12"/>
  <c r="JLS15" i="12"/>
  <c r="JLT15" i="12"/>
  <c r="JLU15" i="12"/>
  <c r="JLV15" i="12"/>
  <c r="JLW15" i="12"/>
  <c r="JLX15" i="12"/>
  <c r="JLY15" i="12"/>
  <c r="JLZ15" i="12"/>
  <c r="JMA15" i="12"/>
  <c r="JMB15" i="12"/>
  <c r="JMC15" i="12"/>
  <c r="JMD15" i="12"/>
  <c r="JME15" i="12"/>
  <c r="JMF15" i="12"/>
  <c r="JMG15" i="12"/>
  <c r="JMH15" i="12"/>
  <c r="JMI15" i="12"/>
  <c r="JMJ15" i="12"/>
  <c r="JMK15" i="12"/>
  <c r="JML15" i="12"/>
  <c r="JMM15" i="12"/>
  <c r="JMN15" i="12"/>
  <c r="JMO15" i="12"/>
  <c r="JMP15" i="12"/>
  <c r="JMQ15" i="12"/>
  <c r="JMR15" i="12"/>
  <c r="JMS15" i="12"/>
  <c r="JMT15" i="12"/>
  <c r="JMU15" i="12"/>
  <c r="JMV15" i="12"/>
  <c r="JMW15" i="12"/>
  <c r="JMX15" i="12"/>
  <c r="JMY15" i="12"/>
  <c r="JMZ15" i="12"/>
  <c r="JNA15" i="12"/>
  <c r="JNB15" i="12"/>
  <c r="JNC15" i="12"/>
  <c r="JND15" i="12"/>
  <c r="JNE15" i="12"/>
  <c r="JNF15" i="12"/>
  <c r="JNG15" i="12"/>
  <c r="JNH15" i="12"/>
  <c r="JNI15" i="12"/>
  <c r="JNJ15" i="12"/>
  <c r="JNK15" i="12"/>
  <c r="JNL15" i="12"/>
  <c r="JNM15" i="12"/>
  <c r="JNN15" i="12"/>
  <c r="JNO15" i="12"/>
  <c r="JNP15" i="12"/>
  <c r="JNQ15" i="12"/>
  <c r="JNR15" i="12"/>
  <c r="JNS15" i="12"/>
  <c r="JNT15" i="12"/>
  <c r="JNU15" i="12"/>
  <c r="JNV15" i="12"/>
  <c r="JNW15" i="12"/>
  <c r="JNX15" i="12"/>
  <c r="JNY15" i="12"/>
  <c r="JNZ15" i="12"/>
  <c r="JOA15" i="12"/>
  <c r="JOB15" i="12"/>
  <c r="JOC15" i="12"/>
  <c r="JOD15" i="12"/>
  <c r="JOE15" i="12"/>
  <c r="JOF15" i="12"/>
  <c r="JOG15" i="12"/>
  <c r="JOH15" i="12"/>
  <c r="JOI15" i="12"/>
  <c r="JOJ15" i="12"/>
  <c r="JOK15" i="12"/>
  <c r="JOL15" i="12"/>
  <c r="JOM15" i="12"/>
  <c r="JON15" i="12"/>
  <c r="JOO15" i="12"/>
  <c r="JOP15" i="12"/>
  <c r="JOQ15" i="12"/>
  <c r="JOR15" i="12"/>
  <c r="JOS15" i="12"/>
  <c r="JOT15" i="12"/>
  <c r="JOU15" i="12"/>
  <c r="JOV15" i="12"/>
  <c r="JOW15" i="12"/>
  <c r="JOX15" i="12"/>
  <c r="JOY15" i="12"/>
  <c r="JOZ15" i="12"/>
  <c r="JPA15" i="12"/>
  <c r="JPB15" i="12"/>
  <c r="JPC15" i="12"/>
  <c r="JPD15" i="12"/>
  <c r="JPE15" i="12"/>
  <c r="JPF15" i="12"/>
  <c r="JPG15" i="12"/>
  <c r="JPH15" i="12"/>
  <c r="JPI15" i="12"/>
  <c r="JPJ15" i="12"/>
  <c r="JPK15" i="12"/>
  <c r="JPL15" i="12"/>
  <c r="JPM15" i="12"/>
  <c r="JPN15" i="12"/>
  <c r="JPO15" i="12"/>
  <c r="JPP15" i="12"/>
  <c r="JPQ15" i="12"/>
  <c r="JPR15" i="12"/>
  <c r="JPS15" i="12"/>
  <c r="JPT15" i="12"/>
  <c r="JPU15" i="12"/>
  <c r="JPV15" i="12"/>
  <c r="JPW15" i="12"/>
  <c r="JPX15" i="12"/>
  <c r="JPY15" i="12"/>
  <c r="JPZ15" i="12"/>
  <c r="JQA15" i="12"/>
  <c r="JQB15" i="12"/>
  <c r="JQC15" i="12"/>
  <c r="JQD15" i="12"/>
  <c r="JQE15" i="12"/>
  <c r="JQF15" i="12"/>
  <c r="JQG15" i="12"/>
  <c r="JQH15" i="12"/>
  <c r="JQI15" i="12"/>
  <c r="JQJ15" i="12"/>
  <c r="JQK15" i="12"/>
  <c r="JQL15" i="12"/>
  <c r="JQM15" i="12"/>
  <c r="JQN15" i="12"/>
  <c r="JQO15" i="12"/>
  <c r="JQP15" i="12"/>
  <c r="JQQ15" i="12"/>
  <c r="JQR15" i="12"/>
  <c r="JQS15" i="12"/>
  <c r="JQT15" i="12"/>
  <c r="JQU15" i="12"/>
  <c r="JQV15" i="12"/>
  <c r="JQW15" i="12"/>
  <c r="JQX15" i="12"/>
  <c r="JQY15" i="12"/>
  <c r="JQZ15" i="12"/>
  <c r="JRA15" i="12"/>
  <c r="JRB15" i="12"/>
  <c r="JRC15" i="12"/>
  <c r="JRD15" i="12"/>
  <c r="JRE15" i="12"/>
  <c r="JRF15" i="12"/>
  <c r="JRG15" i="12"/>
  <c r="JRH15" i="12"/>
  <c r="JRI15" i="12"/>
  <c r="JRJ15" i="12"/>
  <c r="JRK15" i="12"/>
  <c r="JRL15" i="12"/>
  <c r="JRM15" i="12"/>
  <c r="JRN15" i="12"/>
  <c r="JRO15" i="12"/>
  <c r="JRP15" i="12"/>
  <c r="JRQ15" i="12"/>
  <c r="JRR15" i="12"/>
  <c r="JRS15" i="12"/>
  <c r="JRT15" i="12"/>
  <c r="JRU15" i="12"/>
  <c r="JRV15" i="12"/>
  <c r="JRW15" i="12"/>
  <c r="JRX15" i="12"/>
  <c r="JRY15" i="12"/>
  <c r="JRZ15" i="12"/>
  <c r="JSA15" i="12"/>
  <c r="JSB15" i="12"/>
  <c r="JSC15" i="12"/>
  <c r="JSD15" i="12"/>
  <c r="JSE15" i="12"/>
  <c r="JSF15" i="12"/>
  <c r="JSG15" i="12"/>
  <c r="JSH15" i="12"/>
  <c r="JSI15" i="12"/>
  <c r="JSJ15" i="12"/>
  <c r="JSK15" i="12"/>
  <c r="JSL15" i="12"/>
  <c r="JSM15" i="12"/>
  <c r="JSN15" i="12"/>
  <c r="JSO15" i="12"/>
  <c r="JSP15" i="12"/>
  <c r="JSQ15" i="12"/>
  <c r="JSR15" i="12"/>
  <c r="JSS15" i="12"/>
  <c r="JST15" i="12"/>
  <c r="JSU15" i="12"/>
  <c r="JSV15" i="12"/>
  <c r="JSW15" i="12"/>
  <c r="JSX15" i="12"/>
  <c r="JSY15" i="12"/>
  <c r="JSZ15" i="12"/>
  <c r="JTA15" i="12"/>
  <c r="JTB15" i="12"/>
  <c r="JTC15" i="12"/>
  <c r="JTD15" i="12"/>
  <c r="JTE15" i="12"/>
  <c r="JTF15" i="12"/>
  <c r="JTG15" i="12"/>
  <c r="JTH15" i="12"/>
  <c r="JTI15" i="12"/>
  <c r="JTJ15" i="12"/>
  <c r="JTK15" i="12"/>
  <c r="JTL15" i="12"/>
  <c r="JTM15" i="12"/>
  <c r="JTN15" i="12"/>
  <c r="JTO15" i="12"/>
  <c r="JTP15" i="12"/>
  <c r="JTQ15" i="12"/>
  <c r="JTR15" i="12"/>
  <c r="JTS15" i="12"/>
  <c r="JTT15" i="12"/>
  <c r="JTU15" i="12"/>
  <c r="JTV15" i="12"/>
  <c r="JTW15" i="12"/>
  <c r="JTX15" i="12"/>
  <c r="JTY15" i="12"/>
  <c r="JTZ15" i="12"/>
  <c r="JUA15" i="12"/>
  <c r="JUB15" i="12"/>
  <c r="JUC15" i="12"/>
  <c r="JUD15" i="12"/>
  <c r="JUE15" i="12"/>
  <c r="JUF15" i="12"/>
  <c r="JUG15" i="12"/>
  <c r="JUH15" i="12"/>
  <c r="JUI15" i="12"/>
  <c r="JUJ15" i="12"/>
  <c r="JUK15" i="12"/>
  <c r="JUL15" i="12"/>
  <c r="JUM15" i="12"/>
  <c r="JUN15" i="12"/>
  <c r="JUO15" i="12"/>
  <c r="JUP15" i="12"/>
  <c r="JUQ15" i="12"/>
  <c r="JUR15" i="12"/>
  <c r="JUS15" i="12"/>
  <c r="JUT15" i="12"/>
  <c r="JUU15" i="12"/>
  <c r="JUV15" i="12"/>
  <c r="JUW15" i="12"/>
  <c r="JUX15" i="12"/>
  <c r="JUY15" i="12"/>
  <c r="JUZ15" i="12"/>
  <c r="JVA15" i="12"/>
  <c r="JVB15" i="12"/>
  <c r="JVC15" i="12"/>
  <c r="JVD15" i="12"/>
  <c r="JVE15" i="12"/>
  <c r="JVF15" i="12"/>
  <c r="JVG15" i="12"/>
  <c r="JVH15" i="12"/>
  <c r="JVI15" i="12"/>
  <c r="JVJ15" i="12"/>
  <c r="JVK15" i="12"/>
  <c r="JVL15" i="12"/>
  <c r="JVM15" i="12"/>
  <c r="JVN15" i="12"/>
  <c r="JVO15" i="12"/>
  <c r="JVP15" i="12"/>
  <c r="JVQ15" i="12"/>
  <c r="JVR15" i="12"/>
  <c r="JVS15" i="12"/>
  <c r="JVT15" i="12"/>
  <c r="JVU15" i="12"/>
  <c r="JVV15" i="12"/>
  <c r="JVW15" i="12"/>
  <c r="JVX15" i="12"/>
  <c r="JVY15" i="12"/>
  <c r="JVZ15" i="12"/>
  <c r="JWA15" i="12"/>
  <c r="JWB15" i="12"/>
  <c r="JWC15" i="12"/>
  <c r="JWD15" i="12"/>
  <c r="JWE15" i="12"/>
  <c r="JWF15" i="12"/>
  <c r="JWG15" i="12"/>
  <c r="JWH15" i="12"/>
  <c r="JWI15" i="12"/>
  <c r="JWJ15" i="12"/>
  <c r="JWK15" i="12"/>
  <c r="JWL15" i="12"/>
  <c r="JWM15" i="12"/>
  <c r="JWN15" i="12"/>
  <c r="JWO15" i="12"/>
  <c r="JWP15" i="12"/>
  <c r="JWQ15" i="12"/>
  <c r="JWR15" i="12"/>
  <c r="JWS15" i="12"/>
  <c r="JWT15" i="12"/>
  <c r="JWU15" i="12"/>
  <c r="JWV15" i="12"/>
  <c r="JWW15" i="12"/>
  <c r="JWX15" i="12"/>
  <c r="JWY15" i="12"/>
  <c r="JWZ15" i="12"/>
  <c r="JXA15" i="12"/>
  <c r="JXB15" i="12"/>
  <c r="JXC15" i="12"/>
  <c r="JXD15" i="12"/>
  <c r="JXE15" i="12"/>
  <c r="JXF15" i="12"/>
  <c r="JXG15" i="12"/>
  <c r="JXH15" i="12"/>
  <c r="JXI15" i="12"/>
  <c r="JXJ15" i="12"/>
  <c r="JXK15" i="12"/>
  <c r="JXL15" i="12"/>
  <c r="JXM15" i="12"/>
  <c r="JXN15" i="12"/>
  <c r="JXO15" i="12"/>
  <c r="JXP15" i="12"/>
  <c r="JXQ15" i="12"/>
  <c r="JXR15" i="12"/>
  <c r="JXS15" i="12"/>
  <c r="JXT15" i="12"/>
  <c r="JXU15" i="12"/>
  <c r="JXV15" i="12"/>
  <c r="JXW15" i="12"/>
  <c r="JXX15" i="12"/>
  <c r="JXY15" i="12"/>
  <c r="JXZ15" i="12"/>
  <c r="JYA15" i="12"/>
  <c r="JYB15" i="12"/>
  <c r="JYC15" i="12"/>
  <c r="JYD15" i="12"/>
  <c r="JYE15" i="12"/>
  <c r="JYF15" i="12"/>
  <c r="JYG15" i="12"/>
  <c r="JYH15" i="12"/>
  <c r="JYI15" i="12"/>
  <c r="JYJ15" i="12"/>
  <c r="JYK15" i="12"/>
  <c r="JYL15" i="12"/>
  <c r="JYM15" i="12"/>
  <c r="JYN15" i="12"/>
  <c r="JYO15" i="12"/>
  <c r="JYP15" i="12"/>
  <c r="JYQ15" i="12"/>
  <c r="JYR15" i="12"/>
  <c r="JYS15" i="12"/>
  <c r="JYT15" i="12"/>
  <c r="JYU15" i="12"/>
  <c r="JYV15" i="12"/>
  <c r="JYW15" i="12"/>
  <c r="JYX15" i="12"/>
  <c r="JYY15" i="12"/>
  <c r="JYZ15" i="12"/>
  <c r="JZA15" i="12"/>
  <c r="JZB15" i="12"/>
  <c r="JZC15" i="12"/>
  <c r="JZD15" i="12"/>
  <c r="JZE15" i="12"/>
  <c r="JZF15" i="12"/>
  <c r="JZG15" i="12"/>
  <c r="JZH15" i="12"/>
  <c r="JZI15" i="12"/>
  <c r="JZJ15" i="12"/>
  <c r="JZK15" i="12"/>
  <c r="JZL15" i="12"/>
  <c r="JZM15" i="12"/>
  <c r="JZN15" i="12"/>
  <c r="JZO15" i="12"/>
  <c r="JZP15" i="12"/>
  <c r="JZQ15" i="12"/>
  <c r="JZR15" i="12"/>
  <c r="JZS15" i="12"/>
  <c r="JZT15" i="12"/>
  <c r="JZU15" i="12"/>
  <c r="JZV15" i="12"/>
  <c r="JZW15" i="12"/>
  <c r="JZX15" i="12"/>
  <c r="JZY15" i="12"/>
  <c r="JZZ15" i="12"/>
  <c r="KAA15" i="12"/>
  <c r="KAB15" i="12"/>
  <c r="KAC15" i="12"/>
  <c r="KAD15" i="12"/>
  <c r="KAE15" i="12"/>
  <c r="KAF15" i="12"/>
  <c r="KAG15" i="12"/>
  <c r="KAH15" i="12"/>
  <c r="KAI15" i="12"/>
  <c r="KAJ15" i="12"/>
  <c r="KAK15" i="12"/>
  <c r="KAL15" i="12"/>
  <c r="KAM15" i="12"/>
  <c r="KAN15" i="12"/>
  <c r="KAO15" i="12"/>
  <c r="KAP15" i="12"/>
  <c r="KAQ15" i="12"/>
  <c r="KAR15" i="12"/>
  <c r="KAS15" i="12"/>
  <c r="KAT15" i="12"/>
  <c r="KAU15" i="12"/>
  <c r="KAV15" i="12"/>
  <c r="KAW15" i="12"/>
  <c r="KAX15" i="12"/>
  <c r="KAY15" i="12"/>
  <c r="KAZ15" i="12"/>
  <c r="KBA15" i="12"/>
  <c r="KBB15" i="12"/>
  <c r="KBC15" i="12"/>
  <c r="KBD15" i="12"/>
  <c r="KBE15" i="12"/>
  <c r="KBF15" i="12"/>
  <c r="KBG15" i="12"/>
  <c r="KBH15" i="12"/>
  <c r="KBI15" i="12"/>
  <c r="KBJ15" i="12"/>
  <c r="KBK15" i="12"/>
  <c r="KBL15" i="12"/>
  <c r="KBM15" i="12"/>
  <c r="KBN15" i="12"/>
  <c r="KBO15" i="12"/>
  <c r="KBP15" i="12"/>
  <c r="KBQ15" i="12"/>
  <c r="KBR15" i="12"/>
  <c r="KBS15" i="12"/>
  <c r="KBT15" i="12"/>
  <c r="KBU15" i="12"/>
  <c r="KBV15" i="12"/>
  <c r="KBW15" i="12"/>
  <c r="KBX15" i="12"/>
  <c r="KBY15" i="12"/>
  <c r="KBZ15" i="12"/>
  <c r="KCA15" i="12"/>
  <c r="KCB15" i="12"/>
  <c r="KCC15" i="12"/>
  <c r="KCD15" i="12"/>
  <c r="KCE15" i="12"/>
  <c r="KCF15" i="12"/>
  <c r="KCG15" i="12"/>
  <c r="KCH15" i="12"/>
  <c r="KCI15" i="12"/>
  <c r="KCJ15" i="12"/>
  <c r="KCK15" i="12"/>
  <c r="KCL15" i="12"/>
  <c r="KCM15" i="12"/>
  <c r="KCN15" i="12"/>
  <c r="KCO15" i="12"/>
  <c r="KCP15" i="12"/>
  <c r="KCQ15" i="12"/>
  <c r="KCR15" i="12"/>
  <c r="KCS15" i="12"/>
  <c r="KCT15" i="12"/>
  <c r="KCU15" i="12"/>
  <c r="KCV15" i="12"/>
  <c r="KCW15" i="12"/>
  <c r="KCX15" i="12"/>
  <c r="KCY15" i="12"/>
  <c r="KCZ15" i="12"/>
  <c r="KDA15" i="12"/>
  <c r="KDB15" i="12"/>
  <c r="KDC15" i="12"/>
  <c r="KDD15" i="12"/>
  <c r="KDE15" i="12"/>
  <c r="KDF15" i="12"/>
  <c r="KDG15" i="12"/>
  <c r="KDH15" i="12"/>
  <c r="KDI15" i="12"/>
  <c r="KDJ15" i="12"/>
  <c r="KDK15" i="12"/>
  <c r="KDL15" i="12"/>
  <c r="KDM15" i="12"/>
  <c r="KDN15" i="12"/>
  <c r="KDO15" i="12"/>
  <c r="KDP15" i="12"/>
  <c r="KDQ15" i="12"/>
  <c r="KDR15" i="12"/>
  <c r="KDS15" i="12"/>
  <c r="KDT15" i="12"/>
  <c r="KDU15" i="12"/>
  <c r="KDV15" i="12"/>
  <c r="KDW15" i="12"/>
  <c r="KDX15" i="12"/>
  <c r="KDY15" i="12"/>
  <c r="KDZ15" i="12"/>
  <c r="KEA15" i="12"/>
  <c r="KEB15" i="12"/>
  <c r="KEC15" i="12"/>
  <c r="KED15" i="12"/>
  <c r="KEE15" i="12"/>
  <c r="KEF15" i="12"/>
  <c r="KEG15" i="12"/>
  <c r="KEH15" i="12"/>
  <c r="KEI15" i="12"/>
  <c r="KEJ15" i="12"/>
  <c r="KEK15" i="12"/>
  <c r="KEL15" i="12"/>
  <c r="KEM15" i="12"/>
  <c r="KEN15" i="12"/>
  <c r="KEO15" i="12"/>
  <c r="KEP15" i="12"/>
  <c r="KEQ15" i="12"/>
  <c r="KER15" i="12"/>
  <c r="KES15" i="12"/>
  <c r="KET15" i="12"/>
  <c r="KEU15" i="12"/>
  <c r="KEV15" i="12"/>
  <c r="KEW15" i="12"/>
  <c r="KEX15" i="12"/>
  <c r="KEY15" i="12"/>
  <c r="KEZ15" i="12"/>
  <c r="KFA15" i="12"/>
  <c r="KFB15" i="12"/>
  <c r="KFC15" i="12"/>
  <c r="KFD15" i="12"/>
  <c r="KFE15" i="12"/>
  <c r="KFF15" i="12"/>
  <c r="KFG15" i="12"/>
  <c r="KFH15" i="12"/>
  <c r="KFI15" i="12"/>
  <c r="KFJ15" i="12"/>
  <c r="KFK15" i="12"/>
  <c r="KFL15" i="12"/>
  <c r="KFM15" i="12"/>
  <c r="KFN15" i="12"/>
  <c r="KFO15" i="12"/>
  <c r="KFP15" i="12"/>
  <c r="KFQ15" i="12"/>
  <c r="KFR15" i="12"/>
  <c r="KFS15" i="12"/>
  <c r="KFT15" i="12"/>
  <c r="KFU15" i="12"/>
  <c r="KFV15" i="12"/>
  <c r="KFW15" i="12"/>
  <c r="KFX15" i="12"/>
  <c r="KFY15" i="12"/>
  <c r="KFZ15" i="12"/>
  <c r="KGA15" i="12"/>
  <c r="KGB15" i="12"/>
  <c r="KGC15" i="12"/>
  <c r="KGD15" i="12"/>
  <c r="KGE15" i="12"/>
  <c r="KGF15" i="12"/>
  <c r="KGG15" i="12"/>
  <c r="KGH15" i="12"/>
  <c r="KGI15" i="12"/>
  <c r="KGJ15" i="12"/>
  <c r="KGK15" i="12"/>
  <c r="KGL15" i="12"/>
  <c r="KGM15" i="12"/>
  <c r="KGN15" i="12"/>
  <c r="KGO15" i="12"/>
  <c r="KGP15" i="12"/>
  <c r="KGQ15" i="12"/>
  <c r="KGR15" i="12"/>
  <c r="KGS15" i="12"/>
  <c r="KGT15" i="12"/>
  <c r="KGU15" i="12"/>
  <c r="KGV15" i="12"/>
  <c r="KGW15" i="12"/>
  <c r="KGX15" i="12"/>
  <c r="KGY15" i="12"/>
  <c r="KGZ15" i="12"/>
  <c r="KHA15" i="12"/>
  <c r="KHB15" i="12"/>
  <c r="KHC15" i="12"/>
  <c r="KHD15" i="12"/>
  <c r="KHE15" i="12"/>
  <c r="KHF15" i="12"/>
  <c r="KHG15" i="12"/>
  <c r="KHH15" i="12"/>
  <c r="KHI15" i="12"/>
  <c r="KHJ15" i="12"/>
  <c r="KHK15" i="12"/>
  <c r="KHL15" i="12"/>
  <c r="KHM15" i="12"/>
  <c r="KHN15" i="12"/>
  <c r="KHO15" i="12"/>
  <c r="KHP15" i="12"/>
  <c r="KHQ15" i="12"/>
  <c r="KHR15" i="12"/>
  <c r="KHS15" i="12"/>
  <c r="KHT15" i="12"/>
  <c r="KHU15" i="12"/>
  <c r="KHV15" i="12"/>
  <c r="KHW15" i="12"/>
  <c r="KHX15" i="12"/>
  <c r="KHY15" i="12"/>
  <c r="KHZ15" i="12"/>
  <c r="KIA15" i="12"/>
  <c r="KIB15" i="12"/>
  <c r="KIC15" i="12"/>
  <c r="KID15" i="12"/>
  <c r="KIE15" i="12"/>
  <c r="KIF15" i="12"/>
  <c r="KIG15" i="12"/>
  <c r="KIH15" i="12"/>
  <c r="KII15" i="12"/>
  <c r="KIJ15" i="12"/>
  <c r="KIK15" i="12"/>
  <c r="KIL15" i="12"/>
  <c r="KIM15" i="12"/>
  <c r="KIN15" i="12"/>
  <c r="KIO15" i="12"/>
  <c r="KIP15" i="12"/>
  <c r="KIQ15" i="12"/>
  <c r="KIR15" i="12"/>
  <c r="KIS15" i="12"/>
  <c r="KIT15" i="12"/>
  <c r="KIU15" i="12"/>
  <c r="KIV15" i="12"/>
  <c r="KIW15" i="12"/>
  <c r="KIX15" i="12"/>
  <c r="KIY15" i="12"/>
  <c r="KIZ15" i="12"/>
  <c r="KJA15" i="12"/>
  <c r="KJB15" i="12"/>
  <c r="KJC15" i="12"/>
  <c r="KJD15" i="12"/>
  <c r="KJE15" i="12"/>
  <c r="KJF15" i="12"/>
  <c r="KJG15" i="12"/>
  <c r="KJH15" i="12"/>
  <c r="KJI15" i="12"/>
  <c r="KJJ15" i="12"/>
  <c r="KJK15" i="12"/>
  <c r="KJL15" i="12"/>
  <c r="KJM15" i="12"/>
  <c r="KJN15" i="12"/>
  <c r="KJO15" i="12"/>
  <c r="KJP15" i="12"/>
  <c r="KJQ15" i="12"/>
  <c r="KJR15" i="12"/>
  <c r="KJS15" i="12"/>
  <c r="KJT15" i="12"/>
  <c r="KJU15" i="12"/>
  <c r="KJV15" i="12"/>
  <c r="KJW15" i="12"/>
  <c r="KJX15" i="12"/>
  <c r="KJY15" i="12"/>
  <c r="KJZ15" i="12"/>
  <c r="KKA15" i="12"/>
  <c r="KKB15" i="12"/>
  <c r="KKC15" i="12"/>
  <c r="KKD15" i="12"/>
  <c r="KKE15" i="12"/>
  <c r="KKF15" i="12"/>
  <c r="KKG15" i="12"/>
  <c r="KKH15" i="12"/>
  <c r="KKI15" i="12"/>
  <c r="KKJ15" i="12"/>
  <c r="KKK15" i="12"/>
  <c r="KKL15" i="12"/>
  <c r="KKM15" i="12"/>
  <c r="KKN15" i="12"/>
  <c r="KKO15" i="12"/>
  <c r="KKP15" i="12"/>
  <c r="KKQ15" i="12"/>
  <c r="KKR15" i="12"/>
  <c r="KKS15" i="12"/>
  <c r="KKT15" i="12"/>
  <c r="KKU15" i="12"/>
  <c r="KKV15" i="12"/>
  <c r="KKW15" i="12"/>
  <c r="KKX15" i="12"/>
  <c r="KKY15" i="12"/>
  <c r="KKZ15" i="12"/>
  <c r="KLA15" i="12"/>
  <c r="KLB15" i="12"/>
  <c r="KLC15" i="12"/>
  <c r="KLD15" i="12"/>
  <c r="KLE15" i="12"/>
  <c r="KLF15" i="12"/>
  <c r="KLG15" i="12"/>
  <c r="KLH15" i="12"/>
  <c r="KLI15" i="12"/>
  <c r="KLJ15" i="12"/>
  <c r="KLK15" i="12"/>
  <c r="KLL15" i="12"/>
  <c r="KLM15" i="12"/>
  <c r="KLN15" i="12"/>
  <c r="KLO15" i="12"/>
  <c r="KLP15" i="12"/>
  <c r="KLQ15" i="12"/>
  <c r="KLR15" i="12"/>
  <c r="KLS15" i="12"/>
  <c r="KLT15" i="12"/>
  <c r="KLU15" i="12"/>
  <c r="KLV15" i="12"/>
  <c r="KLW15" i="12"/>
  <c r="KLX15" i="12"/>
  <c r="KLY15" i="12"/>
  <c r="KLZ15" i="12"/>
  <c r="KMA15" i="12"/>
  <c r="KMB15" i="12"/>
  <c r="KMC15" i="12"/>
  <c r="KMD15" i="12"/>
  <c r="KME15" i="12"/>
  <c r="KMF15" i="12"/>
  <c r="KMG15" i="12"/>
  <c r="KMH15" i="12"/>
  <c r="KMI15" i="12"/>
  <c r="KMJ15" i="12"/>
  <c r="KMK15" i="12"/>
  <c r="KML15" i="12"/>
  <c r="KMM15" i="12"/>
  <c r="KMN15" i="12"/>
  <c r="KMO15" i="12"/>
  <c r="KMP15" i="12"/>
  <c r="KMQ15" i="12"/>
  <c r="KMR15" i="12"/>
  <c r="KMS15" i="12"/>
  <c r="KMT15" i="12"/>
  <c r="KMU15" i="12"/>
  <c r="KMV15" i="12"/>
  <c r="KMW15" i="12"/>
  <c r="KMX15" i="12"/>
  <c r="KMY15" i="12"/>
  <c r="KMZ15" i="12"/>
  <c r="KNA15" i="12"/>
  <c r="KNB15" i="12"/>
  <c r="KNC15" i="12"/>
  <c r="KND15" i="12"/>
  <c r="KNE15" i="12"/>
  <c r="KNF15" i="12"/>
  <c r="KNG15" i="12"/>
  <c r="KNH15" i="12"/>
  <c r="KNI15" i="12"/>
  <c r="KNJ15" i="12"/>
  <c r="KNK15" i="12"/>
  <c r="KNL15" i="12"/>
  <c r="KNM15" i="12"/>
  <c r="KNN15" i="12"/>
  <c r="KNO15" i="12"/>
  <c r="KNP15" i="12"/>
  <c r="KNQ15" i="12"/>
  <c r="KNR15" i="12"/>
  <c r="KNS15" i="12"/>
  <c r="KNT15" i="12"/>
  <c r="KNU15" i="12"/>
  <c r="KNV15" i="12"/>
  <c r="KNW15" i="12"/>
  <c r="KNX15" i="12"/>
  <c r="KNY15" i="12"/>
  <c r="KNZ15" i="12"/>
  <c r="KOA15" i="12"/>
  <c r="KOB15" i="12"/>
  <c r="KOC15" i="12"/>
  <c r="KOD15" i="12"/>
  <c r="KOE15" i="12"/>
  <c r="KOF15" i="12"/>
  <c r="KOG15" i="12"/>
  <c r="KOH15" i="12"/>
  <c r="KOI15" i="12"/>
  <c r="KOJ15" i="12"/>
  <c r="KOK15" i="12"/>
  <c r="KOL15" i="12"/>
  <c r="KOM15" i="12"/>
  <c r="KON15" i="12"/>
  <c r="KOO15" i="12"/>
  <c r="KOP15" i="12"/>
  <c r="KOQ15" i="12"/>
  <c r="KOR15" i="12"/>
  <c r="KOS15" i="12"/>
  <c r="KOT15" i="12"/>
  <c r="KOU15" i="12"/>
  <c r="KOV15" i="12"/>
  <c r="KOW15" i="12"/>
  <c r="KOX15" i="12"/>
  <c r="KOY15" i="12"/>
  <c r="KOZ15" i="12"/>
  <c r="KPA15" i="12"/>
  <c r="KPB15" i="12"/>
  <c r="KPC15" i="12"/>
  <c r="KPD15" i="12"/>
  <c r="KPE15" i="12"/>
  <c r="KPF15" i="12"/>
  <c r="KPG15" i="12"/>
  <c r="KPH15" i="12"/>
  <c r="KPI15" i="12"/>
  <c r="KPJ15" i="12"/>
  <c r="KPK15" i="12"/>
  <c r="KPL15" i="12"/>
  <c r="KPM15" i="12"/>
  <c r="KPN15" i="12"/>
  <c r="KPO15" i="12"/>
  <c r="KPP15" i="12"/>
  <c r="KPQ15" i="12"/>
  <c r="KPR15" i="12"/>
  <c r="KPS15" i="12"/>
  <c r="KPT15" i="12"/>
  <c r="KPU15" i="12"/>
  <c r="KPV15" i="12"/>
  <c r="KPW15" i="12"/>
  <c r="KPX15" i="12"/>
  <c r="KPY15" i="12"/>
  <c r="KPZ15" i="12"/>
  <c r="KQA15" i="12"/>
  <c r="KQB15" i="12"/>
  <c r="KQC15" i="12"/>
  <c r="KQD15" i="12"/>
  <c r="KQE15" i="12"/>
  <c r="KQF15" i="12"/>
  <c r="KQG15" i="12"/>
  <c r="KQH15" i="12"/>
  <c r="KQI15" i="12"/>
  <c r="KQJ15" i="12"/>
  <c r="KQK15" i="12"/>
  <c r="KQL15" i="12"/>
  <c r="KQM15" i="12"/>
  <c r="KQN15" i="12"/>
  <c r="KQO15" i="12"/>
  <c r="KQP15" i="12"/>
  <c r="KQQ15" i="12"/>
  <c r="KQR15" i="12"/>
  <c r="KQS15" i="12"/>
  <c r="KQT15" i="12"/>
  <c r="KQU15" i="12"/>
  <c r="KQV15" i="12"/>
  <c r="KQW15" i="12"/>
  <c r="KQX15" i="12"/>
  <c r="KQY15" i="12"/>
  <c r="KQZ15" i="12"/>
  <c r="KRA15" i="12"/>
  <c r="KRB15" i="12"/>
  <c r="KRC15" i="12"/>
  <c r="KRD15" i="12"/>
  <c r="KRE15" i="12"/>
  <c r="KRF15" i="12"/>
  <c r="KRG15" i="12"/>
  <c r="KRH15" i="12"/>
  <c r="KRI15" i="12"/>
  <c r="KRJ15" i="12"/>
  <c r="KRK15" i="12"/>
  <c r="KRL15" i="12"/>
  <c r="KRM15" i="12"/>
  <c r="KRN15" i="12"/>
  <c r="KRO15" i="12"/>
  <c r="KRP15" i="12"/>
  <c r="KRQ15" i="12"/>
  <c r="KRR15" i="12"/>
  <c r="KRS15" i="12"/>
  <c r="KRT15" i="12"/>
  <c r="KRU15" i="12"/>
  <c r="KRV15" i="12"/>
  <c r="KRW15" i="12"/>
  <c r="KRX15" i="12"/>
  <c r="KRY15" i="12"/>
  <c r="KRZ15" i="12"/>
  <c r="KSA15" i="12"/>
  <c r="KSB15" i="12"/>
  <c r="KSC15" i="12"/>
  <c r="KSD15" i="12"/>
  <c r="KSE15" i="12"/>
  <c r="KSF15" i="12"/>
  <c r="KSG15" i="12"/>
  <c r="KSH15" i="12"/>
  <c r="KSI15" i="12"/>
  <c r="KSJ15" i="12"/>
  <c r="KSK15" i="12"/>
  <c r="KSL15" i="12"/>
  <c r="KSM15" i="12"/>
  <c r="KSN15" i="12"/>
  <c r="KSO15" i="12"/>
  <c r="KSP15" i="12"/>
  <c r="KSQ15" i="12"/>
  <c r="KSR15" i="12"/>
  <c r="KSS15" i="12"/>
  <c r="KST15" i="12"/>
  <c r="KSU15" i="12"/>
  <c r="KSV15" i="12"/>
  <c r="KSW15" i="12"/>
  <c r="KSX15" i="12"/>
  <c r="KSY15" i="12"/>
  <c r="KSZ15" i="12"/>
  <c r="KTA15" i="12"/>
  <c r="KTB15" i="12"/>
  <c r="KTC15" i="12"/>
  <c r="KTD15" i="12"/>
  <c r="KTE15" i="12"/>
  <c r="KTF15" i="12"/>
  <c r="KTG15" i="12"/>
  <c r="KTH15" i="12"/>
  <c r="KTI15" i="12"/>
  <c r="KTJ15" i="12"/>
  <c r="KTK15" i="12"/>
  <c r="KTL15" i="12"/>
  <c r="KTM15" i="12"/>
  <c r="KTN15" i="12"/>
  <c r="KTO15" i="12"/>
  <c r="KTP15" i="12"/>
  <c r="KTQ15" i="12"/>
  <c r="KTR15" i="12"/>
  <c r="KTS15" i="12"/>
  <c r="KTT15" i="12"/>
  <c r="KTU15" i="12"/>
  <c r="KTV15" i="12"/>
  <c r="KTW15" i="12"/>
  <c r="KTX15" i="12"/>
  <c r="KTY15" i="12"/>
  <c r="KTZ15" i="12"/>
  <c r="KUA15" i="12"/>
  <c r="KUB15" i="12"/>
  <c r="KUC15" i="12"/>
  <c r="KUD15" i="12"/>
  <c r="KUE15" i="12"/>
  <c r="KUF15" i="12"/>
  <c r="KUG15" i="12"/>
  <c r="KUH15" i="12"/>
  <c r="KUI15" i="12"/>
  <c r="KUJ15" i="12"/>
  <c r="KUK15" i="12"/>
  <c r="KUL15" i="12"/>
  <c r="KUM15" i="12"/>
  <c r="KUN15" i="12"/>
  <c r="KUO15" i="12"/>
  <c r="KUP15" i="12"/>
  <c r="KUQ15" i="12"/>
  <c r="KUR15" i="12"/>
  <c r="KUS15" i="12"/>
  <c r="KUT15" i="12"/>
  <c r="KUU15" i="12"/>
  <c r="KUV15" i="12"/>
  <c r="KUW15" i="12"/>
  <c r="KUX15" i="12"/>
  <c r="KUY15" i="12"/>
  <c r="KUZ15" i="12"/>
  <c r="KVA15" i="12"/>
  <c r="KVB15" i="12"/>
  <c r="KVC15" i="12"/>
  <c r="KVD15" i="12"/>
  <c r="KVE15" i="12"/>
  <c r="KVF15" i="12"/>
  <c r="KVG15" i="12"/>
  <c r="KVH15" i="12"/>
  <c r="KVI15" i="12"/>
  <c r="KVJ15" i="12"/>
  <c r="KVK15" i="12"/>
  <c r="KVL15" i="12"/>
  <c r="KVM15" i="12"/>
  <c r="KVN15" i="12"/>
  <c r="KVO15" i="12"/>
  <c r="KVP15" i="12"/>
  <c r="KVQ15" i="12"/>
  <c r="KVR15" i="12"/>
  <c r="KVS15" i="12"/>
  <c r="KVT15" i="12"/>
  <c r="KVU15" i="12"/>
  <c r="KVV15" i="12"/>
  <c r="KVW15" i="12"/>
  <c r="KVX15" i="12"/>
  <c r="KVY15" i="12"/>
  <c r="KVZ15" i="12"/>
  <c r="KWA15" i="12"/>
  <c r="KWB15" i="12"/>
  <c r="KWC15" i="12"/>
  <c r="KWD15" i="12"/>
  <c r="KWE15" i="12"/>
  <c r="KWF15" i="12"/>
  <c r="KWG15" i="12"/>
  <c r="KWH15" i="12"/>
  <c r="KWI15" i="12"/>
  <c r="KWJ15" i="12"/>
  <c r="KWK15" i="12"/>
  <c r="KWL15" i="12"/>
  <c r="KWM15" i="12"/>
  <c r="KWN15" i="12"/>
  <c r="KWO15" i="12"/>
  <c r="KWP15" i="12"/>
  <c r="KWQ15" i="12"/>
  <c r="KWR15" i="12"/>
  <c r="KWS15" i="12"/>
  <c r="KWT15" i="12"/>
  <c r="KWU15" i="12"/>
  <c r="KWV15" i="12"/>
  <c r="KWW15" i="12"/>
  <c r="KWX15" i="12"/>
  <c r="KWY15" i="12"/>
  <c r="KWZ15" i="12"/>
  <c r="KXA15" i="12"/>
  <c r="KXB15" i="12"/>
  <c r="KXC15" i="12"/>
  <c r="KXD15" i="12"/>
  <c r="KXE15" i="12"/>
  <c r="KXF15" i="12"/>
  <c r="KXG15" i="12"/>
  <c r="KXH15" i="12"/>
  <c r="KXI15" i="12"/>
  <c r="KXJ15" i="12"/>
  <c r="KXK15" i="12"/>
  <c r="KXL15" i="12"/>
  <c r="KXM15" i="12"/>
  <c r="KXN15" i="12"/>
  <c r="KXO15" i="12"/>
  <c r="KXP15" i="12"/>
  <c r="KXQ15" i="12"/>
  <c r="KXR15" i="12"/>
  <c r="KXS15" i="12"/>
  <c r="KXT15" i="12"/>
  <c r="KXU15" i="12"/>
  <c r="KXV15" i="12"/>
  <c r="KXW15" i="12"/>
  <c r="KXX15" i="12"/>
  <c r="KXY15" i="12"/>
  <c r="KXZ15" i="12"/>
  <c r="KYA15" i="12"/>
  <c r="KYB15" i="12"/>
  <c r="KYC15" i="12"/>
  <c r="KYD15" i="12"/>
  <c r="KYE15" i="12"/>
  <c r="KYF15" i="12"/>
  <c r="KYG15" i="12"/>
  <c r="KYH15" i="12"/>
  <c r="KYI15" i="12"/>
  <c r="KYJ15" i="12"/>
  <c r="KYK15" i="12"/>
  <c r="KYL15" i="12"/>
  <c r="KYM15" i="12"/>
  <c r="KYN15" i="12"/>
  <c r="KYO15" i="12"/>
  <c r="KYP15" i="12"/>
  <c r="KYQ15" i="12"/>
  <c r="KYR15" i="12"/>
  <c r="KYS15" i="12"/>
  <c r="KYT15" i="12"/>
  <c r="KYU15" i="12"/>
  <c r="KYV15" i="12"/>
  <c r="KYW15" i="12"/>
  <c r="KYX15" i="12"/>
  <c r="KYY15" i="12"/>
  <c r="KYZ15" i="12"/>
  <c r="KZA15" i="12"/>
  <c r="KZB15" i="12"/>
  <c r="KZC15" i="12"/>
  <c r="KZD15" i="12"/>
  <c r="KZE15" i="12"/>
  <c r="KZF15" i="12"/>
  <c r="KZG15" i="12"/>
  <c r="KZH15" i="12"/>
  <c r="KZI15" i="12"/>
  <c r="KZJ15" i="12"/>
  <c r="KZK15" i="12"/>
  <c r="KZL15" i="12"/>
  <c r="KZM15" i="12"/>
  <c r="KZN15" i="12"/>
  <c r="KZO15" i="12"/>
  <c r="KZP15" i="12"/>
  <c r="KZQ15" i="12"/>
  <c r="KZR15" i="12"/>
  <c r="KZS15" i="12"/>
  <c r="KZT15" i="12"/>
  <c r="KZU15" i="12"/>
  <c r="KZV15" i="12"/>
  <c r="KZW15" i="12"/>
  <c r="KZX15" i="12"/>
  <c r="KZY15" i="12"/>
  <c r="KZZ15" i="12"/>
  <c r="LAA15" i="12"/>
  <c r="LAB15" i="12"/>
  <c r="LAC15" i="12"/>
  <c r="LAD15" i="12"/>
  <c r="LAE15" i="12"/>
  <c r="LAF15" i="12"/>
  <c r="LAG15" i="12"/>
  <c r="LAH15" i="12"/>
  <c r="LAI15" i="12"/>
  <c r="LAJ15" i="12"/>
  <c r="LAK15" i="12"/>
  <c r="LAL15" i="12"/>
  <c r="LAM15" i="12"/>
  <c r="LAN15" i="12"/>
  <c r="LAO15" i="12"/>
  <c r="LAP15" i="12"/>
  <c r="LAQ15" i="12"/>
  <c r="LAR15" i="12"/>
  <c r="LAS15" i="12"/>
  <c r="LAT15" i="12"/>
  <c r="LAU15" i="12"/>
  <c r="LAV15" i="12"/>
  <c r="LAW15" i="12"/>
  <c r="LAX15" i="12"/>
  <c r="LAY15" i="12"/>
  <c r="LAZ15" i="12"/>
  <c r="LBA15" i="12"/>
  <c r="LBB15" i="12"/>
  <c r="LBC15" i="12"/>
  <c r="LBD15" i="12"/>
  <c r="LBE15" i="12"/>
  <c r="LBF15" i="12"/>
  <c r="LBG15" i="12"/>
  <c r="LBH15" i="12"/>
  <c r="LBI15" i="12"/>
  <c r="LBJ15" i="12"/>
  <c r="LBK15" i="12"/>
  <c r="LBL15" i="12"/>
  <c r="LBM15" i="12"/>
  <c r="LBN15" i="12"/>
  <c r="LBO15" i="12"/>
  <c r="LBP15" i="12"/>
  <c r="LBQ15" i="12"/>
  <c r="LBR15" i="12"/>
  <c r="LBS15" i="12"/>
  <c r="LBT15" i="12"/>
  <c r="LBU15" i="12"/>
  <c r="LBV15" i="12"/>
  <c r="LBW15" i="12"/>
  <c r="LBX15" i="12"/>
  <c r="LBY15" i="12"/>
  <c r="LBZ15" i="12"/>
  <c r="LCA15" i="12"/>
  <c r="LCB15" i="12"/>
  <c r="LCC15" i="12"/>
  <c r="LCD15" i="12"/>
  <c r="LCE15" i="12"/>
  <c r="LCF15" i="12"/>
  <c r="LCG15" i="12"/>
  <c r="LCH15" i="12"/>
  <c r="LCI15" i="12"/>
  <c r="LCJ15" i="12"/>
  <c r="LCK15" i="12"/>
  <c r="LCL15" i="12"/>
  <c r="LCM15" i="12"/>
  <c r="LCN15" i="12"/>
  <c r="LCO15" i="12"/>
  <c r="LCP15" i="12"/>
  <c r="LCQ15" i="12"/>
  <c r="LCR15" i="12"/>
  <c r="LCS15" i="12"/>
  <c r="LCT15" i="12"/>
  <c r="LCU15" i="12"/>
  <c r="LCV15" i="12"/>
  <c r="LCW15" i="12"/>
  <c r="LCX15" i="12"/>
  <c r="LCY15" i="12"/>
  <c r="LCZ15" i="12"/>
  <c r="LDA15" i="12"/>
  <c r="LDB15" i="12"/>
  <c r="LDC15" i="12"/>
  <c r="LDD15" i="12"/>
  <c r="LDE15" i="12"/>
  <c r="LDF15" i="12"/>
  <c r="LDG15" i="12"/>
  <c r="LDH15" i="12"/>
  <c r="LDI15" i="12"/>
  <c r="LDJ15" i="12"/>
  <c r="LDK15" i="12"/>
  <c r="LDL15" i="12"/>
  <c r="LDM15" i="12"/>
  <c r="LDN15" i="12"/>
  <c r="LDO15" i="12"/>
  <c r="LDP15" i="12"/>
  <c r="LDQ15" i="12"/>
  <c r="LDR15" i="12"/>
  <c r="LDS15" i="12"/>
  <c r="LDT15" i="12"/>
  <c r="LDU15" i="12"/>
  <c r="LDV15" i="12"/>
  <c r="LDW15" i="12"/>
  <c r="LDX15" i="12"/>
  <c r="LDY15" i="12"/>
  <c r="LDZ15" i="12"/>
  <c r="LEA15" i="12"/>
  <c r="LEB15" i="12"/>
  <c r="LEC15" i="12"/>
  <c r="LED15" i="12"/>
  <c r="LEE15" i="12"/>
  <c r="LEF15" i="12"/>
  <c r="LEG15" i="12"/>
  <c r="LEH15" i="12"/>
  <c r="LEI15" i="12"/>
  <c r="LEJ15" i="12"/>
  <c r="LEK15" i="12"/>
  <c r="LEL15" i="12"/>
  <c r="LEM15" i="12"/>
  <c r="LEN15" i="12"/>
  <c r="LEO15" i="12"/>
  <c r="LEP15" i="12"/>
  <c r="LEQ15" i="12"/>
  <c r="LER15" i="12"/>
  <c r="LES15" i="12"/>
  <c r="LET15" i="12"/>
  <c r="LEU15" i="12"/>
  <c r="LEV15" i="12"/>
  <c r="LEW15" i="12"/>
  <c r="LEX15" i="12"/>
  <c r="LEY15" i="12"/>
  <c r="LEZ15" i="12"/>
  <c r="LFA15" i="12"/>
  <c r="LFB15" i="12"/>
  <c r="LFC15" i="12"/>
  <c r="LFD15" i="12"/>
  <c r="LFE15" i="12"/>
  <c r="LFF15" i="12"/>
  <c r="LFG15" i="12"/>
  <c r="LFH15" i="12"/>
  <c r="LFI15" i="12"/>
  <c r="LFJ15" i="12"/>
  <c r="LFK15" i="12"/>
  <c r="LFL15" i="12"/>
  <c r="LFM15" i="12"/>
  <c r="LFN15" i="12"/>
  <c r="LFO15" i="12"/>
  <c r="LFP15" i="12"/>
  <c r="LFQ15" i="12"/>
  <c r="LFR15" i="12"/>
  <c r="LFS15" i="12"/>
  <c r="LFT15" i="12"/>
  <c r="LFU15" i="12"/>
  <c r="LFV15" i="12"/>
  <c r="LFW15" i="12"/>
  <c r="LFX15" i="12"/>
  <c r="LFY15" i="12"/>
  <c r="LFZ15" i="12"/>
  <c r="LGA15" i="12"/>
  <c r="LGB15" i="12"/>
  <c r="LGC15" i="12"/>
  <c r="LGD15" i="12"/>
  <c r="LGE15" i="12"/>
  <c r="LGF15" i="12"/>
  <c r="LGG15" i="12"/>
  <c r="LGH15" i="12"/>
  <c r="LGI15" i="12"/>
  <c r="LGJ15" i="12"/>
  <c r="LGK15" i="12"/>
  <c r="LGL15" i="12"/>
  <c r="LGM15" i="12"/>
  <c r="LGN15" i="12"/>
  <c r="LGO15" i="12"/>
  <c r="LGP15" i="12"/>
  <c r="LGQ15" i="12"/>
  <c r="LGR15" i="12"/>
  <c r="LGS15" i="12"/>
  <c r="LGT15" i="12"/>
  <c r="LGU15" i="12"/>
  <c r="LGV15" i="12"/>
  <c r="LGW15" i="12"/>
  <c r="LGX15" i="12"/>
  <c r="LGY15" i="12"/>
  <c r="LGZ15" i="12"/>
  <c r="LHA15" i="12"/>
  <c r="LHB15" i="12"/>
  <c r="LHC15" i="12"/>
  <c r="LHD15" i="12"/>
  <c r="LHE15" i="12"/>
  <c r="LHF15" i="12"/>
  <c r="LHG15" i="12"/>
  <c r="LHH15" i="12"/>
  <c r="LHI15" i="12"/>
  <c r="LHJ15" i="12"/>
  <c r="LHK15" i="12"/>
  <c r="LHL15" i="12"/>
  <c r="LHM15" i="12"/>
  <c r="LHN15" i="12"/>
  <c r="LHO15" i="12"/>
  <c r="LHP15" i="12"/>
  <c r="LHQ15" i="12"/>
  <c r="LHR15" i="12"/>
  <c r="LHS15" i="12"/>
  <c r="LHT15" i="12"/>
  <c r="LHU15" i="12"/>
  <c r="LHV15" i="12"/>
  <c r="LHW15" i="12"/>
  <c r="LHX15" i="12"/>
  <c r="LHY15" i="12"/>
  <c r="LHZ15" i="12"/>
  <c r="LIA15" i="12"/>
  <c r="LIB15" i="12"/>
  <c r="LIC15" i="12"/>
  <c r="LID15" i="12"/>
  <c r="LIE15" i="12"/>
  <c r="LIF15" i="12"/>
  <c r="LIG15" i="12"/>
  <c r="LIH15" i="12"/>
  <c r="LII15" i="12"/>
  <c r="LIJ15" i="12"/>
  <c r="LIK15" i="12"/>
  <c r="LIL15" i="12"/>
  <c r="LIM15" i="12"/>
  <c r="LIN15" i="12"/>
  <c r="LIO15" i="12"/>
  <c r="LIP15" i="12"/>
  <c r="LIQ15" i="12"/>
  <c r="LIR15" i="12"/>
  <c r="LIS15" i="12"/>
  <c r="LIT15" i="12"/>
  <c r="LIU15" i="12"/>
  <c r="LIV15" i="12"/>
  <c r="LIW15" i="12"/>
  <c r="LIX15" i="12"/>
  <c r="LIY15" i="12"/>
  <c r="LIZ15" i="12"/>
  <c r="LJA15" i="12"/>
  <c r="LJB15" i="12"/>
  <c r="LJC15" i="12"/>
  <c r="LJD15" i="12"/>
  <c r="LJE15" i="12"/>
  <c r="LJF15" i="12"/>
  <c r="LJG15" i="12"/>
  <c r="LJH15" i="12"/>
  <c r="LJI15" i="12"/>
  <c r="LJJ15" i="12"/>
  <c r="LJK15" i="12"/>
  <c r="LJL15" i="12"/>
  <c r="LJM15" i="12"/>
  <c r="LJN15" i="12"/>
  <c r="LJO15" i="12"/>
  <c r="LJP15" i="12"/>
  <c r="LJQ15" i="12"/>
  <c r="LJR15" i="12"/>
  <c r="LJS15" i="12"/>
  <c r="LJT15" i="12"/>
  <c r="LJU15" i="12"/>
  <c r="LJV15" i="12"/>
  <c r="LJW15" i="12"/>
  <c r="LJX15" i="12"/>
  <c r="LJY15" i="12"/>
  <c r="LJZ15" i="12"/>
  <c r="LKA15" i="12"/>
  <c r="LKB15" i="12"/>
  <c r="LKC15" i="12"/>
  <c r="LKD15" i="12"/>
  <c r="LKE15" i="12"/>
  <c r="LKF15" i="12"/>
  <c r="LKG15" i="12"/>
  <c r="LKH15" i="12"/>
  <c r="LKI15" i="12"/>
  <c r="LKJ15" i="12"/>
  <c r="LKK15" i="12"/>
  <c r="LKL15" i="12"/>
  <c r="LKM15" i="12"/>
  <c r="LKN15" i="12"/>
  <c r="LKO15" i="12"/>
  <c r="LKP15" i="12"/>
  <c r="LKQ15" i="12"/>
  <c r="LKR15" i="12"/>
  <c r="LKS15" i="12"/>
  <c r="LKT15" i="12"/>
  <c r="LKU15" i="12"/>
  <c r="LKV15" i="12"/>
  <c r="LKW15" i="12"/>
  <c r="LKX15" i="12"/>
  <c r="LKY15" i="12"/>
  <c r="LKZ15" i="12"/>
  <c r="LLA15" i="12"/>
  <c r="LLB15" i="12"/>
  <c r="LLC15" i="12"/>
  <c r="LLD15" i="12"/>
  <c r="LLE15" i="12"/>
  <c r="LLF15" i="12"/>
  <c r="LLG15" i="12"/>
  <c r="LLH15" i="12"/>
  <c r="LLI15" i="12"/>
  <c r="LLJ15" i="12"/>
  <c r="LLK15" i="12"/>
  <c r="LLL15" i="12"/>
  <c r="LLM15" i="12"/>
  <c r="LLN15" i="12"/>
  <c r="LLO15" i="12"/>
  <c r="LLP15" i="12"/>
  <c r="LLQ15" i="12"/>
  <c r="LLR15" i="12"/>
  <c r="LLS15" i="12"/>
  <c r="LLT15" i="12"/>
  <c r="LLU15" i="12"/>
  <c r="LLV15" i="12"/>
  <c r="LLW15" i="12"/>
  <c r="LLX15" i="12"/>
  <c r="LLY15" i="12"/>
  <c r="LLZ15" i="12"/>
  <c r="LMA15" i="12"/>
  <c r="LMB15" i="12"/>
  <c r="LMC15" i="12"/>
  <c r="LMD15" i="12"/>
  <c r="LME15" i="12"/>
  <c r="LMF15" i="12"/>
  <c r="LMG15" i="12"/>
  <c r="LMH15" i="12"/>
  <c r="LMI15" i="12"/>
  <c r="LMJ15" i="12"/>
  <c r="LMK15" i="12"/>
  <c r="LML15" i="12"/>
  <c r="LMM15" i="12"/>
  <c r="LMN15" i="12"/>
  <c r="LMO15" i="12"/>
  <c r="LMP15" i="12"/>
  <c r="LMQ15" i="12"/>
  <c r="LMR15" i="12"/>
  <c r="LMS15" i="12"/>
  <c r="LMT15" i="12"/>
  <c r="LMU15" i="12"/>
  <c r="LMV15" i="12"/>
  <c r="LMW15" i="12"/>
  <c r="LMX15" i="12"/>
  <c r="LMY15" i="12"/>
  <c r="LMZ15" i="12"/>
  <c r="LNA15" i="12"/>
  <c r="LNB15" i="12"/>
  <c r="LNC15" i="12"/>
  <c r="LND15" i="12"/>
  <c r="LNE15" i="12"/>
  <c r="LNF15" i="12"/>
  <c r="LNG15" i="12"/>
  <c r="LNH15" i="12"/>
  <c r="LNI15" i="12"/>
  <c r="LNJ15" i="12"/>
  <c r="LNK15" i="12"/>
  <c r="LNL15" i="12"/>
  <c r="LNM15" i="12"/>
  <c r="LNN15" i="12"/>
  <c r="LNO15" i="12"/>
  <c r="LNP15" i="12"/>
  <c r="LNQ15" i="12"/>
  <c r="LNR15" i="12"/>
  <c r="LNS15" i="12"/>
  <c r="LNT15" i="12"/>
  <c r="LNU15" i="12"/>
  <c r="LNV15" i="12"/>
  <c r="LNW15" i="12"/>
  <c r="LNX15" i="12"/>
  <c r="LNY15" i="12"/>
  <c r="LNZ15" i="12"/>
  <c r="LOA15" i="12"/>
  <c r="LOB15" i="12"/>
  <c r="LOC15" i="12"/>
  <c r="LOD15" i="12"/>
  <c r="LOE15" i="12"/>
  <c r="LOF15" i="12"/>
  <c r="LOG15" i="12"/>
  <c r="LOH15" i="12"/>
  <c r="LOI15" i="12"/>
  <c r="LOJ15" i="12"/>
  <c r="LOK15" i="12"/>
  <c r="LOL15" i="12"/>
  <c r="LOM15" i="12"/>
  <c r="LON15" i="12"/>
  <c r="LOO15" i="12"/>
  <c r="LOP15" i="12"/>
  <c r="LOQ15" i="12"/>
  <c r="LOR15" i="12"/>
  <c r="LOS15" i="12"/>
  <c r="LOT15" i="12"/>
  <c r="LOU15" i="12"/>
  <c r="LOV15" i="12"/>
  <c r="LOW15" i="12"/>
  <c r="LOX15" i="12"/>
  <c r="LOY15" i="12"/>
  <c r="LOZ15" i="12"/>
  <c r="LPA15" i="12"/>
  <c r="LPB15" i="12"/>
  <c r="LPC15" i="12"/>
  <c r="LPD15" i="12"/>
  <c r="LPE15" i="12"/>
  <c r="LPF15" i="12"/>
  <c r="LPG15" i="12"/>
  <c r="LPH15" i="12"/>
  <c r="LPI15" i="12"/>
  <c r="LPJ15" i="12"/>
  <c r="LPK15" i="12"/>
  <c r="LPL15" i="12"/>
  <c r="LPM15" i="12"/>
  <c r="LPN15" i="12"/>
  <c r="LPO15" i="12"/>
  <c r="LPP15" i="12"/>
  <c r="LPQ15" i="12"/>
  <c r="LPR15" i="12"/>
  <c r="LPS15" i="12"/>
  <c r="LPT15" i="12"/>
  <c r="LPU15" i="12"/>
  <c r="LPV15" i="12"/>
  <c r="LPW15" i="12"/>
  <c r="LPX15" i="12"/>
  <c r="LPY15" i="12"/>
  <c r="LPZ15" i="12"/>
  <c r="LQA15" i="12"/>
  <c r="LQB15" i="12"/>
  <c r="LQC15" i="12"/>
  <c r="LQD15" i="12"/>
  <c r="LQE15" i="12"/>
  <c r="LQF15" i="12"/>
  <c r="LQG15" i="12"/>
  <c r="LQH15" i="12"/>
  <c r="LQI15" i="12"/>
  <c r="LQJ15" i="12"/>
  <c r="LQK15" i="12"/>
  <c r="LQL15" i="12"/>
  <c r="LQM15" i="12"/>
  <c r="LQN15" i="12"/>
  <c r="LQO15" i="12"/>
  <c r="LQP15" i="12"/>
  <c r="LQQ15" i="12"/>
  <c r="LQR15" i="12"/>
  <c r="LQS15" i="12"/>
  <c r="LQT15" i="12"/>
  <c r="LQU15" i="12"/>
  <c r="LQV15" i="12"/>
  <c r="LQW15" i="12"/>
  <c r="LQX15" i="12"/>
  <c r="LQY15" i="12"/>
  <c r="LQZ15" i="12"/>
  <c r="LRA15" i="12"/>
  <c r="LRB15" i="12"/>
  <c r="LRC15" i="12"/>
  <c r="LRD15" i="12"/>
  <c r="LRE15" i="12"/>
  <c r="LRF15" i="12"/>
  <c r="LRG15" i="12"/>
  <c r="LRH15" i="12"/>
  <c r="LRI15" i="12"/>
  <c r="LRJ15" i="12"/>
  <c r="LRK15" i="12"/>
  <c r="LRL15" i="12"/>
  <c r="LRM15" i="12"/>
  <c r="LRN15" i="12"/>
  <c r="LRO15" i="12"/>
  <c r="LRP15" i="12"/>
  <c r="LRQ15" i="12"/>
  <c r="LRR15" i="12"/>
  <c r="LRS15" i="12"/>
  <c r="LRT15" i="12"/>
  <c r="LRU15" i="12"/>
  <c r="LRV15" i="12"/>
  <c r="LRW15" i="12"/>
  <c r="LRX15" i="12"/>
  <c r="LRY15" i="12"/>
  <c r="LRZ15" i="12"/>
  <c r="LSA15" i="12"/>
  <c r="LSB15" i="12"/>
  <c r="LSC15" i="12"/>
  <c r="LSD15" i="12"/>
  <c r="LSE15" i="12"/>
  <c r="LSF15" i="12"/>
  <c r="LSG15" i="12"/>
  <c r="LSH15" i="12"/>
  <c r="LSI15" i="12"/>
  <c r="LSJ15" i="12"/>
  <c r="LSK15" i="12"/>
  <c r="LSL15" i="12"/>
  <c r="LSM15" i="12"/>
  <c r="LSN15" i="12"/>
  <c r="LSO15" i="12"/>
  <c r="LSP15" i="12"/>
  <c r="LSQ15" i="12"/>
  <c r="LSR15" i="12"/>
  <c r="LSS15" i="12"/>
  <c r="LST15" i="12"/>
  <c r="LSU15" i="12"/>
  <c r="LSV15" i="12"/>
  <c r="LSW15" i="12"/>
  <c r="LSX15" i="12"/>
  <c r="LSY15" i="12"/>
  <c r="LSZ15" i="12"/>
  <c r="LTA15" i="12"/>
  <c r="LTB15" i="12"/>
  <c r="LTC15" i="12"/>
  <c r="LTD15" i="12"/>
  <c r="LTE15" i="12"/>
  <c r="LTF15" i="12"/>
  <c r="LTG15" i="12"/>
  <c r="LTH15" i="12"/>
  <c r="LTI15" i="12"/>
  <c r="LTJ15" i="12"/>
  <c r="LTK15" i="12"/>
  <c r="LTL15" i="12"/>
  <c r="LTM15" i="12"/>
  <c r="LTN15" i="12"/>
  <c r="LTO15" i="12"/>
  <c r="LTP15" i="12"/>
  <c r="LTQ15" i="12"/>
  <c r="LTR15" i="12"/>
  <c r="LTS15" i="12"/>
  <c r="LTT15" i="12"/>
  <c r="LTU15" i="12"/>
  <c r="LTV15" i="12"/>
  <c r="LTW15" i="12"/>
  <c r="LTX15" i="12"/>
  <c r="LTY15" i="12"/>
  <c r="LTZ15" i="12"/>
  <c r="LUA15" i="12"/>
  <c r="LUB15" i="12"/>
  <c r="LUC15" i="12"/>
  <c r="LUD15" i="12"/>
  <c r="LUE15" i="12"/>
  <c r="LUF15" i="12"/>
  <c r="LUG15" i="12"/>
  <c r="LUH15" i="12"/>
  <c r="LUI15" i="12"/>
  <c r="LUJ15" i="12"/>
  <c r="LUK15" i="12"/>
  <c r="LUL15" i="12"/>
  <c r="LUM15" i="12"/>
  <c r="LUN15" i="12"/>
  <c r="LUO15" i="12"/>
  <c r="LUP15" i="12"/>
  <c r="LUQ15" i="12"/>
  <c r="LUR15" i="12"/>
  <c r="LUS15" i="12"/>
  <c r="LUT15" i="12"/>
  <c r="LUU15" i="12"/>
  <c r="LUV15" i="12"/>
  <c r="LUW15" i="12"/>
  <c r="LUX15" i="12"/>
  <c r="LUY15" i="12"/>
  <c r="LUZ15" i="12"/>
  <c r="LVA15" i="12"/>
  <c r="LVB15" i="12"/>
  <c r="LVC15" i="12"/>
  <c r="LVD15" i="12"/>
  <c r="LVE15" i="12"/>
  <c r="LVF15" i="12"/>
  <c r="LVG15" i="12"/>
  <c r="LVH15" i="12"/>
  <c r="LVI15" i="12"/>
  <c r="LVJ15" i="12"/>
  <c r="LVK15" i="12"/>
  <c r="LVL15" i="12"/>
  <c r="LVM15" i="12"/>
  <c r="LVN15" i="12"/>
  <c r="LVO15" i="12"/>
  <c r="LVP15" i="12"/>
  <c r="LVQ15" i="12"/>
  <c r="LVR15" i="12"/>
  <c r="LVS15" i="12"/>
  <c r="LVT15" i="12"/>
  <c r="LVU15" i="12"/>
  <c r="LVV15" i="12"/>
  <c r="LVW15" i="12"/>
  <c r="LVX15" i="12"/>
  <c r="LVY15" i="12"/>
  <c r="LVZ15" i="12"/>
  <c r="LWA15" i="12"/>
  <c r="LWB15" i="12"/>
  <c r="LWC15" i="12"/>
  <c r="LWD15" i="12"/>
  <c r="LWE15" i="12"/>
  <c r="LWF15" i="12"/>
  <c r="LWG15" i="12"/>
  <c r="LWH15" i="12"/>
  <c r="LWI15" i="12"/>
  <c r="LWJ15" i="12"/>
  <c r="LWK15" i="12"/>
  <c r="LWL15" i="12"/>
  <c r="LWM15" i="12"/>
  <c r="LWN15" i="12"/>
  <c r="LWO15" i="12"/>
  <c r="LWP15" i="12"/>
  <c r="LWQ15" i="12"/>
  <c r="LWR15" i="12"/>
  <c r="LWS15" i="12"/>
  <c r="LWT15" i="12"/>
  <c r="LWU15" i="12"/>
  <c r="LWV15" i="12"/>
  <c r="LWW15" i="12"/>
  <c r="LWX15" i="12"/>
  <c r="LWY15" i="12"/>
  <c r="LWZ15" i="12"/>
  <c r="LXA15" i="12"/>
  <c r="LXB15" i="12"/>
  <c r="LXC15" i="12"/>
  <c r="LXD15" i="12"/>
  <c r="LXE15" i="12"/>
  <c r="LXF15" i="12"/>
  <c r="LXG15" i="12"/>
  <c r="LXH15" i="12"/>
  <c r="LXI15" i="12"/>
  <c r="LXJ15" i="12"/>
  <c r="LXK15" i="12"/>
  <c r="LXL15" i="12"/>
  <c r="LXM15" i="12"/>
  <c r="LXN15" i="12"/>
  <c r="LXO15" i="12"/>
  <c r="LXP15" i="12"/>
  <c r="LXQ15" i="12"/>
  <c r="LXR15" i="12"/>
  <c r="LXS15" i="12"/>
  <c r="LXT15" i="12"/>
  <c r="LXU15" i="12"/>
  <c r="LXV15" i="12"/>
  <c r="LXW15" i="12"/>
  <c r="LXX15" i="12"/>
  <c r="LXY15" i="12"/>
  <c r="LXZ15" i="12"/>
  <c r="LYA15" i="12"/>
  <c r="LYB15" i="12"/>
  <c r="LYC15" i="12"/>
  <c r="LYD15" i="12"/>
  <c r="LYE15" i="12"/>
  <c r="LYF15" i="12"/>
  <c r="LYG15" i="12"/>
  <c r="LYH15" i="12"/>
  <c r="LYI15" i="12"/>
  <c r="LYJ15" i="12"/>
  <c r="LYK15" i="12"/>
  <c r="LYL15" i="12"/>
  <c r="LYM15" i="12"/>
  <c r="LYN15" i="12"/>
  <c r="LYO15" i="12"/>
  <c r="LYP15" i="12"/>
  <c r="LYQ15" i="12"/>
  <c r="LYR15" i="12"/>
  <c r="LYS15" i="12"/>
  <c r="LYT15" i="12"/>
  <c r="LYU15" i="12"/>
  <c r="LYV15" i="12"/>
  <c r="LYW15" i="12"/>
  <c r="LYX15" i="12"/>
  <c r="LYY15" i="12"/>
  <c r="LYZ15" i="12"/>
  <c r="LZA15" i="12"/>
  <c r="LZB15" i="12"/>
  <c r="LZC15" i="12"/>
  <c r="LZD15" i="12"/>
  <c r="LZE15" i="12"/>
  <c r="LZF15" i="12"/>
  <c r="LZG15" i="12"/>
  <c r="LZH15" i="12"/>
  <c r="LZI15" i="12"/>
  <c r="LZJ15" i="12"/>
  <c r="LZK15" i="12"/>
  <c r="LZL15" i="12"/>
  <c r="LZM15" i="12"/>
  <c r="LZN15" i="12"/>
  <c r="LZO15" i="12"/>
  <c r="LZP15" i="12"/>
  <c r="LZQ15" i="12"/>
  <c r="LZR15" i="12"/>
  <c r="LZS15" i="12"/>
  <c r="LZT15" i="12"/>
  <c r="LZU15" i="12"/>
  <c r="LZV15" i="12"/>
  <c r="LZW15" i="12"/>
  <c r="LZX15" i="12"/>
  <c r="LZY15" i="12"/>
  <c r="LZZ15" i="12"/>
  <c r="MAA15" i="12"/>
  <c r="MAB15" i="12"/>
  <c r="MAC15" i="12"/>
  <c r="MAD15" i="12"/>
  <c r="MAE15" i="12"/>
  <c r="MAF15" i="12"/>
  <c r="MAG15" i="12"/>
  <c r="MAH15" i="12"/>
  <c r="MAI15" i="12"/>
  <c r="MAJ15" i="12"/>
  <c r="MAK15" i="12"/>
  <c r="MAL15" i="12"/>
  <c r="MAM15" i="12"/>
  <c r="MAN15" i="12"/>
  <c r="MAO15" i="12"/>
  <c r="MAP15" i="12"/>
  <c r="MAQ15" i="12"/>
  <c r="MAR15" i="12"/>
  <c r="MAS15" i="12"/>
  <c r="MAT15" i="12"/>
  <c r="MAU15" i="12"/>
  <c r="MAV15" i="12"/>
  <c r="MAW15" i="12"/>
  <c r="MAX15" i="12"/>
  <c r="MAY15" i="12"/>
  <c r="MAZ15" i="12"/>
  <c r="MBA15" i="12"/>
  <c r="MBB15" i="12"/>
  <c r="MBC15" i="12"/>
  <c r="MBD15" i="12"/>
  <c r="MBE15" i="12"/>
  <c r="MBF15" i="12"/>
  <c r="MBG15" i="12"/>
  <c r="MBH15" i="12"/>
  <c r="MBI15" i="12"/>
  <c r="MBJ15" i="12"/>
  <c r="MBK15" i="12"/>
  <c r="MBL15" i="12"/>
  <c r="MBM15" i="12"/>
  <c r="MBN15" i="12"/>
  <c r="MBO15" i="12"/>
  <c r="MBP15" i="12"/>
  <c r="MBQ15" i="12"/>
  <c r="MBR15" i="12"/>
  <c r="MBS15" i="12"/>
  <c r="MBT15" i="12"/>
  <c r="MBU15" i="12"/>
  <c r="MBV15" i="12"/>
  <c r="MBW15" i="12"/>
  <c r="MBX15" i="12"/>
  <c r="MBY15" i="12"/>
  <c r="MBZ15" i="12"/>
  <c r="MCA15" i="12"/>
  <c r="MCB15" i="12"/>
  <c r="MCC15" i="12"/>
  <c r="MCD15" i="12"/>
  <c r="MCE15" i="12"/>
  <c r="MCF15" i="12"/>
  <c r="MCG15" i="12"/>
  <c r="MCH15" i="12"/>
  <c r="MCI15" i="12"/>
  <c r="MCJ15" i="12"/>
  <c r="MCK15" i="12"/>
  <c r="MCL15" i="12"/>
  <c r="MCM15" i="12"/>
  <c r="MCN15" i="12"/>
  <c r="MCO15" i="12"/>
  <c r="MCP15" i="12"/>
  <c r="MCQ15" i="12"/>
  <c r="MCR15" i="12"/>
  <c r="MCS15" i="12"/>
  <c r="MCT15" i="12"/>
  <c r="MCU15" i="12"/>
  <c r="MCV15" i="12"/>
  <c r="MCW15" i="12"/>
  <c r="MCX15" i="12"/>
  <c r="MCY15" i="12"/>
  <c r="MCZ15" i="12"/>
  <c r="MDA15" i="12"/>
  <c r="MDB15" i="12"/>
  <c r="MDC15" i="12"/>
  <c r="MDD15" i="12"/>
  <c r="MDE15" i="12"/>
  <c r="MDF15" i="12"/>
  <c r="MDG15" i="12"/>
  <c r="MDH15" i="12"/>
  <c r="MDI15" i="12"/>
  <c r="MDJ15" i="12"/>
  <c r="MDK15" i="12"/>
  <c r="MDL15" i="12"/>
  <c r="MDM15" i="12"/>
  <c r="MDN15" i="12"/>
  <c r="MDO15" i="12"/>
  <c r="MDP15" i="12"/>
  <c r="MDQ15" i="12"/>
  <c r="MDR15" i="12"/>
  <c r="MDS15" i="12"/>
  <c r="MDT15" i="12"/>
  <c r="MDU15" i="12"/>
  <c r="MDV15" i="12"/>
  <c r="MDW15" i="12"/>
  <c r="MDX15" i="12"/>
  <c r="MDY15" i="12"/>
  <c r="MDZ15" i="12"/>
  <c r="MEA15" i="12"/>
  <c r="MEB15" i="12"/>
  <c r="MEC15" i="12"/>
  <c r="MED15" i="12"/>
  <c r="MEE15" i="12"/>
  <c r="MEF15" i="12"/>
  <c r="MEG15" i="12"/>
  <c r="MEH15" i="12"/>
  <c r="MEI15" i="12"/>
  <c r="MEJ15" i="12"/>
  <c r="MEK15" i="12"/>
  <c r="MEL15" i="12"/>
  <c r="MEM15" i="12"/>
  <c r="MEN15" i="12"/>
  <c r="MEO15" i="12"/>
  <c r="MEP15" i="12"/>
  <c r="MEQ15" i="12"/>
  <c r="MER15" i="12"/>
  <c r="MES15" i="12"/>
  <c r="MET15" i="12"/>
  <c r="MEU15" i="12"/>
  <c r="MEV15" i="12"/>
  <c r="MEW15" i="12"/>
  <c r="MEX15" i="12"/>
  <c r="MEY15" i="12"/>
  <c r="MEZ15" i="12"/>
  <c r="MFA15" i="12"/>
  <c r="MFB15" i="12"/>
  <c r="MFC15" i="12"/>
  <c r="MFD15" i="12"/>
  <c r="MFE15" i="12"/>
  <c r="MFF15" i="12"/>
  <c r="MFG15" i="12"/>
  <c r="MFH15" i="12"/>
  <c r="MFI15" i="12"/>
  <c r="MFJ15" i="12"/>
  <c r="MFK15" i="12"/>
  <c r="MFL15" i="12"/>
  <c r="MFM15" i="12"/>
  <c r="MFN15" i="12"/>
  <c r="MFO15" i="12"/>
  <c r="MFP15" i="12"/>
  <c r="MFQ15" i="12"/>
  <c r="MFR15" i="12"/>
  <c r="MFS15" i="12"/>
  <c r="MFT15" i="12"/>
  <c r="MFU15" i="12"/>
  <c r="MFV15" i="12"/>
  <c r="MFW15" i="12"/>
  <c r="MFX15" i="12"/>
  <c r="MFY15" i="12"/>
  <c r="MFZ15" i="12"/>
  <c r="MGA15" i="12"/>
  <c r="MGB15" i="12"/>
  <c r="MGC15" i="12"/>
  <c r="MGD15" i="12"/>
  <c r="MGE15" i="12"/>
  <c r="MGF15" i="12"/>
  <c r="MGG15" i="12"/>
  <c r="MGH15" i="12"/>
  <c r="MGI15" i="12"/>
  <c r="MGJ15" i="12"/>
  <c r="MGK15" i="12"/>
  <c r="MGL15" i="12"/>
  <c r="MGM15" i="12"/>
  <c r="MGN15" i="12"/>
  <c r="MGO15" i="12"/>
  <c r="MGP15" i="12"/>
  <c r="MGQ15" i="12"/>
  <c r="MGR15" i="12"/>
  <c r="MGS15" i="12"/>
  <c r="MGT15" i="12"/>
  <c r="MGU15" i="12"/>
  <c r="MGV15" i="12"/>
  <c r="MGW15" i="12"/>
  <c r="MGX15" i="12"/>
  <c r="MGY15" i="12"/>
  <c r="MGZ15" i="12"/>
  <c r="MHA15" i="12"/>
  <c r="MHB15" i="12"/>
  <c r="MHC15" i="12"/>
  <c r="MHD15" i="12"/>
  <c r="MHE15" i="12"/>
  <c r="MHF15" i="12"/>
  <c r="MHG15" i="12"/>
  <c r="MHH15" i="12"/>
  <c r="MHI15" i="12"/>
  <c r="MHJ15" i="12"/>
  <c r="MHK15" i="12"/>
  <c r="MHL15" i="12"/>
  <c r="MHM15" i="12"/>
  <c r="MHN15" i="12"/>
  <c r="MHO15" i="12"/>
  <c r="MHP15" i="12"/>
  <c r="MHQ15" i="12"/>
  <c r="MHR15" i="12"/>
  <c r="MHS15" i="12"/>
  <c r="MHT15" i="12"/>
  <c r="MHU15" i="12"/>
  <c r="MHV15" i="12"/>
  <c r="MHW15" i="12"/>
  <c r="MHX15" i="12"/>
  <c r="MHY15" i="12"/>
  <c r="MHZ15" i="12"/>
  <c r="MIA15" i="12"/>
  <c r="MIB15" i="12"/>
  <c r="MIC15" i="12"/>
  <c r="MID15" i="12"/>
  <c r="MIE15" i="12"/>
  <c r="MIF15" i="12"/>
  <c r="MIG15" i="12"/>
  <c r="MIH15" i="12"/>
  <c r="MII15" i="12"/>
  <c r="MIJ15" i="12"/>
  <c r="MIK15" i="12"/>
  <c r="MIL15" i="12"/>
  <c r="MIM15" i="12"/>
  <c r="MIN15" i="12"/>
  <c r="MIO15" i="12"/>
  <c r="MIP15" i="12"/>
  <c r="MIQ15" i="12"/>
  <c r="MIR15" i="12"/>
  <c r="MIS15" i="12"/>
  <c r="MIT15" i="12"/>
  <c r="MIU15" i="12"/>
  <c r="MIV15" i="12"/>
  <c r="MIW15" i="12"/>
  <c r="MIX15" i="12"/>
  <c r="MIY15" i="12"/>
  <c r="MIZ15" i="12"/>
  <c r="MJA15" i="12"/>
  <c r="MJB15" i="12"/>
  <c r="MJC15" i="12"/>
  <c r="MJD15" i="12"/>
  <c r="MJE15" i="12"/>
  <c r="MJF15" i="12"/>
  <c r="MJG15" i="12"/>
  <c r="MJH15" i="12"/>
  <c r="MJI15" i="12"/>
  <c r="MJJ15" i="12"/>
  <c r="MJK15" i="12"/>
  <c r="MJL15" i="12"/>
  <c r="MJM15" i="12"/>
  <c r="MJN15" i="12"/>
  <c r="MJO15" i="12"/>
  <c r="MJP15" i="12"/>
  <c r="MJQ15" i="12"/>
  <c r="MJR15" i="12"/>
  <c r="MJS15" i="12"/>
  <c r="MJT15" i="12"/>
  <c r="MJU15" i="12"/>
  <c r="MJV15" i="12"/>
  <c r="MJW15" i="12"/>
  <c r="MJX15" i="12"/>
  <c r="MJY15" i="12"/>
  <c r="MJZ15" i="12"/>
  <c r="MKA15" i="12"/>
  <c r="MKB15" i="12"/>
  <c r="MKC15" i="12"/>
  <c r="MKD15" i="12"/>
  <c r="MKE15" i="12"/>
  <c r="MKF15" i="12"/>
  <c r="MKG15" i="12"/>
  <c r="MKH15" i="12"/>
  <c r="MKI15" i="12"/>
  <c r="MKJ15" i="12"/>
  <c r="MKK15" i="12"/>
  <c r="MKL15" i="12"/>
  <c r="MKM15" i="12"/>
  <c r="MKN15" i="12"/>
  <c r="MKO15" i="12"/>
  <c r="MKP15" i="12"/>
  <c r="MKQ15" i="12"/>
  <c r="MKR15" i="12"/>
  <c r="MKS15" i="12"/>
  <c r="MKT15" i="12"/>
  <c r="MKU15" i="12"/>
  <c r="MKV15" i="12"/>
  <c r="MKW15" i="12"/>
  <c r="MKX15" i="12"/>
  <c r="MKY15" i="12"/>
  <c r="MKZ15" i="12"/>
  <c r="MLA15" i="12"/>
  <c r="MLB15" i="12"/>
  <c r="MLC15" i="12"/>
  <c r="MLD15" i="12"/>
  <c r="MLE15" i="12"/>
  <c r="MLF15" i="12"/>
  <c r="MLG15" i="12"/>
  <c r="MLH15" i="12"/>
  <c r="MLI15" i="12"/>
  <c r="MLJ15" i="12"/>
  <c r="MLK15" i="12"/>
  <c r="MLL15" i="12"/>
  <c r="MLM15" i="12"/>
  <c r="MLN15" i="12"/>
  <c r="MLO15" i="12"/>
  <c r="MLP15" i="12"/>
  <c r="MLQ15" i="12"/>
  <c r="MLR15" i="12"/>
  <c r="MLS15" i="12"/>
  <c r="MLT15" i="12"/>
  <c r="MLU15" i="12"/>
  <c r="MLV15" i="12"/>
  <c r="MLW15" i="12"/>
  <c r="MLX15" i="12"/>
  <c r="MLY15" i="12"/>
  <c r="MLZ15" i="12"/>
  <c r="MMA15" i="12"/>
  <c r="MMB15" i="12"/>
  <c r="MMC15" i="12"/>
  <c r="MMD15" i="12"/>
  <c r="MME15" i="12"/>
  <c r="MMF15" i="12"/>
  <c r="MMG15" i="12"/>
  <c r="MMH15" i="12"/>
  <c r="MMI15" i="12"/>
  <c r="MMJ15" i="12"/>
  <c r="MMK15" i="12"/>
  <c r="MML15" i="12"/>
  <c r="MMM15" i="12"/>
  <c r="MMN15" i="12"/>
  <c r="MMO15" i="12"/>
  <c r="MMP15" i="12"/>
  <c r="MMQ15" i="12"/>
  <c r="MMR15" i="12"/>
  <c r="MMS15" i="12"/>
  <c r="MMT15" i="12"/>
  <c r="MMU15" i="12"/>
  <c r="MMV15" i="12"/>
  <c r="MMW15" i="12"/>
  <c r="MMX15" i="12"/>
  <c r="MMY15" i="12"/>
  <c r="MMZ15" i="12"/>
  <c r="MNA15" i="12"/>
  <c r="MNB15" i="12"/>
  <c r="MNC15" i="12"/>
  <c r="MND15" i="12"/>
  <c r="MNE15" i="12"/>
  <c r="MNF15" i="12"/>
  <c r="MNG15" i="12"/>
  <c r="MNH15" i="12"/>
  <c r="MNI15" i="12"/>
  <c r="MNJ15" i="12"/>
  <c r="MNK15" i="12"/>
  <c r="MNL15" i="12"/>
  <c r="MNM15" i="12"/>
  <c r="MNN15" i="12"/>
  <c r="MNO15" i="12"/>
  <c r="MNP15" i="12"/>
  <c r="MNQ15" i="12"/>
  <c r="MNR15" i="12"/>
  <c r="MNS15" i="12"/>
  <c r="MNT15" i="12"/>
  <c r="MNU15" i="12"/>
  <c r="MNV15" i="12"/>
  <c r="MNW15" i="12"/>
  <c r="MNX15" i="12"/>
  <c r="MNY15" i="12"/>
  <c r="MNZ15" i="12"/>
  <c r="MOA15" i="12"/>
  <c r="MOB15" i="12"/>
  <c r="MOC15" i="12"/>
  <c r="MOD15" i="12"/>
  <c r="MOE15" i="12"/>
  <c r="MOF15" i="12"/>
  <c r="MOG15" i="12"/>
  <c r="MOH15" i="12"/>
  <c r="MOI15" i="12"/>
  <c r="MOJ15" i="12"/>
  <c r="MOK15" i="12"/>
  <c r="MOL15" i="12"/>
  <c r="MOM15" i="12"/>
  <c r="MON15" i="12"/>
  <c r="MOO15" i="12"/>
  <c r="MOP15" i="12"/>
  <c r="MOQ15" i="12"/>
  <c r="MOR15" i="12"/>
  <c r="MOS15" i="12"/>
  <c r="MOT15" i="12"/>
  <c r="MOU15" i="12"/>
  <c r="MOV15" i="12"/>
  <c r="MOW15" i="12"/>
  <c r="MOX15" i="12"/>
  <c r="MOY15" i="12"/>
  <c r="MOZ15" i="12"/>
  <c r="MPA15" i="12"/>
  <c r="MPB15" i="12"/>
  <c r="MPC15" i="12"/>
  <c r="MPD15" i="12"/>
  <c r="MPE15" i="12"/>
  <c r="MPF15" i="12"/>
  <c r="MPG15" i="12"/>
  <c r="MPH15" i="12"/>
  <c r="MPI15" i="12"/>
  <c r="MPJ15" i="12"/>
  <c r="MPK15" i="12"/>
  <c r="MPL15" i="12"/>
  <c r="MPM15" i="12"/>
  <c r="MPN15" i="12"/>
  <c r="MPO15" i="12"/>
  <c r="MPP15" i="12"/>
  <c r="MPQ15" i="12"/>
  <c r="MPR15" i="12"/>
  <c r="MPS15" i="12"/>
  <c r="MPT15" i="12"/>
  <c r="MPU15" i="12"/>
  <c r="MPV15" i="12"/>
  <c r="MPW15" i="12"/>
  <c r="MPX15" i="12"/>
  <c r="MPY15" i="12"/>
  <c r="MPZ15" i="12"/>
  <c r="MQA15" i="12"/>
  <c r="MQB15" i="12"/>
  <c r="MQC15" i="12"/>
  <c r="MQD15" i="12"/>
  <c r="MQE15" i="12"/>
  <c r="MQF15" i="12"/>
  <c r="MQG15" i="12"/>
  <c r="MQH15" i="12"/>
  <c r="MQI15" i="12"/>
  <c r="MQJ15" i="12"/>
  <c r="MQK15" i="12"/>
  <c r="MQL15" i="12"/>
  <c r="MQM15" i="12"/>
  <c r="MQN15" i="12"/>
  <c r="MQO15" i="12"/>
  <c r="MQP15" i="12"/>
  <c r="MQQ15" i="12"/>
  <c r="MQR15" i="12"/>
  <c r="MQS15" i="12"/>
  <c r="MQT15" i="12"/>
  <c r="MQU15" i="12"/>
  <c r="MQV15" i="12"/>
  <c r="MQW15" i="12"/>
  <c r="MQX15" i="12"/>
  <c r="MQY15" i="12"/>
  <c r="MQZ15" i="12"/>
  <c r="MRA15" i="12"/>
  <c r="MRB15" i="12"/>
  <c r="MRC15" i="12"/>
  <c r="MRD15" i="12"/>
  <c r="MRE15" i="12"/>
  <c r="MRF15" i="12"/>
  <c r="MRG15" i="12"/>
  <c r="MRH15" i="12"/>
  <c r="MRI15" i="12"/>
  <c r="MRJ15" i="12"/>
  <c r="MRK15" i="12"/>
  <c r="MRL15" i="12"/>
  <c r="MRM15" i="12"/>
  <c r="MRN15" i="12"/>
  <c r="MRO15" i="12"/>
  <c r="MRP15" i="12"/>
  <c r="MRQ15" i="12"/>
  <c r="MRR15" i="12"/>
  <c r="MRS15" i="12"/>
  <c r="MRT15" i="12"/>
  <c r="MRU15" i="12"/>
  <c r="MRV15" i="12"/>
  <c r="MRW15" i="12"/>
  <c r="MRX15" i="12"/>
  <c r="MRY15" i="12"/>
  <c r="MRZ15" i="12"/>
  <c r="MSA15" i="12"/>
  <c r="MSB15" i="12"/>
  <c r="MSC15" i="12"/>
  <c r="MSD15" i="12"/>
  <c r="MSE15" i="12"/>
  <c r="MSF15" i="12"/>
  <c r="MSG15" i="12"/>
  <c r="MSH15" i="12"/>
  <c r="MSI15" i="12"/>
  <c r="MSJ15" i="12"/>
  <c r="MSK15" i="12"/>
  <c r="MSL15" i="12"/>
  <c r="MSM15" i="12"/>
  <c r="MSN15" i="12"/>
  <c r="MSO15" i="12"/>
  <c r="MSP15" i="12"/>
  <c r="MSQ15" i="12"/>
  <c r="MSR15" i="12"/>
  <c r="MSS15" i="12"/>
  <c r="MST15" i="12"/>
  <c r="MSU15" i="12"/>
  <c r="MSV15" i="12"/>
  <c r="MSW15" i="12"/>
  <c r="MSX15" i="12"/>
  <c r="MSY15" i="12"/>
  <c r="MSZ15" i="12"/>
  <c r="MTA15" i="12"/>
  <c r="MTB15" i="12"/>
  <c r="MTC15" i="12"/>
  <c r="MTD15" i="12"/>
  <c r="MTE15" i="12"/>
  <c r="MTF15" i="12"/>
  <c r="MTG15" i="12"/>
  <c r="MTH15" i="12"/>
  <c r="MTI15" i="12"/>
  <c r="MTJ15" i="12"/>
  <c r="MTK15" i="12"/>
  <c r="MTL15" i="12"/>
  <c r="MTM15" i="12"/>
  <c r="MTN15" i="12"/>
  <c r="MTO15" i="12"/>
  <c r="MTP15" i="12"/>
  <c r="MTQ15" i="12"/>
  <c r="MTR15" i="12"/>
  <c r="MTS15" i="12"/>
  <c r="MTT15" i="12"/>
  <c r="MTU15" i="12"/>
  <c r="MTV15" i="12"/>
  <c r="MTW15" i="12"/>
  <c r="MTX15" i="12"/>
  <c r="MTY15" i="12"/>
  <c r="MTZ15" i="12"/>
  <c r="MUA15" i="12"/>
  <c r="MUB15" i="12"/>
  <c r="MUC15" i="12"/>
  <c r="MUD15" i="12"/>
  <c r="MUE15" i="12"/>
  <c r="MUF15" i="12"/>
  <c r="MUG15" i="12"/>
  <c r="MUH15" i="12"/>
  <c r="MUI15" i="12"/>
  <c r="MUJ15" i="12"/>
  <c r="MUK15" i="12"/>
  <c r="MUL15" i="12"/>
  <c r="MUM15" i="12"/>
  <c r="MUN15" i="12"/>
  <c r="MUO15" i="12"/>
  <c r="MUP15" i="12"/>
  <c r="MUQ15" i="12"/>
  <c r="MUR15" i="12"/>
  <c r="MUS15" i="12"/>
  <c r="MUT15" i="12"/>
  <c r="MUU15" i="12"/>
  <c r="MUV15" i="12"/>
  <c r="MUW15" i="12"/>
  <c r="MUX15" i="12"/>
  <c r="MUY15" i="12"/>
  <c r="MUZ15" i="12"/>
  <c r="MVA15" i="12"/>
  <c r="MVB15" i="12"/>
  <c r="MVC15" i="12"/>
  <c r="MVD15" i="12"/>
  <c r="MVE15" i="12"/>
  <c r="MVF15" i="12"/>
  <c r="MVG15" i="12"/>
  <c r="MVH15" i="12"/>
  <c r="MVI15" i="12"/>
  <c r="MVJ15" i="12"/>
  <c r="MVK15" i="12"/>
  <c r="MVL15" i="12"/>
  <c r="MVM15" i="12"/>
  <c r="MVN15" i="12"/>
  <c r="MVO15" i="12"/>
  <c r="MVP15" i="12"/>
  <c r="MVQ15" i="12"/>
  <c r="MVR15" i="12"/>
  <c r="MVS15" i="12"/>
  <c r="MVT15" i="12"/>
  <c r="MVU15" i="12"/>
  <c r="MVV15" i="12"/>
  <c r="MVW15" i="12"/>
  <c r="MVX15" i="12"/>
  <c r="MVY15" i="12"/>
  <c r="MVZ15" i="12"/>
  <c r="MWA15" i="12"/>
  <c r="MWB15" i="12"/>
  <c r="MWC15" i="12"/>
  <c r="MWD15" i="12"/>
  <c r="MWE15" i="12"/>
  <c r="MWF15" i="12"/>
  <c r="MWG15" i="12"/>
  <c r="MWH15" i="12"/>
  <c r="MWI15" i="12"/>
  <c r="MWJ15" i="12"/>
  <c r="MWK15" i="12"/>
  <c r="MWL15" i="12"/>
  <c r="MWM15" i="12"/>
  <c r="MWN15" i="12"/>
  <c r="MWO15" i="12"/>
  <c r="MWP15" i="12"/>
  <c r="MWQ15" i="12"/>
  <c r="MWR15" i="12"/>
  <c r="MWS15" i="12"/>
  <c r="MWT15" i="12"/>
  <c r="MWU15" i="12"/>
  <c r="MWV15" i="12"/>
  <c r="MWW15" i="12"/>
  <c r="MWX15" i="12"/>
  <c r="MWY15" i="12"/>
  <c r="MWZ15" i="12"/>
  <c r="MXA15" i="12"/>
  <c r="MXB15" i="12"/>
  <c r="MXC15" i="12"/>
  <c r="MXD15" i="12"/>
  <c r="MXE15" i="12"/>
  <c r="MXF15" i="12"/>
  <c r="MXG15" i="12"/>
  <c r="MXH15" i="12"/>
  <c r="MXI15" i="12"/>
  <c r="MXJ15" i="12"/>
  <c r="MXK15" i="12"/>
  <c r="MXL15" i="12"/>
  <c r="MXM15" i="12"/>
  <c r="MXN15" i="12"/>
  <c r="MXO15" i="12"/>
  <c r="MXP15" i="12"/>
  <c r="MXQ15" i="12"/>
  <c r="MXR15" i="12"/>
  <c r="MXS15" i="12"/>
  <c r="MXT15" i="12"/>
  <c r="MXU15" i="12"/>
  <c r="MXV15" i="12"/>
  <c r="MXW15" i="12"/>
  <c r="MXX15" i="12"/>
  <c r="MXY15" i="12"/>
  <c r="MXZ15" i="12"/>
  <c r="MYA15" i="12"/>
  <c r="MYB15" i="12"/>
  <c r="MYC15" i="12"/>
  <c r="MYD15" i="12"/>
  <c r="MYE15" i="12"/>
  <c r="MYF15" i="12"/>
  <c r="MYG15" i="12"/>
  <c r="MYH15" i="12"/>
  <c r="MYI15" i="12"/>
  <c r="MYJ15" i="12"/>
  <c r="MYK15" i="12"/>
  <c r="MYL15" i="12"/>
  <c r="MYM15" i="12"/>
  <c r="MYN15" i="12"/>
  <c r="MYO15" i="12"/>
  <c r="MYP15" i="12"/>
  <c r="MYQ15" i="12"/>
  <c r="MYR15" i="12"/>
  <c r="MYS15" i="12"/>
  <c r="MYT15" i="12"/>
  <c r="MYU15" i="12"/>
  <c r="MYV15" i="12"/>
  <c r="MYW15" i="12"/>
  <c r="MYX15" i="12"/>
  <c r="MYY15" i="12"/>
  <c r="MYZ15" i="12"/>
  <c r="MZA15" i="12"/>
  <c r="MZB15" i="12"/>
  <c r="MZC15" i="12"/>
  <c r="MZD15" i="12"/>
  <c r="MZE15" i="12"/>
  <c r="MZF15" i="12"/>
  <c r="MZG15" i="12"/>
  <c r="MZH15" i="12"/>
  <c r="MZI15" i="12"/>
  <c r="MZJ15" i="12"/>
  <c r="MZK15" i="12"/>
  <c r="MZL15" i="12"/>
  <c r="MZM15" i="12"/>
  <c r="MZN15" i="12"/>
  <c r="MZO15" i="12"/>
  <c r="MZP15" i="12"/>
  <c r="MZQ15" i="12"/>
  <c r="MZR15" i="12"/>
  <c r="MZS15" i="12"/>
  <c r="MZT15" i="12"/>
  <c r="MZU15" i="12"/>
  <c r="MZV15" i="12"/>
  <c r="MZW15" i="12"/>
  <c r="MZX15" i="12"/>
  <c r="MZY15" i="12"/>
  <c r="MZZ15" i="12"/>
  <c r="NAA15" i="12"/>
  <c r="NAB15" i="12"/>
  <c r="NAC15" i="12"/>
  <c r="NAD15" i="12"/>
  <c r="NAE15" i="12"/>
  <c r="NAF15" i="12"/>
  <c r="NAG15" i="12"/>
  <c r="NAH15" i="12"/>
  <c r="NAI15" i="12"/>
  <c r="NAJ15" i="12"/>
  <c r="NAK15" i="12"/>
  <c r="NAL15" i="12"/>
  <c r="NAM15" i="12"/>
  <c r="NAN15" i="12"/>
  <c r="NAO15" i="12"/>
  <c r="NAP15" i="12"/>
  <c r="NAQ15" i="12"/>
  <c r="NAR15" i="12"/>
  <c r="NAS15" i="12"/>
  <c r="NAT15" i="12"/>
  <c r="NAU15" i="12"/>
  <c r="NAV15" i="12"/>
  <c r="NAW15" i="12"/>
  <c r="NAX15" i="12"/>
  <c r="NAY15" i="12"/>
  <c r="NAZ15" i="12"/>
  <c r="NBA15" i="12"/>
  <c r="NBB15" i="12"/>
  <c r="NBC15" i="12"/>
  <c r="NBD15" i="12"/>
  <c r="NBE15" i="12"/>
  <c r="NBF15" i="12"/>
  <c r="NBG15" i="12"/>
  <c r="NBH15" i="12"/>
  <c r="NBI15" i="12"/>
  <c r="NBJ15" i="12"/>
  <c r="NBK15" i="12"/>
  <c r="NBL15" i="12"/>
  <c r="NBM15" i="12"/>
  <c r="NBN15" i="12"/>
  <c r="NBO15" i="12"/>
  <c r="NBP15" i="12"/>
  <c r="NBQ15" i="12"/>
  <c r="NBR15" i="12"/>
  <c r="NBS15" i="12"/>
  <c r="NBT15" i="12"/>
  <c r="NBU15" i="12"/>
  <c r="NBV15" i="12"/>
  <c r="NBW15" i="12"/>
  <c r="NBX15" i="12"/>
  <c r="NBY15" i="12"/>
  <c r="NBZ15" i="12"/>
  <c r="NCA15" i="12"/>
  <c r="NCB15" i="12"/>
  <c r="NCC15" i="12"/>
  <c r="NCD15" i="12"/>
  <c r="NCE15" i="12"/>
  <c r="NCF15" i="12"/>
  <c r="NCG15" i="12"/>
  <c r="NCH15" i="12"/>
  <c r="NCI15" i="12"/>
  <c r="NCJ15" i="12"/>
  <c r="NCK15" i="12"/>
  <c r="NCL15" i="12"/>
  <c r="NCM15" i="12"/>
  <c r="NCN15" i="12"/>
  <c r="NCO15" i="12"/>
  <c r="NCP15" i="12"/>
  <c r="NCQ15" i="12"/>
  <c r="NCR15" i="12"/>
  <c r="NCS15" i="12"/>
  <c r="NCT15" i="12"/>
  <c r="NCU15" i="12"/>
  <c r="NCV15" i="12"/>
  <c r="NCW15" i="12"/>
  <c r="NCX15" i="12"/>
  <c r="NCY15" i="12"/>
  <c r="NCZ15" i="12"/>
  <c r="NDA15" i="12"/>
  <c r="NDB15" i="12"/>
  <c r="NDC15" i="12"/>
  <c r="NDD15" i="12"/>
  <c r="NDE15" i="12"/>
  <c r="NDF15" i="12"/>
  <c r="NDG15" i="12"/>
  <c r="NDH15" i="12"/>
  <c r="NDI15" i="12"/>
  <c r="NDJ15" i="12"/>
  <c r="NDK15" i="12"/>
  <c r="NDL15" i="12"/>
  <c r="NDM15" i="12"/>
  <c r="NDN15" i="12"/>
  <c r="NDO15" i="12"/>
  <c r="NDP15" i="12"/>
  <c r="NDQ15" i="12"/>
  <c r="NDR15" i="12"/>
  <c r="NDS15" i="12"/>
  <c r="NDT15" i="12"/>
  <c r="NDU15" i="12"/>
  <c r="NDV15" i="12"/>
  <c r="NDW15" i="12"/>
  <c r="NDX15" i="12"/>
  <c r="NDY15" i="12"/>
  <c r="NDZ15" i="12"/>
  <c r="NEA15" i="12"/>
  <c r="NEB15" i="12"/>
  <c r="NEC15" i="12"/>
  <c r="NED15" i="12"/>
  <c r="NEE15" i="12"/>
  <c r="NEF15" i="12"/>
  <c r="NEG15" i="12"/>
  <c r="NEH15" i="12"/>
  <c r="NEI15" i="12"/>
  <c r="NEJ15" i="12"/>
  <c r="NEK15" i="12"/>
  <c r="NEL15" i="12"/>
  <c r="NEM15" i="12"/>
  <c r="NEN15" i="12"/>
  <c r="NEO15" i="12"/>
  <c r="NEP15" i="12"/>
  <c r="NEQ15" i="12"/>
  <c r="NER15" i="12"/>
  <c r="NES15" i="12"/>
  <c r="NET15" i="12"/>
  <c r="NEU15" i="12"/>
  <c r="NEV15" i="12"/>
  <c r="NEW15" i="12"/>
  <c r="NEX15" i="12"/>
  <c r="NEY15" i="12"/>
  <c r="NEZ15" i="12"/>
  <c r="NFA15" i="12"/>
  <c r="NFB15" i="12"/>
  <c r="NFC15" i="12"/>
  <c r="NFD15" i="12"/>
  <c r="NFE15" i="12"/>
  <c r="NFF15" i="12"/>
  <c r="NFG15" i="12"/>
  <c r="NFH15" i="12"/>
  <c r="NFI15" i="12"/>
  <c r="NFJ15" i="12"/>
  <c r="NFK15" i="12"/>
  <c r="NFL15" i="12"/>
  <c r="NFM15" i="12"/>
  <c r="NFN15" i="12"/>
  <c r="NFO15" i="12"/>
  <c r="NFP15" i="12"/>
  <c r="NFQ15" i="12"/>
  <c r="NFR15" i="12"/>
  <c r="NFS15" i="12"/>
  <c r="NFT15" i="12"/>
  <c r="NFU15" i="12"/>
  <c r="NFV15" i="12"/>
  <c r="NFW15" i="12"/>
  <c r="NFX15" i="12"/>
  <c r="NFY15" i="12"/>
  <c r="NFZ15" i="12"/>
  <c r="NGA15" i="12"/>
  <c r="NGB15" i="12"/>
  <c r="NGC15" i="12"/>
  <c r="NGD15" i="12"/>
  <c r="NGE15" i="12"/>
  <c r="NGF15" i="12"/>
  <c r="NGG15" i="12"/>
  <c r="NGH15" i="12"/>
  <c r="NGI15" i="12"/>
  <c r="NGJ15" i="12"/>
  <c r="NGK15" i="12"/>
  <c r="NGL15" i="12"/>
  <c r="NGM15" i="12"/>
  <c r="NGN15" i="12"/>
  <c r="NGO15" i="12"/>
  <c r="NGP15" i="12"/>
  <c r="NGQ15" i="12"/>
  <c r="NGR15" i="12"/>
  <c r="NGS15" i="12"/>
  <c r="NGT15" i="12"/>
  <c r="NGU15" i="12"/>
  <c r="NGV15" i="12"/>
  <c r="NGW15" i="12"/>
  <c r="NGX15" i="12"/>
  <c r="NGY15" i="12"/>
  <c r="NGZ15" i="12"/>
  <c r="NHA15" i="12"/>
  <c r="NHB15" i="12"/>
  <c r="NHC15" i="12"/>
  <c r="NHD15" i="12"/>
  <c r="NHE15" i="12"/>
  <c r="NHF15" i="12"/>
  <c r="NHG15" i="12"/>
  <c r="NHH15" i="12"/>
  <c r="NHI15" i="12"/>
  <c r="NHJ15" i="12"/>
  <c r="NHK15" i="12"/>
  <c r="NHL15" i="12"/>
  <c r="NHM15" i="12"/>
  <c r="NHN15" i="12"/>
  <c r="NHO15" i="12"/>
  <c r="NHP15" i="12"/>
  <c r="NHQ15" i="12"/>
  <c r="NHR15" i="12"/>
  <c r="NHS15" i="12"/>
  <c r="NHT15" i="12"/>
  <c r="NHU15" i="12"/>
  <c r="NHV15" i="12"/>
  <c r="NHW15" i="12"/>
  <c r="NHX15" i="12"/>
  <c r="NHY15" i="12"/>
  <c r="NHZ15" i="12"/>
  <c r="NIA15" i="12"/>
  <c r="NIB15" i="12"/>
  <c r="NIC15" i="12"/>
  <c r="NID15" i="12"/>
  <c r="NIE15" i="12"/>
  <c r="NIF15" i="12"/>
  <c r="NIG15" i="12"/>
  <c r="NIH15" i="12"/>
  <c r="NII15" i="12"/>
  <c r="NIJ15" i="12"/>
  <c r="NIK15" i="12"/>
  <c r="NIL15" i="12"/>
  <c r="NIM15" i="12"/>
  <c r="NIN15" i="12"/>
  <c r="NIO15" i="12"/>
  <c r="NIP15" i="12"/>
  <c r="NIQ15" i="12"/>
  <c r="NIR15" i="12"/>
  <c r="NIS15" i="12"/>
  <c r="NIT15" i="12"/>
  <c r="NIU15" i="12"/>
  <c r="NIV15" i="12"/>
  <c r="NIW15" i="12"/>
  <c r="NIX15" i="12"/>
  <c r="NIY15" i="12"/>
  <c r="NIZ15" i="12"/>
  <c r="NJA15" i="12"/>
  <c r="NJB15" i="12"/>
  <c r="NJC15" i="12"/>
  <c r="NJD15" i="12"/>
  <c r="NJE15" i="12"/>
  <c r="NJF15" i="12"/>
  <c r="NJG15" i="12"/>
  <c r="NJH15" i="12"/>
  <c r="NJI15" i="12"/>
  <c r="NJJ15" i="12"/>
  <c r="NJK15" i="12"/>
  <c r="NJL15" i="12"/>
  <c r="NJM15" i="12"/>
  <c r="NJN15" i="12"/>
  <c r="NJO15" i="12"/>
  <c r="NJP15" i="12"/>
  <c r="NJQ15" i="12"/>
  <c r="NJR15" i="12"/>
  <c r="NJS15" i="12"/>
  <c r="NJT15" i="12"/>
  <c r="NJU15" i="12"/>
  <c r="NJV15" i="12"/>
  <c r="NJW15" i="12"/>
  <c r="NJX15" i="12"/>
  <c r="NJY15" i="12"/>
  <c r="NJZ15" i="12"/>
  <c r="NKA15" i="12"/>
  <c r="NKB15" i="12"/>
  <c r="NKC15" i="12"/>
  <c r="NKD15" i="12"/>
  <c r="NKE15" i="12"/>
  <c r="NKF15" i="12"/>
  <c r="NKG15" i="12"/>
  <c r="NKH15" i="12"/>
  <c r="NKI15" i="12"/>
  <c r="NKJ15" i="12"/>
  <c r="NKK15" i="12"/>
  <c r="NKL15" i="12"/>
  <c r="NKM15" i="12"/>
  <c r="NKN15" i="12"/>
  <c r="NKO15" i="12"/>
  <c r="NKP15" i="12"/>
  <c r="NKQ15" i="12"/>
  <c r="NKR15" i="12"/>
  <c r="NKS15" i="12"/>
  <c r="NKT15" i="12"/>
  <c r="NKU15" i="12"/>
  <c r="NKV15" i="12"/>
  <c r="NKW15" i="12"/>
  <c r="NKX15" i="12"/>
  <c r="NKY15" i="12"/>
  <c r="NKZ15" i="12"/>
  <c r="NLA15" i="12"/>
  <c r="NLB15" i="12"/>
  <c r="NLC15" i="12"/>
  <c r="NLD15" i="12"/>
  <c r="NLE15" i="12"/>
  <c r="NLF15" i="12"/>
  <c r="NLG15" i="12"/>
  <c r="NLH15" i="12"/>
  <c r="NLI15" i="12"/>
  <c r="NLJ15" i="12"/>
  <c r="NLK15" i="12"/>
  <c r="NLL15" i="12"/>
  <c r="NLM15" i="12"/>
  <c r="NLN15" i="12"/>
  <c r="NLO15" i="12"/>
  <c r="NLP15" i="12"/>
  <c r="NLQ15" i="12"/>
  <c r="NLR15" i="12"/>
  <c r="NLS15" i="12"/>
  <c r="NLT15" i="12"/>
  <c r="NLU15" i="12"/>
  <c r="NLV15" i="12"/>
  <c r="NLW15" i="12"/>
  <c r="NLX15" i="12"/>
  <c r="NLY15" i="12"/>
  <c r="NLZ15" i="12"/>
  <c r="NMA15" i="12"/>
  <c r="NMB15" i="12"/>
  <c r="NMC15" i="12"/>
  <c r="NMD15" i="12"/>
  <c r="NME15" i="12"/>
  <c r="NMF15" i="12"/>
  <c r="NMG15" i="12"/>
  <c r="NMH15" i="12"/>
  <c r="NMI15" i="12"/>
  <c r="NMJ15" i="12"/>
  <c r="NMK15" i="12"/>
  <c r="NML15" i="12"/>
  <c r="NMM15" i="12"/>
  <c r="NMN15" i="12"/>
  <c r="NMO15" i="12"/>
  <c r="NMP15" i="12"/>
  <c r="NMQ15" i="12"/>
  <c r="NMR15" i="12"/>
  <c r="NMS15" i="12"/>
  <c r="NMT15" i="12"/>
  <c r="NMU15" i="12"/>
  <c r="NMV15" i="12"/>
  <c r="NMW15" i="12"/>
  <c r="NMX15" i="12"/>
  <c r="NMY15" i="12"/>
  <c r="NMZ15" i="12"/>
  <c r="NNA15" i="12"/>
  <c r="NNB15" i="12"/>
  <c r="NNC15" i="12"/>
  <c r="NND15" i="12"/>
  <c r="NNE15" i="12"/>
  <c r="NNF15" i="12"/>
  <c r="NNG15" i="12"/>
  <c r="NNH15" i="12"/>
  <c r="NNI15" i="12"/>
  <c r="NNJ15" i="12"/>
  <c r="NNK15" i="12"/>
  <c r="NNL15" i="12"/>
  <c r="NNM15" i="12"/>
  <c r="NNN15" i="12"/>
  <c r="NNO15" i="12"/>
  <c r="NNP15" i="12"/>
  <c r="NNQ15" i="12"/>
  <c r="NNR15" i="12"/>
  <c r="NNS15" i="12"/>
  <c r="NNT15" i="12"/>
  <c r="NNU15" i="12"/>
  <c r="NNV15" i="12"/>
  <c r="NNW15" i="12"/>
  <c r="NNX15" i="12"/>
  <c r="NNY15" i="12"/>
  <c r="NNZ15" i="12"/>
  <c r="NOA15" i="12"/>
  <c r="NOB15" i="12"/>
  <c r="NOC15" i="12"/>
  <c r="NOD15" i="12"/>
  <c r="NOE15" i="12"/>
  <c r="NOF15" i="12"/>
  <c r="NOG15" i="12"/>
  <c r="NOH15" i="12"/>
  <c r="NOI15" i="12"/>
  <c r="NOJ15" i="12"/>
  <c r="NOK15" i="12"/>
  <c r="NOL15" i="12"/>
  <c r="NOM15" i="12"/>
  <c r="NON15" i="12"/>
  <c r="NOO15" i="12"/>
  <c r="NOP15" i="12"/>
  <c r="NOQ15" i="12"/>
  <c r="NOR15" i="12"/>
  <c r="NOS15" i="12"/>
  <c r="NOT15" i="12"/>
  <c r="NOU15" i="12"/>
  <c r="NOV15" i="12"/>
  <c r="NOW15" i="12"/>
  <c r="NOX15" i="12"/>
  <c r="NOY15" i="12"/>
  <c r="NOZ15" i="12"/>
  <c r="NPA15" i="12"/>
  <c r="NPB15" i="12"/>
  <c r="NPC15" i="12"/>
  <c r="NPD15" i="12"/>
  <c r="NPE15" i="12"/>
  <c r="NPF15" i="12"/>
  <c r="NPG15" i="12"/>
  <c r="NPH15" i="12"/>
  <c r="NPI15" i="12"/>
  <c r="NPJ15" i="12"/>
  <c r="NPK15" i="12"/>
  <c r="NPL15" i="12"/>
  <c r="NPM15" i="12"/>
  <c r="NPN15" i="12"/>
  <c r="NPO15" i="12"/>
  <c r="NPP15" i="12"/>
  <c r="NPQ15" i="12"/>
  <c r="NPR15" i="12"/>
  <c r="NPS15" i="12"/>
  <c r="NPT15" i="12"/>
  <c r="NPU15" i="12"/>
  <c r="NPV15" i="12"/>
  <c r="NPW15" i="12"/>
  <c r="NPX15" i="12"/>
  <c r="NPY15" i="12"/>
  <c r="NPZ15" i="12"/>
  <c r="NQA15" i="12"/>
  <c r="NQB15" i="12"/>
  <c r="NQC15" i="12"/>
  <c r="NQD15" i="12"/>
  <c r="NQE15" i="12"/>
  <c r="NQF15" i="12"/>
  <c r="NQG15" i="12"/>
  <c r="NQH15" i="12"/>
  <c r="NQI15" i="12"/>
  <c r="NQJ15" i="12"/>
  <c r="NQK15" i="12"/>
  <c r="NQL15" i="12"/>
  <c r="NQM15" i="12"/>
  <c r="NQN15" i="12"/>
  <c r="NQO15" i="12"/>
  <c r="NQP15" i="12"/>
  <c r="NQQ15" i="12"/>
  <c r="NQR15" i="12"/>
  <c r="NQS15" i="12"/>
  <c r="NQT15" i="12"/>
  <c r="NQU15" i="12"/>
  <c r="NQV15" i="12"/>
  <c r="NQW15" i="12"/>
  <c r="NQX15" i="12"/>
  <c r="NQY15" i="12"/>
  <c r="NQZ15" i="12"/>
  <c r="NRA15" i="12"/>
  <c r="NRB15" i="12"/>
  <c r="NRC15" i="12"/>
  <c r="NRD15" i="12"/>
  <c r="NRE15" i="12"/>
  <c r="NRF15" i="12"/>
  <c r="NRG15" i="12"/>
  <c r="NRH15" i="12"/>
  <c r="NRI15" i="12"/>
  <c r="NRJ15" i="12"/>
  <c r="NRK15" i="12"/>
  <c r="NRL15" i="12"/>
  <c r="NRM15" i="12"/>
  <c r="NRN15" i="12"/>
  <c r="NRO15" i="12"/>
  <c r="NRP15" i="12"/>
  <c r="NRQ15" i="12"/>
  <c r="NRR15" i="12"/>
  <c r="NRS15" i="12"/>
  <c r="NRT15" i="12"/>
  <c r="NRU15" i="12"/>
  <c r="NRV15" i="12"/>
  <c r="NRW15" i="12"/>
  <c r="NRX15" i="12"/>
  <c r="NRY15" i="12"/>
  <c r="NRZ15" i="12"/>
  <c r="NSA15" i="12"/>
  <c r="NSB15" i="12"/>
  <c r="NSC15" i="12"/>
  <c r="NSD15" i="12"/>
  <c r="NSE15" i="12"/>
  <c r="NSF15" i="12"/>
  <c r="NSG15" i="12"/>
  <c r="NSH15" i="12"/>
  <c r="NSI15" i="12"/>
  <c r="NSJ15" i="12"/>
  <c r="NSK15" i="12"/>
  <c r="NSL15" i="12"/>
  <c r="NSM15" i="12"/>
  <c r="NSN15" i="12"/>
  <c r="NSO15" i="12"/>
  <c r="NSP15" i="12"/>
  <c r="NSQ15" i="12"/>
  <c r="NSR15" i="12"/>
  <c r="NSS15" i="12"/>
  <c r="NST15" i="12"/>
  <c r="NSU15" i="12"/>
  <c r="NSV15" i="12"/>
  <c r="NSW15" i="12"/>
  <c r="NSX15" i="12"/>
  <c r="NSY15" i="12"/>
  <c r="NSZ15" i="12"/>
  <c r="NTA15" i="12"/>
  <c r="NTB15" i="12"/>
  <c r="NTC15" i="12"/>
  <c r="NTD15" i="12"/>
  <c r="NTE15" i="12"/>
  <c r="NTF15" i="12"/>
  <c r="NTG15" i="12"/>
  <c r="NTH15" i="12"/>
  <c r="NTI15" i="12"/>
  <c r="NTJ15" i="12"/>
  <c r="NTK15" i="12"/>
  <c r="NTL15" i="12"/>
  <c r="NTM15" i="12"/>
  <c r="NTN15" i="12"/>
  <c r="NTO15" i="12"/>
  <c r="NTP15" i="12"/>
  <c r="NTQ15" i="12"/>
  <c r="NTR15" i="12"/>
  <c r="NTS15" i="12"/>
  <c r="NTT15" i="12"/>
  <c r="NTU15" i="12"/>
  <c r="NTV15" i="12"/>
  <c r="NTW15" i="12"/>
  <c r="NTX15" i="12"/>
  <c r="NTY15" i="12"/>
  <c r="NTZ15" i="12"/>
  <c r="NUA15" i="12"/>
  <c r="NUB15" i="12"/>
  <c r="NUC15" i="12"/>
  <c r="NUD15" i="12"/>
  <c r="NUE15" i="12"/>
  <c r="NUF15" i="12"/>
  <c r="NUG15" i="12"/>
  <c r="NUH15" i="12"/>
  <c r="NUI15" i="12"/>
  <c r="NUJ15" i="12"/>
  <c r="NUK15" i="12"/>
  <c r="NUL15" i="12"/>
  <c r="NUM15" i="12"/>
  <c r="NUN15" i="12"/>
  <c r="NUO15" i="12"/>
  <c r="NUP15" i="12"/>
  <c r="NUQ15" i="12"/>
  <c r="NUR15" i="12"/>
  <c r="NUS15" i="12"/>
  <c r="NUT15" i="12"/>
  <c r="NUU15" i="12"/>
  <c r="NUV15" i="12"/>
  <c r="NUW15" i="12"/>
  <c r="NUX15" i="12"/>
  <c r="NUY15" i="12"/>
  <c r="NUZ15" i="12"/>
  <c r="NVA15" i="12"/>
  <c r="NVB15" i="12"/>
  <c r="NVC15" i="12"/>
  <c r="NVD15" i="12"/>
  <c r="NVE15" i="12"/>
  <c r="NVF15" i="12"/>
  <c r="NVG15" i="12"/>
  <c r="NVH15" i="12"/>
  <c r="NVI15" i="12"/>
  <c r="NVJ15" i="12"/>
  <c r="NVK15" i="12"/>
  <c r="NVL15" i="12"/>
  <c r="NVM15" i="12"/>
  <c r="NVN15" i="12"/>
  <c r="NVO15" i="12"/>
  <c r="NVP15" i="12"/>
  <c r="NVQ15" i="12"/>
  <c r="NVR15" i="12"/>
  <c r="NVS15" i="12"/>
  <c r="NVT15" i="12"/>
  <c r="NVU15" i="12"/>
  <c r="NVV15" i="12"/>
  <c r="NVW15" i="12"/>
  <c r="NVX15" i="12"/>
  <c r="NVY15" i="12"/>
  <c r="NVZ15" i="12"/>
  <c r="NWA15" i="12"/>
  <c r="NWB15" i="12"/>
  <c r="NWC15" i="12"/>
  <c r="NWD15" i="12"/>
  <c r="NWE15" i="12"/>
  <c r="NWF15" i="12"/>
  <c r="NWG15" i="12"/>
  <c r="NWH15" i="12"/>
  <c r="NWI15" i="12"/>
  <c r="NWJ15" i="12"/>
  <c r="NWK15" i="12"/>
  <c r="NWL15" i="12"/>
  <c r="NWM15" i="12"/>
  <c r="NWN15" i="12"/>
  <c r="NWO15" i="12"/>
  <c r="NWP15" i="12"/>
  <c r="NWQ15" i="12"/>
  <c r="NWR15" i="12"/>
  <c r="NWS15" i="12"/>
  <c r="NWT15" i="12"/>
  <c r="NWU15" i="12"/>
  <c r="NWV15" i="12"/>
  <c r="NWW15" i="12"/>
  <c r="NWX15" i="12"/>
  <c r="NWY15" i="12"/>
  <c r="NWZ15" i="12"/>
  <c r="NXA15" i="12"/>
  <c r="NXB15" i="12"/>
  <c r="NXC15" i="12"/>
  <c r="NXD15" i="12"/>
  <c r="NXE15" i="12"/>
  <c r="NXF15" i="12"/>
  <c r="NXG15" i="12"/>
  <c r="NXH15" i="12"/>
  <c r="NXI15" i="12"/>
  <c r="NXJ15" i="12"/>
  <c r="NXK15" i="12"/>
  <c r="NXL15" i="12"/>
  <c r="NXM15" i="12"/>
  <c r="NXN15" i="12"/>
  <c r="NXO15" i="12"/>
  <c r="NXP15" i="12"/>
  <c r="NXQ15" i="12"/>
  <c r="NXR15" i="12"/>
  <c r="NXS15" i="12"/>
  <c r="NXT15" i="12"/>
  <c r="NXU15" i="12"/>
  <c r="NXV15" i="12"/>
  <c r="NXW15" i="12"/>
  <c r="NXX15" i="12"/>
  <c r="NXY15" i="12"/>
  <c r="NXZ15" i="12"/>
  <c r="NYA15" i="12"/>
  <c r="NYB15" i="12"/>
  <c r="NYC15" i="12"/>
  <c r="NYD15" i="12"/>
  <c r="NYE15" i="12"/>
  <c r="NYF15" i="12"/>
  <c r="NYG15" i="12"/>
  <c r="NYH15" i="12"/>
  <c r="NYI15" i="12"/>
  <c r="NYJ15" i="12"/>
  <c r="NYK15" i="12"/>
  <c r="NYL15" i="12"/>
  <c r="NYM15" i="12"/>
  <c r="NYN15" i="12"/>
  <c r="NYO15" i="12"/>
  <c r="NYP15" i="12"/>
  <c r="NYQ15" i="12"/>
  <c r="NYR15" i="12"/>
  <c r="NYS15" i="12"/>
  <c r="NYT15" i="12"/>
  <c r="NYU15" i="12"/>
  <c r="NYV15" i="12"/>
  <c r="NYW15" i="12"/>
  <c r="NYX15" i="12"/>
  <c r="NYY15" i="12"/>
  <c r="NYZ15" i="12"/>
  <c r="NZA15" i="12"/>
  <c r="NZB15" i="12"/>
  <c r="NZC15" i="12"/>
  <c r="NZD15" i="12"/>
  <c r="NZE15" i="12"/>
  <c r="NZF15" i="12"/>
  <c r="NZG15" i="12"/>
  <c r="NZH15" i="12"/>
  <c r="NZI15" i="12"/>
  <c r="NZJ15" i="12"/>
  <c r="NZK15" i="12"/>
  <c r="NZL15" i="12"/>
  <c r="NZM15" i="12"/>
  <c r="NZN15" i="12"/>
  <c r="NZO15" i="12"/>
  <c r="NZP15" i="12"/>
  <c r="NZQ15" i="12"/>
  <c r="NZR15" i="12"/>
  <c r="NZS15" i="12"/>
  <c r="NZT15" i="12"/>
  <c r="NZU15" i="12"/>
  <c r="NZV15" i="12"/>
  <c r="NZW15" i="12"/>
  <c r="NZX15" i="12"/>
  <c r="NZY15" i="12"/>
  <c r="NZZ15" i="12"/>
  <c r="OAA15" i="12"/>
  <c r="OAB15" i="12"/>
  <c r="OAC15" i="12"/>
  <c r="OAD15" i="12"/>
  <c r="OAE15" i="12"/>
  <c r="OAF15" i="12"/>
  <c r="OAG15" i="12"/>
  <c r="OAH15" i="12"/>
  <c r="OAI15" i="12"/>
  <c r="OAJ15" i="12"/>
  <c r="OAK15" i="12"/>
  <c r="OAL15" i="12"/>
  <c r="OAM15" i="12"/>
  <c r="OAN15" i="12"/>
  <c r="OAO15" i="12"/>
  <c r="OAP15" i="12"/>
  <c r="OAQ15" i="12"/>
  <c r="OAR15" i="12"/>
  <c r="OAS15" i="12"/>
  <c r="OAT15" i="12"/>
  <c r="OAU15" i="12"/>
  <c r="OAV15" i="12"/>
  <c r="OAW15" i="12"/>
  <c r="OAX15" i="12"/>
  <c r="OAY15" i="12"/>
  <c r="OAZ15" i="12"/>
  <c r="OBA15" i="12"/>
  <c r="OBB15" i="12"/>
  <c r="OBC15" i="12"/>
  <c r="OBD15" i="12"/>
  <c r="OBE15" i="12"/>
  <c r="OBF15" i="12"/>
  <c r="OBG15" i="12"/>
  <c r="OBH15" i="12"/>
  <c r="OBI15" i="12"/>
  <c r="OBJ15" i="12"/>
  <c r="OBK15" i="12"/>
  <c r="OBL15" i="12"/>
  <c r="OBM15" i="12"/>
  <c r="OBN15" i="12"/>
  <c r="OBO15" i="12"/>
  <c r="OBP15" i="12"/>
  <c r="OBQ15" i="12"/>
  <c r="OBR15" i="12"/>
  <c r="OBS15" i="12"/>
  <c r="OBT15" i="12"/>
  <c r="OBU15" i="12"/>
  <c r="OBV15" i="12"/>
  <c r="OBW15" i="12"/>
  <c r="OBX15" i="12"/>
  <c r="OBY15" i="12"/>
  <c r="OBZ15" i="12"/>
  <c r="OCA15" i="12"/>
  <c r="OCB15" i="12"/>
  <c r="OCC15" i="12"/>
  <c r="OCD15" i="12"/>
  <c r="OCE15" i="12"/>
  <c r="OCF15" i="12"/>
  <c r="OCG15" i="12"/>
  <c r="OCH15" i="12"/>
  <c r="OCI15" i="12"/>
  <c r="OCJ15" i="12"/>
  <c r="OCK15" i="12"/>
  <c r="OCL15" i="12"/>
  <c r="OCM15" i="12"/>
  <c r="OCN15" i="12"/>
  <c r="OCO15" i="12"/>
  <c r="OCP15" i="12"/>
  <c r="OCQ15" i="12"/>
  <c r="OCR15" i="12"/>
  <c r="OCS15" i="12"/>
  <c r="OCT15" i="12"/>
  <c r="OCU15" i="12"/>
  <c r="OCV15" i="12"/>
  <c r="OCW15" i="12"/>
  <c r="OCX15" i="12"/>
  <c r="OCY15" i="12"/>
  <c r="OCZ15" i="12"/>
  <c r="ODA15" i="12"/>
  <c r="ODB15" i="12"/>
  <c r="ODC15" i="12"/>
  <c r="ODD15" i="12"/>
  <c r="ODE15" i="12"/>
  <c r="ODF15" i="12"/>
  <c r="ODG15" i="12"/>
  <c r="ODH15" i="12"/>
  <c r="ODI15" i="12"/>
  <c r="ODJ15" i="12"/>
  <c r="ODK15" i="12"/>
  <c r="ODL15" i="12"/>
  <c r="ODM15" i="12"/>
  <c r="ODN15" i="12"/>
  <c r="ODO15" i="12"/>
  <c r="ODP15" i="12"/>
  <c r="ODQ15" i="12"/>
  <c r="ODR15" i="12"/>
  <c r="ODS15" i="12"/>
  <c r="ODT15" i="12"/>
  <c r="ODU15" i="12"/>
  <c r="ODV15" i="12"/>
  <c r="ODW15" i="12"/>
  <c r="ODX15" i="12"/>
  <c r="ODY15" i="12"/>
  <c r="ODZ15" i="12"/>
  <c r="OEA15" i="12"/>
  <c r="OEB15" i="12"/>
  <c r="OEC15" i="12"/>
  <c r="OED15" i="12"/>
  <c r="OEE15" i="12"/>
  <c r="OEF15" i="12"/>
  <c r="OEG15" i="12"/>
  <c r="OEH15" i="12"/>
  <c r="OEI15" i="12"/>
  <c r="OEJ15" i="12"/>
  <c r="OEK15" i="12"/>
  <c r="OEL15" i="12"/>
  <c r="OEM15" i="12"/>
  <c r="OEN15" i="12"/>
  <c r="OEO15" i="12"/>
  <c r="OEP15" i="12"/>
  <c r="OEQ15" i="12"/>
  <c r="OER15" i="12"/>
  <c r="OES15" i="12"/>
  <c r="OET15" i="12"/>
  <c r="OEU15" i="12"/>
  <c r="OEV15" i="12"/>
  <c r="OEW15" i="12"/>
  <c r="OEX15" i="12"/>
  <c r="OEY15" i="12"/>
  <c r="OEZ15" i="12"/>
  <c r="OFA15" i="12"/>
  <c r="OFB15" i="12"/>
  <c r="OFC15" i="12"/>
  <c r="OFD15" i="12"/>
  <c r="OFE15" i="12"/>
  <c r="OFF15" i="12"/>
  <c r="OFG15" i="12"/>
  <c r="OFH15" i="12"/>
  <c r="OFI15" i="12"/>
  <c r="OFJ15" i="12"/>
  <c r="OFK15" i="12"/>
  <c r="OFL15" i="12"/>
  <c r="OFM15" i="12"/>
  <c r="OFN15" i="12"/>
  <c r="OFO15" i="12"/>
  <c r="OFP15" i="12"/>
  <c r="OFQ15" i="12"/>
  <c r="OFR15" i="12"/>
  <c r="OFS15" i="12"/>
  <c r="OFT15" i="12"/>
  <c r="OFU15" i="12"/>
  <c r="OFV15" i="12"/>
  <c r="OFW15" i="12"/>
  <c r="OFX15" i="12"/>
  <c r="OFY15" i="12"/>
  <c r="OFZ15" i="12"/>
  <c r="OGA15" i="12"/>
  <c r="OGB15" i="12"/>
  <c r="OGC15" i="12"/>
  <c r="OGD15" i="12"/>
  <c r="OGE15" i="12"/>
  <c r="OGF15" i="12"/>
  <c r="OGG15" i="12"/>
  <c r="OGH15" i="12"/>
  <c r="OGI15" i="12"/>
  <c r="OGJ15" i="12"/>
  <c r="OGK15" i="12"/>
  <c r="OGL15" i="12"/>
  <c r="OGM15" i="12"/>
  <c r="OGN15" i="12"/>
  <c r="OGO15" i="12"/>
  <c r="OGP15" i="12"/>
  <c r="OGQ15" i="12"/>
  <c r="OGR15" i="12"/>
  <c r="OGS15" i="12"/>
  <c r="OGT15" i="12"/>
  <c r="OGU15" i="12"/>
  <c r="OGV15" i="12"/>
  <c r="OGW15" i="12"/>
  <c r="OGX15" i="12"/>
  <c r="OGY15" i="12"/>
  <c r="OGZ15" i="12"/>
  <c r="OHA15" i="12"/>
  <c r="OHB15" i="12"/>
  <c r="OHC15" i="12"/>
  <c r="OHD15" i="12"/>
  <c r="OHE15" i="12"/>
  <c r="OHF15" i="12"/>
  <c r="OHG15" i="12"/>
  <c r="OHH15" i="12"/>
  <c r="OHI15" i="12"/>
  <c r="OHJ15" i="12"/>
  <c r="OHK15" i="12"/>
  <c r="OHL15" i="12"/>
  <c r="OHM15" i="12"/>
  <c r="OHN15" i="12"/>
  <c r="OHO15" i="12"/>
  <c r="OHP15" i="12"/>
  <c r="OHQ15" i="12"/>
  <c r="OHR15" i="12"/>
  <c r="OHS15" i="12"/>
  <c r="OHT15" i="12"/>
  <c r="OHU15" i="12"/>
  <c r="OHV15" i="12"/>
  <c r="OHW15" i="12"/>
  <c r="OHX15" i="12"/>
  <c r="OHY15" i="12"/>
  <c r="OHZ15" i="12"/>
  <c r="OIA15" i="12"/>
  <c r="OIB15" i="12"/>
  <c r="OIC15" i="12"/>
  <c r="OID15" i="12"/>
  <c r="OIE15" i="12"/>
  <c r="OIF15" i="12"/>
  <c r="OIG15" i="12"/>
  <c r="OIH15" i="12"/>
  <c r="OII15" i="12"/>
  <c r="OIJ15" i="12"/>
  <c r="OIK15" i="12"/>
  <c r="OIL15" i="12"/>
  <c r="OIM15" i="12"/>
  <c r="OIN15" i="12"/>
  <c r="OIO15" i="12"/>
  <c r="OIP15" i="12"/>
  <c r="OIQ15" i="12"/>
  <c r="OIR15" i="12"/>
  <c r="OIS15" i="12"/>
  <c r="OIT15" i="12"/>
  <c r="OIU15" i="12"/>
  <c r="OIV15" i="12"/>
  <c r="OIW15" i="12"/>
  <c r="OIX15" i="12"/>
  <c r="OIY15" i="12"/>
  <c r="OIZ15" i="12"/>
  <c r="OJA15" i="12"/>
  <c r="OJB15" i="12"/>
  <c r="OJC15" i="12"/>
  <c r="OJD15" i="12"/>
  <c r="OJE15" i="12"/>
  <c r="OJF15" i="12"/>
  <c r="OJG15" i="12"/>
  <c r="OJH15" i="12"/>
  <c r="OJI15" i="12"/>
  <c r="OJJ15" i="12"/>
  <c r="OJK15" i="12"/>
  <c r="OJL15" i="12"/>
  <c r="OJM15" i="12"/>
  <c r="OJN15" i="12"/>
  <c r="OJO15" i="12"/>
  <c r="OJP15" i="12"/>
  <c r="OJQ15" i="12"/>
  <c r="OJR15" i="12"/>
  <c r="OJS15" i="12"/>
  <c r="OJT15" i="12"/>
  <c r="OJU15" i="12"/>
  <c r="OJV15" i="12"/>
  <c r="OJW15" i="12"/>
  <c r="OJX15" i="12"/>
  <c r="OJY15" i="12"/>
  <c r="OJZ15" i="12"/>
  <c r="OKA15" i="12"/>
  <c r="OKB15" i="12"/>
  <c r="OKC15" i="12"/>
  <c r="OKD15" i="12"/>
  <c r="OKE15" i="12"/>
  <c r="OKF15" i="12"/>
  <c r="OKG15" i="12"/>
  <c r="OKH15" i="12"/>
  <c r="OKI15" i="12"/>
  <c r="OKJ15" i="12"/>
  <c r="OKK15" i="12"/>
  <c r="OKL15" i="12"/>
  <c r="OKM15" i="12"/>
  <c r="OKN15" i="12"/>
  <c r="OKO15" i="12"/>
  <c r="OKP15" i="12"/>
  <c r="OKQ15" i="12"/>
  <c r="OKR15" i="12"/>
  <c r="OKS15" i="12"/>
  <c r="OKT15" i="12"/>
  <c r="OKU15" i="12"/>
  <c r="OKV15" i="12"/>
  <c r="OKW15" i="12"/>
  <c r="OKX15" i="12"/>
  <c r="OKY15" i="12"/>
  <c r="OKZ15" i="12"/>
  <c r="OLA15" i="12"/>
  <c r="OLB15" i="12"/>
  <c r="OLC15" i="12"/>
  <c r="OLD15" i="12"/>
  <c r="OLE15" i="12"/>
  <c r="OLF15" i="12"/>
  <c r="OLG15" i="12"/>
  <c r="OLH15" i="12"/>
  <c r="OLI15" i="12"/>
  <c r="OLJ15" i="12"/>
  <c r="OLK15" i="12"/>
  <c r="OLL15" i="12"/>
  <c r="OLM15" i="12"/>
  <c r="OLN15" i="12"/>
  <c r="OLO15" i="12"/>
  <c r="OLP15" i="12"/>
  <c r="OLQ15" i="12"/>
  <c r="OLR15" i="12"/>
  <c r="OLS15" i="12"/>
  <c r="OLT15" i="12"/>
  <c r="OLU15" i="12"/>
  <c r="OLV15" i="12"/>
  <c r="OLW15" i="12"/>
  <c r="OLX15" i="12"/>
  <c r="OLY15" i="12"/>
  <c r="OLZ15" i="12"/>
  <c r="OMA15" i="12"/>
  <c r="OMB15" i="12"/>
  <c r="OMC15" i="12"/>
  <c r="OMD15" i="12"/>
  <c r="OME15" i="12"/>
  <c r="OMF15" i="12"/>
  <c r="OMG15" i="12"/>
  <c r="OMH15" i="12"/>
  <c r="OMI15" i="12"/>
  <c r="OMJ15" i="12"/>
  <c r="OMK15" i="12"/>
  <c r="OML15" i="12"/>
  <c r="OMM15" i="12"/>
  <c r="OMN15" i="12"/>
  <c r="OMO15" i="12"/>
  <c r="OMP15" i="12"/>
  <c r="OMQ15" i="12"/>
  <c r="OMR15" i="12"/>
  <c r="OMS15" i="12"/>
  <c r="OMT15" i="12"/>
  <c r="OMU15" i="12"/>
  <c r="OMV15" i="12"/>
  <c r="OMW15" i="12"/>
  <c r="OMX15" i="12"/>
  <c r="OMY15" i="12"/>
  <c r="OMZ15" i="12"/>
  <c r="ONA15" i="12"/>
  <c r="ONB15" i="12"/>
  <c r="ONC15" i="12"/>
  <c r="OND15" i="12"/>
  <c r="ONE15" i="12"/>
  <c r="ONF15" i="12"/>
  <c r="ONG15" i="12"/>
  <c r="ONH15" i="12"/>
  <c r="ONI15" i="12"/>
  <c r="ONJ15" i="12"/>
  <c r="ONK15" i="12"/>
  <c r="ONL15" i="12"/>
  <c r="ONM15" i="12"/>
  <c r="ONN15" i="12"/>
  <c r="ONO15" i="12"/>
  <c r="ONP15" i="12"/>
  <c r="ONQ15" i="12"/>
  <c r="ONR15" i="12"/>
  <c r="ONS15" i="12"/>
  <c r="ONT15" i="12"/>
  <c r="ONU15" i="12"/>
  <c r="ONV15" i="12"/>
  <c r="ONW15" i="12"/>
  <c r="ONX15" i="12"/>
  <c r="ONY15" i="12"/>
  <c r="ONZ15" i="12"/>
  <c r="OOA15" i="12"/>
  <c r="OOB15" i="12"/>
  <c r="OOC15" i="12"/>
  <c r="OOD15" i="12"/>
  <c r="OOE15" i="12"/>
  <c r="OOF15" i="12"/>
  <c r="OOG15" i="12"/>
  <c r="OOH15" i="12"/>
  <c r="OOI15" i="12"/>
  <c r="OOJ15" i="12"/>
  <c r="OOK15" i="12"/>
  <c r="OOL15" i="12"/>
  <c r="OOM15" i="12"/>
  <c r="OON15" i="12"/>
  <c r="OOO15" i="12"/>
  <c r="OOP15" i="12"/>
  <c r="OOQ15" i="12"/>
  <c r="OOR15" i="12"/>
  <c r="OOS15" i="12"/>
  <c r="OOT15" i="12"/>
  <c r="OOU15" i="12"/>
  <c r="OOV15" i="12"/>
  <c r="OOW15" i="12"/>
  <c r="OOX15" i="12"/>
  <c r="OOY15" i="12"/>
  <c r="OOZ15" i="12"/>
  <c r="OPA15" i="12"/>
  <c r="OPB15" i="12"/>
  <c r="OPC15" i="12"/>
  <c r="OPD15" i="12"/>
  <c r="OPE15" i="12"/>
  <c r="OPF15" i="12"/>
  <c r="OPG15" i="12"/>
  <c r="OPH15" i="12"/>
  <c r="OPI15" i="12"/>
  <c r="OPJ15" i="12"/>
  <c r="OPK15" i="12"/>
  <c r="OPL15" i="12"/>
  <c r="OPM15" i="12"/>
  <c r="OPN15" i="12"/>
  <c r="OPO15" i="12"/>
  <c r="OPP15" i="12"/>
  <c r="OPQ15" i="12"/>
  <c r="OPR15" i="12"/>
  <c r="OPS15" i="12"/>
  <c r="OPT15" i="12"/>
  <c r="OPU15" i="12"/>
  <c r="OPV15" i="12"/>
  <c r="OPW15" i="12"/>
  <c r="OPX15" i="12"/>
  <c r="OPY15" i="12"/>
  <c r="OPZ15" i="12"/>
  <c r="OQA15" i="12"/>
  <c r="OQB15" i="12"/>
  <c r="OQC15" i="12"/>
  <c r="OQD15" i="12"/>
  <c r="OQE15" i="12"/>
  <c r="OQF15" i="12"/>
  <c r="OQG15" i="12"/>
  <c r="OQH15" i="12"/>
  <c r="OQI15" i="12"/>
  <c r="OQJ15" i="12"/>
  <c r="OQK15" i="12"/>
  <c r="OQL15" i="12"/>
  <c r="OQM15" i="12"/>
  <c r="OQN15" i="12"/>
  <c r="OQO15" i="12"/>
  <c r="OQP15" i="12"/>
  <c r="OQQ15" i="12"/>
  <c r="OQR15" i="12"/>
  <c r="OQS15" i="12"/>
  <c r="OQT15" i="12"/>
  <c r="OQU15" i="12"/>
  <c r="OQV15" i="12"/>
  <c r="OQW15" i="12"/>
  <c r="OQX15" i="12"/>
  <c r="OQY15" i="12"/>
  <c r="OQZ15" i="12"/>
  <c r="ORA15" i="12"/>
  <c r="ORB15" i="12"/>
  <c r="ORC15" i="12"/>
  <c r="ORD15" i="12"/>
  <c r="ORE15" i="12"/>
  <c r="ORF15" i="12"/>
  <c r="ORG15" i="12"/>
  <c r="ORH15" i="12"/>
  <c r="ORI15" i="12"/>
  <c r="ORJ15" i="12"/>
  <c r="ORK15" i="12"/>
  <c r="ORL15" i="12"/>
  <c r="ORM15" i="12"/>
  <c r="ORN15" i="12"/>
  <c r="ORO15" i="12"/>
  <c r="ORP15" i="12"/>
  <c r="ORQ15" i="12"/>
  <c r="ORR15" i="12"/>
  <c r="ORS15" i="12"/>
  <c r="ORT15" i="12"/>
  <c r="ORU15" i="12"/>
  <c r="ORV15" i="12"/>
  <c r="ORW15" i="12"/>
  <c r="ORX15" i="12"/>
  <c r="ORY15" i="12"/>
  <c r="ORZ15" i="12"/>
  <c r="OSA15" i="12"/>
  <c r="OSB15" i="12"/>
  <c r="OSC15" i="12"/>
  <c r="OSD15" i="12"/>
  <c r="OSE15" i="12"/>
  <c r="OSF15" i="12"/>
  <c r="OSG15" i="12"/>
  <c r="OSH15" i="12"/>
  <c r="OSI15" i="12"/>
  <c r="OSJ15" i="12"/>
  <c r="OSK15" i="12"/>
  <c r="OSL15" i="12"/>
  <c r="OSM15" i="12"/>
  <c r="OSN15" i="12"/>
  <c r="OSO15" i="12"/>
  <c r="OSP15" i="12"/>
  <c r="OSQ15" i="12"/>
  <c r="OSR15" i="12"/>
  <c r="OSS15" i="12"/>
  <c r="OST15" i="12"/>
  <c r="OSU15" i="12"/>
  <c r="OSV15" i="12"/>
  <c r="OSW15" i="12"/>
  <c r="OSX15" i="12"/>
  <c r="OSY15" i="12"/>
  <c r="OSZ15" i="12"/>
  <c r="OTA15" i="12"/>
  <c r="OTB15" i="12"/>
  <c r="OTC15" i="12"/>
  <c r="OTD15" i="12"/>
  <c r="OTE15" i="12"/>
  <c r="OTF15" i="12"/>
  <c r="OTG15" i="12"/>
  <c r="OTH15" i="12"/>
  <c r="OTI15" i="12"/>
  <c r="OTJ15" i="12"/>
  <c r="OTK15" i="12"/>
  <c r="OTL15" i="12"/>
  <c r="OTM15" i="12"/>
  <c r="OTN15" i="12"/>
  <c r="OTO15" i="12"/>
  <c r="OTP15" i="12"/>
  <c r="OTQ15" i="12"/>
  <c r="OTR15" i="12"/>
  <c r="OTS15" i="12"/>
  <c r="OTT15" i="12"/>
  <c r="OTU15" i="12"/>
  <c r="OTV15" i="12"/>
  <c r="OTW15" i="12"/>
  <c r="OTX15" i="12"/>
  <c r="OTY15" i="12"/>
  <c r="OTZ15" i="12"/>
  <c r="OUA15" i="12"/>
  <c r="OUB15" i="12"/>
  <c r="OUC15" i="12"/>
  <c r="OUD15" i="12"/>
  <c r="OUE15" i="12"/>
  <c r="OUF15" i="12"/>
  <c r="OUG15" i="12"/>
  <c r="OUH15" i="12"/>
  <c r="OUI15" i="12"/>
  <c r="OUJ15" i="12"/>
  <c r="OUK15" i="12"/>
  <c r="OUL15" i="12"/>
  <c r="OUM15" i="12"/>
  <c r="OUN15" i="12"/>
  <c r="OUO15" i="12"/>
  <c r="OUP15" i="12"/>
  <c r="OUQ15" i="12"/>
  <c r="OUR15" i="12"/>
  <c r="OUS15" i="12"/>
  <c r="OUT15" i="12"/>
  <c r="OUU15" i="12"/>
  <c r="OUV15" i="12"/>
  <c r="OUW15" i="12"/>
  <c r="OUX15" i="12"/>
  <c r="OUY15" i="12"/>
  <c r="OUZ15" i="12"/>
  <c r="OVA15" i="12"/>
  <c r="OVB15" i="12"/>
  <c r="OVC15" i="12"/>
  <c r="OVD15" i="12"/>
  <c r="OVE15" i="12"/>
  <c r="OVF15" i="12"/>
  <c r="OVG15" i="12"/>
  <c r="OVH15" i="12"/>
  <c r="OVI15" i="12"/>
  <c r="OVJ15" i="12"/>
  <c r="OVK15" i="12"/>
  <c r="OVL15" i="12"/>
  <c r="OVM15" i="12"/>
  <c r="OVN15" i="12"/>
  <c r="OVO15" i="12"/>
  <c r="OVP15" i="12"/>
  <c r="OVQ15" i="12"/>
  <c r="OVR15" i="12"/>
  <c r="OVS15" i="12"/>
  <c r="OVT15" i="12"/>
  <c r="OVU15" i="12"/>
  <c r="OVV15" i="12"/>
  <c r="OVW15" i="12"/>
  <c r="OVX15" i="12"/>
  <c r="OVY15" i="12"/>
  <c r="OVZ15" i="12"/>
  <c r="OWA15" i="12"/>
  <c r="OWB15" i="12"/>
  <c r="OWC15" i="12"/>
  <c r="OWD15" i="12"/>
  <c r="OWE15" i="12"/>
  <c r="OWF15" i="12"/>
  <c r="OWG15" i="12"/>
  <c r="OWH15" i="12"/>
  <c r="OWI15" i="12"/>
  <c r="OWJ15" i="12"/>
  <c r="OWK15" i="12"/>
  <c r="OWL15" i="12"/>
  <c r="OWM15" i="12"/>
  <c r="OWN15" i="12"/>
  <c r="OWO15" i="12"/>
  <c r="OWP15" i="12"/>
  <c r="OWQ15" i="12"/>
  <c r="OWR15" i="12"/>
  <c r="OWS15" i="12"/>
  <c r="OWT15" i="12"/>
  <c r="OWU15" i="12"/>
  <c r="OWV15" i="12"/>
  <c r="OWW15" i="12"/>
  <c r="OWX15" i="12"/>
  <c r="OWY15" i="12"/>
  <c r="OWZ15" i="12"/>
  <c r="OXA15" i="12"/>
  <c r="OXB15" i="12"/>
  <c r="OXC15" i="12"/>
  <c r="OXD15" i="12"/>
  <c r="OXE15" i="12"/>
  <c r="OXF15" i="12"/>
  <c r="OXG15" i="12"/>
  <c r="OXH15" i="12"/>
  <c r="OXI15" i="12"/>
  <c r="OXJ15" i="12"/>
  <c r="OXK15" i="12"/>
  <c r="OXL15" i="12"/>
  <c r="OXM15" i="12"/>
  <c r="OXN15" i="12"/>
  <c r="OXO15" i="12"/>
  <c r="OXP15" i="12"/>
  <c r="OXQ15" i="12"/>
  <c r="OXR15" i="12"/>
  <c r="OXS15" i="12"/>
  <c r="OXT15" i="12"/>
  <c r="OXU15" i="12"/>
  <c r="OXV15" i="12"/>
  <c r="OXW15" i="12"/>
  <c r="OXX15" i="12"/>
  <c r="OXY15" i="12"/>
  <c r="OXZ15" i="12"/>
  <c r="OYA15" i="12"/>
  <c r="OYB15" i="12"/>
  <c r="OYC15" i="12"/>
  <c r="OYD15" i="12"/>
  <c r="OYE15" i="12"/>
  <c r="OYF15" i="12"/>
  <c r="OYG15" i="12"/>
  <c r="OYH15" i="12"/>
  <c r="OYI15" i="12"/>
  <c r="OYJ15" i="12"/>
  <c r="OYK15" i="12"/>
  <c r="OYL15" i="12"/>
  <c r="OYM15" i="12"/>
  <c r="OYN15" i="12"/>
  <c r="OYO15" i="12"/>
  <c r="OYP15" i="12"/>
  <c r="OYQ15" i="12"/>
  <c r="OYR15" i="12"/>
  <c r="OYS15" i="12"/>
  <c r="OYT15" i="12"/>
  <c r="OYU15" i="12"/>
  <c r="OYV15" i="12"/>
  <c r="OYW15" i="12"/>
  <c r="OYX15" i="12"/>
  <c r="OYY15" i="12"/>
  <c r="OYZ15" i="12"/>
  <c r="OZA15" i="12"/>
  <c r="OZB15" i="12"/>
  <c r="OZC15" i="12"/>
  <c r="OZD15" i="12"/>
  <c r="OZE15" i="12"/>
  <c r="OZF15" i="12"/>
  <c r="OZG15" i="12"/>
  <c r="OZH15" i="12"/>
  <c r="OZI15" i="12"/>
  <c r="OZJ15" i="12"/>
  <c r="OZK15" i="12"/>
  <c r="OZL15" i="12"/>
  <c r="OZM15" i="12"/>
  <c r="OZN15" i="12"/>
  <c r="OZO15" i="12"/>
  <c r="OZP15" i="12"/>
  <c r="OZQ15" i="12"/>
  <c r="OZR15" i="12"/>
  <c r="OZS15" i="12"/>
  <c r="OZT15" i="12"/>
  <c r="OZU15" i="12"/>
  <c r="OZV15" i="12"/>
  <c r="OZW15" i="12"/>
  <c r="OZX15" i="12"/>
  <c r="OZY15" i="12"/>
  <c r="OZZ15" i="12"/>
  <c r="PAA15" i="12"/>
  <c r="PAB15" i="12"/>
  <c r="PAC15" i="12"/>
  <c r="PAD15" i="12"/>
  <c r="PAE15" i="12"/>
  <c r="PAF15" i="12"/>
  <c r="PAG15" i="12"/>
  <c r="PAH15" i="12"/>
  <c r="PAI15" i="12"/>
  <c r="PAJ15" i="12"/>
  <c r="PAK15" i="12"/>
  <c r="PAL15" i="12"/>
  <c r="PAM15" i="12"/>
  <c r="PAN15" i="12"/>
  <c r="PAO15" i="12"/>
  <c r="PAP15" i="12"/>
  <c r="PAQ15" i="12"/>
  <c r="PAR15" i="12"/>
  <c r="PAS15" i="12"/>
  <c r="PAT15" i="12"/>
  <c r="PAU15" i="12"/>
  <c r="PAV15" i="12"/>
  <c r="PAW15" i="12"/>
  <c r="PAX15" i="12"/>
  <c r="PAY15" i="12"/>
  <c r="PAZ15" i="12"/>
  <c r="PBA15" i="12"/>
  <c r="PBB15" i="12"/>
  <c r="PBC15" i="12"/>
  <c r="PBD15" i="12"/>
  <c r="PBE15" i="12"/>
  <c r="PBF15" i="12"/>
  <c r="PBG15" i="12"/>
  <c r="PBH15" i="12"/>
  <c r="PBI15" i="12"/>
  <c r="PBJ15" i="12"/>
  <c r="PBK15" i="12"/>
  <c r="PBL15" i="12"/>
  <c r="PBM15" i="12"/>
  <c r="PBN15" i="12"/>
  <c r="PBO15" i="12"/>
  <c r="PBP15" i="12"/>
  <c r="PBQ15" i="12"/>
  <c r="PBR15" i="12"/>
  <c r="PBS15" i="12"/>
  <c r="PBT15" i="12"/>
  <c r="PBU15" i="12"/>
  <c r="PBV15" i="12"/>
  <c r="PBW15" i="12"/>
  <c r="PBX15" i="12"/>
  <c r="PBY15" i="12"/>
  <c r="PBZ15" i="12"/>
  <c r="PCA15" i="12"/>
  <c r="PCB15" i="12"/>
  <c r="PCC15" i="12"/>
  <c r="PCD15" i="12"/>
  <c r="PCE15" i="12"/>
  <c r="PCF15" i="12"/>
  <c r="PCG15" i="12"/>
  <c r="PCH15" i="12"/>
  <c r="PCI15" i="12"/>
  <c r="PCJ15" i="12"/>
  <c r="PCK15" i="12"/>
  <c r="PCL15" i="12"/>
  <c r="PCM15" i="12"/>
  <c r="PCN15" i="12"/>
  <c r="PCO15" i="12"/>
  <c r="PCP15" i="12"/>
  <c r="PCQ15" i="12"/>
  <c r="PCR15" i="12"/>
  <c r="PCS15" i="12"/>
  <c r="PCT15" i="12"/>
  <c r="PCU15" i="12"/>
  <c r="PCV15" i="12"/>
  <c r="PCW15" i="12"/>
  <c r="PCX15" i="12"/>
  <c r="PCY15" i="12"/>
  <c r="PCZ15" i="12"/>
  <c r="PDA15" i="12"/>
  <c r="PDB15" i="12"/>
  <c r="PDC15" i="12"/>
  <c r="PDD15" i="12"/>
  <c r="PDE15" i="12"/>
  <c r="PDF15" i="12"/>
  <c r="PDG15" i="12"/>
  <c r="PDH15" i="12"/>
  <c r="PDI15" i="12"/>
  <c r="PDJ15" i="12"/>
  <c r="PDK15" i="12"/>
  <c r="PDL15" i="12"/>
  <c r="PDM15" i="12"/>
  <c r="PDN15" i="12"/>
  <c r="PDO15" i="12"/>
  <c r="PDP15" i="12"/>
  <c r="PDQ15" i="12"/>
  <c r="PDR15" i="12"/>
  <c r="PDS15" i="12"/>
  <c r="PDT15" i="12"/>
  <c r="PDU15" i="12"/>
  <c r="PDV15" i="12"/>
  <c r="PDW15" i="12"/>
  <c r="PDX15" i="12"/>
  <c r="PDY15" i="12"/>
  <c r="PDZ15" i="12"/>
  <c r="PEA15" i="12"/>
  <c r="PEB15" i="12"/>
  <c r="PEC15" i="12"/>
  <c r="PED15" i="12"/>
  <c r="PEE15" i="12"/>
  <c r="PEF15" i="12"/>
  <c r="PEG15" i="12"/>
  <c r="PEH15" i="12"/>
  <c r="PEI15" i="12"/>
  <c r="PEJ15" i="12"/>
  <c r="PEK15" i="12"/>
  <c r="PEL15" i="12"/>
  <c r="PEM15" i="12"/>
  <c r="PEN15" i="12"/>
  <c r="PEO15" i="12"/>
  <c r="PEP15" i="12"/>
  <c r="PEQ15" i="12"/>
  <c r="PER15" i="12"/>
  <c r="PES15" i="12"/>
  <c r="PET15" i="12"/>
  <c r="PEU15" i="12"/>
  <c r="PEV15" i="12"/>
  <c r="PEW15" i="12"/>
  <c r="PEX15" i="12"/>
  <c r="PEY15" i="12"/>
  <c r="PEZ15" i="12"/>
  <c r="PFA15" i="12"/>
  <c r="PFB15" i="12"/>
  <c r="PFC15" i="12"/>
  <c r="PFD15" i="12"/>
  <c r="PFE15" i="12"/>
  <c r="PFF15" i="12"/>
  <c r="PFG15" i="12"/>
  <c r="PFH15" i="12"/>
  <c r="PFI15" i="12"/>
  <c r="PFJ15" i="12"/>
  <c r="PFK15" i="12"/>
  <c r="PFL15" i="12"/>
  <c r="PFM15" i="12"/>
  <c r="PFN15" i="12"/>
  <c r="PFO15" i="12"/>
  <c r="PFP15" i="12"/>
  <c r="PFQ15" i="12"/>
  <c r="PFR15" i="12"/>
  <c r="PFS15" i="12"/>
  <c r="PFT15" i="12"/>
  <c r="PFU15" i="12"/>
  <c r="PFV15" i="12"/>
  <c r="PFW15" i="12"/>
  <c r="PFX15" i="12"/>
  <c r="PFY15" i="12"/>
  <c r="PFZ15" i="12"/>
  <c r="PGA15" i="12"/>
  <c r="PGB15" i="12"/>
  <c r="PGC15" i="12"/>
  <c r="PGD15" i="12"/>
  <c r="PGE15" i="12"/>
  <c r="PGF15" i="12"/>
  <c r="PGG15" i="12"/>
  <c r="PGH15" i="12"/>
  <c r="PGI15" i="12"/>
  <c r="PGJ15" i="12"/>
  <c r="PGK15" i="12"/>
  <c r="PGL15" i="12"/>
  <c r="PGM15" i="12"/>
  <c r="PGN15" i="12"/>
  <c r="PGO15" i="12"/>
  <c r="PGP15" i="12"/>
  <c r="PGQ15" i="12"/>
  <c r="PGR15" i="12"/>
  <c r="PGS15" i="12"/>
  <c r="PGT15" i="12"/>
  <c r="PGU15" i="12"/>
  <c r="PGV15" i="12"/>
  <c r="PGW15" i="12"/>
  <c r="PGX15" i="12"/>
  <c r="PGY15" i="12"/>
  <c r="PGZ15" i="12"/>
  <c r="PHA15" i="12"/>
  <c r="PHB15" i="12"/>
  <c r="PHC15" i="12"/>
  <c r="PHD15" i="12"/>
  <c r="PHE15" i="12"/>
  <c r="PHF15" i="12"/>
  <c r="PHG15" i="12"/>
  <c r="PHH15" i="12"/>
  <c r="PHI15" i="12"/>
  <c r="PHJ15" i="12"/>
  <c r="PHK15" i="12"/>
  <c r="PHL15" i="12"/>
  <c r="PHM15" i="12"/>
  <c r="PHN15" i="12"/>
  <c r="PHO15" i="12"/>
  <c r="PHP15" i="12"/>
  <c r="PHQ15" i="12"/>
  <c r="PHR15" i="12"/>
  <c r="PHS15" i="12"/>
  <c r="PHT15" i="12"/>
  <c r="PHU15" i="12"/>
  <c r="PHV15" i="12"/>
  <c r="PHW15" i="12"/>
  <c r="PHX15" i="12"/>
  <c r="PHY15" i="12"/>
  <c r="PHZ15" i="12"/>
  <c r="PIA15" i="12"/>
  <c r="PIB15" i="12"/>
  <c r="PIC15" i="12"/>
  <c r="PID15" i="12"/>
  <c r="PIE15" i="12"/>
  <c r="PIF15" i="12"/>
  <c r="PIG15" i="12"/>
  <c r="PIH15" i="12"/>
  <c r="PII15" i="12"/>
  <c r="PIJ15" i="12"/>
  <c r="PIK15" i="12"/>
  <c r="PIL15" i="12"/>
  <c r="PIM15" i="12"/>
  <c r="PIN15" i="12"/>
  <c r="PIO15" i="12"/>
  <c r="PIP15" i="12"/>
  <c r="PIQ15" i="12"/>
  <c r="PIR15" i="12"/>
  <c r="PIS15" i="12"/>
  <c r="PIT15" i="12"/>
  <c r="PIU15" i="12"/>
  <c r="PIV15" i="12"/>
  <c r="PIW15" i="12"/>
  <c r="PIX15" i="12"/>
  <c r="PIY15" i="12"/>
  <c r="PIZ15" i="12"/>
  <c r="PJA15" i="12"/>
  <c r="PJB15" i="12"/>
  <c r="PJC15" i="12"/>
  <c r="PJD15" i="12"/>
  <c r="PJE15" i="12"/>
  <c r="PJF15" i="12"/>
  <c r="PJG15" i="12"/>
  <c r="PJH15" i="12"/>
  <c r="PJI15" i="12"/>
  <c r="PJJ15" i="12"/>
  <c r="PJK15" i="12"/>
  <c r="PJL15" i="12"/>
  <c r="PJM15" i="12"/>
  <c r="PJN15" i="12"/>
  <c r="PJO15" i="12"/>
  <c r="PJP15" i="12"/>
  <c r="PJQ15" i="12"/>
  <c r="PJR15" i="12"/>
  <c r="PJS15" i="12"/>
  <c r="PJT15" i="12"/>
  <c r="PJU15" i="12"/>
  <c r="PJV15" i="12"/>
  <c r="PJW15" i="12"/>
  <c r="PJX15" i="12"/>
  <c r="PJY15" i="12"/>
  <c r="PJZ15" i="12"/>
  <c r="PKA15" i="12"/>
  <c r="PKB15" i="12"/>
  <c r="PKC15" i="12"/>
  <c r="PKD15" i="12"/>
  <c r="PKE15" i="12"/>
  <c r="PKF15" i="12"/>
  <c r="PKG15" i="12"/>
  <c r="PKH15" i="12"/>
  <c r="PKI15" i="12"/>
  <c r="PKJ15" i="12"/>
  <c r="PKK15" i="12"/>
  <c r="PKL15" i="12"/>
  <c r="PKM15" i="12"/>
  <c r="PKN15" i="12"/>
  <c r="PKO15" i="12"/>
  <c r="PKP15" i="12"/>
  <c r="PKQ15" i="12"/>
  <c r="PKR15" i="12"/>
  <c r="PKS15" i="12"/>
  <c r="PKT15" i="12"/>
  <c r="PKU15" i="12"/>
  <c r="PKV15" i="12"/>
  <c r="PKW15" i="12"/>
  <c r="PKX15" i="12"/>
  <c r="PKY15" i="12"/>
  <c r="PKZ15" i="12"/>
  <c r="PLA15" i="12"/>
  <c r="PLB15" i="12"/>
  <c r="PLC15" i="12"/>
  <c r="PLD15" i="12"/>
  <c r="PLE15" i="12"/>
  <c r="PLF15" i="12"/>
  <c r="PLG15" i="12"/>
  <c r="PLH15" i="12"/>
  <c r="PLI15" i="12"/>
  <c r="PLJ15" i="12"/>
  <c r="PLK15" i="12"/>
  <c r="PLL15" i="12"/>
  <c r="PLM15" i="12"/>
  <c r="PLN15" i="12"/>
  <c r="PLO15" i="12"/>
  <c r="PLP15" i="12"/>
  <c r="PLQ15" i="12"/>
  <c r="PLR15" i="12"/>
  <c r="PLS15" i="12"/>
  <c r="PLT15" i="12"/>
  <c r="PLU15" i="12"/>
  <c r="PLV15" i="12"/>
  <c r="PLW15" i="12"/>
  <c r="PLX15" i="12"/>
  <c r="PLY15" i="12"/>
  <c r="PLZ15" i="12"/>
  <c r="PMA15" i="12"/>
  <c r="PMB15" i="12"/>
  <c r="PMC15" i="12"/>
  <c r="PMD15" i="12"/>
  <c r="PME15" i="12"/>
  <c r="PMF15" i="12"/>
  <c r="PMG15" i="12"/>
  <c r="PMH15" i="12"/>
  <c r="PMI15" i="12"/>
  <c r="PMJ15" i="12"/>
  <c r="PMK15" i="12"/>
  <c r="PML15" i="12"/>
  <c r="PMM15" i="12"/>
  <c r="PMN15" i="12"/>
  <c r="PMO15" i="12"/>
  <c r="PMP15" i="12"/>
  <c r="PMQ15" i="12"/>
  <c r="PMR15" i="12"/>
  <c r="PMS15" i="12"/>
  <c r="PMT15" i="12"/>
  <c r="PMU15" i="12"/>
  <c r="PMV15" i="12"/>
  <c r="PMW15" i="12"/>
  <c r="PMX15" i="12"/>
  <c r="PMY15" i="12"/>
  <c r="PMZ15" i="12"/>
  <c r="PNA15" i="12"/>
  <c r="PNB15" i="12"/>
  <c r="PNC15" i="12"/>
  <c r="PND15" i="12"/>
  <c r="PNE15" i="12"/>
  <c r="PNF15" i="12"/>
  <c r="PNG15" i="12"/>
  <c r="PNH15" i="12"/>
  <c r="PNI15" i="12"/>
  <c r="PNJ15" i="12"/>
  <c r="PNK15" i="12"/>
  <c r="PNL15" i="12"/>
  <c r="PNM15" i="12"/>
  <c r="PNN15" i="12"/>
  <c r="PNO15" i="12"/>
  <c r="PNP15" i="12"/>
  <c r="PNQ15" i="12"/>
  <c r="PNR15" i="12"/>
  <c r="PNS15" i="12"/>
  <c r="PNT15" i="12"/>
  <c r="PNU15" i="12"/>
  <c r="PNV15" i="12"/>
  <c r="PNW15" i="12"/>
  <c r="PNX15" i="12"/>
  <c r="PNY15" i="12"/>
  <c r="PNZ15" i="12"/>
  <c r="POA15" i="12"/>
  <c r="POB15" i="12"/>
  <c r="POC15" i="12"/>
  <c r="POD15" i="12"/>
  <c r="POE15" i="12"/>
  <c r="POF15" i="12"/>
  <c r="POG15" i="12"/>
  <c r="POH15" i="12"/>
  <c r="POI15" i="12"/>
  <c r="POJ15" i="12"/>
  <c r="POK15" i="12"/>
  <c r="POL15" i="12"/>
  <c r="POM15" i="12"/>
  <c r="PON15" i="12"/>
  <c r="POO15" i="12"/>
  <c r="POP15" i="12"/>
  <c r="POQ15" i="12"/>
  <c r="POR15" i="12"/>
  <c r="POS15" i="12"/>
  <c r="POT15" i="12"/>
  <c r="POU15" i="12"/>
  <c r="POV15" i="12"/>
  <c r="POW15" i="12"/>
  <c r="POX15" i="12"/>
  <c r="POY15" i="12"/>
  <c r="POZ15" i="12"/>
  <c r="PPA15" i="12"/>
  <c r="PPB15" i="12"/>
  <c r="PPC15" i="12"/>
  <c r="PPD15" i="12"/>
  <c r="PPE15" i="12"/>
  <c r="PPF15" i="12"/>
  <c r="PPG15" i="12"/>
  <c r="PPH15" i="12"/>
  <c r="PPI15" i="12"/>
  <c r="PPJ15" i="12"/>
  <c r="PPK15" i="12"/>
  <c r="PPL15" i="12"/>
  <c r="PPM15" i="12"/>
  <c r="PPN15" i="12"/>
  <c r="PPO15" i="12"/>
  <c r="PPP15" i="12"/>
  <c r="PPQ15" i="12"/>
  <c r="PPR15" i="12"/>
  <c r="PPS15" i="12"/>
  <c r="PPT15" i="12"/>
  <c r="PPU15" i="12"/>
  <c r="PPV15" i="12"/>
  <c r="PPW15" i="12"/>
  <c r="PPX15" i="12"/>
  <c r="PPY15" i="12"/>
  <c r="PPZ15" i="12"/>
  <c r="PQA15" i="12"/>
  <c r="PQB15" i="12"/>
  <c r="PQC15" i="12"/>
  <c r="PQD15" i="12"/>
  <c r="PQE15" i="12"/>
  <c r="PQF15" i="12"/>
  <c r="PQG15" i="12"/>
  <c r="PQH15" i="12"/>
  <c r="PQI15" i="12"/>
  <c r="PQJ15" i="12"/>
  <c r="PQK15" i="12"/>
  <c r="PQL15" i="12"/>
  <c r="PQM15" i="12"/>
  <c r="PQN15" i="12"/>
  <c r="PQO15" i="12"/>
  <c r="PQP15" i="12"/>
  <c r="PQQ15" i="12"/>
  <c r="PQR15" i="12"/>
  <c r="PQS15" i="12"/>
  <c r="PQT15" i="12"/>
  <c r="PQU15" i="12"/>
  <c r="PQV15" i="12"/>
  <c r="PQW15" i="12"/>
  <c r="PQX15" i="12"/>
  <c r="PQY15" i="12"/>
  <c r="PQZ15" i="12"/>
  <c r="PRA15" i="12"/>
  <c r="PRB15" i="12"/>
  <c r="PRC15" i="12"/>
  <c r="PRD15" i="12"/>
  <c r="PRE15" i="12"/>
  <c r="PRF15" i="12"/>
  <c r="PRG15" i="12"/>
  <c r="PRH15" i="12"/>
  <c r="PRI15" i="12"/>
  <c r="PRJ15" i="12"/>
  <c r="PRK15" i="12"/>
  <c r="PRL15" i="12"/>
  <c r="PRM15" i="12"/>
  <c r="PRN15" i="12"/>
  <c r="PRO15" i="12"/>
  <c r="PRP15" i="12"/>
  <c r="PRQ15" i="12"/>
  <c r="PRR15" i="12"/>
  <c r="PRS15" i="12"/>
  <c r="PRT15" i="12"/>
  <c r="PRU15" i="12"/>
  <c r="PRV15" i="12"/>
  <c r="PRW15" i="12"/>
  <c r="PRX15" i="12"/>
  <c r="PRY15" i="12"/>
  <c r="PRZ15" i="12"/>
  <c r="PSA15" i="12"/>
  <c r="PSB15" i="12"/>
  <c r="PSC15" i="12"/>
  <c r="PSD15" i="12"/>
  <c r="PSE15" i="12"/>
  <c r="PSF15" i="12"/>
  <c r="PSG15" i="12"/>
  <c r="PSH15" i="12"/>
  <c r="PSI15" i="12"/>
  <c r="PSJ15" i="12"/>
  <c r="PSK15" i="12"/>
  <c r="PSL15" i="12"/>
  <c r="PSM15" i="12"/>
  <c r="PSN15" i="12"/>
  <c r="PSO15" i="12"/>
  <c r="PSP15" i="12"/>
  <c r="PSQ15" i="12"/>
  <c r="PSR15" i="12"/>
  <c r="PSS15" i="12"/>
  <c r="PST15" i="12"/>
  <c r="PSU15" i="12"/>
  <c r="PSV15" i="12"/>
  <c r="PSW15" i="12"/>
  <c r="PSX15" i="12"/>
  <c r="PSY15" i="12"/>
  <c r="PSZ15" i="12"/>
  <c r="PTA15" i="12"/>
  <c r="PTB15" i="12"/>
  <c r="PTC15" i="12"/>
  <c r="PTD15" i="12"/>
  <c r="PTE15" i="12"/>
  <c r="PTF15" i="12"/>
  <c r="PTG15" i="12"/>
  <c r="PTH15" i="12"/>
  <c r="PTI15" i="12"/>
  <c r="PTJ15" i="12"/>
  <c r="PTK15" i="12"/>
  <c r="PTL15" i="12"/>
  <c r="PTM15" i="12"/>
  <c r="PTN15" i="12"/>
  <c r="PTO15" i="12"/>
  <c r="PTP15" i="12"/>
  <c r="PTQ15" i="12"/>
  <c r="PTR15" i="12"/>
  <c r="PTS15" i="12"/>
  <c r="PTT15" i="12"/>
  <c r="PTU15" i="12"/>
  <c r="PTV15" i="12"/>
  <c r="PTW15" i="12"/>
  <c r="PTX15" i="12"/>
  <c r="PTY15" i="12"/>
  <c r="PTZ15" i="12"/>
  <c r="PUA15" i="12"/>
  <c r="PUB15" i="12"/>
  <c r="PUC15" i="12"/>
  <c r="PUD15" i="12"/>
  <c r="PUE15" i="12"/>
  <c r="PUF15" i="12"/>
  <c r="PUG15" i="12"/>
  <c r="PUH15" i="12"/>
  <c r="PUI15" i="12"/>
  <c r="PUJ15" i="12"/>
  <c r="PUK15" i="12"/>
  <c r="PUL15" i="12"/>
  <c r="PUM15" i="12"/>
  <c r="PUN15" i="12"/>
  <c r="PUO15" i="12"/>
  <c r="PUP15" i="12"/>
  <c r="PUQ15" i="12"/>
  <c r="PUR15" i="12"/>
  <c r="PUS15" i="12"/>
  <c r="PUT15" i="12"/>
  <c r="PUU15" i="12"/>
  <c r="PUV15" i="12"/>
  <c r="PUW15" i="12"/>
  <c r="PUX15" i="12"/>
  <c r="PUY15" i="12"/>
  <c r="PUZ15" i="12"/>
  <c r="PVA15" i="12"/>
  <c r="PVB15" i="12"/>
  <c r="PVC15" i="12"/>
  <c r="PVD15" i="12"/>
  <c r="PVE15" i="12"/>
  <c r="PVF15" i="12"/>
  <c r="PVG15" i="12"/>
  <c r="PVH15" i="12"/>
  <c r="PVI15" i="12"/>
  <c r="PVJ15" i="12"/>
  <c r="PVK15" i="12"/>
  <c r="PVL15" i="12"/>
  <c r="PVM15" i="12"/>
  <c r="PVN15" i="12"/>
  <c r="PVO15" i="12"/>
  <c r="PVP15" i="12"/>
  <c r="PVQ15" i="12"/>
  <c r="PVR15" i="12"/>
  <c r="PVS15" i="12"/>
  <c r="PVT15" i="12"/>
  <c r="PVU15" i="12"/>
  <c r="PVV15" i="12"/>
  <c r="PVW15" i="12"/>
  <c r="PVX15" i="12"/>
  <c r="PVY15" i="12"/>
  <c r="PVZ15" i="12"/>
  <c r="PWA15" i="12"/>
  <c r="PWB15" i="12"/>
  <c r="PWC15" i="12"/>
  <c r="PWD15" i="12"/>
  <c r="PWE15" i="12"/>
  <c r="PWF15" i="12"/>
  <c r="PWG15" i="12"/>
  <c r="PWH15" i="12"/>
  <c r="PWI15" i="12"/>
  <c r="PWJ15" i="12"/>
  <c r="PWK15" i="12"/>
  <c r="PWL15" i="12"/>
  <c r="PWM15" i="12"/>
  <c r="PWN15" i="12"/>
  <c r="PWO15" i="12"/>
  <c r="PWP15" i="12"/>
  <c r="PWQ15" i="12"/>
  <c r="PWR15" i="12"/>
  <c r="PWS15" i="12"/>
  <c r="PWT15" i="12"/>
  <c r="PWU15" i="12"/>
  <c r="PWV15" i="12"/>
  <c r="PWW15" i="12"/>
  <c r="PWX15" i="12"/>
  <c r="PWY15" i="12"/>
  <c r="PWZ15" i="12"/>
  <c r="PXA15" i="12"/>
  <c r="PXB15" i="12"/>
  <c r="PXC15" i="12"/>
  <c r="PXD15" i="12"/>
  <c r="PXE15" i="12"/>
  <c r="PXF15" i="12"/>
  <c r="PXG15" i="12"/>
  <c r="PXH15" i="12"/>
  <c r="PXI15" i="12"/>
  <c r="PXJ15" i="12"/>
  <c r="PXK15" i="12"/>
  <c r="PXL15" i="12"/>
  <c r="PXM15" i="12"/>
  <c r="PXN15" i="12"/>
  <c r="PXO15" i="12"/>
  <c r="PXP15" i="12"/>
  <c r="PXQ15" i="12"/>
  <c r="PXR15" i="12"/>
  <c r="PXS15" i="12"/>
  <c r="PXT15" i="12"/>
  <c r="PXU15" i="12"/>
  <c r="PXV15" i="12"/>
  <c r="PXW15" i="12"/>
  <c r="PXX15" i="12"/>
  <c r="PXY15" i="12"/>
  <c r="PXZ15" i="12"/>
  <c r="PYA15" i="12"/>
  <c r="PYB15" i="12"/>
  <c r="PYC15" i="12"/>
  <c r="PYD15" i="12"/>
  <c r="PYE15" i="12"/>
  <c r="PYF15" i="12"/>
  <c r="PYG15" i="12"/>
  <c r="PYH15" i="12"/>
  <c r="PYI15" i="12"/>
  <c r="PYJ15" i="12"/>
  <c r="PYK15" i="12"/>
  <c r="PYL15" i="12"/>
  <c r="PYM15" i="12"/>
  <c r="PYN15" i="12"/>
  <c r="PYO15" i="12"/>
  <c r="PYP15" i="12"/>
  <c r="PYQ15" i="12"/>
  <c r="PYR15" i="12"/>
  <c r="PYS15" i="12"/>
  <c r="PYT15" i="12"/>
  <c r="PYU15" i="12"/>
  <c r="PYV15" i="12"/>
  <c r="PYW15" i="12"/>
  <c r="PYX15" i="12"/>
  <c r="PYY15" i="12"/>
  <c r="PYZ15" i="12"/>
  <c r="PZA15" i="12"/>
  <c r="PZB15" i="12"/>
  <c r="PZC15" i="12"/>
  <c r="PZD15" i="12"/>
  <c r="PZE15" i="12"/>
  <c r="PZF15" i="12"/>
  <c r="PZG15" i="12"/>
  <c r="PZH15" i="12"/>
  <c r="PZI15" i="12"/>
  <c r="PZJ15" i="12"/>
  <c r="PZK15" i="12"/>
  <c r="PZL15" i="12"/>
  <c r="PZM15" i="12"/>
  <c r="PZN15" i="12"/>
  <c r="PZO15" i="12"/>
  <c r="PZP15" i="12"/>
  <c r="PZQ15" i="12"/>
  <c r="PZR15" i="12"/>
  <c r="PZS15" i="12"/>
  <c r="PZT15" i="12"/>
  <c r="PZU15" i="12"/>
  <c r="PZV15" i="12"/>
  <c r="PZW15" i="12"/>
  <c r="PZX15" i="12"/>
  <c r="PZY15" i="12"/>
  <c r="PZZ15" i="12"/>
  <c r="QAA15" i="12"/>
  <c r="QAB15" i="12"/>
  <c r="QAC15" i="12"/>
  <c r="QAD15" i="12"/>
  <c r="QAE15" i="12"/>
  <c r="QAF15" i="12"/>
  <c r="QAG15" i="12"/>
  <c r="QAH15" i="12"/>
  <c r="QAI15" i="12"/>
  <c r="QAJ15" i="12"/>
  <c r="QAK15" i="12"/>
  <c r="QAL15" i="12"/>
  <c r="QAM15" i="12"/>
  <c r="QAN15" i="12"/>
  <c r="QAO15" i="12"/>
  <c r="QAP15" i="12"/>
  <c r="QAQ15" i="12"/>
  <c r="QAR15" i="12"/>
  <c r="QAS15" i="12"/>
  <c r="QAT15" i="12"/>
  <c r="QAU15" i="12"/>
  <c r="QAV15" i="12"/>
  <c r="QAW15" i="12"/>
  <c r="QAX15" i="12"/>
  <c r="QAY15" i="12"/>
  <c r="QAZ15" i="12"/>
  <c r="QBA15" i="12"/>
  <c r="QBB15" i="12"/>
  <c r="QBC15" i="12"/>
  <c r="QBD15" i="12"/>
  <c r="QBE15" i="12"/>
  <c r="QBF15" i="12"/>
  <c r="QBG15" i="12"/>
  <c r="QBH15" i="12"/>
  <c r="QBI15" i="12"/>
  <c r="QBJ15" i="12"/>
  <c r="QBK15" i="12"/>
  <c r="QBL15" i="12"/>
  <c r="QBM15" i="12"/>
  <c r="QBN15" i="12"/>
  <c r="QBO15" i="12"/>
  <c r="QBP15" i="12"/>
  <c r="QBQ15" i="12"/>
  <c r="QBR15" i="12"/>
  <c r="QBS15" i="12"/>
  <c r="QBT15" i="12"/>
  <c r="QBU15" i="12"/>
  <c r="QBV15" i="12"/>
  <c r="QBW15" i="12"/>
  <c r="QBX15" i="12"/>
  <c r="QBY15" i="12"/>
  <c r="QBZ15" i="12"/>
  <c r="QCA15" i="12"/>
  <c r="QCB15" i="12"/>
  <c r="QCC15" i="12"/>
  <c r="QCD15" i="12"/>
  <c r="QCE15" i="12"/>
  <c r="QCF15" i="12"/>
  <c r="QCG15" i="12"/>
  <c r="QCH15" i="12"/>
  <c r="QCI15" i="12"/>
  <c r="QCJ15" i="12"/>
  <c r="QCK15" i="12"/>
  <c r="QCL15" i="12"/>
  <c r="QCM15" i="12"/>
  <c r="QCN15" i="12"/>
  <c r="QCO15" i="12"/>
  <c r="QCP15" i="12"/>
  <c r="QCQ15" i="12"/>
  <c r="QCR15" i="12"/>
  <c r="QCS15" i="12"/>
  <c r="QCT15" i="12"/>
  <c r="QCU15" i="12"/>
  <c r="QCV15" i="12"/>
  <c r="QCW15" i="12"/>
  <c r="QCX15" i="12"/>
  <c r="QCY15" i="12"/>
  <c r="QCZ15" i="12"/>
  <c r="QDA15" i="12"/>
  <c r="QDB15" i="12"/>
  <c r="QDC15" i="12"/>
  <c r="QDD15" i="12"/>
  <c r="QDE15" i="12"/>
  <c r="QDF15" i="12"/>
  <c r="QDG15" i="12"/>
  <c r="QDH15" i="12"/>
  <c r="QDI15" i="12"/>
  <c r="QDJ15" i="12"/>
  <c r="QDK15" i="12"/>
  <c r="QDL15" i="12"/>
  <c r="QDM15" i="12"/>
  <c r="QDN15" i="12"/>
  <c r="QDO15" i="12"/>
  <c r="QDP15" i="12"/>
  <c r="QDQ15" i="12"/>
  <c r="QDR15" i="12"/>
  <c r="QDS15" i="12"/>
  <c r="QDT15" i="12"/>
  <c r="QDU15" i="12"/>
  <c r="QDV15" i="12"/>
  <c r="QDW15" i="12"/>
  <c r="QDX15" i="12"/>
  <c r="QDY15" i="12"/>
  <c r="QDZ15" i="12"/>
  <c r="QEA15" i="12"/>
  <c r="QEB15" i="12"/>
  <c r="QEC15" i="12"/>
  <c r="QED15" i="12"/>
  <c r="QEE15" i="12"/>
  <c r="QEF15" i="12"/>
  <c r="QEG15" i="12"/>
  <c r="QEH15" i="12"/>
  <c r="QEI15" i="12"/>
  <c r="QEJ15" i="12"/>
  <c r="QEK15" i="12"/>
  <c r="QEL15" i="12"/>
  <c r="QEM15" i="12"/>
  <c r="QEN15" i="12"/>
  <c r="QEO15" i="12"/>
  <c r="QEP15" i="12"/>
  <c r="QEQ15" i="12"/>
  <c r="QER15" i="12"/>
  <c r="QES15" i="12"/>
  <c r="QET15" i="12"/>
  <c r="QEU15" i="12"/>
  <c r="QEV15" i="12"/>
  <c r="QEW15" i="12"/>
  <c r="QEX15" i="12"/>
  <c r="QEY15" i="12"/>
  <c r="QEZ15" i="12"/>
  <c r="QFA15" i="12"/>
  <c r="QFB15" i="12"/>
  <c r="QFC15" i="12"/>
  <c r="QFD15" i="12"/>
  <c r="QFE15" i="12"/>
  <c r="QFF15" i="12"/>
  <c r="QFG15" i="12"/>
  <c r="QFH15" i="12"/>
  <c r="QFI15" i="12"/>
  <c r="QFJ15" i="12"/>
  <c r="QFK15" i="12"/>
  <c r="QFL15" i="12"/>
  <c r="QFM15" i="12"/>
  <c r="QFN15" i="12"/>
  <c r="QFO15" i="12"/>
  <c r="QFP15" i="12"/>
  <c r="QFQ15" i="12"/>
  <c r="QFR15" i="12"/>
  <c r="QFS15" i="12"/>
  <c r="QFT15" i="12"/>
  <c r="QFU15" i="12"/>
  <c r="QFV15" i="12"/>
  <c r="QFW15" i="12"/>
  <c r="QFX15" i="12"/>
  <c r="QFY15" i="12"/>
  <c r="QFZ15" i="12"/>
  <c r="QGA15" i="12"/>
  <c r="QGB15" i="12"/>
  <c r="QGC15" i="12"/>
  <c r="QGD15" i="12"/>
  <c r="QGE15" i="12"/>
  <c r="QGF15" i="12"/>
  <c r="QGG15" i="12"/>
  <c r="QGH15" i="12"/>
  <c r="QGI15" i="12"/>
  <c r="QGJ15" i="12"/>
  <c r="QGK15" i="12"/>
  <c r="QGL15" i="12"/>
  <c r="QGM15" i="12"/>
  <c r="QGN15" i="12"/>
  <c r="QGO15" i="12"/>
  <c r="QGP15" i="12"/>
  <c r="QGQ15" i="12"/>
  <c r="QGR15" i="12"/>
  <c r="QGS15" i="12"/>
  <c r="QGT15" i="12"/>
  <c r="QGU15" i="12"/>
  <c r="QGV15" i="12"/>
  <c r="QGW15" i="12"/>
  <c r="QGX15" i="12"/>
  <c r="QGY15" i="12"/>
  <c r="QGZ15" i="12"/>
  <c r="QHA15" i="12"/>
  <c r="QHB15" i="12"/>
  <c r="QHC15" i="12"/>
  <c r="QHD15" i="12"/>
  <c r="QHE15" i="12"/>
  <c r="QHF15" i="12"/>
  <c r="QHG15" i="12"/>
  <c r="QHH15" i="12"/>
  <c r="QHI15" i="12"/>
  <c r="QHJ15" i="12"/>
  <c r="QHK15" i="12"/>
  <c r="QHL15" i="12"/>
  <c r="QHM15" i="12"/>
  <c r="QHN15" i="12"/>
  <c r="QHO15" i="12"/>
  <c r="QHP15" i="12"/>
  <c r="QHQ15" i="12"/>
  <c r="QHR15" i="12"/>
  <c r="QHS15" i="12"/>
  <c r="QHT15" i="12"/>
  <c r="QHU15" i="12"/>
  <c r="QHV15" i="12"/>
  <c r="QHW15" i="12"/>
  <c r="QHX15" i="12"/>
  <c r="QHY15" i="12"/>
  <c r="QHZ15" i="12"/>
  <c r="QIA15" i="12"/>
  <c r="QIB15" i="12"/>
  <c r="QIC15" i="12"/>
  <c r="QID15" i="12"/>
  <c r="QIE15" i="12"/>
  <c r="QIF15" i="12"/>
  <c r="QIG15" i="12"/>
  <c r="QIH15" i="12"/>
  <c r="QII15" i="12"/>
  <c r="QIJ15" i="12"/>
  <c r="QIK15" i="12"/>
  <c r="QIL15" i="12"/>
  <c r="QIM15" i="12"/>
  <c r="QIN15" i="12"/>
  <c r="QIO15" i="12"/>
  <c r="QIP15" i="12"/>
  <c r="QIQ15" i="12"/>
  <c r="QIR15" i="12"/>
  <c r="QIS15" i="12"/>
  <c r="QIT15" i="12"/>
  <c r="QIU15" i="12"/>
  <c r="QIV15" i="12"/>
  <c r="QIW15" i="12"/>
  <c r="QIX15" i="12"/>
  <c r="QIY15" i="12"/>
  <c r="QIZ15" i="12"/>
  <c r="QJA15" i="12"/>
  <c r="QJB15" i="12"/>
  <c r="QJC15" i="12"/>
  <c r="QJD15" i="12"/>
  <c r="QJE15" i="12"/>
  <c r="QJF15" i="12"/>
  <c r="QJG15" i="12"/>
  <c r="QJH15" i="12"/>
  <c r="QJI15" i="12"/>
  <c r="QJJ15" i="12"/>
  <c r="QJK15" i="12"/>
  <c r="QJL15" i="12"/>
  <c r="QJM15" i="12"/>
  <c r="QJN15" i="12"/>
  <c r="QJO15" i="12"/>
  <c r="QJP15" i="12"/>
  <c r="QJQ15" i="12"/>
  <c r="QJR15" i="12"/>
  <c r="QJS15" i="12"/>
  <c r="QJT15" i="12"/>
  <c r="QJU15" i="12"/>
  <c r="QJV15" i="12"/>
  <c r="QJW15" i="12"/>
  <c r="QJX15" i="12"/>
  <c r="QJY15" i="12"/>
  <c r="QJZ15" i="12"/>
  <c r="QKA15" i="12"/>
  <c r="QKB15" i="12"/>
  <c r="QKC15" i="12"/>
  <c r="QKD15" i="12"/>
  <c r="QKE15" i="12"/>
  <c r="QKF15" i="12"/>
  <c r="QKG15" i="12"/>
  <c r="QKH15" i="12"/>
  <c r="QKI15" i="12"/>
  <c r="QKJ15" i="12"/>
  <c r="QKK15" i="12"/>
  <c r="QKL15" i="12"/>
  <c r="QKM15" i="12"/>
  <c r="QKN15" i="12"/>
  <c r="QKO15" i="12"/>
  <c r="QKP15" i="12"/>
  <c r="QKQ15" i="12"/>
  <c r="QKR15" i="12"/>
  <c r="QKS15" i="12"/>
  <c r="QKT15" i="12"/>
  <c r="QKU15" i="12"/>
  <c r="QKV15" i="12"/>
  <c r="QKW15" i="12"/>
  <c r="QKX15" i="12"/>
  <c r="QKY15" i="12"/>
  <c r="QKZ15" i="12"/>
  <c r="QLA15" i="12"/>
  <c r="QLB15" i="12"/>
  <c r="QLC15" i="12"/>
  <c r="QLD15" i="12"/>
  <c r="QLE15" i="12"/>
  <c r="QLF15" i="12"/>
  <c r="QLG15" i="12"/>
  <c r="QLH15" i="12"/>
  <c r="QLI15" i="12"/>
  <c r="QLJ15" i="12"/>
  <c r="QLK15" i="12"/>
  <c r="QLL15" i="12"/>
  <c r="QLM15" i="12"/>
  <c r="QLN15" i="12"/>
  <c r="QLO15" i="12"/>
  <c r="QLP15" i="12"/>
  <c r="QLQ15" i="12"/>
  <c r="QLR15" i="12"/>
  <c r="QLS15" i="12"/>
  <c r="QLT15" i="12"/>
  <c r="QLU15" i="12"/>
  <c r="QLV15" i="12"/>
  <c r="QLW15" i="12"/>
  <c r="QLX15" i="12"/>
  <c r="QLY15" i="12"/>
  <c r="QLZ15" i="12"/>
  <c r="QMA15" i="12"/>
  <c r="QMB15" i="12"/>
  <c r="QMC15" i="12"/>
  <c r="QMD15" i="12"/>
  <c r="QME15" i="12"/>
  <c r="QMF15" i="12"/>
  <c r="QMG15" i="12"/>
  <c r="QMH15" i="12"/>
  <c r="QMI15" i="12"/>
  <c r="QMJ15" i="12"/>
  <c r="QMK15" i="12"/>
  <c r="QML15" i="12"/>
  <c r="QMM15" i="12"/>
  <c r="QMN15" i="12"/>
  <c r="QMO15" i="12"/>
  <c r="QMP15" i="12"/>
  <c r="QMQ15" i="12"/>
  <c r="QMR15" i="12"/>
  <c r="QMS15" i="12"/>
  <c r="QMT15" i="12"/>
  <c r="QMU15" i="12"/>
  <c r="QMV15" i="12"/>
  <c r="QMW15" i="12"/>
  <c r="QMX15" i="12"/>
  <c r="QMY15" i="12"/>
  <c r="QMZ15" i="12"/>
  <c r="QNA15" i="12"/>
  <c r="QNB15" i="12"/>
  <c r="QNC15" i="12"/>
  <c r="QND15" i="12"/>
  <c r="QNE15" i="12"/>
  <c r="QNF15" i="12"/>
  <c r="QNG15" i="12"/>
  <c r="QNH15" i="12"/>
  <c r="QNI15" i="12"/>
  <c r="QNJ15" i="12"/>
  <c r="QNK15" i="12"/>
  <c r="QNL15" i="12"/>
  <c r="QNM15" i="12"/>
  <c r="QNN15" i="12"/>
  <c r="QNO15" i="12"/>
  <c r="QNP15" i="12"/>
  <c r="QNQ15" i="12"/>
  <c r="QNR15" i="12"/>
  <c r="QNS15" i="12"/>
  <c r="QNT15" i="12"/>
  <c r="QNU15" i="12"/>
  <c r="QNV15" i="12"/>
  <c r="QNW15" i="12"/>
  <c r="QNX15" i="12"/>
  <c r="QNY15" i="12"/>
  <c r="QNZ15" i="12"/>
  <c r="QOA15" i="12"/>
  <c r="QOB15" i="12"/>
  <c r="QOC15" i="12"/>
  <c r="QOD15" i="12"/>
  <c r="QOE15" i="12"/>
  <c r="QOF15" i="12"/>
  <c r="QOG15" i="12"/>
  <c r="QOH15" i="12"/>
  <c r="QOI15" i="12"/>
  <c r="QOJ15" i="12"/>
  <c r="QOK15" i="12"/>
  <c r="QOL15" i="12"/>
  <c r="QOM15" i="12"/>
  <c r="QON15" i="12"/>
  <c r="QOO15" i="12"/>
  <c r="QOP15" i="12"/>
  <c r="QOQ15" i="12"/>
  <c r="QOR15" i="12"/>
  <c r="QOS15" i="12"/>
  <c r="QOT15" i="12"/>
  <c r="QOU15" i="12"/>
  <c r="QOV15" i="12"/>
  <c r="QOW15" i="12"/>
  <c r="QOX15" i="12"/>
  <c r="QOY15" i="12"/>
  <c r="QOZ15" i="12"/>
  <c r="QPA15" i="12"/>
  <c r="QPB15" i="12"/>
  <c r="QPC15" i="12"/>
  <c r="QPD15" i="12"/>
  <c r="QPE15" i="12"/>
  <c r="QPF15" i="12"/>
  <c r="QPG15" i="12"/>
  <c r="QPH15" i="12"/>
  <c r="QPI15" i="12"/>
  <c r="QPJ15" i="12"/>
  <c r="QPK15" i="12"/>
  <c r="QPL15" i="12"/>
  <c r="QPM15" i="12"/>
  <c r="QPN15" i="12"/>
  <c r="QPO15" i="12"/>
  <c r="QPP15" i="12"/>
  <c r="QPQ15" i="12"/>
  <c r="QPR15" i="12"/>
  <c r="QPS15" i="12"/>
  <c r="QPT15" i="12"/>
  <c r="QPU15" i="12"/>
  <c r="QPV15" i="12"/>
  <c r="QPW15" i="12"/>
  <c r="QPX15" i="12"/>
  <c r="QPY15" i="12"/>
  <c r="QPZ15" i="12"/>
  <c r="QQA15" i="12"/>
  <c r="QQB15" i="12"/>
  <c r="QQC15" i="12"/>
  <c r="QQD15" i="12"/>
  <c r="QQE15" i="12"/>
  <c r="QQF15" i="12"/>
  <c r="QQG15" i="12"/>
  <c r="QQH15" i="12"/>
  <c r="QQI15" i="12"/>
  <c r="QQJ15" i="12"/>
  <c r="QQK15" i="12"/>
  <c r="QQL15" i="12"/>
  <c r="QQM15" i="12"/>
  <c r="QQN15" i="12"/>
  <c r="QQO15" i="12"/>
  <c r="QQP15" i="12"/>
  <c r="QQQ15" i="12"/>
  <c r="QQR15" i="12"/>
  <c r="QQS15" i="12"/>
  <c r="QQT15" i="12"/>
  <c r="QQU15" i="12"/>
  <c r="QQV15" i="12"/>
  <c r="QQW15" i="12"/>
  <c r="QQX15" i="12"/>
  <c r="QQY15" i="12"/>
  <c r="QQZ15" i="12"/>
  <c r="QRA15" i="12"/>
  <c r="QRB15" i="12"/>
  <c r="QRC15" i="12"/>
  <c r="QRD15" i="12"/>
  <c r="QRE15" i="12"/>
  <c r="QRF15" i="12"/>
  <c r="QRG15" i="12"/>
  <c r="QRH15" i="12"/>
  <c r="QRI15" i="12"/>
  <c r="QRJ15" i="12"/>
  <c r="QRK15" i="12"/>
  <c r="QRL15" i="12"/>
  <c r="QRM15" i="12"/>
  <c r="QRN15" i="12"/>
  <c r="QRO15" i="12"/>
  <c r="QRP15" i="12"/>
  <c r="QRQ15" i="12"/>
  <c r="QRR15" i="12"/>
  <c r="QRS15" i="12"/>
  <c r="QRT15" i="12"/>
  <c r="QRU15" i="12"/>
  <c r="QRV15" i="12"/>
  <c r="QRW15" i="12"/>
  <c r="QRX15" i="12"/>
  <c r="QRY15" i="12"/>
  <c r="QRZ15" i="12"/>
  <c r="QSA15" i="12"/>
  <c r="QSB15" i="12"/>
  <c r="QSC15" i="12"/>
  <c r="QSD15" i="12"/>
  <c r="QSE15" i="12"/>
  <c r="QSF15" i="12"/>
  <c r="QSG15" i="12"/>
  <c r="QSH15" i="12"/>
  <c r="QSI15" i="12"/>
  <c r="QSJ15" i="12"/>
  <c r="QSK15" i="12"/>
  <c r="QSL15" i="12"/>
  <c r="QSM15" i="12"/>
  <c r="QSN15" i="12"/>
  <c r="QSO15" i="12"/>
  <c r="QSP15" i="12"/>
  <c r="QSQ15" i="12"/>
  <c r="QSR15" i="12"/>
  <c r="QSS15" i="12"/>
  <c r="QST15" i="12"/>
  <c r="QSU15" i="12"/>
  <c r="QSV15" i="12"/>
  <c r="QSW15" i="12"/>
  <c r="QSX15" i="12"/>
  <c r="QSY15" i="12"/>
  <c r="QSZ15" i="12"/>
  <c r="QTA15" i="12"/>
  <c r="QTB15" i="12"/>
  <c r="QTC15" i="12"/>
  <c r="QTD15" i="12"/>
  <c r="QTE15" i="12"/>
  <c r="QTF15" i="12"/>
  <c r="QTG15" i="12"/>
  <c r="QTH15" i="12"/>
  <c r="QTI15" i="12"/>
  <c r="QTJ15" i="12"/>
  <c r="QTK15" i="12"/>
  <c r="QTL15" i="12"/>
  <c r="QTM15" i="12"/>
  <c r="QTN15" i="12"/>
  <c r="QTO15" i="12"/>
  <c r="QTP15" i="12"/>
  <c r="QTQ15" i="12"/>
  <c r="QTR15" i="12"/>
  <c r="QTS15" i="12"/>
  <c r="QTT15" i="12"/>
  <c r="QTU15" i="12"/>
  <c r="QTV15" i="12"/>
  <c r="QTW15" i="12"/>
  <c r="QTX15" i="12"/>
  <c r="QTY15" i="12"/>
  <c r="QTZ15" i="12"/>
  <c r="QUA15" i="12"/>
  <c r="QUB15" i="12"/>
  <c r="QUC15" i="12"/>
  <c r="QUD15" i="12"/>
  <c r="QUE15" i="12"/>
  <c r="QUF15" i="12"/>
  <c r="QUG15" i="12"/>
  <c r="QUH15" i="12"/>
  <c r="QUI15" i="12"/>
  <c r="QUJ15" i="12"/>
  <c r="QUK15" i="12"/>
  <c r="QUL15" i="12"/>
  <c r="QUM15" i="12"/>
  <c r="QUN15" i="12"/>
  <c r="QUO15" i="12"/>
  <c r="QUP15" i="12"/>
  <c r="QUQ15" i="12"/>
  <c r="QUR15" i="12"/>
  <c r="QUS15" i="12"/>
  <c r="QUT15" i="12"/>
  <c r="QUU15" i="12"/>
  <c r="QUV15" i="12"/>
  <c r="QUW15" i="12"/>
  <c r="QUX15" i="12"/>
  <c r="QUY15" i="12"/>
  <c r="QUZ15" i="12"/>
  <c r="QVA15" i="12"/>
  <c r="QVB15" i="12"/>
  <c r="QVC15" i="12"/>
  <c r="QVD15" i="12"/>
  <c r="QVE15" i="12"/>
  <c r="QVF15" i="12"/>
  <c r="QVG15" i="12"/>
  <c r="QVH15" i="12"/>
  <c r="QVI15" i="12"/>
  <c r="QVJ15" i="12"/>
  <c r="QVK15" i="12"/>
  <c r="QVL15" i="12"/>
  <c r="QVM15" i="12"/>
  <c r="QVN15" i="12"/>
  <c r="QVO15" i="12"/>
  <c r="QVP15" i="12"/>
  <c r="QVQ15" i="12"/>
  <c r="QVR15" i="12"/>
  <c r="QVS15" i="12"/>
  <c r="QVT15" i="12"/>
  <c r="QVU15" i="12"/>
  <c r="QVV15" i="12"/>
  <c r="QVW15" i="12"/>
  <c r="QVX15" i="12"/>
  <c r="QVY15" i="12"/>
  <c r="QVZ15" i="12"/>
  <c r="QWA15" i="12"/>
  <c r="QWB15" i="12"/>
  <c r="QWC15" i="12"/>
  <c r="QWD15" i="12"/>
  <c r="QWE15" i="12"/>
  <c r="QWF15" i="12"/>
  <c r="QWG15" i="12"/>
  <c r="QWH15" i="12"/>
  <c r="QWI15" i="12"/>
  <c r="QWJ15" i="12"/>
  <c r="QWK15" i="12"/>
  <c r="QWL15" i="12"/>
  <c r="QWM15" i="12"/>
  <c r="QWN15" i="12"/>
  <c r="QWO15" i="12"/>
  <c r="QWP15" i="12"/>
  <c r="QWQ15" i="12"/>
  <c r="QWR15" i="12"/>
  <c r="QWS15" i="12"/>
  <c r="QWT15" i="12"/>
  <c r="QWU15" i="12"/>
  <c r="QWV15" i="12"/>
  <c r="QWW15" i="12"/>
  <c r="QWX15" i="12"/>
  <c r="QWY15" i="12"/>
  <c r="QWZ15" i="12"/>
  <c r="QXA15" i="12"/>
  <c r="QXB15" i="12"/>
  <c r="QXC15" i="12"/>
  <c r="QXD15" i="12"/>
  <c r="QXE15" i="12"/>
  <c r="QXF15" i="12"/>
  <c r="QXG15" i="12"/>
  <c r="QXH15" i="12"/>
  <c r="QXI15" i="12"/>
  <c r="QXJ15" i="12"/>
  <c r="QXK15" i="12"/>
  <c r="QXL15" i="12"/>
  <c r="QXM15" i="12"/>
  <c r="QXN15" i="12"/>
  <c r="QXO15" i="12"/>
  <c r="QXP15" i="12"/>
  <c r="QXQ15" i="12"/>
  <c r="QXR15" i="12"/>
  <c r="QXS15" i="12"/>
  <c r="QXT15" i="12"/>
  <c r="QXU15" i="12"/>
  <c r="QXV15" i="12"/>
  <c r="QXW15" i="12"/>
  <c r="QXX15" i="12"/>
  <c r="QXY15" i="12"/>
  <c r="QXZ15" i="12"/>
  <c r="QYA15" i="12"/>
  <c r="QYB15" i="12"/>
  <c r="QYC15" i="12"/>
  <c r="QYD15" i="12"/>
  <c r="QYE15" i="12"/>
  <c r="QYF15" i="12"/>
  <c r="QYG15" i="12"/>
  <c r="QYH15" i="12"/>
  <c r="QYI15" i="12"/>
  <c r="QYJ15" i="12"/>
  <c r="QYK15" i="12"/>
  <c r="QYL15" i="12"/>
  <c r="QYM15" i="12"/>
  <c r="QYN15" i="12"/>
  <c r="QYO15" i="12"/>
  <c r="QYP15" i="12"/>
  <c r="QYQ15" i="12"/>
  <c r="QYR15" i="12"/>
  <c r="QYS15" i="12"/>
  <c r="QYT15" i="12"/>
  <c r="QYU15" i="12"/>
  <c r="QYV15" i="12"/>
  <c r="QYW15" i="12"/>
  <c r="QYX15" i="12"/>
  <c r="QYY15" i="12"/>
  <c r="QYZ15" i="12"/>
  <c r="QZA15" i="12"/>
  <c r="QZB15" i="12"/>
  <c r="QZC15" i="12"/>
  <c r="QZD15" i="12"/>
  <c r="QZE15" i="12"/>
  <c r="QZF15" i="12"/>
  <c r="QZG15" i="12"/>
  <c r="QZH15" i="12"/>
  <c r="QZI15" i="12"/>
  <c r="QZJ15" i="12"/>
  <c r="QZK15" i="12"/>
  <c r="QZL15" i="12"/>
  <c r="QZM15" i="12"/>
  <c r="QZN15" i="12"/>
  <c r="QZO15" i="12"/>
  <c r="QZP15" i="12"/>
  <c r="QZQ15" i="12"/>
  <c r="QZR15" i="12"/>
  <c r="QZS15" i="12"/>
  <c r="QZT15" i="12"/>
  <c r="QZU15" i="12"/>
  <c r="QZV15" i="12"/>
  <c r="QZW15" i="12"/>
  <c r="QZX15" i="12"/>
  <c r="QZY15" i="12"/>
  <c r="QZZ15" i="12"/>
  <c r="RAA15" i="12"/>
  <c r="RAB15" i="12"/>
  <c r="RAC15" i="12"/>
  <c r="RAD15" i="12"/>
  <c r="RAE15" i="12"/>
  <c r="RAF15" i="12"/>
  <c r="RAG15" i="12"/>
  <c r="RAH15" i="12"/>
  <c r="RAI15" i="12"/>
  <c r="RAJ15" i="12"/>
  <c r="RAK15" i="12"/>
  <c r="RAL15" i="12"/>
  <c r="RAM15" i="12"/>
  <c r="RAN15" i="12"/>
  <c r="RAO15" i="12"/>
  <c r="RAP15" i="12"/>
  <c r="RAQ15" i="12"/>
  <c r="RAR15" i="12"/>
  <c r="RAS15" i="12"/>
  <c r="RAT15" i="12"/>
  <c r="RAU15" i="12"/>
  <c r="RAV15" i="12"/>
  <c r="RAW15" i="12"/>
  <c r="RAX15" i="12"/>
  <c r="RAY15" i="12"/>
  <c r="RAZ15" i="12"/>
  <c r="RBA15" i="12"/>
  <c r="RBB15" i="12"/>
  <c r="RBC15" i="12"/>
  <c r="RBD15" i="12"/>
  <c r="RBE15" i="12"/>
  <c r="RBF15" i="12"/>
  <c r="RBG15" i="12"/>
  <c r="RBH15" i="12"/>
  <c r="RBI15" i="12"/>
  <c r="RBJ15" i="12"/>
  <c r="RBK15" i="12"/>
  <c r="RBL15" i="12"/>
  <c r="RBM15" i="12"/>
  <c r="RBN15" i="12"/>
  <c r="RBO15" i="12"/>
  <c r="RBP15" i="12"/>
  <c r="RBQ15" i="12"/>
  <c r="RBR15" i="12"/>
  <c r="RBS15" i="12"/>
  <c r="RBT15" i="12"/>
  <c r="RBU15" i="12"/>
  <c r="RBV15" i="12"/>
  <c r="RBW15" i="12"/>
  <c r="RBX15" i="12"/>
  <c r="RBY15" i="12"/>
  <c r="RBZ15" i="12"/>
  <c r="RCA15" i="12"/>
  <c r="RCB15" i="12"/>
  <c r="RCC15" i="12"/>
  <c r="RCD15" i="12"/>
  <c r="RCE15" i="12"/>
  <c r="RCF15" i="12"/>
  <c r="RCG15" i="12"/>
  <c r="RCH15" i="12"/>
  <c r="RCI15" i="12"/>
  <c r="RCJ15" i="12"/>
  <c r="RCK15" i="12"/>
  <c r="RCL15" i="12"/>
  <c r="RCM15" i="12"/>
  <c r="RCN15" i="12"/>
  <c r="RCO15" i="12"/>
  <c r="RCP15" i="12"/>
  <c r="RCQ15" i="12"/>
  <c r="RCR15" i="12"/>
  <c r="RCS15" i="12"/>
  <c r="RCT15" i="12"/>
  <c r="RCU15" i="12"/>
  <c r="RCV15" i="12"/>
  <c r="RCW15" i="12"/>
  <c r="RCX15" i="12"/>
  <c r="RCY15" i="12"/>
  <c r="RCZ15" i="12"/>
  <c r="RDA15" i="12"/>
  <c r="RDB15" i="12"/>
  <c r="RDC15" i="12"/>
  <c r="RDD15" i="12"/>
  <c r="RDE15" i="12"/>
  <c r="RDF15" i="12"/>
  <c r="RDG15" i="12"/>
  <c r="RDH15" i="12"/>
  <c r="RDI15" i="12"/>
  <c r="RDJ15" i="12"/>
  <c r="RDK15" i="12"/>
  <c r="RDL15" i="12"/>
  <c r="RDM15" i="12"/>
  <c r="RDN15" i="12"/>
  <c r="RDO15" i="12"/>
  <c r="RDP15" i="12"/>
  <c r="RDQ15" i="12"/>
  <c r="RDR15" i="12"/>
  <c r="RDS15" i="12"/>
  <c r="RDT15" i="12"/>
  <c r="RDU15" i="12"/>
  <c r="RDV15" i="12"/>
  <c r="RDW15" i="12"/>
  <c r="RDX15" i="12"/>
  <c r="RDY15" i="12"/>
  <c r="RDZ15" i="12"/>
  <c r="REA15" i="12"/>
  <c r="REB15" i="12"/>
  <c r="REC15" i="12"/>
  <c r="RED15" i="12"/>
  <c r="REE15" i="12"/>
  <c r="REF15" i="12"/>
  <c r="REG15" i="12"/>
  <c r="REH15" i="12"/>
  <c r="REI15" i="12"/>
  <c r="REJ15" i="12"/>
  <c r="REK15" i="12"/>
  <c r="REL15" i="12"/>
  <c r="REM15" i="12"/>
  <c r="REN15" i="12"/>
  <c r="REO15" i="12"/>
  <c r="REP15" i="12"/>
  <c r="REQ15" i="12"/>
  <c r="RER15" i="12"/>
  <c r="RES15" i="12"/>
  <c r="RET15" i="12"/>
  <c r="REU15" i="12"/>
  <c r="REV15" i="12"/>
  <c r="REW15" i="12"/>
  <c r="REX15" i="12"/>
  <c r="REY15" i="12"/>
  <c r="REZ15" i="12"/>
  <c r="RFA15" i="12"/>
  <c r="RFB15" i="12"/>
  <c r="RFC15" i="12"/>
  <c r="RFD15" i="12"/>
  <c r="RFE15" i="12"/>
  <c r="RFF15" i="12"/>
  <c r="RFG15" i="12"/>
  <c r="RFH15" i="12"/>
  <c r="RFI15" i="12"/>
  <c r="RFJ15" i="12"/>
  <c r="RFK15" i="12"/>
  <c r="RFL15" i="12"/>
  <c r="RFM15" i="12"/>
  <c r="RFN15" i="12"/>
  <c r="RFO15" i="12"/>
  <c r="RFP15" i="12"/>
  <c r="RFQ15" i="12"/>
  <c r="RFR15" i="12"/>
  <c r="RFS15" i="12"/>
  <c r="RFT15" i="12"/>
  <c r="RFU15" i="12"/>
  <c r="RFV15" i="12"/>
  <c r="RFW15" i="12"/>
  <c r="RFX15" i="12"/>
  <c r="RFY15" i="12"/>
  <c r="RFZ15" i="12"/>
  <c r="RGA15" i="12"/>
  <c r="RGB15" i="12"/>
  <c r="RGC15" i="12"/>
  <c r="RGD15" i="12"/>
  <c r="RGE15" i="12"/>
  <c r="RGF15" i="12"/>
  <c r="RGG15" i="12"/>
  <c r="RGH15" i="12"/>
  <c r="RGI15" i="12"/>
  <c r="RGJ15" i="12"/>
  <c r="RGK15" i="12"/>
  <c r="RGL15" i="12"/>
  <c r="RGM15" i="12"/>
  <c r="RGN15" i="12"/>
  <c r="RGO15" i="12"/>
  <c r="RGP15" i="12"/>
  <c r="RGQ15" i="12"/>
  <c r="RGR15" i="12"/>
  <c r="RGS15" i="12"/>
  <c r="RGT15" i="12"/>
  <c r="RGU15" i="12"/>
  <c r="RGV15" i="12"/>
  <c r="RGW15" i="12"/>
  <c r="RGX15" i="12"/>
  <c r="RGY15" i="12"/>
  <c r="RGZ15" i="12"/>
  <c r="RHA15" i="12"/>
  <c r="RHB15" i="12"/>
  <c r="RHC15" i="12"/>
  <c r="RHD15" i="12"/>
  <c r="RHE15" i="12"/>
  <c r="RHF15" i="12"/>
  <c r="RHG15" i="12"/>
  <c r="RHH15" i="12"/>
  <c r="RHI15" i="12"/>
  <c r="RHJ15" i="12"/>
  <c r="RHK15" i="12"/>
  <c r="RHL15" i="12"/>
  <c r="RHM15" i="12"/>
  <c r="RHN15" i="12"/>
  <c r="RHO15" i="12"/>
  <c r="RHP15" i="12"/>
  <c r="RHQ15" i="12"/>
  <c r="RHR15" i="12"/>
  <c r="RHS15" i="12"/>
  <c r="RHT15" i="12"/>
  <c r="RHU15" i="12"/>
  <c r="RHV15" i="12"/>
  <c r="RHW15" i="12"/>
  <c r="RHX15" i="12"/>
  <c r="RHY15" i="12"/>
  <c r="RHZ15" i="12"/>
  <c r="RIA15" i="12"/>
  <c r="RIB15" i="12"/>
  <c r="RIC15" i="12"/>
  <c r="RID15" i="12"/>
  <c r="RIE15" i="12"/>
  <c r="RIF15" i="12"/>
  <c r="RIG15" i="12"/>
  <c r="RIH15" i="12"/>
  <c r="RII15" i="12"/>
  <c r="RIJ15" i="12"/>
  <c r="RIK15" i="12"/>
  <c r="RIL15" i="12"/>
  <c r="RIM15" i="12"/>
  <c r="RIN15" i="12"/>
  <c r="RIO15" i="12"/>
  <c r="RIP15" i="12"/>
  <c r="RIQ15" i="12"/>
  <c r="RIR15" i="12"/>
  <c r="RIS15" i="12"/>
  <c r="RIT15" i="12"/>
  <c r="RIU15" i="12"/>
  <c r="RIV15" i="12"/>
  <c r="RIW15" i="12"/>
  <c r="RIX15" i="12"/>
  <c r="RIY15" i="12"/>
  <c r="RIZ15" i="12"/>
  <c r="RJA15" i="12"/>
  <c r="RJB15" i="12"/>
  <c r="RJC15" i="12"/>
  <c r="RJD15" i="12"/>
  <c r="RJE15" i="12"/>
  <c r="RJF15" i="12"/>
  <c r="RJG15" i="12"/>
  <c r="RJH15" i="12"/>
  <c r="RJI15" i="12"/>
  <c r="RJJ15" i="12"/>
  <c r="RJK15" i="12"/>
  <c r="RJL15" i="12"/>
  <c r="RJM15" i="12"/>
  <c r="RJN15" i="12"/>
  <c r="RJO15" i="12"/>
  <c r="RJP15" i="12"/>
  <c r="RJQ15" i="12"/>
  <c r="RJR15" i="12"/>
  <c r="RJS15" i="12"/>
  <c r="RJT15" i="12"/>
  <c r="RJU15" i="12"/>
  <c r="RJV15" i="12"/>
  <c r="RJW15" i="12"/>
  <c r="RJX15" i="12"/>
  <c r="RJY15" i="12"/>
  <c r="RJZ15" i="12"/>
  <c r="RKA15" i="12"/>
  <c r="RKB15" i="12"/>
  <c r="RKC15" i="12"/>
  <c r="RKD15" i="12"/>
  <c r="RKE15" i="12"/>
  <c r="RKF15" i="12"/>
  <c r="RKG15" i="12"/>
  <c r="RKH15" i="12"/>
  <c r="RKI15" i="12"/>
  <c r="RKJ15" i="12"/>
  <c r="RKK15" i="12"/>
  <c r="RKL15" i="12"/>
  <c r="RKM15" i="12"/>
  <c r="RKN15" i="12"/>
  <c r="RKO15" i="12"/>
  <c r="RKP15" i="12"/>
  <c r="RKQ15" i="12"/>
  <c r="RKR15" i="12"/>
  <c r="RKS15" i="12"/>
  <c r="RKT15" i="12"/>
  <c r="RKU15" i="12"/>
  <c r="RKV15" i="12"/>
  <c r="RKW15" i="12"/>
  <c r="RKX15" i="12"/>
  <c r="RKY15" i="12"/>
  <c r="RKZ15" i="12"/>
  <c r="RLA15" i="12"/>
  <c r="RLB15" i="12"/>
  <c r="RLC15" i="12"/>
  <c r="RLD15" i="12"/>
  <c r="RLE15" i="12"/>
  <c r="RLF15" i="12"/>
  <c r="RLG15" i="12"/>
  <c r="RLH15" i="12"/>
  <c r="RLI15" i="12"/>
  <c r="RLJ15" i="12"/>
  <c r="RLK15" i="12"/>
  <c r="RLL15" i="12"/>
  <c r="RLM15" i="12"/>
  <c r="RLN15" i="12"/>
  <c r="RLO15" i="12"/>
  <c r="RLP15" i="12"/>
  <c r="RLQ15" i="12"/>
  <c r="RLR15" i="12"/>
  <c r="RLS15" i="12"/>
  <c r="RLT15" i="12"/>
  <c r="RLU15" i="12"/>
  <c r="RLV15" i="12"/>
  <c r="RLW15" i="12"/>
  <c r="RLX15" i="12"/>
  <c r="RLY15" i="12"/>
  <c r="RLZ15" i="12"/>
  <c r="RMA15" i="12"/>
  <c r="RMB15" i="12"/>
  <c r="RMC15" i="12"/>
  <c r="RMD15" i="12"/>
  <c r="RME15" i="12"/>
  <c r="RMF15" i="12"/>
  <c r="RMG15" i="12"/>
  <c r="RMH15" i="12"/>
  <c r="RMI15" i="12"/>
  <c r="RMJ15" i="12"/>
  <c r="RMK15" i="12"/>
  <c r="RML15" i="12"/>
  <c r="RMM15" i="12"/>
  <c r="RMN15" i="12"/>
  <c r="RMO15" i="12"/>
  <c r="RMP15" i="12"/>
  <c r="RMQ15" i="12"/>
  <c r="RMR15" i="12"/>
  <c r="RMS15" i="12"/>
  <c r="RMT15" i="12"/>
  <c r="RMU15" i="12"/>
  <c r="RMV15" i="12"/>
  <c r="RMW15" i="12"/>
  <c r="RMX15" i="12"/>
  <c r="RMY15" i="12"/>
  <c r="RMZ15" i="12"/>
  <c r="RNA15" i="12"/>
  <c r="RNB15" i="12"/>
  <c r="RNC15" i="12"/>
  <c r="RND15" i="12"/>
  <c r="RNE15" i="12"/>
  <c r="RNF15" i="12"/>
  <c r="RNG15" i="12"/>
  <c r="RNH15" i="12"/>
  <c r="RNI15" i="12"/>
  <c r="RNJ15" i="12"/>
  <c r="RNK15" i="12"/>
  <c r="RNL15" i="12"/>
  <c r="RNM15" i="12"/>
  <c r="RNN15" i="12"/>
  <c r="RNO15" i="12"/>
  <c r="RNP15" i="12"/>
  <c r="RNQ15" i="12"/>
  <c r="RNR15" i="12"/>
  <c r="RNS15" i="12"/>
  <c r="RNT15" i="12"/>
  <c r="RNU15" i="12"/>
  <c r="RNV15" i="12"/>
  <c r="RNW15" i="12"/>
  <c r="RNX15" i="12"/>
  <c r="RNY15" i="12"/>
  <c r="RNZ15" i="12"/>
  <c r="ROA15" i="12"/>
  <c r="ROB15" i="12"/>
  <c r="ROC15" i="12"/>
  <c r="ROD15" i="12"/>
  <c r="ROE15" i="12"/>
  <c r="ROF15" i="12"/>
  <c r="ROG15" i="12"/>
  <c r="ROH15" i="12"/>
  <c r="ROI15" i="12"/>
  <c r="ROJ15" i="12"/>
  <c r="ROK15" i="12"/>
  <c r="ROL15" i="12"/>
  <c r="ROM15" i="12"/>
  <c r="RON15" i="12"/>
  <c r="ROO15" i="12"/>
  <c r="ROP15" i="12"/>
  <c r="ROQ15" i="12"/>
  <c r="ROR15" i="12"/>
  <c r="ROS15" i="12"/>
  <c r="ROT15" i="12"/>
  <c r="ROU15" i="12"/>
  <c r="ROV15" i="12"/>
  <c r="ROW15" i="12"/>
  <c r="ROX15" i="12"/>
  <c r="ROY15" i="12"/>
  <c r="ROZ15" i="12"/>
  <c r="RPA15" i="12"/>
  <c r="RPB15" i="12"/>
  <c r="RPC15" i="12"/>
  <c r="RPD15" i="12"/>
  <c r="RPE15" i="12"/>
  <c r="RPF15" i="12"/>
  <c r="RPG15" i="12"/>
  <c r="RPH15" i="12"/>
  <c r="RPI15" i="12"/>
  <c r="RPJ15" i="12"/>
  <c r="RPK15" i="12"/>
  <c r="RPL15" i="12"/>
  <c r="RPM15" i="12"/>
  <c r="RPN15" i="12"/>
  <c r="RPO15" i="12"/>
  <c r="RPP15" i="12"/>
  <c r="RPQ15" i="12"/>
  <c r="RPR15" i="12"/>
  <c r="RPS15" i="12"/>
  <c r="RPT15" i="12"/>
  <c r="RPU15" i="12"/>
  <c r="RPV15" i="12"/>
  <c r="RPW15" i="12"/>
  <c r="RPX15" i="12"/>
  <c r="RPY15" i="12"/>
  <c r="RPZ15" i="12"/>
  <c r="RQA15" i="12"/>
  <c r="RQB15" i="12"/>
  <c r="RQC15" i="12"/>
  <c r="RQD15" i="12"/>
  <c r="RQE15" i="12"/>
  <c r="RQF15" i="12"/>
  <c r="RQG15" i="12"/>
  <c r="RQH15" i="12"/>
  <c r="RQI15" i="12"/>
  <c r="RQJ15" i="12"/>
  <c r="RQK15" i="12"/>
  <c r="RQL15" i="12"/>
  <c r="RQM15" i="12"/>
  <c r="RQN15" i="12"/>
  <c r="RQO15" i="12"/>
  <c r="RQP15" i="12"/>
  <c r="RQQ15" i="12"/>
  <c r="RQR15" i="12"/>
  <c r="RQS15" i="12"/>
  <c r="RQT15" i="12"/>
  <c r="RQU15" i="12"/>
  <c r="RQV15" i="12"/>
  <c r="RQW15" i="12"/>
  <c r="RQX15" i="12"/>
  <c r="RQY15" i="12"/>
  <c r="RQZ15" i="12"/>
  <c r="RRA15" i="12"/>
  <c r="RRB15" i="12"/>
  <c r="RRC15" i="12"/>
  <c r="RRD15" i="12"/>
  <c r="RRE15" i="12"/>
  <c r="RRF15" i="12"/>
  <c r="RRG15" i="12"/>
  <c r="RRH15" i="12"/>
  <c r="RRI15" i="12"/>
  <c r="RRJ15" i="12"/>
  <c r="RRK15" i="12"/>
  <c r="RRL15" i="12"/>
  <c r="RRM15" i="12"/>
  <c r="RRN15" i="12"/>
  <c r="RRO15" i="12"/>
  <c r="RRP15" i="12"/>
  <c r="RRQ15" i="12"/>
  <c r="RRR15" i="12"/>
  <c r="RRS15" i="12"/>
  <c r="RRT15" i="12"/>
  <c r="RRU15" i="12"/>
  <c r="RRV15" i="12"/>
  <c r="RRW15" i="12"/>
  <c r="RRX15" i="12"/>
  <c r="RRY15" i="12"/>
  <c r="RRZ15" i="12"/>
  <c r="RSA15" i="12"/>
  <c r="RSB15" i="12"/>
  <c r="RSC15" i="12"/>
  <c r="RSD15" i="12"/>
  <c r="RSE15" i="12"/>
  <c r="RSF15" i="12"/>
  <c r="RSG15" i="12"/>
  <c r="RSH15" i="12"/>
  <c r="RSI15" i="12"/>
  <c r="RSJ15" i="12"/>
  <c r="RSK15" i="12"/>
  <c r="RSL15" i="12"/>
  <c r="RSM15" i="12"/>
  <c r="RSN15" i="12"/>
  <c r="RSO15" i="12"/>
  <c r="RSP15" i="12"/>
  <c r="RSQ15" i="12"/>
  <c r="RSR15" i="12"/>
  <c r="RSS15" i="12"/>
  <c r="RST15" i="12"/>
  <c r="RSU15" i="12"/>
  <c r="RSV15" i="12"/>
  <c r="RSW15" i="12"/>
  <c r="RSX15" i="12"/>
  <c r="RSY15" i="12"/>
  <c r="RSZ15" i="12"/>
  <c r="RTA15" i="12"/>
  <c r="RTB15" i="12"/>
  <c r="RTC15" i="12"/>
  <c r="RTD15" i="12"/>
  <c r="RTE15" i="12"/>
  <c r="RTF15" i="12"/>
  <c r="RTG15" i="12"/>
  <c r="RTH15" i="12"/>
  <c r="RTI15" i="12"/>
  <c r="RTJ15" i="12"/>
  <c r="RTK15" i="12"/>
  <c r="RTL15" i="12"/>
  <c r="RTM15" i="12"/>
  <c r="RTN15" i="12"/>
  <c r="RTO15" i="12"/>
  <c r="RTP15" i="12"/>
  <c r="RTQ15" i="12"/>
  <c r="RTR15" i="12"/>
  <c r="RTS15" i="12"/>
  <c r="RTT15" i="12"/>
  <c r="RTU15" i="12"/>
  <c r="RTV15" i="12"/>
  <c r="RTW15" i="12"/>
  <c r="RTX15" i="12"/>
  <c r="RTY15" i="12"/>
  <c r="RTZ15" i="12"/>
  <c r="RUA15" i="12"/>
  <c r="RUB15" i="12"/>
  <c r="RUC15" i="12"/>
  <c r="RUD15" i="12"/>
  <c r="RUE15" i="12"/>
  <c r="RUF15" i="12"/>
  <c r="RUG15" i="12"/>
  <c r="RUH15" i="12"/>
  <c r="RUI15" i="12"/>
  <c r="RUJ15" i="12"/>
  <c r="RUK15" i="12"/>
  <c r="RUL15" i="12"/>
  <c r="RUM15" i="12"/>
  <c r="RUN15" i="12"/>
  <c r="RUO15" i="12"/>
  <c r="RUP15" i="12"/>
  <c r="RUQ15" i="12"/>
  <c r="RUR15" i="12"/>
  <c r="RUS15" i="12"/>
  <c r="RUT15" i="12"/>
  <c r="RUU15" i="12"/>
  <c r="RUV15" i="12"/>
  <c r="RUW15" i="12"/>
  <c r="RUX15" i="12"/>
  <c r="RUY15" i="12"/>
  <c r="RUZ15" i="12"/>
  <c r="RVA15" i="12"/>
  <c r="RVB15" i="12"/>
  <c r="RVC15" i="12"/>
  <c r="RVD15" i="12"/>
  <c r="RVE15" i="12"/>
  <c r="RVF15" i="12"/>
  <c r="RVG15" i="12"/>
  <c r="RVH15" i="12"/>
  <c r="RVI15" i="12"/>
  <c r="RVJ15" i="12"/>
  <c r="RVK15" i="12"/>
  <c r="RVL15" i="12"/>
  <c r="RVM15" i="12"/>
  <c r="RVN15" i="12"/>
  <c r="RVO15" i="12"/>
  <c r="RVP15" i="12"/>
  <c r="RVQ15" i="12"/>
  <c r="RVR15" i="12"/>
  <c r="RVS15" i="12"/>
  <c r="RVT15" i="12"/>
  <c r="RVU15" i="12"/>
  <c r="RVV15" i="12"/>
  <c r="RVW15" i="12"/>
  <c r="RVX15" i="12"/>
  <c r="RVY15" i="12"/>
  <c r="RVZ15" i="12"/>
  <c r="RWA15" i="12"/>
  <c r="RWB15" i="12"/>
  <c r="RWC15" i="12"/>
  <c r="RWD15" i="12"/>
  <c r="RWE15" i="12"/>
  <c r="RWF15" i="12"/>
  <c r="RWG15" i="12"/>
  <c r="RWH15" i="12"/>
  <c r="RWI15" i="12"/>
  <c r="RWJ15" i="12"/>
  <c r="RWK15" i="12"/>
  <c r="RWL15" i="12"/>
  <c r="RWM15" i="12"/>
  <c r="RWN15" i="12"/>
  <c r="RWO15" i="12"/>
  <c r="RWP15" i="12"/>
  <c r="RWQ15" i="12"/>
  <c r="RWR15" i="12"/>
  <c r="RWS15" i="12"/>
  <c r="RWT15" i="12"/>
  <c r="RWU15" i="12"/>
  <c r="RWV15" i="12"/>
  <c r="RWW15" i="12"/>
  <c r="RWX15" i="12"/>
  <c r="RWY15" i="12"/>
  <c r="RWZ15" i="12"/>
  <c r="RXA15" i="12"/>
  <c r="RXB15" i="12"/>
  <c r="RXC15" i="12"/>
  <c r="RXD15" i="12"/>
  <c r="RXE15" i="12"/>
  <c r="RXF15" i="12"/>
  <c r="RXG15" i="12"/>
  <c r="RXH15" i="12"/>
  <c r="RXI15" i="12"/>
  <c r="RXJ15" i="12"/>
  <c r="RXK15" i="12"/>
  <c r="RXL15" i="12"/>
  <c r="RXM15" i="12"/>
  <c r="RXN15" i="12"/>
  <c r="RXO15" i="12"/>
  <c r="RXP15" i="12"/>
  <c r="RXQ15" i="12"/>
  <c r="RXR15" i="12"/>
  <c r="RXS15" i="12"/>
  <c r="RXT15" i="12"/>
  <c r="RXU15" i="12"/>
  <c r="RXV15" i="12"/>
  <c r="RXW15" i="12"/>
  <c r="RXX15" i="12"/>
  <c r="RXY15" i="12"/>
  <c r="RXZ15" i="12"/>
  <c r="RYA15" i="12"/>
  <c r="RYB15" i="12"/>
  <c r="RYC15" i="12"/>
  <c r="RYD15" i="12"/>
  <c r="RYE15" i="12"/>
  <c r="RYF15" i="12"/>
  <c r="RYG15" i="12"/>
  <c r="RYH15" i="12"/>
  <c r="RYI15" i="12"/>
  <c r="RYJ15" i="12"/>
  <c r="RYK15" i="12"/>
  <c r="RYL15" i="12"/>
  <c r="RYM15" i="12"/>
  <c r="RYN15" i="12"/>
  <c r="RYO15" i="12"/>
  <c r="RYP15" i="12"/>
  <c r="RYQ15" i="12"/>
  <c r="RYR15" i="12"/>
  <c r="RYS15" i="12"/>
  <c r="RYT15" i="12"/>
  <c r="RYU15" i="12"/>
  <c r="RYV15" i="12"/>
  <c r="RYW15" i="12"/>
  <c r="RYX15" i="12"/>
  <c r="RYY15" i="12"/>
  <c r="RYZ15" i="12"/>
  <c r="RZA15" i="12"/>
  <c r="RZB15" i="12"/>
  <c r="RZC15" i="12"/>
  <c r="RZD15" i="12"/>
  <c r="RZE15" i="12"/>
  <c r="RZF15" i="12"/>
  <c r="RZG15" i="12"/>
  <c r="RZH15" i="12"/>
  <c r="RZI15" i="12"/>
  <c r="RZJ15" i="12"/>
  <c r="RZK15" i="12"/>
  <c r="RZL15" i="12"/>
  <c r="RZM15" i="12"/>
  <c r="RZN15" i="12"/>
  <c r="RZO15" i="12"/>
  <c r="RZP15" i="12"/>
  <c r="RZQ15" i="12"/>
  <c r="RZR15" i="12"/>
  <c r="RZS15" i="12"/>
  <c r="RZT15" i="12"/>
  <c r="RZU15" i="12"/>
  <c r="RZV15" i="12"/>
  <c r="RZW15" i="12"/>
  <c r="RZX15" i="12"/>
  <c r="RZY15" i="12"/>
  <c r="RZZ15" i="12"/>
  <c r="SAA15" i="12"/>
  <c r="SAB15" i="12"/>
  <c r="SAC15" i="12"/>
  <c r="SAD15" i="12"/>
  <c r="SAE15" i="12"/>
  <c r="SAF15" i="12"/>
  <c r="SAG15" i="12"/>
  <c r="SAH15" i="12"/>
  <c r="SAI15" i="12"/>
  <c r="SAJ15" i="12"/>
  <c r="SAK15" i="12"/>
  <c r="SAL15" i="12"/>
  <c r="SAM15" i="12"/>
  <c r="SAN15" i="12"/>
  <c r="SAO15" i="12"/>
  <c r="SAP15" i="12"/>
  <c r="SAQ15" i="12"/>
  <c r="SAR15" i="12"/>
  <c r="SAS15" i="12"/>
  <c r="SAT15" i="12"/>
  <c r="SAU15" i="12"/>
  <c r="SAV15" i="12"/>
  <c r="SAW15" i="12"/>
  <c r="SAX15" i="12"/>
  <c r="SAY15" i="12"/>
  <c r="SAZ15" i="12"/>
  <c r="SBA15" i="12"/>
  <c r="SBB15" i="12"/>
  <c r="SBC15" i="12"/>
  <c r="SBD15" i="12"/>
  <c r="SBE15" i="12"/>
  <c r="SBF15" i="12"/>
  <c r="SBG15" i="12"/>
  <c r="SBH15" i="12"/>
  <c r="SBI15" i="12"/>
  <c r="SBJ15" i="12"/>
  <c r="SBK15" i="12"/>
  <c r="SBL15" i="12"/>
  <c r="SBM15" i="12"/>
  <c r="SBN15" i="12"/>
  <c r="SBO15" i="12"/>
  <c r="SBP15" i="12"/>
  <c r="SBQ15" i="12"/>
  <c r="SBR15" i="12"/>
  <c r="SBS15" i="12"/>
  <c r="SBT15" i="12"/>
  <c r="SBU15" i="12"/>
  <c r="SBV15" i="12"/>
  <c r="SBW15" i="12"/>
  <c r="SBX15" i="12"/>
  <c r="SBY15" i="12"/>
  <c r="SBZ15" i="12"/>
  <c r="SCA15" i="12"/>
  <c r="SCB15" i="12"/>
  <c r="SCC15" i="12"/>
  <c r="SCD15" i="12"/>
  <c r="SCE15" i="12"/>
  <c r="SCF15" i="12"/>
  <c r="SCG15" i="12"/>
  <c r="SCH15" i="12"/>
  <c r="SCI15" i="12"/>
  <c r="SCJ15" i="12"/>
  <c r="SCK15" i="12"/>
  <c r="SCL15" i="12"/>
  <c r="SCM15" i="12"/>
  <c r="SCN15" i="12"/>
  <c r="SCO15" i="12"/>
  <c r="SCP15" i="12"/>
  <c r="SCQ15" i="12"/>
  <c r="SCR15" i="12"/>
  <c r="SCS15" i="12"/>
  <c r="SCT15" i="12"/>
  <c r="SCU15" i="12"/>
  <c r="SCV15" i="12"/>
  <c r="SCW15" i="12"/>
  <c r="SCX15" i="12"/>
  <c r="SCY15" i="12"/>
  <c r="SCZ15" i="12"/>
  <c r="SDA15" i="12"/>
  <c r="SDB15" i="12"/>
  <c r="SDC15" i="12"/>
  <c r="SDD15" i="12"/>
  <c r="SDE15" i="12"/>
  <c r="SDF15" i="12"/>
  <c r="SDG15" i="12"/>
  <c r="SDH15" i="12"/>
  <c r="SDI15" i="12"/>
  <c r="SDJ15" i="12"/>
  <c r="SDK15" i="12"/>
  <c r="SDL15" i="12"/>
  <c r="SDM15" i="12"/>
  <c r="SDN15" i="12"/>
  <c r="SDO15" i="12"/>
  <c r="SDP15" i="12"/>
  <c r="SDQ15" i="12"/>
  <c r="SDR15" i="12"/>
  <c r="SDS15" i="12"/>
  <c r="SDT15" i="12"/>
  <c r="SDU15" i="12"/>
  <c r="SDV15" i="12"/>
  <c r="SDW15" i="12"/>
  <c r="SDX15" i="12"/>
  <c r="SDY15" i="12"/>
  <c r="SDZ15" i="12"/>
  <c r="SEA15" i="12"/>
  <c r="SEB15" i="12"/>
  <c r="SEC15" i="12"/>
  <c r="SED15" i="12"/>
  <c r="SEE15" i="12"/>
  <c r="SEF15" i="12"/>
  <c r="SEG15" i="12"/>
  <c r="SEH15" i="12"/>
  <c r="SEI15" i="12"/>
  <c r="SEJ15" i="12"/>
  <c r="SEK15" i="12"/>
  <c r="SEL15" i="12"/>
  <c r="SEM15" i="12"/>
  <c r="SEN15" i="12"/>
  <c r="SEO15" i="12"/>
  <c r="SEP15" i="12"/>
  <c r="SEQ15" i="12"/>
  <c r="SER15" i="12"/>
  <c r="SES15" i="12"/>
  <c r="SET15" i="12"/>
  <c r="SEU15" i="12"/>
  <c r="SEV15" i="12"/>
  <c r="SEW15" i="12"/>
  <c r="SEX15" i="12"/>
  <c r="SEY15" i="12"/>
  <c r="SEZ15" i="12"/>
  <c r="SFA15" i="12"/>
  <c r="SFB15" i="12"/>
  <c r="SFC15" i="12"/>
  <c r="SFD15" i="12"/>
  <c r="SFE15" i="12"/>
  <c r="SFF15" i="12"/>
  <c r="SFG15" i="12"/>
  <c r="SFH15" i="12"/>
  <c r="SFI15" i="12"/>
  <c r="SFJ15" i="12"/>
  <c r="SFK15" i="12"/>
  <c r="SFL15" i="12"/>
  <c r="SFM15" i="12"/>
  <c r="SFN15" i="12"/>
  <c r="SFO15" i="12"/>
  <c r="SFP15" i="12"/>
  <c r="SFQ15" i="12"/>
  <c r="SFR15" i="12"/>
  <c r="SFS15" i="12"/>
  <c r="SFT15" i="12"/>
  <c r="SFU15" i="12"/>
  <c r="SFV15" i="12"/>
  <c r="SFW15" i="12"/>
  <c r="SFX15" i="12"/>
  <c r="SFY15" i="12"/>
  <c r="SFZ15" i="12"/>
  <c r="SGA15" i="12"/>
  <c r="SGB15" i="12"/>
  <c r="SGC15" i="12"/>
  <c r="SGD15" i="12"/>
  <c r="SGE15" i="12"/>
  <c r="SGF15" i="12"/>
  <c r="SGG15" i="12"/>
  <c r="SGH15" i="12"/>
  <c r="SGI15" i="12"/>
  <c r="SGJ15" i="12"/>
  <c r="SGK15" i="12"/>
  <c r="SGL15" i="12"/>
  <c r="SGM15" i="12"/>
  <c r="SGN15" i="12"/>
  <c r="SGO15" i="12"/>
  <c r="SGP15" i="12"/>
  <c r="SGQ15" i="12"/>
  <c r="SGR15" i="12"/>
  <c r="SGS15" i="12"/>
  <c r="SGT15" i="12"/>
  <c r="SGU15" i="12"/>
  <c r="SGV15" i="12"/>
  <c r="SGW15" i="12"/>
  <c r="SGX15" i="12"/>
  <c r="SGY15" i="12"/>
  <c r="SGZ15" i="12"/>
  <c r="SHA15" i="12"/>
  <c r="SHB15" i="12"/>
  <c r="SHC15" i="12"/>
  <c r="SHD15" i="12"/>
  <c r="SHE15" i="12"/>
  <c r="SHF15" i="12"/>
  <c r="SHG15" i="12"/>
  <c r="SHH15" i="12"/>
  <c r="SHI15" i="12"/>
  <c r="SHJ15" i="12"/>
  <c r="SHK15" i="12"/>
  <c r="SHL15" i="12"/>
  <c r="SHM15" i="12"/>
  <c r="SHN15" i="12"/>
  <c r="SHO15" i="12"/>
  <c r="SHP15" i="12"/>
  <c r="SHQ15" i="12"/>
  <c r="SHR15" i="12"/>
  <c r="SHS15" i="12"/>
  <c r="SHT15" i="12"/>
  <c r="SHU15" i="12"/>
  <c r="SHV15" i="12"/>
  <c r="SHW15" i="12"/>
  <c r="SHX15" i="12"/>
  <c r="SHY15" i="12"/>
  <c r="SHZ15" i="12"/>
  <c r="SIA15" i="12"/>
  <c r="SIB15" i="12"/>
  <c r="SIC15" i="12"/>
  <c r="SID15" i="12"/>
  <c r="SIE15" i="12"/>
  <c r="SIF15" i="12"/>
  <c r="SIG15" i="12"/>
  <c r="SIH15" i="12"/>
  <c r="SII15" i="12"/>
  <c r="SIJ15" i="12"/>
  <c r="SIK15" i="12"/>
  <c r="SIL15" i="12"/>
  <c r="SIM15" i="12"/>
  <c r="SIN15" i="12"/>
  <c r="SIO15" i="12"/>
  <c r="SIP15" i="12"/>
  <c r="SIQ15" i="12"/>
  <c r="SIR15" i="12"/>
  <c r="SIS15" i="12"/>
  <c r="SIT15" i="12"/>
  <c r="SIU15" i="12"/>
  <c r="SIV15" i="12"/>
  <c r="SIW15" i="12"/>
  <c r="SIX15" i="12"/>
  <c r="SIY15" i="12"/>
  <c r="SIZ15" i="12"/>
  <c r="SJA15" i="12"/>
  <c r="SJB15" i="12"/>
  <c r="SJC15" i="12"/>
  <c r="SJD15" i="12"/>
  <c r="SJE15" i="12"/>
  <c r="SJF15" i="12"/>
  <c r="SJG15" i="12"/>
  <c r="SJH15" i="12"/>
  <c r="SJI15" i="12"/>
  <c r="SJJ15" i="12"/>
  <c r="SJK15" i="12"/>
  <c r="SJL15" i="12"/>
  <c r="SJM15" i="12"/>
  <c r="SJN15" i="12"/>
  <c r="SJO15" i="12"/>
  <c r="SJP15" i="12"/>
  <c r="SJQ15" i="12"/>
  <c r="SJR15" i="12"/>
  <c r="SJS15" i="12"/>
  <c r="SJT15" i="12"/>
  <c r="SJU15" i="12"/>
  <c r="SJV15" i="12"/>
  <c r="SJW15" i="12"/>
  <c r="SJX15" i="12"/>
  <c r="SJY15" i="12"/>
  <c r="SJZ15" i="12"/>
  <c r="SKA15" i="12"/>
  <c r="SKB15" i="12"/>
  <c r="SKC15" i="12"/>
  <c r="SKD15" i="12"/>
  <c r="SKE15" i="12"/>
  <c r="SKF15" i="12"/>
  <c r="SKG15" i="12"/>
  <c r="SKH15" i="12"/>
  <c r="SKI15" i="12"/>
  <c r="SKJ15" i="12"/>
  <c r="SKK15" i="12"/>
  <c r="SKL15" i="12"/>
  <c r="SKM15" i="12"/>
  <c r="SKN15" i="12"/>
  <c r="SKO15" i="12"/>
  <c r="SKP15" i="12"/>
  <c r="SKQ15" i="12"/>
  <c r="SKR15" i="12"/>
  <c r="SKS15" i="12"/>
  <c r="SKT15" i="12"/>
  <c r="SKU15" i="12"/>
  <c r="SKV15" i="12"/>
  <c r="SKW15" i="12"/>
  <c r="SKX15" i="12"/>
  <c r="SKY15" i="12"/>
  <c r="SKZ15" i="12"/>
  <c r="SLA15" i="12"/>
  <c r="SLB15" i="12"/>
  <c r="SLC15" i="12"/>
  <c r="SLD15" i="12"/>
  <c r="SLE15" i="12"/>
  <c r="SLF15" i="12"/>
  <c r="SLG15" i="12"/>
  <c r="SLH15" i="12"/>
  <c r="SLI15" i="12"/>
  <c r="SLJ15" i="12"/>
  <c r="SLK15" i="12"/>
  <c r="SLL15" i="12"/>
  <c r="SLM15" i="12"/>
  <c r="SLN15" i="12"/>
  <c r="SLO15" i="12"/>
  <c r="SLP15" i="12"/>
  <c r="SLQ15" i="12"/>
  <c r="SLR15" i="12"/>
  <c r="SLS15" i="12"/>
  <c r="SLT15" i="12"/>
  <c r="SLU15" i="12"/>
  <c r="SLV15" i="12"/>
  <c r="SLW15" i="12"/>
  <c r="SLX15" i="12"/>
  <c r="SLY15" i="12"/>
  <c r="SLZ15" i="12"/>
  <c r="SMA15" i="12"/>
  <c r="SMB15" i="12"/>
  <c r="SMC15" i="12"/>
  <c r="SMD15" i="12"/>
  <c r="SME15" i="12"/>
  <c r="SMF15" i="12"/>
  <c r="SMG15" i="12"/>
  <c r="SMH15" i="12"/>
  <c r="SMI15" i="12"/>
  <c r="SMJ15" i="12"/>
  <c r="SMK15" i="12"/>
  <c r="SML15" i="12"/>
  <c r="SMM15" i="12"/>
  <c r="SMN15" i="12"/>
  <c r="SMO15" i="12"/>
  <c r="SMP15" i="12"/>
  <c r="SMQ15" i="12"/>
  <c r="SMR15" i="12"/>
  <c r="SMS15" i="12"/>
  <c r="SMT15" i="12"/>
  <c r="SMU15" i="12"/>
  <c r="SMV15" i="12"/>
  <c r="SMW15" i="12"/>
  <c r="SMX15" i="12"/>
  <c r="SMY15" i="12"/>
  <c r="SMZ15" i="12"/>
  <c r="SNA15" i="12"/>
  <c r="SNB15" i="12"/>
  <c r="SNC15" i="12"/>
  <c r="SND15" i="12"/>
  <c r="SNE15" i="12"/>
  <c r="SNF15" i="12"/>
  <c r="SNG15" i="12"/>
  <c r="SNH15" i="12"/>
  <c r="SNI15" i="12"/>
  <c r="SNJ15" i="12"/>
  <c r="SNK15" i="12"/>
  <c r="SNL15" i="12"/>
  <c r="SNM15" i="12"/>
  <c r="SNN15" i="12"/>
  <c r="SNO15" i="12"/>
  <c r="SNP15" i="12"/>
  <c r="SNQ15" i="12"/>
  <c r="SNR15" i="12"/>
  <c r="SNS15" i="12"/>
  <c r="SNT15" i="12"/>
  <c r="SNU15" i="12"/>
  <c r="SNV15" i="12"/>
  <c r="SNW15" i="12"/>
  <c r="SNX15" i="12"/>
  <c r="SNY15" i="12"/>
  <c r="SNZ15" i="12"/>
  <c r="SOA15" i="12"/>
  <c r="SOB15" i="12"/>
  <c r="SOC15" i="12"/>
  <c r="SOD15" i="12"/>
  <c r="SOE15" i="12"/>
  <c r="SOF15" i="12"/>
  <c r="SOG15" i="12"/>
  <c r="SOH15" i="12"/>
  <c r="SOI15" i="12"/>
  <c r="SOJ15" i="12"/>
  <c r="SOK15" i="12"/>
  <c r="SOL15" i="12"/>
  <c r="SOM15" i="12"/>
  <c r="SON15" i="12"/>
  <c r="SOO15" i="12"/>
  <c r="SOP15" i="12"/>
  <c r="SOQ15" i="12"/>
  <c r="SOR15" i="12"/>
  <c r="SOS15" i="12"/>
  <c r="SOT15" i="12"/>
  <c r="SOU15" i="12"/>
  <c r="SOV15" i="12"/>
  <c r="SOW15" i="12"/>
  <c r="SOX15" i="12"/>
  <c r="SOY15" i="12"/>
  <c r="SOZ15" i="12"/>
  <c r="SPA15" i="12"/>
  <c r="SPB15" i="12"/>
  <c r="SPC15" i="12"/>
  <c r="SPD15" i="12"/>
  <c r="SPE15" i="12"/>
  <c r="SPF15" i="12"/>
  <c r="SPG15" i="12"/>
  <c r="SPH15" i="12"/>
  <c r="SPI15" i="12"/>
  <c r="SPJ15" i="12"/>
  <c r="SPK15" i="12"/>
  <c r="SPL15" i="12"/>
  <c r="SPM15" i="12"/>
  <c r="SPN15" i="12"/>
  <c r="SPO15" i="12"/>
  <c r="SPP15" i="12"/>
  <c r="SPQ15" i="12"/>
  <c r="SPR15" i="12"/>
  <c r="SPS15" i="12"/>
  <c r="SPT15" i="12"/>
  <c r="SPU15" i="12"/>
  <c r="SPV15" i="12"/>
  <c r="SPW15" i="12"/>
  <c r="SPX15" i="12"/>
  <c r="SPY15" i="12"/>
  <c r="SPZ15" i="12"/>
  <c r="SQA15" i="12"/>
  <c r="SQB15" i="12"/>
  <c r="SQC15" i="12"/>
  <c r="SQD15" i="12"/>
  <c r="SQE15" i="12"/>
  <c r="SQF15" i="12"/>
  <c r="SQG15" i="12"/>
  <c r="SQH15" i="12"/>
  <c r="SQI15" i="12"/>
  <c r="SQJ15" i="12"/>
  <c r="SQK15" i="12"/>
  <c r="SQL15" i="12"/>
  <c r="SQM15" i="12"/>
  <c r="SQN15" i="12"/>
  <c r="SQO15" i="12"/>
  <c r="SQP15" i="12"/>
  <c r="SQQ15" i="12"/>
  <c r="SQR15" i="12"/>
  <c r="SQS15" i="12"/>
  <c r="SQT15" i="12"/>
  <c r="SQU15" i="12"/>
  <c r="SQV15" i="12"/>
  <c r="SQW15" i="12"/>
  <c r="SQX15" i="12"/>
  <c r="SQY15" i="12"/>
  <c r="SQZ15" i="12"/>
  <c r="SRA15" i="12"/>
  <c r="SRB15" i="12"/>
  <c r="SRC15" i="12"/>
  <c r="SRD15" i="12"/>
  <c r="SRE15" i="12"/>
  <c r="SRF15" i="12"/>
  <c r="SRG15" i="12"/>
  <c r="SRH15" i="12"/>
  <c r="SRI15" i="12"/>
  <c r="SRJ15" i="12"/>
  <c r="SRK15" i="12"/>
  <c r="SRL15" i="12"/>
  <c r="SRM15" i="12"/>
  <c r="SRN15" i="12"/>
  <c r="SRO15" i="12"/>
  <c r="SRP15" i="12"/>
  <c r="SRQ15" i="12"/>
  <c r="SRR15" i="12"/>
  <c r="SRS15" i="12"/>
  <c r="SRT15" i="12"/>
  <c r="SRU15" i="12"/>
  <c r="SRV15" i="12"/>
  <c r="SRW15" i="12"/>
  <c r="SRX15" i="12"/>
  <c r="SRY15" i="12"/>
  <c r="SRZ15" i="12"/>
  <c r="SSA15" i="12"/>
  <c r="SSB15" i="12"/>
  <c r="SSC15" i="12"/>
  <c r="SSD15" i="12"/>
  <c r="SSE15" i="12"/>
  <c r="SSF15" i="12"/>
  <c r="SSG15" i="12"/>
  <c r="SSH15" i="12"/>
  <c r="SSI15" i="12"/>
  <c r="SSJ15" i="12"/>
  <c r="SSK15" i="12"/>
  <c r="SSL15" i="12"/>
  <c r="SSM15" i="12"/>
  <c r="SSN15" i="12"/>
  <c r="SSO15" i="12"/>
  <c r="SSP15" i="12"/>
  <c r="SSQ15" i="12"/>
  <c r="SSR15" i="12"/>
  <c r="SSS15" i="12"/>
  <c r="SST15" i="12"/>
  <c r="SSU15" i="12"/>
  <c r="SSV15" i="12"/>
  <c r="SSW15" i="12"/>
  <c r="SSX15" i="12"/>
  <c r="SSY15" i="12"/>
  <c r="SSZ15" i="12"/>
  <c r="STA15" i="12"/>
  <c r="STB15" i="12"/>
  <c r="STC15" i="12"/>
  <c r="STD15" i="12"/>
  <c r="STE15" i="12"/>
  <c r="STF15" i="12"/>
  <c r="STG15" i="12"/>
  <c r="STH15" i="12"/>
  <c r="STI15" i="12"/>
  <c r="STJ15" i="12"/>
  <c r="STK15" i="12"/>
  <c r="STL15" i="12"/>
  <c r="STM15" i="12"/>
  <c r="STN15" i="12"/>
  <c r="STO15" i="12"/>
  <c r="STP15" i="12"/>
  <c r="STQ15" i="12"/>
  <c r="STR15" i="12"/>
  <c r="STS15" i="12"/>
  <c r="STT15" i="12"/>
  <c r="STU15" i="12"/>
  <c r="STV15" i="12"/>
  <c r="STW15" i="12"/>
  <c r="STX15" i="12"/>
  <c r="STY15" i="12"/>
  <c r="STZ15" i="12"/>
  <c r="SUA15" i="12"/>
  <c r="SUB15" i="12"/>
  <c r="SUC15" i="12"/>
  <c r="SUD15" i="12"/>
  <c r="SUE15" i="12"/>
  <c r="SUF15" i="12"/>
  <c r="SUG15" i="12"/>
  <c r="SUH15" i="12"/>
  <c r="SUI15" i="12"/>
  <c r="SUJ15" i="12"/>
  <c r="SUK15" i="12"/>
  <c r="SUL15" i="12"/>
  <c r="SUM15" i="12"/>
  <c r="SUN15" i="12"/>
  <c r="SUO15" i="12"/>
  <c r="SUP15" i="12"/>
  <c r="SUQ15" i="12"/>
  <c r="SUR15" i="12"/>
  <c r="SUS15" i="12"/>
  <c r="SUT15" i="12"/>
  <c r="SUU15" i="12"/>
  <c r="SUV15" i="12"/>
  <c r="SUW15" i="12"/>
  <c r="SUX15" i="12"/>
  <c r="SUY15" i="12"/>
  <c r="SUZ15" i="12"/>
  <c r="SVA15" i="12"/>
  <c r="SVB15" i="12"/>
  <c r="SVC15" i="12"/>
  <c r="SVD15" i="12"/>
  <c r="SVE15" i="12"/>
  <c r="SVF15" i="12"/>
  <c r="SVG15" i="12"/>
  <c r="SVH15" i="12"/>
  <c r="SVI15" i="12"/>
  <c r="SVJ15" i="12"/>
  <c r="SVK15" i="12"/>
  <c r="SVL15" i="12"/>
  <c r="SVM15" i="12"/>
  <c r="SVN15" i="12"/>
  <c r="SVO15" i="12"/>
  <c r="SVP15" i="12"/>
  <c r="SVQ15" i="12"/>
  <c r="SVR15" i="12"/>
  <c r="SVS15" i="12"/>
  <c r="SVT15" i="12"/>
  <c r="SVU15" i="12"/>
  <c r="SVV15" i="12"/>
  <c r="SVW15" i="12"/>
  <c r="SVX15" i="12"/>
  <c r="SVY15" i="12"/>
  <c r="SVZ15" i="12"/>
  <c r="SWA15" i="12"/>
  <c r="SWB15" i="12"/>
  <c r="SWC15" i="12"/>
  <c r="SWD15" i="12"/>
  <c r="SWE15" i="12"/>
  <c r="SWF15" i="12"/>
  <c r="SWG15" i="12"/>
  <c r="SWH15" i="12"/>
  <c r="SWI15" i="12"/>
  <c r="SWJ15" i="12"/>
  <c r="SWK15" i="12"/>
  <c r="SWL15" i="12"/>
  <c r="SWM15" i="12"/>
  <c r="SWN15" i="12"/>
  <c r="SWO15" i="12"/>
  <c r="SWP15" i="12"/>
  <c r="SWQ15" i="12"/>
  <c r="SWR15" i="12"/>
  <c r="SWS15" i="12"/>
  <c r="SWT15" i="12"/>
  <c r="SWU15" i="12"/>
  <c r="SWV15" i="12"/>
  <c r="SWW15" i="12"/>
  <c r="SWX15" i="12"/>
  <c r="SWY15" i="12"/>
  <c r="SWZ15" i="12"/>
  <c r="SXA15" i="12"/>
  <c r="SXB15" i="12"/>
  <c r="SXC15" i="12"/>
  <c r="SXD15" i="12"/>
  <c r="SXE15" i="12"/>
  <c r="SXF15" i="12"/>
  <c r="SXG15" i="12"/>
  <c r="SXH15" i="12"/>
  <c r="SXI15" i="12"/>
  <c r="SXJ15" i="12"/>
  <c r="SXK15" i="12"/>
  <c r="SXL15" i="12"/>
  <c r="SXM15" i="12"/>
  <c r="SXN15" i="12"/>
  <c r="SXO15" i="12"/>
  <c r="SXP15" i="12"/>
  <c r="SXQ15" i="12"/>
  <c r="SXR15" i="12"/>
  <c r="SXS15" i="12"/>
  <c r="SXT15" i="12"/>
  <c r="SXU15" i="12"/>
  <c r="SXV15" i="12"/>
  <c r="SXW15" i="12"/>
  <c r="SXX15" i="12"/>
  <c r="SXY15" i="12"/>
  <c r="SXZ15" i="12"/>
  <c r="SYA15" i="12"/>
  <c r="SYB15" i="12"/>
  <c r="SYC15" i="12"/>
  <c r="SYD15" i="12"/>
  <c r="SYE15" i="12"/>
  <c r="SYF15" i="12"/>
  <c r="SYG15" i="12"/>
  <c r="SYH15" i="12"/>
  <c r="SYI15" i="12"/>
  <c r="SYJ15" i="12"/>
  <c r="SYK15" i="12"/>
  <c r="SYL15" i="12"/>
  <c r="SYM15" i="12"/>
  <c r="SYN15" i="12"/>
  <c r="SYO15" i="12"/>
  <c r="SYP15" i="12"/>
  <c r="SYQ15" i="12"/>
  <c r="SYR15" i="12"/>
  <c r="SYS15" i="12"/>
  <c r="SYT15" i="12"/>
  <c r="SYU15" i="12"/>
  <c r="SYV15" i="12"/>
  <c r="SYW15" i="12"/>
  <c r="SYX15" i="12"/>
  <c r="SYY15" i="12"/>
  <c r="SYZ15" i="12"/>
  <c r="SZA15" i="12"/>
  <c r="SZB15" i="12"/>
  <c r="SZC15" i="12"/>
  <c r="SZD15" i="12"/>
  <c r="SZE15" i="12"/>
  <c r="SZF15" i="12"/>
  <c r="SZG15" i="12"/>
  <c r="SZH15" i="12"/>
  <c r="SZI15" i="12"/>
  <c r="SZJ15" i="12"/>
  <c r="SZK15" i="12"/>
  <c r="SZL15" i="12"/>
  <c r="SZM15" i="12"/>
  <c r="SZN15" i="12"/>
  <c r="SZO15" i="12"/>
  <c r="SZP15" i="12"/>
  <c r="SZQ15" i="12"/>
  <c r="SZR15" i="12"/>
  <c r="SZS15" i="12"/>
  <c r="SZT15" i="12"/>
  <c r="SZU15" i="12"/>
  <c r="SZV15" i="12"/>
  <c r="SZW15" i="12"/>
  <c r="SZX15" i="12"/>
  <c r="SZY15" i="12"/>
  <c r="SZZ15" i="12"/>
  <c r="TAA15" i="12"/>
  <c r="TAB15" i="12"/>
  <c r="TAC15" i="12"/>
  <c r="TAD15" i="12"/>
  <c r="TAE15" i="12"/>
  <c r="TAF15" i="12"/>
  <c r="TAG15" i="12"/>
  <c r="TAH15" i="12"/>
  <c r="TAI15" i="12"/>
  <c r="TAJ15" i="12"/>
  <c r="TAK15" i="12"/>
  <c r="TAL15" i="12"/>
  <c r="TAM15" i="12"/>
  <c r="TAN15" i="12"/>
  <c r="TAO15" i="12"/>
  <c r="TAP15" i="12"/>
  <c r="TAQ15" i="12"/>
  <c r="TAR15" i="12"/>
  <c r="TAS15" i="12"/>
  <c r="TAT15" i="12"/>
  <c r="TAU15" i="12"/>
  <c r="TAV15" i="12"/>
  <c r="TAW15" i="12"/>
  <c r="TAX15" i="12"/>
  <c r="TAY15" i="12"/>
  <c r="TAZ15" i="12"/>
  <c r="TBA15" i="12"/>
  <c r="TBB15" i="12"/>
  <c r="TBC15" i="12"/>
  <c r="TBD15" i="12"/>
  <c r="TBE15" i="12"/>
  <c r="TBF15" i="12"/>
  <c r="TBG15" i="12"/>
  <c r="TBH15" i="12"/>
  <c r="TBI15" i="12"/>
  <c r="TBJ15" i="12"/>
  <c r="TBK15" i="12"/>
  <c r="TBL15" i="12"/>
  <c r="TBM15" i="12"/>
  <c r="TBN15" i="12"/>
  <c r="TBO15" i="12"/>
  <c r="TBP15" i="12"/>
  <c r="TBQ15" i="12"/>
  <c r="TBR15" i="12"/>
  <c r="TBS15" i="12"/>
  <c r="TBT15" i="12"/>
  <c r="TBU15" i="12"/>
  <c r="TBV15" i="12"/>
  <c r="TBW15" i="12"/>
  <c r="TBX15" i="12"/>
  <c r="TBY15" i="12"/>
  <c r="TBZ15" i="12"/>
  <c r="TCA15" i="12"/>
  <c r="TCB15" i="12"/>
  <c r="TCC15" i="12"/>
  <c r="TCD15" i="12"/>
  <c r="TCE15" i="12"/>
  <c r="TCF15" i="12"/>
  <c r="TCG15" i="12"/>
  <c r="TCH15" i="12"/>
  <c r="TCI15" i="12"/>
  <c r="TCJ15" i="12"/>
  <c r="TCK15" i="12"/>
  <c r="TCL15" i="12"/>
  <c r="TCM15" i="12"/>
  <c r="TCN15" i="12"/>
  <c r="TCO15" i="12"/>
  <c r="TCP15" i="12"/>
  <c r="TCQ15" i="12"/>
  <c r="TCR15" i="12"/>
  <c r="TCS15" i="12"/>
  <c r="TCT15" i="12"/>
  <c r="TCU15" i="12"/>
  <c r="TCV15" i="12"/>
  <c r="TCW15" i="12"/>
  <c r="TCX15" i="12"/>
  <c r="TCY15" i="12"/>
  <c r="TCZ15" i="12"/>
  <c r="TDA15" i="12"/>
  <c r="TDB15" i="12"/>
  <c r="TDC15" i="12"/>
  <c r="TDD15" i="12"/>
  <c r="TDE15" i="12"/>
  <c r="TDF15" i="12"/>
  <c r="TDG15" i="12"/>
  <c r="TDH15" i="12"/>
  <c r="TDI15" i="12"/>
  <c r="TDJ15" i="12"/>
  <c r="TDK15" i="12"/>
  <c r="TDL15" i="12"/>
  <c r="TDM15" i="12"/>
  <c r="TDN15" i="12"/>
  <c r="TDO15" i="12"/>
  <c r="TDP15" i="12"/>
  <c r="TDQ15" i="12"/>
  <c r="TDR15" i="12"/>
  <c r="TDS15" i="12"/>
  <c r="TDT15" i="12"/>
  <c r="TDU15" i="12"/>
  <c r="TDV15" i="12"/>
  <c r="TDW15" i="12"/>
  <c r="TDX15" i="12"/>
  <c r="TDY15" i="12"/>
  <c r="TDZ15" i="12"/>
  <c r="TEA15" i="12"/>
  <c r="TEB15" i="12"/>
  <c r="TEC15" i="12"/>
  <c r="TED15" i="12"/>
  <c r="TEE15" i="12"/>
  <c r="TEF15" i="12"/>
  <c r="TEG15" i="12"/>
  <c r="TEH15" i="12"/>
  <c r="TEI15" i="12"/>
  <c r="TEJ15" i="12"/>
  <c r="TEK15" i="12"/>
  <c r="TEL15" i="12"/>
  <c r="TEM15" i="12"/>
  <c r="TEN15" i="12"/>
  <c r="TEO15" i="12"/>
  <c r="TEP15" i="12"/>
  <c r="TEQ15" i="12"/>
  <c r="TER15" i="12"/>
  <c r="TES15" i="12"/>
  <c r="TET15" i="12"/>
  <c r="TEU15" i="12"/>
  <c r="TEV15" i="12"/>
  <c r="TEW15" i="12"/>
  <c r="TEX15" i="12"/>
  <c r="TEY15" i="12"/>
  <c r="TEZ15" i="12"/>
  <c r="TFA15" i="12"/>
  <c r="TFB15" i="12"/>
  <c r="TFC15" i="12"/>
  <c r="TFD15" i="12"/>
  <c r="TFE15" i="12"/>
  <c r="TFF15" i="12"/>
  <c r="TFG15" i="12"/>
  <c r="TFH15" i="12"/>
  <c r="TFI15" i="12"/>
  <c r="TFJ15" i="12"/>
  <c r="TFK15" i="12"/>
  <c r="TFL15" i="12"/>
  <c r="TFM15" i="12"/>
  <c r="TFN15" i="12"/>
  <c r="TFO15" i="12"/>
  <c r="TFP15" i="12"/>
  <c r="TFQ15" i="12"/>
  <c r="TFR15" i="12"/>
  <c r="TFS15" i="12"/>
  <c r="TFT15" i="12"/>
  <c r="TFU15" i="12"/>
  <c r="TFV15" i="12"/>
  <c r="TFW15" i="12"/>
  <c r="TFX15" i="12"/>
  <c r="TFY15" i="12"/>
  <c r="TFZ15" i="12"/>
  <c r="TGA15" i="12"/>
  <c r="TGB15" i="12"/>
  <c r="TGC15" i="12"/>
  <c r="TGD15" i="12"/>
  <c r="TGE15" i="12"/>
  <c r="TGF15" i="12"/>
  <c r="TGG15" i="12"/>
  <c r="TGH15" i="12"/>
  <c r="TGI15" i="12"/>
  <c r="TGJ15" i="12"/>
  <c r="TGK15" i="12"/>
  <c r="TGL15" i="12"/>
  <c r="TGM15" i="12"/>
  <c r="TGN15" i="12"/>
  <c r="TGO15" i="12"/>
  <c r="TGP15" i="12"/>
  <c r="TGQ15" i="12"/>
  <c r="TGR15" i="12"/>
  <c r="TGS15" i="12"/>
  <c r="TGT15" i="12"/>
  <c r="TGU15" i="12"/>
  <c r="TGV15" i="12"/>
  <c r="TGW15" i="12"/>
  <c r="TGX15" i="12"/>
  <c r="TGY15" i="12"/>
  <c r="TGZ15" i="12"/>
  <c r="THA15" i="12"/>
  <c r="THB15" i="12"/>
  <c r="THC15" i="12"/>
  <c r="THD15" i="12"/>
  <c r="THE15" i="12"/>
  <c r="THF15" i="12"/>
  <c r="THG15" i="12"/>
  <c r="THH15" i="12"/>
  <c r="THI15" i="12"/>
  <c r="THJ15" i="12"/>
  <c r="THK15" i="12"/>
  <c r="THL15" i="12"/>
  <c r="THM15" i="12"/>
  <c r="THN15" i="12"/>
  <c r="THO15" i="12"/>
  <c r="THP15" i="12"/>
  <c r="THQ15" i="12"/>
  <c r="THR15" i="12"/>
  <c r="THS15" i="12"/>
  <c r="THT15" i="12"/>
  <c r="THU15" i="12"/>
  <c r="THV15" i="12"/>
  <c r="THW15" i="12"/>
  <c r="THX15" i="12"/>
  <c r="THY15" i="12"/>
  <c r="THZ15" i="12"/>
  <c r="TIA15" i="12"/>
  <c r="TIB15" i="12"/>
  <c r="TIC15" i="12"/>
  <c r="TID15" i="12"/>
  <c r="TIE15" i="12"/>
  <c r="TIF15" i="12"/>
  <c r="TIG15" i="12"/>
  <c r="TIH15" i="12"/>
  <c r="TII15" i="12"/>
  <c r="TIJ15" i="12"/>
  <c r="TIK15" i="12"/>
  <c r="TIL15" i="12"/>
  <c r="TIM15" i="12"/>
  <c r="TIN15" i="12"/>
  <c r="TIO15" i="12"/>
  <c r="TIP15" i="12"/>
  <c r="TIQ15" i="12"/>
  <c r="TIR15" i="12"/>
  <c r="TIS15" i="12"/>
  <c r="TIT15" i="12"/>
  <c r="TIU15" i="12"/>
  <c r="TIV15" i="12"/>
  <c r="TIW15" i="12"/>
  <c r="TIX15" i="12"/>
  <c r="TIY15" i="12"/>
  <c r="TIZ15" i="12"/>
  <c r="TJA15" i="12"/>
  <c r="TJB15" i="12"/>
  <c r="TJC15" i="12"/>
  <c r="TJD15" i="12"/>
  <c r="TJE15" i="12"/>
  <c r="TJF15" i="12"/>
  <c r="TJG15" i="12"/>
  <c r="TJH15" i="12"/>
  <c r="TJI15" i="12"/>
  <c r="TJJ15" i="12"/>
  <c r="TJK15" i="12"/>
  <c r="TJL15" i="12"/>
  <c r="TJM15" i="12"/>
  <c r="TJN15" i="12"/>
  <c r="TJO15" i="12"/>
  <c r="TJP15" i="12"/>
  <c r="TJQ15" i="12"/>
  <c r="TJR15" i="12"/>
  <c r="TJS15" i="12"/>
  <c r="TJT15" i="12"/>
  <c r="TJU15" i="12"/>
  <c r="TJV15" i="12"/>
  <c r="TJW15" i="12"/>
  <c r="TJX15" i="12"/>
  <c r="TJY15" i="12"/>
  <c r="TJZ15" i="12"/>
  <c r="TKA15" i="12"/>
  <c r="TKB15" i="12"/>
  <c r="TKC15" i="12"/>
  <c r="TKD15" i="12"/>
  <c r="TKE15" i="12"/>
  <c r="TKF15" i="12"/>
  <c r="TKG15" i="12"/>
  <c r="TKH15" i="12"/>
  <c r="TKI15" i="12"/>
  <c r="TKJ15" i="12"/>
  <c r="TKK15" i="12"/>
  <c r="TKL15" i="12"/>
  <c r="TKM15" i="12"/>
  <c r="TKN15" i="12"/>
  <c r="TKO15" i="12"/>
  <c r="TKP15" i="12"/>
  <c r="TKQ15" i="12"/>
  <c r="TKR15" i="12"/>
  <c r="TKS15" i="12"/>
  <c r="TKT15" i="12"/>
  <c r="TKU15" i="12"/>
  <c r="TKV15" i="12"/>
  <c r="TKW15" i="12"/>
  <c r="TKX15" i="12"/>
  <c r="TKY15" i="12"/>
  <c r="TKZ15" i="12"/>
  <c r="TLA15" i="12"/>
  <c r="TLB15" i="12"/>
  <c r="TLC15" i="12"/>
  <c r="TLD15" i="12"/>
  <c r="TLE15" i="12"/>
  <c r="TLF15" i="12"/>
  <c r="TLG15" i="12"/>
  <c r="TLH15" i="12"/>
  <c r="TLI15" i="12"/>
  <c r="TLJ15" i="12"/>
  <c r="TLK15" i="12"/>
  <c r="TLL15" i="12"/>
  <c r="TLM15" i="12"/>
  <c r="TLN15" i="12"/>
  <c r="TLO15" i="12"/>
  <c r="TLP15" i="12"/>
  <c r="TLQ15" i="12"/>
  <c r="TLR15" i="12"/>
  <c r="TLS15" i="12"/>
  <c r="TLT15" i="12"/>
  <c r="TLU15" i="12"/>
  <c r="TLV15" i="12"/>
  <c r="TLW15" i="12"/>
  <c r="TLX15" i="12"/>
  <c r="TLY15" i="12"/>
  <c r="TLZ15" i="12"/>
  <c r="TMA15" i="12"/>
  <c r="TMB15" i="12"/>
  <c r="TMC15" i="12"/>
  <c r="TMD15" i="12"/>
  <c r="TME15" i="12"/>
  <c r="TMF15" i="12"/>
  <c r="TMG15" i="12"/>
  <c r="TMH15" i="12"/>
  <c r="TMI15" i="12"/>
  <c r="TMJ15" i="12"/>
  <c r="TMK15" i="12"/>
  <c r="TML15" i="12"/>
  <c r="TMM15" i="12"/>
  <c r="TMN15" i="12"/>
  <c r="TMO15" i="12"/>
  <c r="TMP15" i="12"/>
  <c r="TMQ15" i="12"/>
  <c r="TMR15" i="12"/>
  <c r="TMS15" i="12"/>
  <c r="TMT15" i="12"/>
  <c r="TMU15" i="12"/>
  <c r="TMV15" i="12"/>
  <c r="TMW15" i="12"/>
  <c r="TMX15" i="12"/>
  <c r="TMY15" i="12"/>
  <c r="TMZ15" i="12"/>
  <c r="TNA15" i="12"/>
  <c r="TNB15" i="12"/>
  <c r="TNC15" i="12"/>
  <c r="TND15" i="12"/>
  <c r="TNE15" i="12"/>
  <c r="TNF15" i="12"/>
  <c r="TNG15" i="12"/>
  <c r="TNH15" i="12"/>
  <c r="TNI15" i="12"/>
  <c r="TNJ15" i="12"/>
  <c r="TNK15" i="12"/>
  <c r="TNL15" i="12"/>
  <c r="TNM15" i="12"/>
  <c r="TNN15" i="12"/>
  <c r="TNO15" i="12"/>
  <c r="TNP15" i="12"/>
  <c r="TNQ15" i="12"/>
  <c r="TNR15" i="12"/>
  <c r="TNS15" i="12"/>
  <c r="TNT15" i="12"/>
  <c r="TNU15" i="12"/>
  <c r="TNV15" i="12"/>
  <c r="TNW15" i="12"/>
  <c r="TNX15" i="12"/>
  <c r="TNY15" i="12"/>
  <c r="TNZ15" i="12"/>
  <c r="TOA15" i="12"/>
  <c r="TOB15" i="12"/>
  <c r="TOC15" i="12"/>
  <c r="TOD15" i="12"/>
  <c r="TOE15" i="12"/>
  <c r="TOF15" i="12"/>
  <c r="TOG15" i="12"/>
  <c r="TOH15" i="12"/>
  <c r="TOI15" i="12"/>
  <c r="TOJ15" i="12"/>
  <c r="TOK15" i="12"/>
  <c r="TOL15" i="12"/>
  <c r="TOM15" i="12"/>
  <c r="TON15" i="12"/>
  <c r="TOO15" i="12"/>
  <c r="TOP15" i="12"/>
  <c r="TOQ15" i="12"/>
  <c r="TOR15" i="12"/>
  <c r="TOS15" i="12"/>
  <c r="TOT15" i="12"/>
  <c r="TOU15" i="12"/>
  <c r="TOV15" i="12"/>
  <c r="TOW15" i="12"/>
  <c r="TOX15" i="12"/>
  <c r="TOY15" i="12"/>
  <c r="TOZ15" i="12"/>
  <c r="TPA15" i="12"/>
  <c r="TPB15" i="12"/>
  <c r="TPC15" i="12"/>
  <c r="TPD15" i="12"/>
  <c r="TPE15" i="12"/>
  <c r="TPF15" i="12"/>
  <c r="TPG15" i="12"/>
  <c r="TPH15" i="12"/>
  <c r="TPI15" i="12"/>
  <c r="TPJ15" i="12"/>
  <c r="TPK15" i="12"/>
  <c r="TPL15" i="12"/>
  <c r="TPM15" i="12"/>
  <c r="TPN15" i="12"/>
  <c r="TPO15" i="12"/>
  <c r="TPP15" i="12"/>
  <c r="TPQ15" i="12"/>
  <c r="TPR15" i="12"/>
  <c r="TPS15" i="12"/>
  <c r="TPT15" i="12"/>
  <c r="TPU15" i="12"/>
  <c r="TPV15" i="12"/>
  <c r="TPW15" i="12"/>
  <c r="TPX15" i="12"/>
  <c r="TPY15" i="12"/>
  <c r="TPZ15" i="12"/>
  <c r="TQA15" i="12"/>
  <c r="TQB15" i="12"/>
  <c r="TQC15" i="12"/>
  <c r="TQD15" i="12"/>
  <c r="TQE15" i="12"/>
  <c r="TQF15" i="12"/>
  <c r="TQG15" i="12"/>
  <c r="TQH15" i="12"/>
  <c r="TQI15" i="12"/>
  <c r="TQJ15" i="12"/>
  <c r="TQK15" i="12"/>
  <c r="TQL15" i="12"/>
  <c r="TQM15" i="12"/>
  <c r="TQN15" i="12"/>
  <c r="TQO15" i="12"/>
  <c r="TQP15" i="12"/>
  <c r="TQQ15" i="12"/>
  <c r="TQR15" i="12"/>
  <c r="TQS15" i="12"/>
  <c r="TQT15" i="12"/>
  <c r="TQU15" i="12"/>
  <c r="TQV15" i="12"/>
  <c r="TQW15" i="12"/>
  <c r="TQX15" i="12"/>
  <c r="TQY15" i="12"/>
  <c r="TQZ15" i="12"/>
  <c r="TRA15" i="12"/>
  <c r="TRB15" i="12"/>
  <c r="TRC15" i="12"/>
  <c r="TRD15" i="12"/>
  <c r="TRE15" i="12"/>
  <c r="TRF15" i="12"/>
  <c r="TRG15" i="12"/>
  <c r="TRH15" i="12"/>
  <c r="TRI15" i="12"/>
  <c r="TRJ15" i="12"/>
  <c r="TRK15" i="12"/>
  <c r="TRL15" i="12"/>
  <c r="TRM15" i="12"/>
  <c r="TRN15" i="12"/>
  <c r="TRO15" i="12"/>
  <c r="TRP15" i="12"/>
  <c r="TRQ15" i="12"/>
  <c r="TRR15" i="12"/>
  <c r="TRS15" i="12"/>
  <c r="TRT15" i="12"/>
  <c r="TRU15" i="12"/>
  <c r="TRV15" i="12"/>
  <c r="TRW15" i="12"/>
  <c r="TRX15" i="12"/>
  <c r="TRY15" i="12"/>
  <c r="TRZ15" i="12"/>
  <c r="TSA15" i="12"/>
  <c r="TSB15" i="12"/>
  <c r="TSC15" i="12"/>
  <c r="TSD15" i="12"/>
  <c r="TSE15" i="12"/>
  <c r="TSF15" i="12"/>
  <c r="TSG15" i="12"/>
  <c r="TSH15" i="12"/>
  <c r="TSI15" i="12"/>
  <c r="TSJ15" i="12"/>
  <c r="TSK15" i="12"/>
  <c r="TSL15" i="12"/>
  <c r="TSM15" i="12"/>
  <c r="TSN15" i="12"/>
  <c r="TSO15" i="12"/>
  <c r="TSP15" i="12"/>
  <c r="TSQ15" i="12"/>
  <c r="TSR15" i="12"/>
  <c r="TSS15" i="12"/>
  <c r="TST15" i="12"/>
  <c r="TSU15" i="12"/>
  <c r="TSV15" i="12"/>
  <c r="TSW15" i="12"/>
  <c r="TSX15" i="12"/>
  <c r="TSY15" i="12"/>
  <c r="TSZ15" i="12"/>
  <c r="TTA15" i="12"/>
  <c r="TTB15" i="12"/>
  <c r="TTC15" i="12"/>
  <c r="TTD15" i="12"/>
  <c r="TTE15" i="12"/>
  <c r="TTF15" i="12"/>
  <c r="TTG15" i="12"/>
  <c r="TTH15" i="12"/>
  <c r="TTI15" i="12"/>
  <c r="TTJ15" i="12"/>
  <c r="TTK15" i="12"/>
  <c r="TTL15" i="12"/>
  <c r="TTM15" i="12"/>
  <c r="TTN15" i="12"/>
  <c r="TTO15" i="12"/>
  <c r="TTP15" i="12"/>
  <c r="TTQ15" i="12"/>
  <c r="TTR15" i="12"/>
  <c r="TTS15" i="12"/>
  <c r="TTT15" i="12"/>
  <c r="TTU15" i="12"/>
  <c r="TTV15" i="12"/>
  <c r="TTW15" i="12"/>
  <c r="TTX15" i="12"/>
  <c r="TTY15" i="12"/>
  <c r="TTZ15" i="12"/>
  <c r="TUA15" i="12"/>
  <c r="TUB15" i="12"/>
  <c r="TUC15" i="12"/>
  <c r="TUD15" i="12"/>
  <c r="TUE15" i="12"/>
  <c r="TUF15" i="12"/>
  <c r="TUG15" i="12"/>
  <c r="TUH15" i="12"/>
  <c r="TUI15" i="12"/>
  <c r="TUJ15" i="12"/>
  <c r="TUK15" i="12"/>
  <c r="TUL15" i="12"/>
  <c r="TUM15" i="12"/>
  <c r="TUN15" i="12"/>
  <c r="TUO15" i="12"/>
  <c r="TUP15" i="12"/>
  <c r="TUQ15" i="12"/>
  <c r="TUR15" i="12"/>
  <c r="TUS15" i="12"/>
  <c r="TUT15" i="12"/>
  <c r="TUU15" i="12"/>
  <c r="TUV15" i="12"/>
  <c r="TUW15" i="12"/>
  <c r="TUX15" i="12"/>
  <c r="TUY15" i="12"/>
  <c r="TUZ15" i="12"/>
  <c r="TVA15" i="12"/>
  <c r="TVB15" i="12"/>
  <c r="TVC15" i="12"/>
  <c r="TVD15" i="12"/>
  <c r="TVE15" i="12"/>
  <c r="TVF15" i="12"/>
  <c r="TVG15" i="12"/>
  <c r="TVH15" i="12"/>
  <c r="TVI15" i="12"/>
  <c r="TVJ15" i="12"/>
  <c r="TVK15" i="12"/>
  <c r="TVL15" i="12"/>
  <c r="TVM15" i="12"/>
  <c r="TVN15" i="12"/>
  <c r="TVO15" i="12"/>
  <c r="TVP15" i="12"/>
  <c r="TVQ15" i="12"/>
  <c r="TVR15" i="12"/>
  <c r="TVS15" i="12"/>
  <c r="TVT15" i="12"/>
  <c r="TVU15" i="12"/>
  <c r="TVV15" i="12"/>
  <c r="TVW15" i="12"/>
  <c r="TVX15" i="12"/>
  <c r="TVY15" i="12"/>
  <c r="TVZ15" i="12"/>
  <c r="TWA15" i="12"/>
  <c r="TWB15" i="12"/>
  <c r="TWC15" i="12"/>
  <c r="TWD15" i="12"/>
  <c r="TWE15" i="12"/>
  <c r="TWF15" i="12"/>
  <c r="TWG15" i="12"/>
  <c r="TWH15" i="12"/>
  <c r="TWI15" i="12"/>
  <c r="TWJ15" i="12"/>
  <c r="TWK15" i="12"/>
  <c r="TWL15" i="12"/>
  <c r="TWM15" i="12"/>
  <c r="TWN15" i="12"/>
  <c r="TWO15" i="12"/>
  <c r="TWP15" i="12"/>
  <c r="TWQ15" i="12"/>
  <c r="TWR15" i="12"/>
  <c r="TWS15" i="12"/>
  <c r="TWT15" i="12"/>
  <c r="TWU15" i="12"/>
  <c r="TWV15" i="12"/>
  <c r="TWW15" i="12"/>
  <c r="TWX15" i="12"/>
  <c r="TWY15" i="12"/>
  <c r="TWZ15" i="12"/>
  <c r="TXA15" i="12"/>
  <c r="TXB15" i="12"/>
  <c r="TXC15" i="12"/>
  <c r="TXD15" i="12"/>
  <c r="TXE15" i="12"/>
  <c r="TXF15" i="12"/>
  <c r="TXG15" i="12"/>
  <c r="TXH15" i="12"/>
  <c r="TXI15" i="12"/>
  <c r="TXJ15" i="12"/>
  <c r="TXK15" i="12"/>
  <c r="TXL15" i="12"/>
  <c r="TXM15" i="12"/>
  <c r="TXN15" i="12"/>
  <c r="TXO15" i="12"/>
  <c r="TXP15" i="12"/>
  <c r="TXQ15" i="12"/>
  <c r="TXR15" i="12"/>
  <c r="TXS15" i="12"/>
  <c r="TXT15" i="12"/>
  <c r="TXU15" i="12"/>
  <c r="TXV15" i="12"/>
  <c r="TXW15" i="12"/>
  <c r="TXX15" i="12"/>
  <c r="TXY15" i="12"/>
  <c r="TXZ15" i="12"/>
  <c r="TYA15" i="12"/>
  <c r="TYB15" i="12"/>
  <c r="TYC15" i="12"/>
  <c r="TYD15" i="12"/>
  <c r="TYE15" i="12"/>
  <c r="TYF15" i="12"/>
  <c r="TYG15" i="12"/>
  <c r="TYH15" i="12"/>
  <c r="TYI15" i="12"/>
  <c r="TYJ15" i="12"/>
  <c r="TYK15" i="12"/>
  <c r="TYL15" i="12"/>
  <c r="TYM15" i="12"/>
  <c r="TYN15" i="12"/>
  <c r="TYO15" i="12"/>
  <c r="TYP15" i="12"/>
  <c r="TYQ15" i="12"/>
  <c r="TYR15" i="12"/>
  <c r="TYS15" i="12"/>
  <c r="TYT15" i="12"/>
  <c r="TYU15" i="12"/>
  <c r="TYV15" i="12"/>
  <c r="TYW15" i="12"/>
  <c r="TYX15" i="12"/>
  <c r="TYY15" i="12"/>
  <c r="TYZ15" i="12"/>
  <c r="TZA15" i="12"/>
  <c r="TZB15" i="12"/>
  <c r="TZC15" i="12"/>
  <c r="TZD15" i="12"/>
  <c r="TZE15" i="12"/>
  <c r="TZF15" i="12"/>
  <c r="TZG15" i="12"/>
  <c r="TZH15" i="12"/>
  <c r="TZI15" i="12"/>
  <c r="TZJ15" i="12"/>
  <c r="TZK15" i="12"/>
  <c r="TZL15" i="12"/>
  <c r="TZM15" i="12"/>
  <c r="TZN15" i="12"/>
  <c r="TZO15" i="12"/>
  <c r="TZP15" i="12"/>
  <c r="TZQ15" i="12"/>
  <c r="TZR15" i="12"/>
  <c r="TZS15" i="12"/>
  <c r="TZT15" i="12"/>
  <c r="TZU15" i="12"/>
  <c r="TZV15" i="12"/>
  <c r="TZW15" i="12"/>
  <c r="TZX15" i="12"/>
  <c r="TZY15" i="12"/>
  <c r="TZZ15" i="12"/>
  <c r="UAA15" i="12"/>
  <c r="UAB15" i="12"/>
  <c r="UAC15" i="12"/>
  <c r="UAD15" i="12"/>
  <c r="UAE15" i="12"/>
  <c r="UAF15" i="12"/>
  <c r="UAG15" i="12"/>
  <c r="UAH15" i="12"/>
  <c r="UAI15" i="12"/>
  <c r="UAJ15" i="12"/>
  <c r="UAK15" i="12"/>
  <c r="UAL15" i="12"/>
  <c r="UAM15" i="12"/>
  <c r="UAN15" i="12"/>
  <c r="UAO15" i="12"/>
  <c r="UAP15" i="12"/>
  <c r="UAQ15" i="12"/>
  <c r="UAR15" i="12"/>
  <c r="UAS15" i="12"/>
  <c r="UAT15" i="12"/>
  <c r="UAU15" i="12"/>
  <c r="UAV15" i="12"/>
  <c r="UAW15" i="12"/>
  <c r="UAX15" i="12"/>
  <c r="UAY15" i="12"/>
  <c r="UAZ15" i="12"/>
  <c r="UBA15" i="12"/>
  <c r="UBB15" i="12"/>
  <c r="UBC15" i="12"/>
  <c r="UBD15" i="12"/>
  <c r="UBE15" i="12"/>
  <c r="UBF15" i="12"/>
  <c r="UBG15" i="12"/>
  <c r="UBH15" i="12"/>
  <c r="UBI15" i="12"/>
  <c r="UBJ15" i="12"/>
  <c r="UBK15" i="12"/>
  <c r="UBL15" i="12"/>
  <c r="UBM15" i="12"/>
  <c r="UBN15" i="12"/>
  <c r="UBO15" i="12"/>
  <c r="UBP15" i="12"/>
  <c r="UBQ15" i="12"/>
  <c r="UBR15" i="12"/>
  <c r="UBS15" i="12"/>
  <c r="UBT15" i="12"/>
  <c r="UBU15" i="12"/>
  <c r="UBV15" i="12"/>
  <c r="UBW15" i="12"/>
  <c r="UBX15" i="12"/>
  <c r="UBY15" i="12"/>
  <c r="UBZ15" i="12"/>
  <c r="UCA15" i="12"/>
  <c r="UCB15" i="12"/>
  <c r="UCC15" i="12"/>
  <c r="UCD15" i="12"/>
  <c r="UCE15" i="12"/>
  <c r="UCF15" i="12"/>
  <c r="UCG15" i="12"/>
  <c r="UCH15" i="12"/>
  <c r="UCI15" i="12"/>
  <c r="UCJ15" i="12"/>
  <c r="UCK15" i="12"/>
  <c r="UCL15" i="12"/>
  <c r="UCM15" i="12"/>
  <c r="UCN15" i="12"/>
  <c r="UCO15" i="12"/>
  <c r="UCP15" i="12"/>
  <c r="UCQ15" i="12"/>
  <c r="UCR15" i="12"/>
  <c r="UCS15" i="12"/>
  <c r="UCT15" i="12"/>
  <c r="UCU15" i="12"/>
  <c r="UCV15" i="12"/>
  <c r="UCW15" i="12"/>
  <c r="UCX15" i="12"/>
  <c r="UCY15" i="12"/>
  <c r="UCZ15" i="12"/>
  <c r="UDA15" i="12"/>
  <c r="UDB15" i="12"/>
  <c r="UDC15" i="12"/>
  <c r="UDD15" i="12"/>
  <c r="UDE15" i="12"/>
  <c r="UDF15" i="12"/>
  <c r="UDG15" i="12"/>
  <c r="UDH15" i="12"/>
  <c r="UDI15" i="12"/>
  <c r="UDJ15" i="12"/>
  <c r="UDK15" i="12"/>
  <c r="UDL15" i="12"/>
  <c r="UDM15" i="12"/>
  <c r="UDN15" i="12"/>
  <c r="UDO15" i="12"/>
  <c r="UDP15" i="12"/>
  <c r="UDQ15" i="12"/>
  <c r="UDR15" i="12"/>
  <c r="UDS15" i="12"/>
  <c r="UDT15" i="12"/>
  <c r="UDU15" i="12"/>
  <c r="UDV15" i="12"/>
  <c r="UDW15" i="12"/>
  <c r="UDX15" i="12"/>
  <c r="UDY15" i="12"/>
  <c r="UDZ15" i="12"/>
  <c r="UEA15" i="12"/>
  <c r="UEB15" i="12"/>
  <c r="UEC15" i="12"/>
  <c r="UED15" i="12"/>
  <c r="UEE15" i="12"/>
  <c r="UEF15" i="12"/>
  <c r="UEG15" i="12"/>
  <c r="UEH15" i="12"/>
  <c r="UEI15" i="12"/>
  <c r="UEJ15" i="12"/>
  <c r="UEK15" i="12"/>
  <c r="UEL15" i="12"/>
  <c r="UEM15" i="12"/>
  <c r="UEN15" i="12"/>
  <c r="UEO15" i="12"/>
  <c r="UEP15" i="12"/>
  <c r="UEQ15" i="12"/>
  <c r="UER15" i="12"/>
  <c r="UES15" i="12"/>
  <c r="UET15" i="12"/>
  <c r="UEU15" i="12"/>
  <c r="UEV15" i="12"/>
  <c r="UEW15" i="12"/>
  <c r="UEX15" i="12"/>
  <c r="UEY15" i="12"/>
  <c r="UEZ15" i="12"/>
  <c r="UFA15" i="12"/>
  <c r="UFB15" i="12"/>
  <c r="UFC15" i="12"/>
  <c r="UFD15" i="12"/>
  <c r="UFE15" i="12"/>
  <c r="UFF15" i="12"/>
  <c r="UFG15" i="12"/>
  <c r="UFH15" i="12"/>
  <c r="UFI15" i="12"/>
  <c r="UFJ15" i="12"/>
  <c r="UFK15" i="12"/>
  <c r="UFL15" i="12"/>
  <c r="UFM15" i="12"/>
  <c r="UFN15" i="12"/>
  <c r="UFO15" i="12"/>
  <c r="UFP15" i="12"/>
  <c r="UFQ15" i="12"/>
  <c r="UFR15" i="12"/>
  <c r="UFS15" i="12"/>
  <c r="UFT15" i="12"/>
  <c r="UFU15" i="12"/>
  <c r="UFV15" i="12"/>
  <c r="UFW15" i="12"/>
  <c r="UFX15" i="12"/>
  <c r="UFY15" i="12"/>
  <c r="UFZ15" i="12"/>
  <c r="UGA15" i="12"/>
  <c r="UGB15" i="12"/>
  <c r="UGC15" i="12"/>
  <c r="UGD15" i="12"/>
  <c r="UGE15" i="12"/>
  <c r="UGF15" i="12"/>
  <c r="UGG15" i="12"/>
  <c r="UGH15" i="12"/>
  <c r="UGI15" i="12"/>
  <c r="UGJ15" i="12"/>
  <c r="UGK15" i="12"/>
  <c r="UGL15" i="12"/>
  <c r="UGM15" i="12"/>
  <c r="UGN15" i="12"/>
  <c r="UGO15" i="12"/>
  <c r="UGP15" i="12"/>
  <c r="UGQ15" i="12"/>
  <c r="UGR15" i="12"/>
  <c r="UGS15" i="12"/>
  <c r="UGT15" i="12"/>
  <c r="UGU15" i="12"/>
  <c r="UGV15" i="12"/>
  <c r="UGW15" i="12"/>
  <c r="UGX15" i="12"/>
  <c r="UGY15" i="12"/>
  <c r="UGZ15" i="12"/>
  <c r="UHA15" i="12"/>
  <c r="UHB15" i="12"/>
  <c r="UHC15" i="12"/>
  <c r="UHD15" i="12"/>
  <c r="UHE15" i="12"/>
  <c r="UHF15" i="12"/>
  <c r="UHG15" i="12"/>
  <c r="UHH15" i="12"/>
  <c r="UHI15" i="12"/>
  <c r="UHJ15" i="12"/>
  <c r="UHK15" i="12"/>
  <c r="UHL15" i="12"/>
  <c r="UHM15" i="12"/>
  <c r="UHN15" i="12"/>
  <c r="UHO15" i="12"/>
  <c r="UHP15" i="12"/>
  <c r="UHQ15" i="12"/>
  <c r="UHR15" i="12"/>
  <c r="UHS15" i="12"/>
  <c r="UHT15" i="12"/>
  <c r="UHU15" i="12"/>
  <c r="UHV15" i="12"/>
  <c r="UHW15" i="12"/>
  <c r="UHX15" i="12"/>
  <c r="UHY15" i="12"/>
  <c r="UHZ15" i="12"/>
  <c r="UIA15" i="12"/>
  <c r="UIB15" i="12"/>
  <c r="UIC15" i="12"/>
  <c r="UID15" i="12"/>
  <c r="UIE15" i="12"/>
  <c r="UIF15" i="12"/>
  <c r="UIG15" i="12"/>
  <c r="UIH15" i="12"/>
  <c r="UII15" i="12"/>
  <c r="UIJ15" i="12"/>
  <c r="UIK15" i="12"/>
  <c r="UIL15" i="12"/>
  <c r="UIM15" i="12"/>
  <c r="UIN15" i="12"/>
  <c r="UIO15" i="12"/>
  <c r="UIP15" i="12"/>
  <c r="UIQ15" i="12"/>
  <c r="UIR15" i="12"/>
  <c r="UIS15" i="12"/>
  <c r="UIT15" i="12"/>
  <c r="UIU15" i="12"/>
  <c r="UIV15" i="12"/>
  <c r="UIW15" i="12"/>
  <c r="UIX15" i="12"/>
  <c r="UIY15" i="12"/>
  <c r="UIZ15" i="12"/>
  <c r="UJA15" i="12"/>
  <c r="UJB15" i="12"/>
  <c r="UJC15" i="12"/>
  <c r="UJD15" i="12"/>
  <c r="UJE15" i="12"/>
  <c r="UJF15" i="12"/>
  <c r="UJG15" i="12"/>
  <c r="UJH15" i="12"/>
  <c r="UJI15" i="12"/>
  <c r="UJJ15" i="12"/>
  <c r="UJK15" i="12"/>
  <c r="UJL15" i="12"/>
  <c r="UJM15" i="12"/>
  <c r="UJN15" i="12"/>
  <c r="UJO15" i="12"/>
  <c r="UJP15" i="12"/>
  <c r="UJQ15" i="12"/>
  <c r="UJR15" i="12"/>
  <c r="UJS15" i="12"/>
  <c r="UJT15" i="12"/>
  <c r="UJU15" i="12"/>
  <c r="UJV15" i="12"/>
  <c r="UJW15" i="12"/>
  <c r="UJX15" i="12"/>
  <c r="UJY15" i="12"/>
  <c r="UJZ15" i="12"/>
  <c r="UKA15" i="12"/>
  <c r="UKB15" i="12"/>
  <c r="UKC15" i="12"/>
  <c r="UKD15" i="12"/>
  <c r="UKE15" i="12"/>
  <c r="UKF15" i="12"/>
  <c r="UKG15" i="12"/>
  <c r="UKH15" i="12"/>
  <c r="UKI15" i="12"/>
  <c r="UKJ15" i="12"/>
  <c r="UKK15" i="12"/>
  <c r="UKL15" i="12"/>
  <c r="UKM15" i="12"/>
  <c r="UKN15" i="12"/>
  <c r="UKO15" i="12"/>
  <c r="UKP15" i="12"/>
  <c r="UKQ15" i="12"/>
  <c r="UKR15" i="12"/>
  <c r="UKS15" i="12"/>
  <c r="UKT15" i="12"/>
  <c r="UKU15" i="12"/>
  <c r="UKV15" i="12"/>
  <c r="UKW15" i="12"/>
  <c r="UKX15" i="12"/>
  <c r="UKY15" i="12"/>
  <c r="UKZ15" i="12"/>
  <c r="ULA15" i="12"/>
  <c r="ULB15" i="12"/>
  <c r="ULC15" i="12"/>
  <c r="ULD15" i="12"/>
  <c r="ULE15" i="12"/>
  <c r="ULF15" i="12"/>
  <c r="ULG15" i="12"/>
  <c r="ULH15" i="12"/>
  <c r="ULI15" i="12"/>
  <c r="ULJ15" i="12"/>
  <c r="ULK15" i="12"/>
  <c r="ULL15" i="12"/>
  <c r="ULM15" i="12"/>
  <c r="ULN15" i="12"/>
  <c r="ULO15" i="12"/>
  <c r="ULP15" i="12"/>
  <c r="ULQ15" i="12"/>
  <c r="ULR15" i="12"/>
  <c r="ULS15" i="12"/>
  <c r="ULT15" i="12"/>
  <c r="ULU15" i="12"/>
  <c r="ULV15" i="12"/>
  <c r="ULW15" i="12"/>
  <c r="ULX15" i="12"/>
  <c r="ULY15" i="12"/>
  <c r="ULZ15" i="12"/>
  <c r="UMA15" i="12"/>
  <c r="UMB15" i="12"/>
  <c r="UMC15" i="12"/>
  <c r="UMD15" i="12"/>
  <c r="UME15" i="12"/>
  <c r="UMF15" i="12"/>
  <c r="UMG15" i="12"/>
  <c r="UMH15" i="12"/>
  <c r="UMI15" i="12"/>
  <c r="UMJ15" i="12"/>
  <c r="UMK15" i="12"/>
  <c r="UML15" i="12"/>
  <c r="UMM15" i="12"/>
  <c r="UMN15" i="12"/>
  <c r="UMO15" i="12"/>
  <c r="UMP15" i="12"/>
  <c r="UMQ15" i="12"/>
  <c r="UMR15" i="12"/>
  <c r="UMS15" i="12"/>
  <c r="UMT15" i="12"/>
  <c r="UMU15" i="12"/>
  <c r="UMV15" i="12"/>
  <c r="UMW15" i="12"/>
  <c r="UMX15" i="12"/>
  <c r="UMY15" i="12"/>
  <c r="UMZ15" i="12"/>
  <c r="UNA15" i="12"/>
  <c r="UNB15" i="12"/>
  <c r="UNC15" i="12"/>
  <c r="UND15" i="12"/>
  <c r="UNE15" i="12"/>
  <c r="UNF15" i="12"/>
  <c r="UNG15" i="12"/>
  <c r="UNH15" i="12"/>
  <c r="UNI15" i="12"/>
  <c r="UNJ15" i="12"/>
  <c r="UNK15" i="12"/>
  <c r="UNL15" i="12"/>
  <c r="UNM15" i="12"/>
  <c r="UNN15" i="12"/>
  <c r="UNO15" i="12"/>
  <c r="UNP15" i="12"/>
  <c r="UNQ15" i="12"/>
  <c r="UNR15" i="12"/>
  <c r="UNS15" i="12"/>
  <c r="UNT15" i="12"/>
  <c r="UNU15" i="12"/>
  <c r="UNV15" i="12"/>
  <c r="UNW15" i="12"/>
  <c r="UNX15" i="12"/>
  <c r="UNY15" i="12"/>
  <c r="UNZ15" i="12"/>
  <c r="UOA15" i="12"/>
  <c r="UOB15" i="12"/>
  <c r="UOC15" i="12"/>
  <c r="UOD15" i="12"/>
  <c r="UOE15" i="12"/>
  <c r="UOF15" i="12"/>
  <c r="UOG15" i="12"/>
  <c r="UOH15" i="12"/>
  <c r="UOI15" i="12"/>
  <c r="UOJ15" i="12"/>
  <c r="UOK15" i="12"/>
  <c r="UOL15" i="12"/>
  <c r="UOM15" i="12"/>
  <c r="UON15" i="12"/>
  <c r="UOO15" i="12"/>
  <c r="UOP15" i="12"/>
  <c r="UOQ15" i="12"/>
  <c r="UOR15" i="12"/>
  <c r="UOS15" i="12"/>
  <c r="UOT15" i="12"/>
  <c r="UOU15" i="12"/>
  <c r="UOV15" i="12"/>
  <c r="UOW15" i="12"/>
  <c r="UOX15" i="12"/>
  <c r="UOY15" i="12"/>
  <c r="UOZ15" i="12"/>
  <c r="UPA15" i="12"/>
  <c r="UPB15" i="12"/>
  <c r="UPC15" i="12"/>
  <c r="UPD15" i="12"/>
  <c r="UPE15" i="12"/>
  <c r="UPF15" i="12"/>
  <c r="UPG15" i="12"/>
  <c r="UPH15" i="12"/>
  <c r="UPI15" i="12"/>
  <c r="UPJ15" i="12"/>
  <c r="UPK15" i="12"/>
  <c r="UPL15" i="12"/>
  <c r="UPM15" i="12"/>
  <c r="UPN15" i="12"/>
  <c r="UPO15" i="12"/>
  <c r="UPP15" i="12"/>
  <c r="UPQ15" i="12"/>
  <c r="UPR15" i="12"/>
  <c r="UPS15" i="12"/>
  <c r="UPT15" i="12"/>
  <c r="UPU15" i="12"/>
  <c r="UPV15" i="12"/>
  <c r="UPW15" i="12"/>
  <c r="UPX15" i="12"/>
  <c r="UPY15" i="12"/>
  <c r="UPZ15" i="12"/>
  <c r="UQA15" i="12"/>
  <c r="UQB15" i="12"/>
  <c r="UQC15" i="12"/>
  <c r="UQD15" i="12"/>
  <c r="UQE15" i="12"/>
  <c r="UQF15" i="12"/>
  <c r="UQG15" i="12"/>
  <c r="UQH15" i="12"/>
  <c r="UQI15" i="12"/>
  <c r="UQJ15" i="12"/>
  <c r="UQK15" i="12"/>
  <c r="UQL15" i="12"/>
  <c r="UQM15" i="12"/>
  <c r="UQN15" i="12"/>
  <c r="UQO15" i="12"/>
  <c r="UQP15" i="12"/>
  <c r="UQQ15" i="12"/>
  <c r="UQR15" i="12"/>
  <c r="UQS15" i="12"/>
  <c r="UQT15" i="12"/>
  <c r="UQU15" i="12"/>
  <c r="UQV15" i="12"/>
  <c r="UQW15" i="12"/>
  <c r="UQX15" i="12"/>
  <c r="UQY15" i="12"/>
  <c r="UQZ15" i="12"/>
  <c r="URA15" i="12"/>
  <c r="URB15" i="12"/>
  <c r="URC15" i="12"/>
  <c r="URD15" i="12"/>
  <c r="URE15" i="12"/>
  <c r="URF15" i="12"/>
  <c r="URG15" i="12"/>
  <c r="URH15" i="12"/>
  <c r="URI15" i="12"/>
  <c r="URJ15" i="12"/>
  <c r="URK15" i="12"/>
  <c r="URL15" i="12"/>
  <c r="URM15" i="12"/>
  <c r="URN15" i="12"/>
  <c r="URO15" i="12"/>
  <c r="URP15" i="12"/>
  <c r="URQ15" i="12"/>
  <c r="URR15" i="12"/>
  <c r="URS15" i="12"/>
  <c r="URT15" i="12"/>
  <c r="URU15" i="12"/>
  <c r="URV15" i="12"/>
  <c r="URW15" i="12"/>
  <c r="URX15" i="12"/>
  <c r="URY15" i="12"/>
  <c r="URZ15" i="12"/>
  <c r="USA15" i="12"/>
  <c r="USB15" i="12"/>
  <c r="USC15" i="12"/>
  <c r="USD15" i="12"/>
  <c r="USE15" i="12"/>
  <c r="USF15" i="12"/>
  <c r="USG15" i="12"/>
  <c r="USH15" i="12"/>
  <c r="USI15" i="12"/>
  <c r="USJ15" i="12"/>
  <c r="USK15" i="12"/>
  <c r="USL15" i="12"/>
  <c r="USM15" i="12"/>
  <c r="USN15" i="12"/>
  <c r="USO15" i="12"/>
  <c r="USP15" i="12"/>
  <c r="USQ15" i="12"/>
  <c r="USR15" i="12"/>
  <c r="USS15" i="12"/>
  <c r="UST15" i="12"/>
  <c r="USU15" i="12"/>
  <c r="USV15" i="12"/>
  <c r="USW15" i="12"/>
  <c r="USX15" i="12"/>
  <c r="USY15" i="12"/>
  <c r="USZ15" i="12"/>
  <c r="UTA15" i="12"/>
  <c r="UTB15" i="12"/>
  <c r="UTC15" i="12"/>
  <c r="UTD15" i="12"/>
  <c r="UTE15" i="12"/>
  <c r="UTF15" i="12"/>
  <c r="UTG15" i="12"/>
  <c r="UTH15" i="12"/>
  <c r="UTI15" i="12"/>
  <c r="UTJ15" i="12"/>
  <c r="UTK15" i="12"/>
  <c r="UTL15" i="12"/>
  <c r="UTM15" i="12"/>
  <c r="UTN15" i="12"/>
  <c r="UTO15" i="12"/>
  <c r="UTP15" i="12"/>
  <c r="UTQ15" i="12"/>
  <c r="UTR15" i="12"/>
  <c r="UTS15" i="12"/>
  <c r="UTT15" i="12"/>
  <c r="UTU15" i="12"/>
  <c r="UTV15" i="12"/>
  <c r="UTW15" i="12"/>
  <c r="UTX15" i="12"/>
  <c r="UTY15" i="12"/>
  <c r="UTZ15" i="12"/>
  <c r="UUA15" i="12"/>
  <c r="UUB15" i="12"/>
  <c r="UUC15" i="12"/>
  <c r="UUD15" i="12"/>
  <c r="UUE15" i="12"/>
  <c r="UUF15" i="12"/>
  <c r="UUG15" i="12"/>
  <c r="UUH15" i="12"/>
  <c r="UUI15" i="12"/>
  <c r="UUJ15" i="12"/>
  <c r="UUK15" i="12"/>
  <c r="UUL15" i="12"/>
  <c r="UUM15" i="12"/>
  <c r="UUN15" i="12"/>
  <c r="UUO15" i="12"/>
  <c r="UUP15" i="12"/>
  <c r="UUQ15" i="12"/>
  <c r="UUR15" i="12"/>
  <c r="UUS15" i="12"/>
  <c r="UUT15" i="12"/>
  <c r="UUU15" i="12"/>
  <c r="UUV15" i="12"/>
  <c r="UUW15" i="12"/>
  <c r="UUX15" i="12"/>
  <c r="UUY15" i="12"/>
  <c r="UUZ15" i="12"/>
  <c r="UVA15" i="12"/>
  <c r="UVB15" i="12"/>
  <c r="UVC15" i="12"/>
  <c r="UVD15" i="12"/>
  <c r="UVE15" i="12"/>
  <c r="UVF15" i="12"/>
  <c r="UVG15" i="12"/>
  <c r="UVH15" i="12"/>
  <c r="UVI15" i="12"/>
  <c r="UVJ15" i="12"/>
  <c r="UVK15" i="12"/>
  <c r="UVL15" i="12"/>
  <c r="UVM15" i="12"/>
  <c r="UVN15" i="12"/>
  <c r="UVO15" i="12"/>
  <c r="UVP15" i="12"/>
  <c r="UVQ15" i="12"/>
  <c r="UVR15" i="12"/>
  <c r="UVS15" i="12"/>
  <c r="UVT15" i="12"/>
  <c r="UVU15" i="12"/>
  <c r="UVV15" i="12"/>
  <c r="UVW15" i="12"/>
  <c r="UVX15" i="12"/>
  <c r="UVY15" i="12"/>
  <c r="UVZ15" i="12"/>
  <c r="UWA15" i="12"/>
  <c r="UWB15" i="12"/>
  <c r="UWC15" i="12"/>
  <c r="UWD15" i="12"/>
  <c r="UWE15" i="12"/>
  <c r="UWF15" i="12"/>
  <c r="UWG15" i="12"/>
  <c r="UWH15" i="12"/>
  <c r="UWI15" i="12"/>
  <c r="UWJ15" i="12"/>
  <c r="UWK15" i="12"/>
  <c r="UWL15" i="12"/>
  <c r="UWM15" i="12"/>
  <c r="UWN15" i="12"/>
  <c r="UWO15" i="12"/>
  <c r="UWP15" i="12"/>
  <c r="UWQ15" i="12"/>
  <c r="UWR15" i="12"/>
  <c r="UWS15" i="12"/>
  <c r="UWT15" i="12"/>
  <c r="UWU15" i="12"/>
  <c r="UWV15" i="12"/>
  <c r="UWW15" i="12"/>
  <c r="UWX15" i="12"/>
  <c r="UWY15" i="12"/>
  <c r="UWZ15" i="12"/>
  <c r="UXA15" i="12"/>
  <c r="UXB15" i="12"/>
  <c r="UXC15" i="12"/>
  <c r="UXD15" i="12"/>
  <c r="UXE15" i="12"/>
  <c r="UXF15" i="12"/>
  <c r="UXG15" i="12"/>
  <c r="UXH15" i="12"/>
  <c r="UXI15" i="12"/>
  <c r="UXJ15" i="12"/>
  <c r="UXK15" i="12"/>
  <c r="UXL15" i="12"/>
  <c r="UXM15" i="12"/>
  <c r="UXN15" i="12"/>
  <c r="UXO15" i="12"/>
  <c r="UXP15" i="12"/>
  <c r="UXQ15" i="12"/>
  <c r="UXR15" i="12"/>
  <c r="UXS15" i="12"/>
  <c r="UXT15" i="12"/>
  <c r="UXU15" i="12"/>
  <c r="UXV15" i="12"/>
  <c r="UXW15" i="12"/>
  <c r="UXX15" i="12"/>
  <c r="UXY15" i="12"/>
  <c r="UXZ15" i="12"/>
  <c r="UYA15" i="12"/>
  <c r="UYB15" i="12"/>
  <c r="UYC15" i="12"/>
  <c r="UYD15" i="12"/>
  <c r="UYE15" i="12"/>
  <c r="UYF15" i="12"/>
  <c r="UYG15" i="12"/>
  <c r="UYH15" i="12"/>
  <c r="UYI15" i="12"/>
  <c r="UYJ15" i="12"/>
  <c r="UYK15" i="12"/>
  <c r="UYL15" i="12"/>
  <c r="UYM15" i="12"/>
  <c r="UYN15" i="12"/>
  <c r="UYO15" i="12"/>
  <c r="UYP15" i="12"/>
  <c r="UYQ15" i="12"/>
  <c r="UYR15" i="12"/>
  <c r="UYS15" i="12"/>
  <c r="UYT15" i="12"/>
  <c r="UYU15" i="12"/>
  <c r="UYV15" i="12"/>
  <c r="UYW15" i="12"/>
  <c r="UYX15" i="12"/>
  <c r="UYY15" i="12"/>
  <c r="UYZ15" i="12"/>
  <c r="UZA15" i="12"/>
  <c r="UZB15" i="12"/>
  <c r="UZC15" i="12"/>
  <c r="UZD15" i="12"/>
  <c r="UZE15" i="12"/>
  <c r="UZF15" i="12"/>
  <c r="UZG15" i="12"/>
  <c r="UZH15" i="12"/>
  <c r="UZI15" i="12"/>
  <c r="UZJ15" i="12"/>
  <c r="UZK15" i="12"/>
  <c r="UZL15" i="12"/>
  <c r="UZM15" i="12"/>
  <c r="UZN15" i="12"/>
  <c r="UZO15" i="12"/>
  <c r="UZP15" i="12"/>
  <c r="UZQ15" i="12"/>
  <c r="UZR15" i="12"/>
  <c r="UZS15" i="12"/>
  <c r="UZT15" i="12"/>
  <c r="UZU15" i="12"/>
  <c r="UZV15" i="12"/>
  <c r="UZW15" i="12"/>
  <c r="UZX15" i="12"/>
  <c r="UZY15" i="12"/>
  <c r="UZZ15" i="12"/>
  <c r="VAA15" i="12"/>
  <c r="VAB15" i="12"/>
  <c r="VAC15" i="12"/>
  <c r="VAD15" i="12"/>
  <c r="VAE15" i="12"/>
  <c r="VAF15" i="12"/>
  <c r="VAG15" i="12"/>
  <c r="VAH15" i="12"/>
  <c r="VAI15" i="12"/>
  <c r="VAJ15" i="12"/>
  <c r="VAK15" i="12"/>
  <c r="VAL15" i="12"/>
  <c r="VAM15" i="12"/>
  <c r="VAN15" i="12"/>
  <c r="VAO15" i="12"/>
  <c r="VAP15" i="12"/>
  <c r="VAQ15" i="12"/>
  <c r="VAR15" i="12"/>
  <c r="VAS15" i="12"/>
  <c r="VAT15" i="12"/>
  <c r="VAU15" i="12"/>
  <c r="VAV15" i="12"/>
  <c r="VAW15" i="12"/>
  <c r="VAX15" i="12"/>
  <c r="VAY15" i="12"/>
  <c r="VAZ15" i="12"/>
  <c r="VBA15" i="12"/>
  <c r="VBB15" i="12"/>
  <c r="VBC15" i="12"/>
  <c r="VBD15" i="12"/>
  <c r="VBE15" i="12"/>
  <c r="VBF15" i="12"/>
  <c r="VBG15" i="12"/>
  <c r="VBH15" i="12"/>
  <c r="VBI15" i="12"/>
  <c r="VBJ15" i="12"/>
  <c r="VBK15" i="12"/>
  <c r="VBL15" i="12"/>
  <c r="VBM15" i="12"/>
  <c r="VBN15" i="12"/>
  <c r="VBO15" i="12"/>
  <c r="VBP15" i="12"/>
  <c r="VBQ15" i="12"/>
  <c r="VBR15" i="12"/>
  <c r="VBS15" i="12"/>
  <c r="VBT15" i="12"/>
  <c r="VBU15" i="12"/>
  <c r="VBV15" i="12"/>
  <c r="VBW15" i="12"/>
  <c r="VBX15" i="12"/>
  <c r="VBY15" i="12"/>
  <c r="VBZ15" i="12"/>
  <c r="VCA15" i="12"/>
  <c r="VCB15" i="12"/>
  <c r="VCC15" i="12"/>
  <c r="VCD15" i="12"/>
  <c r="VCE15" i="12"/>
  <c r="VCF15" i="12"/>
  <c r="VCG15" i="12"/>
  <c r="VCH15" i="12"/>
  <c r="VCI15" i="12"/>
  <c r="VCJ15" i="12"/>
  <c r="VCK15" i="12"/>
  <c r="VCL15" i="12"/>
  <c r="VCM15" i="12"/>
  <c r="VCN15" i="12"/>
  <c r="VCO15" i="12"/>
  <c r="VCP15" i="12"/>
  <c r="VCQ15" i="12"/>
  <c r="VCR15" i="12"/>
  <c r="VCS15" i="12"/>
  <c r="VCT15" i="12"/>
  <c r="VCU15" i="12"/>
  <c r="VCV15" i="12"/>
  <c r="VCW15" i="12"/>
  <c r="VCX15" i="12"/>
  <c r="VCY15" i="12"/>
  <c r="VCZ15" i="12"/>
  <c r="VDA15" i="12"/>
  <c r="VDB15" i="12"/>
  <c r="VDC15" i="12"/>
  <c r="VDD15" i="12"/>
  <c r="VDE15" i="12"/>
  <c r="VDF15" i="12"/>
  <c r="VDG15" i="12"/>
  <c r="VDH15" i="12"/>
  <c r="VDI15" i="12"/>
  <c r="VDJ15" i="12"/>
  <c r="VDK15" i="12"/>
  <c r="VDL15" i="12"/>
  <c r="VDM15" i="12"/>
  <c r="VDN15" i="12"/>
  <c r="VDO15" i="12"/>
  <c r="VDP15" i="12"/>
  <c r="VDQ15" i="12"/>
  <c r="VDR15" i="12"/>
  <c r="VDS15" i="12"/>
  <c r="VDT15" i="12"/>
  <c r="VDU15" i="12"/>
  <c r="VDV15" i="12"/>
  <c r="VDW15" i="12"/>
  <c r="VDX15" i="12"/>
  <c r="VDY15" i="12"/>
  <c r="VDZ15" i="12"/>
  <c r="VEA15" i="12"/>
  <c r="VEB15" i="12"/>
  <c r="VEC15" i="12"/>
  <c r="VED15" i="12"/>
  <c r="VEE15" i="12"/>
  <c r="VEF15" i="12"/>
  <c r="VEG15" i="12"/>
  <c r="VEH15" i="12"/>
  <c r="VEI15" i="12"/>
  <c r="VEJ15" i="12"/>
  <c r="VEK15" i="12"/>
  <c r="VEL15" i="12"/>
  <c r="VEM15" i="12"/>
  <c r="VEN15" i="12"/>
  <c r="VEO15" i="12"/>
  <c r="VEP15" i="12"/>
  <c r="VEQ15" i="12"/>
  <c r="VER15" i="12"/>
  <c r="VES15" i="12"/>
  <c r="VET15" i="12"/>
  <c r="VEU15" i="12"/>
  <c r="VEV15" i="12"/>
  <c r="VEW15" i="12"/>
  <c r="VEX15" i="12"/>
  <c r="VEY15" i="12"/>
  <c r="VEZ15" i="12"/>
  <c r="VFA15" i="12"/>
  <c r="VFB15" i="12"/>
  <c r="VFC15" i="12"/>
  <c r="VFD15" i="12"/>
  <c r="VFE15" i="12"/>
  <c r="VFF15" i="12"/>
  <c r="VFG15" i="12"/>
  <c r="VFH15" i="12"/>
  <c r="VFI15" i="12"/>
  <c r="VFJ15" i="12"/>
  <c r="VFK15" i="12"/>
  <c r="VFL15" i="12"/>
  <c r="VFM15" i="12"/>
  <c r="VFN15" i="12"/>
  <c r="VFO15" i="12"/>
  <c r="VFP15" i="12"/>
  <c r="VFQ15" i="12"/>
  <c r="VFR15" i="12"/>
  <c r="VFS15" i="12"/>
  <c r="VFT15" i="12"/>
  <c r="VFU15" i="12"/>
  <c r="VFV15" i="12"/>
  <c r="VFW15" i="12"/>
  <c r="VFX15" i="12"/>
  <c r="VFY15" i="12"/>
  <c r="VFZ15" i="12"/>
  <c r="VGA15" i="12"/>
  <c r="VGB15" i="12"/>
  <c r="VGC15" i="12"/>
  <c r="VGD15" i="12"/>
  <c r="VGE15" i="12"/>
  <c r="VGF15" i="12"/>
  <c r="VGG15" i="12"/>
  <c r="VGH15" i="12"/>
  <c r="VGI15" i="12"/>
  <c r="VGJ15" i="12"/>
  <c r="VGK15" i="12"/>
  <c r="VGL15" i="12"/>
  <c r="VGM15" i="12"/>
  <c r="VGN15" i="12"/>
  <c r="VGO15" i="12"/>
  <c r="VGP15" i="12"/>
  <c r="VGQ15" i="12"/>
  <c r="VGR15" i="12"/>
  <c r="VGS15" i="12"/>
  <c r="VGT15" i="12"/>
  <c r="VGU15" i="12"/>
  <c r="VGV15" i="12"/>
  <c r="VGW15" i="12"/>
  <c r="VGX15" i="12"/>
  <c r="VGY15" i="12"/>
  <c r="VGZ15" i="12"/>
  <c r="VHA15" i="12"/>
  <c r="VHB15" i="12"/>
  <c r="VHC15" i="12"/>
  <c r="VHD15" i="12"/>
  <c r="VHE15" i="12"/>
  <c r="VHF15" i="12"/>
  <c r="VHG15" i="12"/>
  <c r="VHH15" i="12"/>
  <c r="VHI15" i="12"/>
  <c r="VHJ15" i="12"/>
  <c r="VHK15" i="12"/>
  <c r="VHL15" i="12"/>
  <c r="VHM15" i="12"/>
  <c r="VHN15" i="12"/>
  <c r="VHO15" i="12"/>
  <c r="VHP15" i="12"/>
  <c r="VHQ15" i="12"/>
  <c r="VHR15" i="12"/>
  <c r="VHS15" i="12"/>
  <c r="VHT15" i="12"/>
  <c r="VHU15" i="12"/>
  <c r="VHV15" i="12"/>
  <c r="VHW15" i="12"/>
  <c r="VHX15" i="12"/>
  <c r="VHY15" i="12"/>
  <c r="VHZ15" i="12"/>
  <c r="VIA15" i="12"/>
  <c r="VIB15" i="12"/>
  <c r="VIC15" i="12"/>
  <c r="VID15" i="12"/>
  <c r="VIE15" i="12"/>
  <c r="VIF15" i="12"/>
  <c r="VIG15" i="12"/>
  <c r="VIH15" i="12"/>
  <c r="VII15" i="12"/>
  <c r="VIJ15" i="12"/>
  <c r="VIK15" i="12"/>
  <c r="VIL15" i="12"/>
  <c r="VIM15" i="12"/>
  <c r="VIN15" i="12"/>
  <c r="VIO15" i="12"/>
  <c r="VIP15" i="12"/>
  <c r="VIQ15" i="12"/>
  <c r="VIR15" i="12"/>
  <c r="VIS15" i="12"/>
  <c r="VIT15" i="12"/>
  <c r="VIU15" i="12"/>
  <c r="VIV15" i="12"/>
  <c r="VIW15" i="12"/>
  <c r="VIX15" i="12"/>
  <c r="VIY15" i="12"/>
  <c r="VIZ15" i="12"/>
  <c r="VJA15" i="12"/>
  <c r="VJB15" i="12"/>
  <c r="VJC15" i="12"/>
  <c r="VJD15" i="12"/>
  <c r="VJE15" i="12"/>
  <c r="VJF15" i="12"/>
  <c r="VJG15" i="12"/>
  <c r="VJH15" i="12"/>
  <c r="VJI15" i="12"/>
  <c r="VJJ15" i="12"/>
  <c r="VJK15" i="12"/>
  <c r="VJL15" i="12"/>
  <c r="VJM15" i="12"/>
  <c r="VJN15" i="12"/>
  <c r="VJO15" i="12"/>
  <c r="VJP15" i="12"/>
  <c r="VJQ15" i="12"/>
  <c r="VJR15" i="12"/>
  <c r="VJS15" i="12"/>
  <c r="VJT15" i="12"/>
  <c r="VJU15" i="12"/>
  <c r="VJV15" i="12"/>
  <c r="VJW15" i="12"/>
  <c r="VJX15" i="12"/>
  <c r="VJY15" i="12"/>
  <c r="VJZ15" i="12"/>
  <c r="VKA15" i="12"/>
  <c r="VKB15" i="12"/>
  <c r="VKC15" i="12"/>
  <c r="VKD15" i="12"/>
  <c r="VKE15" i="12"/>
  <c r="VKF15" i="12"/>
  <c r="VKG15" i="12"/>
  <c r="VKH15" i="12"/>
  <c r="VKI15" i="12"/>
  <c r="VKJ15" i="12"/>
  <c r="VKK15" i="12"/>
  <c r="VKL15" i="12"/>
  <c r="VKM15" i="12"/>
  <c r="VKN15" i="12"/>
  <c r="VKO15" i="12"/>
  <c r="VKP15" i="12"/>
  <c r="VKQ15" i="12"/>
  <c r="VKR15" i="12"/>
  <c r="VKS15" i="12"/>
  <c r="VKT15" i="12"/>
  <c r="VKU15" i="12"/>
  <c r="VKV15" i="12"/>
  <c r="VKW15" i="12"/>
  <c r="VKX15" i="12"/>
  <c r="VKY15" i="12"/>
  <c r="VKZ15" i="12"/>
  <c r="VLA15" i="12"/>
  <c r="VLB15" i="12"/>
  <c r="VLC15" i="12"/>
  <c r="VLD15" i="12"/>
  <c r="VLE15" i="12"/>
  <c r="VLF15" i="12"/>
  <c r="VLG15" i="12"/>
  <c r="VLH15" i="12"/>
  <c r="VLI15" i="12"/>
  <c r="VLJ15" i="12"/>
  <c r="VLK15" i="12"/>
  <c r="VLL15" i="12"/>
  <c r="VLM15" i="12"/>
  <c r="VLN15" i="12"/>
  <c r="VLO15" i="12"/>
  <c r="VLP15" i="12"/>
  <c r="VLQ15" i="12"/>
  <c r="VLR15" i="12"/>
  <c r="VLS15" i="12"/>
  <c r="VLT15" i="12"/>
  <c r="VLU15" i="12"/>
  <c r="VLV15" i="12"/>
  <c r="VLW15" i="12"/>
  <c r="VLX15" i="12"/>
  <c r="VLY15" i="12"/>
  <c r="VLZ15" i="12"/>
  <c r="VMA15" i="12"/>
  <c r="VMB15" i="12"/>
  <c r="VMC15" i="12"/>
  <c r="VMD15" i="12"/>
  <c r="VME15" i="12"/>
  <c r="VMF15" i="12"/>
  <c r="VMG15" i="12"/>
  <c r="VMH15" i="12"/>
  <c r="VMI15" i="12"/>
  <c r="VMJ15" i="12"/>
  <c r="VMK15" i="12"/>
  <c r="VML15" i="12"/>
  <c r="VMM15" i="12"/>
  <c r="VMN15" i="12"/>
  <c r="VMO15" i="12"/>
  <c r="VMP15" i="12"/>
  <c r="VMQ15" i="12"/>
  <c r="VMR15" i="12"/>
  <c r="VMS15" i="12"/>
  <c r="VMT15" i="12"/>
  <c r="VMU15" i="12"/>
  <c r="VMV15" i="12"/>
  <c r="VMW15" i="12"/>
  <c r="VMX15" i="12"/>
  <c r="VMY15" i="12"/>
  <c r="VMZ15" i="12"/>
  <c r="VNA15" i="12"/>
  <c r="VNB15" i="12"/>
  <c r="VNC15" i="12"/>
  <c r="VND15" i="12"/>
  <c r="VNE15" i="12"/>
  <c r="VNF15" i="12"/>
  <c r="VNG15" i="12"/>
  <c r="VNH15" i="12"/>
  <c r="VNI15" i="12"/>
  <c r="VNJ15" i="12"/>
  <c r="VNK15" i="12"/>
  <c r="VNL15" i="12"/>
  <c r="VNM15" i="12"/>
  <c r="VNN15" i="12"/>
  <c r="VNO15" i="12"/>
  <c r="VNP15" i="12"/>
  <c r="VNQ15" i="12"/>
  <c r="VNR15" i="12"/>
  <c r="VNS15" i="12"/>
  <c r="VNT15" i="12"/>
  <c r="VNU15" i="12"/>
  <c r="VNV15" i="12"/>
  <c r="VNW15" i="12"/>
  <c r="VNX15" i="12"/>
  <c r="VNY15" i="12"/>
  <c r="VNZ15" i="12"/>
  <c r="VOA15" i="12"/>
  <c r="VOB15" i="12"/>
  <c r="VOC15" i="12"/>
  <c r="VOD15" i="12"/>
  <c r="VOE15" i="12"/>
  <c r="VOF15" i="12"/>
  <c r="VOG15" i="12"/>
  <c r="VOH15" i="12"/>
  <c r="VOI15" i="12"/>
  <c r="VOJ15" i="12"/>
  <c r="VOK15" i="12"/>
  <c r="VOL15" i="12"/>
  <c r="VOM15" i="12"/>
  <c r="VON15" i="12"/>
  <c r="VOO15" i="12"/>
  <c r="VOP15" i="12"/>
  <c r="VOQ15" i="12"/>
  <c r="VOR15" i="12"/>
  <c r="VOS15" i="12"/>
  <c r="VOT15" i="12"/>
  <c r="VOU15" i="12"/>
  <c r="VOV15" i="12"/>
  <c r="VOW15" i="12"/>
  <c r="VOX15" i="12"/>
  <c r="VOY15" i="12"/>
  <c r="VOZ15" i="12"/>
  <c r="VPA15" i="12"/>
  <c r="VPB15" i="12"/>
  <c r="VPC15" i="12"/>
  <c r="VPD15" i="12"/>
  <c r="VPE15" i="12"/>
  <c r="VPF15" i="12"/>
  <c r="VPG15" i="12"/>
  <c r="VPH15" i="12"/>
  <c r="VPI15" i="12"/>
  <c r="VPJ15" i="12"/>
  <c r="VPK15" i="12"/>
  <c r="VPL15" i="12"/>
  <c r="VPM15" i="12"/>
  <c r="VPN15" i="12"/>
  <c r="VPO15" i="12"/>
  <c r="VPP15" i="12"/>
  <c r="VPQ15" i="12"/>
  <c r="VPR15" i="12"/>
  <c r="VPS15" i="12"/>
  <c r="VPT15" i="12"/>
  <c r="VPU15" i="12"/>
  <c r="VPV15" i="12"/>
  <c r="VPW15" i="12"/>
  <c r="VPX15" i="12"/>
  <c r="VPY15" i="12"/>
  <c r="VPZ15" i="12"/>
  <c r="VQA15" i="12"/>
  <c r="VQB15" i="12"/>
  <c r="VQC15" i="12"/>
  <c r="VQD15" i="12"/>
  <c r="VQE15" i="12"/>
  <c r="VQF15" i="12"/>
  <c r="VQG15" i="12"/>
  <c r="VQH15" i="12"/>
  <c r="VQI15" i="12"/>
  <c r="VQJ15" i="12"/>
  <c r="VQK15" i="12"/>
  <c r="VQL15" i="12"/>
  <c r="VQM15" i="12"/>
  <c r="VQN15" i="12"/>
  <c r="VQO15" i="12"/>
  <c r="VQP15" i="12"/>
  <c r="VQQ15" i="12"/>
  <c r="VQR15" i="12"/>
  <c r="VQS15" i="12"/>
  <c r="VQT15" i="12"/>
  <c r="VQU15" i="12"/>
  <c r="VQV15" i="12"/>
  <c r="VQW15" i="12"/>
  <c r="VQX15" i="12"/>
  <c r="VQY15" i="12"/>
  <c r="VQZ15" i="12"/>
  <c r="VRA15" i="12"/>
  <c r="VRB15" i="12"/>
  <c r="VRC15" i="12"/>
  <c r="VRD15" i="12"/>
  <c r="VRE15" i="12"/>
  <c r="VRF15" i="12"/>
  <c r="VRG15" i="12"/>
  <c r="VRH15" i="12"/>
  <c r="VRI15" i="12"/>
  <c r="VRJ15" i="12"/>
  <c r="VRK15" i="12"/>
  <c r="VRL15" i="12"/>
  <c r="VRM15" i="12"/>
  <c r="VRN15" i="12"/>
  <c r="VRO15" i="12"/>
  <c r="VRP15" i="12"/>
  <c r="VRQ15" i="12"/>
  <c r="VRR15" i="12"/>
  <c r="VRS15" i="12"/>
  <c r="VRT15" i="12"/>
  <c r="VRU15" i="12"/>
  <c r="VRV15" i="12"/>
  <c r="VRW15" i="12"/>
  <c r="VRX15" i="12"/>
  <c r="VRY15" i="12"/>
  <c r="VRZ15" i="12"/>
  <c r="VSA15" i="12"/>
  <c r="VSB15" i="12"/>
  <c r="VSC15" i="12"/>
  <c r="VSD15" i="12"/>
  <c r="VSE15" i="12"/>
  <c r="VSF15" i="12"/>
  <c r="VSG15" i="12"/>
  <c r="VSH15" i="12"/>
  <c r="VSI15" i="12"/>
  <c r="VSJ15" i="12"/>
  <c r="VSK15" i="12"/>
  <c r="VSL15" i="12"/>
  <c r="VSM15" i="12"/>
  <c r="VSN15" i="12"/>
  <c r="VSO15" i="12"/>
  <c r="VSP15" i="12"/>
  <c r="VSQ15" i="12"/>
  <c r="VSR15" i="12"/>
  <c r="VSS15" i="12"/>
  <c r="VST15" i="12"/>
  <c r="VSU15" i="12"/>
  <c r="VSV15" i="12"/>
  <c r="VSW15" i="12"/>
  <c r="VSX15" i="12"/>
  <c r="VSY15" i="12"/>
  <c r="VSZ15" i="12"/>
  <c r="VTA15" i="12"/>
  <c r="VTB15" i="12"/>
  <c r="VTC15" i="12"/>
  <c r="VTD15" i="12"/>
  <c r="VTE15" i="12"/>
  <c r="VTF15" i="12"/>
  <c r="VTG15" i="12"/>
  <c r="VTH15" i="12"/>
  <c r="VTI15" i="12"/>
  <c r="VTJ15" i="12"/>
  <c r="VTK15" i="12"/>
  <c r="VTL15" i="12"/>
  <c r="VTM15" i="12"/>
  <c r="VTN15" i="12"/>
  <c r="VTO15" i="12"/>
  <c r="VTP15" i="12"/>
  <c r="VTQ15" i="12"/>
  <c r="VTR15" i="12"/>
  <c r="VTS15" i="12"/>
  <c r="VTT15" i="12"/>
  <c r="VTU15" i="12"/>
  <c r="VTV15" i="12"/>
  <c r="VTW15" i="12"/>
  <c r="VTX15" i="12"/>
  <c r="VTY15" i="12"/>
  <c r="VTZ15" i="12"/>
  <c r="VUA15" i="12"/>
  <c r="VUB15" i="12"/>
  <c r="VUC15" i="12"/>
  <c r="VUD15" i="12"/>
  <c r="VUE15" i="12"/>
  <c r="VUF15" i="12"/>
  <c r="VUG15" i="12"/>
  <c r="VUH15" i="12"/>
  <c r="VUI15" i="12"/>
  <c r="VUJ15" i="12"/>
  <c r="VUK15" i="12"/>
  <c r="VUL15" i="12"/>
  <c r="VUM15" i="12"/>
  <c r="VUN15" i="12"/>
  <c r="VUO15" i="12"/>
  <c r="VUP15" i="12"/>
  <c r="VUQ15" i="12"/>
  <c r="VUR15" i="12"/>
  <c r="VUS15" i="12"/>
  <c r="VUT15" i="12"/>
  <c r="VUU15" i="12"/>
  <c r="VUV15" i="12"/>
  <c r="VUW15" i="12"/>
  <c r="VUX15" i="12"/>
  <c r="VUY15" i="12"/>
  <c r="VUZ15" i="12"/>
  <c r="VVA15" i="12"/>
  <c r="VVB15" i="12"/>
  <c r="VVC15" i="12"/>
  <c r="VVD15" i="12"/>
  <c r="VVE15" i="12"/>
  <c r="VVF15" i="12"/>
  <c r="VVG15" i="12"/>
  <c r="VVH15" i="12"/>
  <c r="VVI15" i="12"/>
  <c r="VVJ15" i="12"/>
  <c r="VVK15" i="12"/>
  <c r="VVL15" i="12"/>
  <c r="VVM15" i="12"/>
  <c r="VVN15" i="12"/>
  <c r="VVO15" i="12"/>
  <c r="VVP15" i="12"/>
  <c r="VVQ15" i="12"/>
  <c r="VVR15" i="12"/>
  <c r="VVS15" i="12"/>
  <c r="VVT15" i="12"/>
  <c r="VVU15" i="12"/>
  <c r="VVV15" i="12"/>
  <c r="VVW15" i="12"/>
  <c r="VVX15" i="12"/>
  <c r="VVY15" i="12"/>
  <c r="VVZ15" i="12"/>
  <c r="VWA15" i="12"/>
  <c r="VWB15" i="12"/>
  <c r="VWC15" i="12"/>
  <c r="VWD15" i="12"/>
  <c r="VWE15" i="12"/>
  <c r="VWF15" i="12"/>
  <c r="VWG15" i="12"/>
  <c r="VWH15" i="12"/>
  <c r="VWI15" i="12"/>
  <c r="VWJ15" i="12"/>
  <c r="VWK15" i="12"/>
  <c r="VWL15" i="12"/>
  <c r="VWM15" i="12"/>
  <c r="VWN15" i="12"/>
  <c r="VWO15" i="12"/>
  <c r="VWP15" i="12"/>
  <c r="VWQ15" i="12"/>
  <c r="VWR15" i="12"/>
  <c r="VWS15" i="12"/>
  <c r="VWT15" i="12"/>
  <c r="VWU15" i="12"/>
  <c r="VWV15" i="12"/>
  <c r="VWW15" i="12"/>
  <c r="VWX15" i="12"/>
  <c r="VWY15" i="12"/>
  <c r="VWZ15" i="12"/>
  <c r="VXA15" i="12"/>
  <c r="VXB15" i="12"/>
  <c r="VXC15" i="12"/>
  <c r="VXD15" i="12"/>
  <c r="VXE15" i="12"/>
  <c r="VXF15" i="12"/>
  <c r="VXG15" i="12"/>
  <c r="VXH15" i="12"/>
  <c r="VXI15" i="12"/>
  <c r="VXJ15" i="12"/>
  <c r="VXK15" i="12"/>
  <c r="VXL15" i="12"/>
  <c r="VXM15" i="12"/>
  <c r="VXN15" i="12"/>
  <c r="VXO15" i="12"/>
  <c r="VXP15" i="12"/>
  <c r="VXQ15" i="12"/>
  <c r="VXR15" i="12"/>
  <c r="VXS15" i="12"/>
  <c r="VXT15" i="12"/>
  <c r="VXU15" i="12"/>
  <c r="VXV15" i="12"/>
  <c r="VXW15" i="12"/>
  <c r="VXX15" i="12"/>
  <c r="VXY15" i="12"/>
  <c r="VXZ15" i="12"/>
  <c r="VYA15" i="12"/>
  <c r="VYB15" i="12"/>
  <c r="VYC15" i="12"/>
  <c r="VYD15" i="12"/>
  <c r="VYE15" i="12"/>
  <c r="VYF15" i="12"/>
  <c r="VYG15" i="12"/>
  <c r="VYH15" i="12"/>
  <c r="VYI15" i="12"/>
  <c r="VYJ15" i="12"/>
  <c r="VYK15" i="12"/>
  <c r="VYL15" i="12"/>
  <c r="VYM15" i="12"/>
  <c r="VYN15" i="12"/>
  <c r="VYO15" i="12"/>
  <c r="VYP15" i="12"/>
  <c r="VYQ15" i="12"/>
  <c r="VYR15" i="12"/>
  <c r="VYS15" i="12"/>
  <c r="VYT15" i="12"/>
  <c r="VYU15" i="12"/>
  <c r="VYV15" i="12"/>
  <c r="VYW15" i="12"/>
  <c r="VYX15" i="12"/>
  <c r="VYY15" i="12"/>
  <c r="VYZ15" i="12"/>
  <c r="VZA15" i="12"/>
  <c r="VZB15" i="12"/>
  <c r="VZC15" i="12"/>
  <c r="VZD15" i="12"/>
  <c r="VZE15" i="12"/>
  <c r="VZF15" i="12"/>
  <c r="VZG15" i="12"/>
  <c r="VZH15" i="12"/>
  <c r="VZI15" i="12"/>
  <c r="VZJ15" i="12"/>
  <c r="VZK15" i="12"/>
  <c r="VZL15" i="12"/>
  <c r="VZM15" i="12"/>
  <c r="VZN15" i="12"/>
  <c r="VZO15" i="12"/>
  <c r="VZP15" i="12"/>
  <c r="VZQ15" i="12"/>
  <c r="VZR15" i="12"/>
  <c r="VZS15" i="12"/>
  <c r="VZT15" i="12"/>
  <c r="VZU15" i="12"/>
  <c r="VZV15" i="12"/>
  <c r="VZW15" i="12"/>
  <c r="VZX15" i="12"/>
  <c r="VZY15" i="12"/>
  <c r="VZZ15" i="12"/>
  <c r="WAA15" i="12"/>
  <c r="WAB15" i="12"/>
  <c r="WAC15" i="12"/>
  <c r="WAD15" i="12"/>
  <c r="WAE15" i="12"/>
  <c r="WAF15" i="12"/>
  <c r="WAG15" i="12"/>
  <c r="WAH15" i="12"/>
  <c r="WAI15" i="12"/>
  <c r="WAJ15" i="12"/>
  <c r="WAK15" i="12"/>
  <c r="WAL15" i="12"/>
  <c r="WAM15" i="12"/>
  <c r="WAN15" i="12"/>
  <c r="WAO15" i="12"/>
  <c r="WAP15" i="12"/>
  <c r="WAQ15" i="12"/>
  <c r="WAR15" i="12"/>
  <c r="WAS15" i="12"/>
  <c r="WAT15" i="12"/>
  <c r="WAU15" i="12"/>
  <c r="WAV15" i="12"/>
  <c r="WAW15" i="12"/>
  <c r="WAX15" i="12"/>
  <c r="WAY15" i="12"/>
  <c r="WAZ15" i="12"/>
  <c r="WBA15" i="12"/>
  <c r="WBB15" i="12"/>
  <c r="WBC15" i="12"/>
  <c r="WBD15" i="12"/>
  <c r="WBE15" i="12"/>
  <c r="WBF15" i="12"/>
  <c r="WBG15" i="12"/>
  <c r="WBH15" i="12"/>
  <c r="WBI15" i="12"/>
  <c r="WBJ15" i="12"/>
  <c r="WBK15" i="12"/>
  <c r="WBL15" i="12"/>
  <c r="WBM15" i="12"/>
  <c r="WBN15" i="12"/>
  <c r="WBO15" i="12"/>
  <c r="WBP15" i="12"/>
  <c r="WBQ15" i="12"/>
  <c r="WBR15" i="12"/>
  <c r="WBS15" i="12"/>
  <c r="WBT15" i="12"/>
  <c r="WBU15" i="12"/>
  <c r="WBV15" i="12"/>
  <c r="WBW15" i="12"/>
  <c r="WBX15" i="12"/>
  <c r="WBY15" i="12"/>
  <c r="WBZ15" i="12"/>
  <c r="WCA15" i="12"/>
  <c r="WCB15" i="12"/>
  <c r="WCC15" i="12"/>
  <c r="WCD15" i="12"/>
  <c r="WCE15" i="12"/>
  <c r="WCF15" i="12"/>
  <c r="WCG15" i="12"/>
  <c r="WCH15" i="12"/>
  <c r="WCI15" i="12"/>
  <c r="WCJ15" i="12"/>
  <c r="WCK15" i="12"/>
  <c r="WCL15" i="12"/>
  <c r="WCM15" i="12"/>
  <c r="WCN15" i="12"/>
  <c r="WCO15" i="12"/>
  <c r="WCP15" i="12"/>
  <c r="WCQ15" i="12"/>
  <c r="WCR15" i="12"/>
  <c r="WCS15" i="12"/>
  <c r="WCT15" i="12"/>
  <c r="WCU15" i="12"/>
  <c r="WCV15" i="12"/>
  <c r="WCW15" i="12"/>
  <c r="WCX15" i="12"/>
  <c r="WCY15" i="12"/>
  <c r="WCZ15" i="12"/>
  <c r="WDA15" i="12"/>
  <c r="WDB15" i="12"/>
  <c r="WDC15" i="12"/>
  <c r="WDD15" i="12"/>
  <c r="WDE15" i="12"/>
  <c r="WDF15" i="12"/>
  <c r="WDG15" i="12"/>
  <c r="WDH15" i="12"/>
  <c r="WDI15" i="12"/>
  <c r="WDJ15" i="12"/>
  <c r="WDK15" i="12"/>
  <c r="WDL15" i="12"/>
  <c r="WDM15" i="12"/>
  <c r="WDN15" i="12"/>
  <c r="WDO15" i="12"/>
  <c r="WDP15" i="12"/>
  <c r="WDQ15" i="12"/>
  <c r="WDR15" i="12"/>
  <c r="WDS15" i="12"/>
  <c r="WDT15" i="12"/>
  <c r="WDU15" i="12"/>
  <c r="WDV15" i="12"/>
  <c r="WDW15" i="12"/>
  <c r="WDX15" i="12"/>
  <c r="WDY15" i="12"/>
  <c r="WDZ15" i="12"/>
  <c r="WEA15" i="12"/>
  <c r="WEB15" i="12"/>
  <c r="WEC15" i="12"/>
  <c r="WED15" i="12"/>
  <c r="WEE15" i="12"/>
  <c r="WEF15" i="12"/>
  <c r="WEG15" i="12"/>
  <c r="WEH15" i="12"/>
  <c r="WEI15" i="12"/>
  <c r="WEJ15" i="12"/>
  <c r="WEK15" i="12"/>
  <c r="WEL15" i="12"/>
  <c r="WEM15" i="12"/>
  <c r="WEN15" i="12"/>
  <c r="WEO15" i="12"/>
  <c r="WEP15" i="12"/>
  <c r="WEQ15" i="12"/>
  <c r="WER15" i="12"/>
  <c r="WES15" i="12"/>
  <c r="WET15" i="12"/>
  <c r="WEU15" i="12"/>
  <c r="WEV15" i="12"/>
  <c r="WEW15" i="12"/>
  <c r="WEX15" i="12"/>
  <c r="WEY15" i="12"/>
  <c r="WEZ15" i="12"/>
  <c r="WFA15" i="12"/>
  <c r="WFB15" i="12"/>
  <c r="WFC15" i="12"/>
  <c r="WFD15" i="12"/>
  <c r="WFE15" i="12"/>
  <c r="WFF15" i="12"/>
  <c r="WFG15" i="12"/>
  <c r="WFH15" i="12"/>
  <c r="WFI15" i="12"/>
  <c r="WFJ15" i="12"/>
  <c r="WFK15" i="12"/>
  <c r="WFL15" i="12"/>
  <c r="WFM15" i="12"/>
  <c r="WFN15" i="12"/>
  <c r="WFO15" i="12"/>
  <c r="WFP15" i="12"/>
  <c r="WFQ15" i="12"/>
  <c r="WFR15" i="12"/>
  <c r="WFS15" i="12"/>
  <c r="WFT15" i="12"/>
  <c r="WFU15" i="12"/>
  <c r="WFV15" i="12"/>
  <c r="WFW15" i="12"/>
  <c r="WFX15" i="12"/>
  <c r="WFY15" i="12"/>
  <c r="WFZ15" i="12"/>
  <c r="WGA15" i="12"/>
  <c r="WGB15" i="12"/>
  <c r="WGC15" i="12"/>
  <c r="WGD15" i="12"/>
  <c r="WGE15" i="12"/>
  <c r="WGF15" i="12"/>
  <c r="WGG15" i="12"/>
  <c r="WGH15" i="12"/>
  <c r="WGI15" i="12"/>
  <c r="WGJ15" i="12"/>
  <c r="WGK15" i="12"/>
  <c r="WGL15" i="12"/>
  <c r="WGM15" i="12"/>
  <c r="WGN15" i="12"/>
  <c r="WGO15" i="12"/>
  <c r="WGP15" i="12"/>
  <c r="WGQ15" i="12"/>
  <c r="WGR15" i="12"/>
  <c r="WGS15" i="12"/>
  <c r="WGT15" i="12"/>
  <c r="WGU15" i="12"/>
  <c r="WGV15" i="12"/>
  <c r="WGW15" i="12"/>
  <c r="WGX15" i="12"/>
  <c r="WGY15" i="12"/>
  <c r="WGZ15" i="12"/>
  <c r="WHA15" i="12"/>
  <c r="WHB15" i="12"/>
  <c r="WHC15" i="12"/>
  <c r="WHD15" i="12"/>
  <c r="WHE15" i="12"/>
  <c r="WHF15" i="12"/>
  <c r="WHG15" i="12"/>
  <c r="WHH15" i="12"/>
  <c r="WHI15" i="12"/>
  <c r="WHJ15" i="12"/>
  <c r="WHK15" i="12"/>
  <c r="WHL15" i="12"/>
  <c r="WHM15" i="12"/>
  <c r="WHN15" i="12"/>
  <c r="WHO15" i="12"/>
  <c r="WHP15" i="12"/>
  <c r="WHQ15" i="12"/>
  <c r="WHR15" i="12"/>
  <c r="WHS15" i="12"/>
  <c r="WHT15" i="12"/>
  <c r="WHU15" i="12"/>
  <c r="WHV15" i="12"/>
  <c r="WHW15" i="12"/>
  <c r="WHX15" i="12"/>
  <c r="WHY15" i="12"/>
  <c r="WHZ15" i="12"/>
  <c r="WIA15" i="12"/>
  <c r="WIB15" i="12"/>
  <c r="WIC15" i="12"/>
  <c r="WID15" i="12"/>
  <c r="WIE15" i="12"/>
  <c r="WIF15" i="12"/>
  <c r="WIG15" i="12"/>
  <c r="WIH15" i="12"/>
  <c r="WII15" i="12"/>
  <c r="WIJ15" i="12"/>
  <c r="WIK15" i="12"/>
  <c r="WIL15" i="12"/>
  <c r="WIM15" i="12"/>
  <c r="WIN15" i="12"/>
  <c r="WIO15" i="12"/>
  <c r="WIP15" i="12"/>
  <c r="WIQ15" i="12"/>
  <c r="WIR15" i="12"/>
  <c r="WIS15" i="12"/>
  <c r="WIT15" i="12"/>
  <c r="WIU15" i="12"/>
  <c r="WIV15" i="12"/>
  <c r="WIW15" i="12"/>
  <c r="WIX15" i="12"/>
  <c r="WIY15" i="12"/>
  <c r="WIZ15" i="12"/>
  <c r="WJA15" i="12"/>
  <c r="WJB15" i="12"/>
  <c r="WJC15" i="12"/>
  <c r="WJD15" i="12"/>
  <c r="WJE15" i="12"/>
  <c r="WJF15" i="12"/>
  <c r="WJG15" i="12"/>
  <c r="WJH15" i="12"/>
  <c r="WJI15" i="12"/>
  <c r="WJJ15" i="12"/>
  <c r="WJK15" i="12"/>
  <c r="WJL15" i="12"/>
  <c r="WJM15" i="12"/>
  <c r="WJN15" i="12"/>
  <c r="WJO15" i="12"/>
  <c r="WJP15" i="12"/>
  <c r="WJQ15" i="12"/>
  <c r="WJR15" i="12"/>
  <c r="WJS15" i="12"/>
  <c r="WJT15" i="12"/>
  <c r="WJU15" i="12"/>
  <c r="WJV15" i="12"/>
  <c r="WJW15" i="12"/>
  <c r="WJX15" i="12"/>
  <c r="WJY15" i="12"/>
  <c r="WJZ15" i="12"/>
  <c r="WKA15" i="12"/>
  <c r="WKB15" i="12"/>
  <c r="WKC15" i="12"/>
  <c r="WKD15" i="12"/>
  <c r="WKE15" i="12"/>
  <c r="WKF15" i="12"/>
  <c r="WKG15" i="12"/>
  <c r="WKH15" i="12"/>
  <c r="WKI15" i="12"/>
  <c r="WKJ15" i="12"/>
  <c r="WKK15" i="12"/>
  <c r="WKL15" i="12"/>
  <c r="WKM15" i="12"/>
  <c r="WKN15" i="12"/>
  <c r="WKO15" i="12"/>
  <c r="WKP15" i="12"/>
  <c r="WKQ15" i="12"/>
  <c r="WKR15" i="12"/>
  <c r="WKS15" i="12"/>
  <c r="WKT15" i="12"/>
  <c r="WKU15" i="12"/>
  <c r="WKV15" i="12"/>
  <c r="WKW15" i="12"/>
  <c r="WKX15" i="12"/>
  <c r="WKY15" i="12"/>
  <c r="WKZ15" i="12"/>
  <c r="WLA15" i="12"/>
  <c r="WLB15" i="12"/>
  <c r="WLC15" i="12"/>
  <c r="WLD15" i="12"/>
  <c r="WLE15" i="12"/>
  <c r="WLF15" i="12"/>
  <c r="WLG15" i="12"/>
  <c r="WLH15" i="12"/>
  <c r="WLI15" i="12"/>
  <c r="WLJ15" i="12"/>
  <c r="WLK15" i="12"/>
  <c r="WLL15" i="12"/>
  <c r="WLM15" i="12"/>
  <c r="WLN15" i="12"/>
  <c r="WLO15" i="12"/>
  <c r="WLP15" i="12"/>
  <c r="WLQ15" i="12"/>
  <c r="WLR15" i="12"/>
  <c r="WLS15" i="12"/>
  <c r="WLT15" i="12"/>
  <c r="WLU15" i="12"/>
  <c r="WLV15" i="12"/>
  <c r="WLW15" i="12"/>
  <c r="WLX15" i="12"/>
  <c r="WLY15" i="12"/>
  <c r="WLZ15" i="12"/>
  <c r="WMA15" i="12"/>
  <c r="WMB15" i="12"/>
  <c r="WMC15" i="12"/>
  <c r="WMD15" i="12"/>
  <c r="WME15" i="12"/>
  <c r="WMF15" i="12"/>
  <c r="WMG15" i="12"/>
  <c r="WMH15" i="12"/>
  <c r="WMI15" i="12"/>
  <c r="WMJ15" i="12"/>
  <c r="WMK15" i="12"/>
  <c r="WML15" i="12"/>
  <c r="WMM15" i="12"/>
  <c r="WMN15" i="12"/>
  <c r="WMO15" i="12"/>
  <c r="WMP15" i="12"/>
  <c r="WMQ15" i="12"/>
  <c r="WMR15" i="12"/>
  <c r="WMS15" i="12"/>
  <c r="WMT15" i="12"/>
  <c r="WMU15" i="12"/>
  <c r="WMV15" i="12"/>
  <c r="WMW15" i="12"/>
  <c r="WMX15" i="12"/>
  <c r="WMY15" i="12"/>
  <c r="WMZ15" i="12"/>
  <c r="WNA15" i="12"/>
  <c r="WNB15" i="12"/>
  <c r="WNC15" i="12"/>
  <c r="WND15" i="12"/>
  <c r="WNE15" i="12"/>
  <c r="WNF15" i="12"/>
  <c r="WNG15" i="12"/>
  <c r="WNH15" i="12"/>
  <c r="WNI15" i="12"/>
  <c r="WNJ15" i="12"/>
  <c r="WNK15" i="12"/>
  <c r="WNL15" i="12"/>
  <c r="WNM15" i="12"/>
  <c r="WNN15" i="12"/>
  <c r="WNO15" i="12"/>
  <c r="WNP15" i="12"/>
  <c r="WNQ15" i="12"/>
  <c r="WNR15" i="12"/>
  <c r="WNS15" i="12"/>
  <c r="WNT15" i="12"/>
  <c r="WNU15" i="12"/>
  <c r="WNV15" i="12"/>
  <c r="WNW15" i="12"/>
  <c r="WNX15" i="12"/>
  <c r="WNY15" i="12"/>
  <c r="WNZ15" i="12"/>
  <c r="WOA15" i="12"/>
  <c r="WOB15" i="12"/>
  <c r="WOC15" i="12"/>
  <c r="WOD15" i="12"/>
  <c r="WOE15" i="12"/>
  <c r="WOF15" i="12"/>
  <c r="WOG15" i="12"/>
  <c r="WOH15" i="12"/>
  <c r="WOI15" i="12"/>
  <c r="WOJ15" i="12"/>
  <c r="WOK15" i="12"/>
  <c r="WOL15" i="12"/>
  <c r="WOM15" i="12"/>
  <c r="WON15" i="12"/>
  <c r="WOO15" i="12"/>
  <c r="WOP15" i="12"/>
  <c r="WOQ15" i="12"/>
  <c r="WOR15" i="12"/>
  <c r="WOS15" i="12"/>
  <c r="WOT15" i="12"/>
  <c r="WOU15" i="12"/>
  <c r="WOV15" i="12"/>
  <c r="WOW15" i="12"/>
  <c r="WOX15" i="12"/>
  <c r="WOY15" i="12"/>
  <c r="WOZ15" i="12"/>
  <c r="WPA15" i="12"/>
  <c r="WPB15" i="12"/>
  <c r="WPC15" i="12"/>
  <c r="WPD15" i="12"/>
  <c r="WPE15" i="12"/>
  <c r="WPF15" i="12"/>
  <c r="WPG15" i="12"/>
  <c r="WPH15" i="12"/>
  <c r="WPI15" i="12"/>
  <c r="WPJ15" i="12"/>
  <c r="WPK15" i="12"/>
  <c r="WPL15" i="12"/>
  <c r="WPM15" i="12"/>
  <c r="WPN15" i="12"/>
  <c r="WPO15" i="12"/>
  <c r="WPP15" i="12"/>
  <c r="WPQ15" i="12"/>
  <c r="WPR15" i="12"/>
  <c r="WPS15" i="12"/>
  <c r="WPT15" i="12"/>
  <c r="WPU15" i="12"/>
  <c r="WPV15" i="12"/>
  <c r="WPW15" i="12"/>
  <c r="WPX15" i="12"/>
  <c r="WPY15" i="12"/>
  <c r="WPZ15" i="12"/>
  <c r="WQA15" i="12"/>
  <c r="WQB15" i="12"/>
  <c r="WQC15" i="12"/>
  <c r="WQD15" i="12"/>
  <c r="WQE15" i="12"/>
  <c r="WQF15" i="12"/>
  <c r="WQG15" i="12"/>
  <c r="WQH15" i="12"/>
  <c r="WQI15" i="12"/>
  <c r="WQJ15" i="12"/>
  <c r="WQK15" i="12"/>
  <c r="WQL15" i="12"/>
  <c r="WQM15" i="12"/>
  <c r="WQN15" i="12"/>
  <c r="WQO15" i="12"/>
  <c r="WQP15" i="12"/>
  <c r="WQQ15" i="12"/>
  <c r="WQR15" i="12"/>
  <c r="WQS15" i="12"/>
  <c r="WQT15" i="12"/>
  <c r="WQU15" i="12"/>
  <c r="WQV15" i="12"/>
  <c r="WQW15" i="12"/>
  <c r="WQX15" i="12"/>
  <c r="WQY15" i="12"/>
  <c r="WQZ15" i="12"/>
  <c r="WRA15" i="12"/>
  <c r="WRB15" i="12"/>
  <c r="WRC15" i="12"/>
  <c r="WRD15" i="12"/>
  <c r="WRE15" i="12"/>
  <c r="WRF15" i="12"/>
  <c r="WRG15" i="12"/>
  <c r="WRH15" i="12"/>
  <c r="WRI15" i="12"/>
  <c r="WRJ15" i="12"/>
  <c r="WRK15" i="12"/>
  <c r="WRL15" i="12"/>
  <c r="WRM15" i="12"/>
  <c r="WRN15" i="12"/>
  <c r="WRO15" i="12"/>
  <c r="WRP15" i="12"/>
  <c r="WRQ15" i="12"/>
  <c r="WRR15" i="12"/>
  <c r="WRS15" i="12"/>
  <c r="WRT15" i="12"/>
  <c r="WRU15" i="12"/>
  <c r="WRV15" i="12"/>
  <c r="WRW15" i="12"/>
  <c r="WRX15" i="12"/>
  <c r="WRY15" i="12"/>
  <c r="WRZ15" i="12"/>
  <c r="WSA15" i="12"/>
  <c r="WSB15" i="12"/>
  <c r="WSC15" i="12"/>
  <c r="WSD15" i="12"/>
  <c r="WSE15" i="12"/>
  <c r="WSF15" i="12"/>
  <c r="WSG15" i="12"/>
  <c r="WSH15" i="12"/>
  <c r="WSI15" i="12"/>
  <c r="WSJ15" i="12"/>
  <c r="WSK15" i="12"/>
  <c r="WSL15" i="12"/>
  <c r="WSM15" i="12"/>
  <c r="WSN15" i="12"/>
  <c r="WSO15" i="12"/>
  <c r="WSP15" i="12"/>
  <c r="WSQ15" i="12"/>
  <c r="WSR15" i="12"/>
  <c r="WSS15" i="12"/>
  <c r="WST15" i="12"/>
  <c r="WSU15" i="12"/>
  <c r="WSV15" i="12"/>
  <c r="WSW15" i="12"/>
  <c r="WSX15" i="12"/>
  <c r="WSY15" i="12"/>
  <c r="WSZ15" i="12"/>
  <c r="WTA15" i="12"/>
  <c r="WTB15" i="12"/>
  <c r="WTC15" i="12"/>
  <c r="WTD15" i="12"/>
  <c r="WTE15" i="12"/>
  <c r="WTF15" i="12"/>
  <c r="WTG15" i="12"/>
  <c r="WTH15" i="12"/>
  <c r="WTI15" i="12"/>
  <c r="WTJ15" i="12"/>
  <c r="WTK15" i="12"/>
  <c r="WTL15" i="12"/>
  <c r="WTM15" i="12"/>
  <c r="WTN15" i="12"/>
  <c r="WTO15" i="12"/>
  <c r="WTP15" i="12"/>
  <c r="WTQ15" i="12"/>
  <c r="WTR15" i="12"/>
  <c r="WTS15" i="12"/>
  <c r="WTT15" i="12"/>
  <c r="WTU15" i="12"/>
  <c r="WTV15" i="12"/>
  <c r="WTW15" i="12"/>
  <c r="WTX15" i="12"/>
  <c r="WTY15" i="12"/>
  <c r="WTZ15" i="12"/>
  <c r="WUA15" i="12"/>
  <c r="WUB15" i="12"/>
  <c r="WUC15" i="12"/>
  <c r="WUD15" i="12"/>
  <c r="WUE15" i="12"/>
  <c r="WUF15" i="12"/>
  <c r="WUG15" i="12"/>
  <c r="WUH15" i="12"/>
  <c r="WUI15" i="12"/>
  <c r="WUJ15" i="12"/>
  <c r="WUK15" i="12"/>
  <c r="WUL15" i="12"/>
  <c r="WUM15" i="12"/>
  <c r="WUN15" i="12"/>
  <c r="WUO15" i="12"/>
  <c r="WUP15" i="12"/>
  <c r="WUQ15" i="12"/>
  <c r="WUR15" i="12"/>
  <c r="WUS15" i="12"/>
  <c r="WUT15" i="12"/>
  <c r="WUU15" i="12"/>
  <c r="WUV15" i="12"/>
  <c r="WUW15" i="12"/>
  <c r="WUX15" i="12"/>
  <c r="WUY15" i="12"/>
  <c r="WUZ15" i="12"/>
  <c r="WVA15" i="12"/>
  <c r="WVB15" i="12"/>
  <c r="WVC15" i="12"/>
  <c r="WVD15" i="12"/>
  <c r="WVE15" i="12"/>
  <c r="WVF15" i="12"/>
  <c r="WVG15" i="12"/>
  <c r="WVH15" i="12"/>
  <c r="WVI15" i="12"/>
  <c r="WVJ15" i="12"/>
  <c r="WVK15" i="12"/>
  <c r="WVL15" i="12"/>
  <c r="WVM15" i="12"/>
  <c r="WVN15" i="12"/>
  <c r="WVO15" i="12"/>
  <c r="WVP15" i="12"/>
  <c r="WVQ15" i="12"/>
  <c r="WVR15" i="12"/>
  <c r="WVS15" i="12"/>
  <c r="WVT15" i="12"/>
  <c r="WVU15" i="12"/>
  <c r="WVV15" i="12"/>
  <c r="WVW15" i="12"/>
  <c r="WVX15" i="12"/>
  <c r="WVY15" i="12"/>
  <c r="WVZ15" i="12"/>
  <c r="WWA15" i="12"/>
  <c r="WWB15" i="12"/>
  <c r="WWC15" i="12"/>
  <c r="WWD15" i="12"/>
  <c r="WWE15" i="12"/>
  <c r="WWF15" i="12"/>
  <c r="WWG15" i="12"/>
  <c r="WWH15" i="12"/>
  <c r="WWI15" i="12"/>
  <c r="WWJ15" i="12"/>
  <c r="WWK15" i="12"/>
  <c r="WWL15" i="12"/>
  <c r="WWM15" i="12"/>
  <c r="WWN15" i="12"/>
  <c r="WWO15" i="12"/>
  <c r="WWP15" i="12"/>
  <c r="WWQ15" i="12"/>
  <c r="WWR15" i="12"/>
  <c r="WWS15" i="12"/>
  <c r="WWT15" i="12"/>
  <c r="WWU15" i="12"/>
  <c r="WWV15" i="12"/>
  <c r="WWW15" i="12"/>
  <c r="WWX15" i="12"/>
  <c r="WWY15" i="12"/>
  <c r="WWZ15" i="12"/>
  <c r="WXA15" i="12"/>
  <c r="WXB15" i="12"/>
  <c r="WXC15" i="12"/>
  <c r="WXD15" i="12"/>
  <c r="WXE15" i="12"/>
  <c r="WXF15" i="12"/>
  <c r="WXG15" i="12"/>
  <c r="WXH15" i="12"/>
  <c r="WXI15" i="12"/>
  <c r="WXJ15" i="12"/>
  <c r="WXK15" i="12"/>
  <c r="WXL15" i="12"/>
  <c r="WXM15" i="12"/>
  <c r="WXN15" i="12"/>
  <c r="WXO15" i="12"/>
  <c r="WXP15" i="12"/>
  <c r="WXQ15" i="12"/>
  <c r="WXR15" i="12"/>
  <c r="WXS15" i="12"/>
  <c r="WXT15" i="12"/>
  <c r="WXU15" i="12"/>
  <c r="WXV15" i="12"/>
  <c r="WXW15" i="12"/>
  <c r="WXX15" i="12"/>
  <c r="WXY15" i="12"/>
  <c r="WXZ15" i="12"/>
  <c r="WYA15" i="12"/>
  <c r="WYB15" i="12"/>
  <c r="WYC15" i="12"/>
  <c r="WYD15" i="12"/>
  <c r="WYE15" i="12"/>
  <c r="WYF15" i="12"/>
  <c r="WYG15" i="12"/>
  <c r="WYH15" i="12"/>
  <c r="WYI15" i="12"/>
  <c r="WYJ15" i="12"/>
  <c r="WYK15" i="12"/>
  <c r="WYL15" i="12"/>
  <c r="WYM15" i="12"/>
  <c r="WYN15" i="12"/>
  <c r="WYO15" i="12"/>
  <c r="WYP15" i="12"/>
  <c r="WYQ15" i="12"/>
  <c r="WYR15" i="12"/>
  <c r="WYS15" i="12"/>
  <c r="WYT15" i="12"/>
  <c r="WYU15" i="12"/>
  <c r="WYV15" i="12"/>
  <c r="WYW15" i="12"/>
  <c r="WYX15" i="12"/>
  <c r="WYY15" i="12"/>
  <c r="WYZ15" i="12"/>
  <c r="WZA15" i="12"/>
  <c r="WZB15" i="12"/>
  <c r="WZC15" i="12"/>
  <c r="WZD15" i="12"/>
  <c r="WZE15" i="12"/>
  <c r="WZF15" i="12"/>
  <c r="WZG15" i="12"/>
  <c r="WZH15" i="12"/>
  <c r="WZI15" i="12"/>
  <c r="WZJ15" i="12"/>
  <c r="WZK15" i="12"/>
  <c r="WZL15" i="12"/>
  <c r="WZM15" i="12"/>
  <c r="WZN15" i="12"/>
  <c r="WZO15" i="12"/>
  <c r="WZP15" i="12"/>
  <c r="WZQ15" i="12"/>
  <c r="WZR15" i="12"/>
  <c r="WZS15" i="12"/>
  <c r="WZT15" i="12"/>
  <c r="WZU15" i="12"/>
  <c r="WZV15" i="12"/>
  <c r="WZW15" i="12"/>
  <c r="WZX15" i="12"/>
  <c r="WZY15" i="12"/>
  <c r="WZZ15" i="12"/>
  <c r="XAA15" i="12"/>
  <c r="XAB15" i="12"/>
  <c r="XAC15" i="12"/>
  <c r="XAD15" i="12"/>
  <c r="XAE15" i="12"/>
  <c r="XAF15" i="12"/>
  <c r="XAG15" i="12"/>
  <c r="XAH15" i="12"/>
  <c r="XAI15" i="12"/>
  <c r="XAJ15" i="12"/>
  <c r="XAK15" i="12"/>
  <c r="XAL15" i="12"/>
  <c r="XAM15" i="12"/>
  <c r="XAN15" i="12"/>
  <c r="XAO15" i="12"/>
  <c r="XAP15" i="12"/>
  <c r="XAQ15" i="12"/>
  <c r="XAR15" i="12"/>
  <c r="XAS15" i="12"/>
  <c r="XAT15" i="12"/>
  <c r="XAU15" i="12"/>
  <c r="XAV15" i="12"/>
  <c r="XAW15" i="12"/>
  <c r="XAX15" i="12"/>
  <c r="XAY15" i="12"/>
  <c r="XAZ15" i="12"/>
  <c r="XBA15" i="12"/>
  <c r="XBB15" i="12"/>
  <c r="XBC15" i="12"/>
  <c r="XBD15" i="12"/>
  <c r="XBE15" i="12"/>
  <c r="XBF15" i="12"/>
  <c r="XBG15" i="12"/>
  <c r="XBH15" i="12"/>
  <c r="XBI15" i="12"/>
  <c r="XBJ15" i="12"/>
  <c r="XBK15" i="12"/>
  <c r="XBL15" i="12"/>
  <c r="XBM15" i="12"/>
  <c r="XBN15" i="12"/>
  <c r="XBO15" i="12"/>
  <c r="XBP15" i="12"/>
  <c r="XBQ15" i="12"/>
  <c r="XBR15" i="12"/>
  <c r="XBS15" i="12"/>
  <c r="XBT15" i="12"/>
  <c r="XBU15" i="12"/>
  <c r="XBV15" i="12"/>
  <c r="XBW15" i="12"/>
  <c r="XBX15" i="12"/>
  <c r="XBY15" i="12"/>
  <c r="XBZ15" i="12"/>
  <c r="XCA15" i="12"/>
  <c r="XCB15" i="12"/>
  <c r="XCC15" i="12"/>
  <c r="XCD15" i="12"/>
  <c r="XCE15" i="12"/>
  <c r="XCF15" i="12"/>
  <c r="XCG15" i="12"/>
  <c r="XCH15" i="12"/>
  <c r="XCI15" i="12"/>
  <c r="XCJ15" i="12"/>
  <c r="XCK15" i="12"/>
  <c r="XCL15" i="12"/>
  <c r="XCM15" i="12"/>
  <c r="XCN15" i="12"/>
  <c r="XCO15" i="12"/>
  <c r="XCP15" i="12"/>
  <c r="XCQ15" i="12"/>
  <c r="XCR15" i="12"/>
  <c r="XCS15" i="12"/>
  <c r="XCT15" i="12"/>
  <c r="XCU15" i="12"/>
  <c r="XCV15" i="12"/>
  <c r="XCW15" i="12"/>
  <c r="XCX15" i="12"/>
  <c r="XCY15" i="12"/>
  <c r="XCZ15" i="12"/>
  <c r="XDA15" i="12"/>
  <c r="XDB15" i="12"/>
  <c r="XDC15" i="12"/>
  <c r="XDD15" i="12"/>
  <c r="XDE15" i="12"/>
  <c r="XDF15" i="12"/>
  <c r="XDG15" i="12"/>
  <c r="XDH15" i="12"/>
  <c r="XDI15" i="12"/>
  <c r="XDJ15" i="12"/>
  <c r="XDK15" i="12"/>
  <c r="XDL15" i="12"/>
  <c r="XDM15" i="12"/>
  <c r="XDN15" i="12"/>
  <c r="XDO15" i="12"/>
  <c r="XDP15" i="12"/>
  <c r="XDQ15" i="12"/>
  <c r="XDR15" i="12"/>
  <c r="XDS15" i="12"/>
  <c r="XDT15" i="12"/>
  <c r="XDU15" i="12"/>
  <c r="XDV15" i="12"/>
  <c r="XDW15" i="12"/>
  <c r="XDX15" i="12"/>
  <c r="XDY15" i="12"/>
  <c r="XDZ15" i="12"/>
  <c r="XEA15" i="12"/>
  <c r="XEB15" i="12"/>
  <c r="XEC15" i="12"/>
  <c r="XED15" i="12"/>
  <c r="XEE15" i="12"/>
  <c r="XEF15" i="12"/>
  <c r="XEG15" i="12"/>
  <c r="XEH15" i="12"/>
  <c r="XEI15" i="12"/>
  <c r="XEJ15" i="12"/>
  <c r="XEK15" i="12"/>
  <c r="XEL15" i="12"/>
  <c r="XEM15" i="12"/>
  <c r="XEN15" i="12"/>
  <c r="XEO15" i="12"/>
  <c r="XEP15" i="12"/>
  <c r="XEQ15" i="12"/>
  <c r="XER15" i="12"/>
  <c r="XES15" i="12"/>
  <c r="XET15" i="12"/>
  <c r="XEU15" i="12"/>
  <c r="XEV15" i="12"/>
  <c r="XEW15" i="12"/>
  <c r="XEX15" i="12"/>
  <c r="XEY15" i="12"/>
  <c r="XEZ15" i="12"/>
  <c r="XFA15" i="12"/>
  <c r="XFB15" i="12"/>
  <c r="XFC15" i="12"/>
  <c r="XFD15" i="12"/>
  <c r="L6" i="24"/>
  <c r="M120" i="11"/>
  <c r="M124" i="11"/>
  <c r="M128" i="11"/>
  <c r="M131" i="11"/>
  <c r="M133" i="11"/>
  <c r="M136" i="11"/>
  <c r="M138" i="11"/>
  <c r="M144" i="11"/>
  <c r="M147" i="11"/>
  <c r="M151" i="11"/>
  <c r="M153" i="11"/>
  <c r="M155" i="11"/>
  <c r="M157" i="11"/>
  <c r="M160" i="11"/>
  <c r="M161" i="11"/>
  <c r="M163" i="11"/>
  <c r="M165" i="11"/>
  <c r="M166" i="11"/>
  <c r="M168" i="11"/>
  <c r="M169" i="11"/>
  <c r="M171" i="11"/>
  <c r="M175" i="11"/>
  <c r="M176" i="11"/>
  <c r="M177" i="11"/>
  <c r="M178" i="11"/>
  <c r="M180" i="11"/>
  <c r="M182" i="11"/>
  <c r="M185" i="11"/>
  <c r="M188" i="11"/>
  <c r="M190" i="11"/>
  <c r="M192" i="11"/>
  <c r="M193" i="11"/>
  <c r="M194" i="11"/>
  <c r="M196" i="11"/>
  <c r="M198" i="11"/>
  <c r="M201" i="11"/>
  <c r="M203" i="11"/>
  <c r="M205" i="11"/>
  <c r="M208" i="11"/>
  <c r="M210" i="11"/>
  <c r="M211" i="11"/>
  <c r="M212" i="11"/>
  <c r="M214" i="11"/>
  <c r="M215" i="11"/>
  <c r="M216" i="11"/>
  <c r="M221" i="11"/>
  <c r="M222" i="11"/>
  <c r="M225" i="11"/>
  <c r="M226" i="11"/>
  <c r="M232" i="11"/>
  <c r="M237" i="11"/>
  <c r="M240" i="11"/>
  <c r="M242" i="11"/>
  <c r="M243" i="11"/>
  <c r="M245" i="11"/>
  <c r="M249" i="11"/>
  <c r="M250" i="11"/>
  <c r="M251" i="11"/>
  <c r="M252" i="11"/>
  <c r="M260" i="11"/>
  <c r="M261" i="11"/>
  <c r="M264" i="11"/>
  <c r="M267" i="11"/>
  <c r="M269" i="11"/>
  <c r="M270" i="11"/>
  <c r="M271" i="11"/>
  <c r="M272" i="11"/>
  <c r="M274" i="11"/>
  <c r="M276" i="11"/>
  <c r="M278" i="11"/>
  <c r="M281" i="11"/>
  <c r="M282" i="11"/>
  <c r="M286" i="11"/>
  <c r="M288" i="11"/>
  <c r="M290" i="11"/>
  <c r="M293" i="11"/>
  <c r="M295" i="11"/>
  <c r="M296" i="11"/>
  <c r="M299" i="11"/>
  <c r="M302" i="11"/>
  <c r="M304" i="11"/>
  <c r="M305" i="11"/>
  <c r="M309" i="11"/>
  <c r="M314" i="11"/>
  <c r="M316" i="11"/>
  <c r="M317" i="11"/>
  <c r="M320" i="11"/>
  <c r="M329" i="11"/>
  <c r="M332" i="11"/>
  <c r="M334" i="11"/>
  <c r="M335" i="11"/>
  <c r="M340" i="11"/>
  <c r="M341" i="11"/>
  <c r="M343" i="11"/>
  <c r="M344" i="11"/>
  <c r="M345" i="11"/>
  <c r="M349" i="11"/>
  <c r="M350" i="11"/>
  <c r="M353" i="11"/>
  <c r="M355" i="11"/>
  <c r="M356" i="11"/>
  <c r="M359" i="11"/>
  <c r="M365" i="11"/>
  <c r="M369" i="11"/>
  <c r="M372" i="11"/>
  <c r="M374" i="11"/>
  <c r="M377" i="11"/>
  <c r="M378" i="11"/>
  <c r="M380" i="11"/>
  <c r="M383" i="11"/>
  <c r="M386" i="11"/>
  <c r="M388" i="11"/>
  <c r="M391" i="11"/>
  <c r="M392" i="11"/>
  <c r="M396" i="11"/>
  <c r="M397" i="11"/>
  <c r="M398" i="11"/>
  <c r="M399" i="11"/>
  <c r="M402" i="11"/>
  <c r="M406" i="11"/>
  <c r="M409" i="11"/>
  <c r="M414" i="11"/>
  <c r="M417" i="11"/>
  <c r="M418" i="11"/>
  <c r="M421" i="11"/>
  <c r="M422" i="11"/>
  <c r="M423" i="11"/>
  <c r="M426" i="11"/>
  <c r="M427" i="11"/>
  <c r="M431" i="11"/>
  <c r="M434" i="11"/>
  <c r="M438" i="11"/>
  <c r="M439" i="11"/>
  <c r="M441" i="11"/>
  <c r="M443" i="11"/>
  <c r="M448" i="11"/>
  <c r="M451" i="11"/>
  <c r="M452" i="11"/>
  <c r="M453" i="11"/>
  <c r="M454" i="11"/>
  <c r="M457" i="11"/>
  <c r="M460" i="11"/>
  <c r="M463" i="11"/>
  <c r="M465" i="11"/>
  <c r="M471" i="11"/>
  <c r="M472" i="11"/>
  <c r="M474" i="11"/>
  <c r="M475" i="11"/>
  <c r="M477" i="11"/>
  <c r="M478" i="11"/>
  <c r="M483" i="11"/>
  <c r="M487" i="11"/>
  <c r="M489" i="11"/>
  <c r="M492" i="11"/>
  <c r="M499" i="11"/>
  <c r="M502" i="11"/>
  <c r="M504" i="11"/>
  <c r="M508" i="11"/>
  <c r="M509" i="11"/>
  <c r="M510" i="11"/>
  <c r="M512" i="11"/>
  <c r="M517" i="11"/>
  <c r="M519" i="11"/>
  <c r="M521" i="11"/>
  <c r="M527" i="11"/>
  <c r="M528" i="11"/>
  <c r="M530" i="11"/>
  <c r="M531" i="11"/>
  <c r="M534" i="11"/>
  <c r="M537" i="11"/>
  <c r="M540" i="11"/>
  <c r="M542" i="11"/>
  <c r="M548" i="11"/>
  <c r="M549" i="11"/>
  <c r="M551" i="11"/>
  <c r="M552" i="11"/>
  <c r="M554" i="11"/>
  <c r="M557" i="11"/>
  <c r="M559" i="11"/>
  <c r="M560" i="11"/>
  <c r="M561" i="11"/>
  <c r="M563" i="11"/>
  <c r="M565" i="11"/>
  <c r="M567" i="11"/>
  <c r="M568" i="11"/>
  <c r="M573" i="11"/>
  <c r="M575" i="11"/>
  <c r="M578" i="11"/>
  <c r="M582" i="11"/>
  <c r="M585" i="11"/>
  <c r="M590" i="11"/>
  <c r="M591" i="11"/>
  <c r="M592" i="11"/>
  <c r="M595" i="11"/>
  <c r="M596" i="11"/>
  <c r="M598" i="11"/>
  <c r="M601" i="11"/>
  <c r="M607" i="11"/>
  <c r="M609" i="11"/>
  <c r="M610" i="11"/>
  <c r="M612" i="11"/>
  <c r="M613" i="11"/>
  <c r="M616" i="11"/>
  <c r="M620" i="11"/>
  <c r="M624" i="11"/>
  <c r="M629" i="11"/>
  <c r="M634" i="11"/>
  <c r="M636" i="11"/>
  <c r="M639" i="11"/>
  <c r="M641" i="11"/>
  <c r="M644" i="11"/>
  <c r="M648" i="11"/>
  <c r="M651" i="11"/>
  <c r="M653" i="11"/>
  <c r="M654" i="11"/>
  <c r="M659" i="11"/>
  <c r="M662" i="11"/>
  <c r="M664" i="11"/>
  <c r="M665" i="11"/>
  <c r="M669" i="11"/>
  <c r="L120" i="11"/>
  <c r="L124" i="11"/>
  <c r="L128" i="11"/>
  <c r="L131" i="11"/>
  <c r="L133" i="11"/>
  <c r="L136" i="11"/>
  <c r="L138" i="11"/>
  <c r="L144" i="11"/>
  <c r="L147" i="11"/>
  <c r="L151" i="11"/>
  <c r="L153" i="11"/>
  <c r="L155" i="11"/>
  <c r="L157" i="11"/>
  <c r="L160" i="11"/>
  <c r="L161" i="11"/>
  <c r="L163" i="11"/>
  <c r="L165" i="11"/>
  <c r="L166" i="11"/>
  <c r="L168" i="11"/>
  <c r="L169" i="11"/>
  <c r="L171" i="11"/>
  <c r="L175" i="11"/>
  <c r="L176" i="11"/>
  <c r="L177" i="11"/>
  <c r="L178" i="11"/>
  <c r="L180" i="11"/>
  <c r="L182" i="11"/>
  <c r="L185" i="11"/>
  <c r="L188" i="11"/>
  <c r="L190" i="11"/>
  <c r="L192" i="11"/>
  <c r="L193" i="11"/>
  <c r="L194" i="11"/>
  <c r="L196" i="11"/>
  <c r="L198" i="11"/>
  <c r="L201" i="11"/>
  <c r="L203" i="11"/>
  <c r="L205" i="11"/>
  <c r="L208" i="11"/>
  <c r="L210" i="11"/>
  <c r="L211" i="11"/>
  <c r="L212" i="11"/>
  <c r="L214" i="11"/>
  <c r="L215" i="11"/>
  <c r="L216" i="11"/>
  <c r="L221" i="11"/>
  <c r="L222" i="11"/>
  <c r="L225" i="11"/>
  <c r="L226" i="11"/>
  <c r="L232" i="11"/>
  <c r="L237" i="11"/>
  <c r="L240" i="11"/>
  <c r="L242" i="11"/>
  <c r="L243" i="11"/>
  <c r="L245" i="11"/>
  <c r="L249" i="11"/>
  <c r="L250" i="11"/>
  <c r="L251" i="11"/>
  <c r="L252" i="11"/>
  <c r="L260" i="11"/>
  <c r="L261" i="11"/>
  <c r="L264" i="11"/>
  <c r="L267" i="11"/>
  <c r="L269" i="11"/>
  <c r="L270" i="11"/>
  <c r="L271" i="11"/>
  <c r="L272" i="11"/>
  <c r="L274" i="11"/>
  <c r="L276" i="11"/>
  <c r="L278" i="11"/>
  <c r="L281" i="11"/>
  <c r="L282" i="11"/>
  <c r="L286" i="11"/>
  <c r="L288" i="11"/>
  <c r="L290" i="11"/>
  <c r="L293" i="11"/>
  <c r="L295" i="11"/>
  <c r="L296" i="11"/>
  <c r="L299" i="11"/>
  <c r="L302" i="11"/>
  <c r="L304" i="11"/>
  <c r="L305" i="11"/>
  <c r="L309" i="11"/>
  <c r="L314" i="11"/>
  <c r="L316" i="11"/>
  <c r="L317" i="11"/>
  <c r="L320" i="11"/>
  <c r="L329" i="11"/>
  <c r="L332" i="11"/>
  <c r="L334" i="11"/>
  <c r="L335" i="11"/>
  <c r="L340" i="11"/>
  <c r="L341" i="11"/>
  <c r="L343" i="11"/>
  <c r="L344" i="11"/>
  <c r="L345" i="11"/>
  <c r="L349" i="11"/>
  <c r="L350" i="11"/>
  <c r="L353" i="11"/>
  <c r="L355" i="11"/>
  <c r="L356" i="11"/>
  <c r="L359" i="11"/>
  <c r="L365" i="11"/>
  <c r="L369" i="11"/>
  <c r="L372" i="11"/>
  <c r="L374" i="11"/>
  <c r="L377" i="11"/>
  <c r="L378" i="11"/>
  <c r="L380" i="11"/>
  <c r="L383" i="11"/>
  <c r="L386" i="11"/>
  <c r="L388" i="11"/>
  <c r="L391" i="11"/>
  <c r="L392" i="11"/>
  <c r="L396" i="11"/>
  <c r="L397" i="11"/>
  <c r="L398" i="11"/>
  <c r="L399" i="11"/>
  <c r="L402" i="11"/>
  <c r="L406" i="11"/>
  <c r="L409" i="11"/>
  <c r="L414" i="11"/>
  <c r="L417" i="11"/>
  <c r="L418" i="11"/>
  <c r="L421" i="11"/>
  <c r="L422" i="11"/>
  <c r="L423" i="11"/>
  <c r="L426" i="11"/>
  <c r="L427" i="11"/>
  <c r="L431" i="11"/>
  <c r="L434" i="11"/>
  <c r="L438" i="11"/>
  <c r="L439" i="11"/>
  <c r="L441" i="11"/>
  <c r="L443" i="11"/>
  <c r="L448" i="11"/>
  <c r="L451" i="11"/>
  <c r="L452" i="11"/>
  <c r="L453" i="11"/>
  <c r="L454" i="11"/>
  <c r="L457" i="11"/>
  <c r="L460" i="11"/>
  <c r="L463" i="11"/>
  <c r="L465" i="11"/>
  <c r="L471" i="11"/>
  <c r="L472" i="11"/>
  <c r="L474" i="11"/>
  <c r="L475" i="11"/>
  <c r="L477" i="11"/>
  <c r="L478" i="11"/>
  <c r="L483" i="11"/>
  <c r="L487" i="11"/>
  <c r="L489" i="11"/>
  <c r="L492" i="11"/>
  <c r="L499" i="11"/>
  <c r="L502" i="11"/>
  <c r="L504" i="11"/>
  <c r="L508" i="11"/>
  <c r="L509" i="11"/>
  <c r="L510" i="11"/>
  <c r="L512" i="11"/>
  <c r="L517" i="11"/>
  <c r="L519" i="11"/>
  <c r="L521" i="11"/>
  <c r="L527" i="11"/>
  <c r="L528" i="11"/>
  <c r="L530" i="11"/>
  <c r="L531" i="11"/>
  <c r="L534" i="11"/>
  <c r="L537" i="11"/>
  <c r="L540" i="11"/>
  <c r="L542" i="11"/>
  <c r="L548" i="11"/>
  <c r="L549" i="11"/>
  <c r="L551" i="11"/>
  <c r="L552" i="11"/>
  <c r="L554" i="11"/>
  <c r="L557" i="11"/>
  <c r="L559" i="11"/>
  <c r="L560" i="11"/>
  <c r="L561" i="11"/>
  <c r="L563" i="11"/>
  <c r="L565" i="11"/>
  <c r="L567" i="11"/>
  <c r="L568" i="11"/>
  <c r="L573" i="11"/>
  <c r="L575" i="11"/>
  <c r="L578" i="11"/>
  <c r="L582" i="11"/>
  <c r="L585" i="11"/>
  <c r="L590" i="11"/>
  <c r="L591" i="11"/>
  <c r="L592" i="11"/>
  <c r="L595" i="11"/>
  <c r="L596" i="11"/>
  <c r="L598" i="11"/>
  <c r="L601" i="11"/>
  <c r="L607" i="11"/>
  <c r="L609" i="11"/>
  <c r="L610" i="11"/>
  <c r="L612" i="11"/>
  <c r="L613" i="11"/>
  <c r="L616" i="11"/>
  <c r="L620" i="11"/>
  <c r="L624" i="11"/>
  <c r="L629" i="11"/>
  <c r="L634" i="11"/>
  <c r="L636" i="11"/>
  <c r="L639" i="11"/>
  <c r="L641" i="11"/>
  <c r="L644" i="11"/>
  <c r="L648" i="11"/>
  <c r="L651" i="11"/>
  <c r="L653" i="11"/>
  <c r="L654" i="11"/>
  <c r="L659" i="11"/>
  <c r="L662" i="11"/>
  <c r="L664" i="11"/>
  <c r="L665" i="11"/>
  <c r="L669" i="11"/>
  <c r="O6" i="31" l="1"/>
  <c r="O7" i="31"/>
  <c r="O11" i="31"/>
  <c r="O16" i="31"/>
  <c r="O15" i="31"/>
  <c r="O13" i="31"/>
  <c r="O8" i="31"/>
  <c r="O5" i="31"/>
  <c r="O10" i="31"/>
  <c r="O9" i="31"/>
  <c r="B27" i="31"/>
  <c r="O14" i="31"/>
  <c r="O12" i="31"/>
  <c r="B22" i="31"/>
  <c r="B21" i="31"/>
  <c r="B23" i="31"/>
  <c r="B20" i="31"/>
  <c r="B24" i="31"/>
  <c r="B26" i="31"/>
  <c r="B25" i="31"/>
  <c r="B28" i="31"/>
  <c r="J5" i="31"/>
  <c r="J10" i="31"/>
  <c r="K10" i="31" s="1"/>
  <c r="J16" i="31"/>
  <c r="K16" i="31" s="1"/>
  <c r="J6" i="31"/>
  <c r="K6" i="31" s="1"/>
  <c r="J14" i="31"/>
  <c r="K14" i="31" s="1"/>
  <c r="J11" i="31"/>
  <c r="K11" i="31" s="1"/>
  <c r="J12" i="31"/>
  <c r="K12" i="31" s="1"/>
  <c r="J7" i="31"/>
  <c r="K7" i="31" s="1"/>
  <c r="J9" i="31"/>
  <c r="K9" i="31" s="1"/>
  <c r="J8" i="31"/>
  <c r="K8" i="31" s="1"/>
  <c r="J15" i="31"/>
  <c r="K15" i="31" s="1"/>
  <c r="J13" i="31"/>
  <c r="K13" i="31" s="1"/>
  <c r="B15" i="12"/>
  <c r="L16" i="12"/>
  <c r="L22" i="12" s="1"/>
  <c r="L17" i="12"/>
  <c r="L23" i="12" s="1"/>
  <c r="I17" i="12"/>
  <c r="I23" i="12" s="1"/>
  <c r="C17" i="12"/>
  <c r="C23" i="12" s="1"/>
  <c r="E17" i="12"/>
  <c r="E23" i="12" s="1"/>
  <c r="G17" i="12"/>
  <c r="G23" i="12" s="1"/>
  <c r="K17" i="12"/>
  <c r="K23" i="12" s="1"/>
  <c r="M17" i="12"/>
  <c r="M23" i="12" s="1"/>
  <c r="B17" i="12"/>
  <c r="B23" i="12" s="1"/>
  <c r="D17" i="12"/>
  <c r="D23" i="12" s="1"/>
  <c r="F17" i="12"/>
  <c r="F23" i="12" s="1"/>
  <c r="H17" i="12"/>
  <c r="H23" i="12" s="1"/>
  <c r="J17" i="12"/>
  <c r="J23" i="12" s="1"/>
  <c r="B16" i="12"/>
  <c r="B22" i="12" s="1"/>
  <c r="C16" i="12"/>
  <c r="C22" i="12" s="1"/>
  <c r="E16" i="12"/>
  <c r="E22" i="12" s="1"/>
  <c r="G16" i="12"/>
  <c r="G22" i="12" s="1"/>
  <c r="I16" i="12"/>
  <c r="I22" i="12" s="1"/>
  <c r="K16" i="12"/>
  <c r="K22" i="12" s="1"/>
  <c r="K25" i="12" s="1"/>
  <c r="M16" i="12"/>
  <c r="M22" i="12" s="1"/>
  <c r="M25" i="12" s="1"/>
  <c r="D16" i="12"/>
  <c r="D22" i="12" s="1"/>
  <c r="F16" i="12"/>
  <c r="F22" i="12" s="1"/>
  <c r="H16" i="12"/>
  <c r="H22" i="12" s="1"/>
  <c r="J16" i="12"/>
  <c r="J22" i="12" s="1"/>
  <c r="K24" i="12"/>
  <c r="J669" i="11"/>
  <c r="K669" i="11"/>
  <c r="J120" i="11"/>
  <c r="J124" i="11"/>
  <c r="J128" i="11"/>
  <c r="J131" i="11"/>
  <c r="J133" i="11"/>
  <c r="J136" i="11"/>
  <c r="J138" i="11"/>
  <c r="J144" i="11"/>
  <c r="J147" i="11"/>
  <c r="J151" i="11"/>
  <c r="J153" i="11"/>
  <c r="J155" i="11"/>
  <c r="J157" i="11"/>
  <c r="J160" i="11"/>
  <c r="J161" i="11"/>
  <c r="J163" i="11"/>
  <c r="J165" i="11"/>
  <c r="J166" i="11"/>
  <c r="J168" i="11"/>
  <c r="J169" i="11"/>
  <c r="J171" i="11"/>
  <c r="J175" i="11"/>
  <c r="J176" i="11"/>
  <c r="J177" i="11"/>
  <c r="J178" i="11"/>
  <c r="J180" i="11"/>
  <c r="J182" i="11"/>
  <c r="J185" i="11"/>
  <c r="J188" i="11"/>
  <c r="J190" i="11"/>
  <c r="J192" i="11"/>
  <c r="J193" i="11"/>
  <c r="J194" i="11"/>
  <c r="J196" i="11"/>
  <c r="J198" i="11"/>
  <c r="J201" i="11"/>
  <c r="J203" i="11"/>
  <c r="J205" i="11"/>
  <c r="J208" i="11"/>
  <c r="J210" i="11"/>
  <c r="J211" i="11"/>
  <c r="J212" i="11"/>
  <c r="J214" i="11"/>
  <c r="J215" i="11"/>
  <c r="J216" i="11"/>
  <c r="J221" i="11"/>
  <c r="J222" i="11"/>
  <c r="J225" i="11"/>
  <c r="J226" i="11"/>
  <c r="J232" i="11"/>
  <c r="J237" i="11"/>
  <c r="J240" i="11"/>
  <c r="J242" i="11"/>
  <c r="J243" i="11"/>
  <c r="J245" i="11"/>
  <c r="J249" i="11"/>
  <c r="J250" i="11"/>
  <c r="J251" i="11"/>
  <c r="J252" i="11"/>
  <c r="J260" i="11"/>
  <c r="J261" i="11"/>
  <c r="J264" i="11"/>
  <c r="J267" i="11"/>
  <c r="J269" i="11"/>
  <c r="J270" i="11"/>
  <c r="J271" i="11"/>
  <c r="J272" i="11"/>
  <c r="J274" i="11"/>
  <c r="J276" i="11"/>
  <c r="J278" i="11"/>
  <c r="J281" i="11"/>
  <c r="J282" i="11"/>
  <c r="J286" i="11"/>
  <c r="J288" i="11"/>
  <c r="J290" i="11"/>
  <c r="J293" i="11"/>
  <c r="J295" i="11"/>
  <c r="J296" i="11"/>
  <c r="J299" i="11"/>
  <c r="J302" i="11"/>
  <c r="J304" i="11"/>
  <c r="J305" i="11"/>
  <c r="J309" i="11"/>
  <c r="J314" i="11"/>
  <c r="J316" i="11"/>
  <c r="J317" i="11"/>
  <c r="J320" i="11"/>
  <c r="J329" i="11"/>
  <c r="J332" i="11"/>
  <c r="J334" i="11"/>
  <c r="J335" i="11"/>
  <c r="J340" i="11"/>
  <c r="J341" i="11"/>
  <c r="J343" i="11"/>
  <c r="J344" i="11"/>
  <c r="J345" i="11"/>
  <c r="J349" i="11"/>
  <c r="J350" i="11"/>
  <c r="J353" i="11"/>
  <c r="J355" i="11"/>
  <c r="J356" i="11"/>
  <c r="J359" i="11"/>
  <c r="J365" i="11"/>
  <c r="J369" i="11"/>
  <c r="J372" i="11"/>
  <c r="J374" i="11"/>
  <c r="J377" i="11"/>
  <c r="J378" i="11"/>
  <c r="J380" i="11"/>
  <c r="J383" i="11"/>
  <c r="J386" i="11"/>
  <c r="J388" i="11"/>
  <c r="J391" i="11"/>
  <c r="J392" i="11"/>
  <c r="J396" i="11"/>
  <c r="J397" i="11"/>
  <c r="J398" i="11"/>
  <c r="J399" i="11"/>
  <c r="J402" i="11"/>
  <c r="J406" i="11"/>
  <c r="J409" i="11"/>
  <c r="J414" i="11"/>
  <c r="J417" i="11"/>
  <c r="J418" i="11"/>
  <c r="J421" i="11"/>
  <c r="J422" i="11"/>
  <c r="J423" i="11"/>
  <c r="J426" i="11"/>
  <c r="J427" i="11"/>
  <c r="J431" i="11"/>
  <c r="J434" i="11"/>
  <c r="J438" i="11"/>
  <c r="J439" i="11"/>
  <c r="J441" i="11"/>
  <c r="J443" i="11"/>
  <c r="J448" i="11"/>
  <c r="J451" i="11"/>
  <c r="J452" i="11"/>
  <c r="J453" i="11"/>
  <c r="J454" i="11"/>
  <c r="J457" i="11"/>
  <c r="J460" i="11"/>
  <c r="J463" i="11"/>
  <c r="J465" i="11"/>
  <c r="J471" i="11"/>
  <c r="J472" i="11"/>
  <c r="J474" i="11"/>
  <c r="J475" i="11"/>
  <c r="J477" i="11"/>
  <c r="J478" i="11"/>
  <c r="J483" i="11"/>
  <c r="J487" i="11"/>
  <c r="J489" i="11"/>
  <c r="J492" i="11"/>
  <c r="J499" i="11"/>
  <c r="J502" i="11"/>
  <c r="J504" i="11"/>
  <c r="J508" i="11"/>
  <c r="J509" i="11"/>
  <c r="J510" i="11"/>
  <c r="J512" i="11"/>
  <c r="J517" i="11"/>
  <c r="J519" i="11"/>
  <c r="J521" i="11"/>
  <c r="J527" i="11"/>
  <c r="J528" i="11"/>
  <c r="J530" i="11"/>
  <c r="J531" i="11"/>
  <c r="J534" i="11"/>
  <c r="J537" i="11"/>
  <c r="J540" i="11"/>
  <c r="J542" i="11"/>
  <c r="J548" i="11"/>
  <c r="J549" i="11"/>
  <c r="J551" i="11"/>
  <c r="J552" i="11"/>
  <c r="J554" i="11"/>
  <c r="J557" i="11"/>
  <c r="J559" i="11"/>
  <c r="J560" i="11"/>
  <c r="J561" i="11"/>
  <c r="J563" i="11"/>
  <c r="J565" i="11"/>
  <c r="J567" i="11"/>
  <c r="J568" i="11"/>
  <c r="J573" i="11"/>
  <c r="J575" i="11"/>
  <c r="J578" i="11"/>
  <c r="J582" i="11"/>
  <c r="J585" i="11"/>
  <c r="J590" i="11"/>
  <c r="J591" i="11"/>
  <c r="J592" i="11"/>
  <c r="J595" i="11"/>
  <c r="J596" i="11"/>
  <c r="J598" i="11"/>
  <c r="J601" i="11"/>
  <c r="J607" i="11"/>
  <c r="J609" i="11"/>
  <c r="J610" i="11"/>
  <c r="J612" i="11"/>
  <c r="J613" i="11"/>
  <c r="J616" i="11"/>
  <c r="J620" i="11"/>
  <c r="J624" i="11"/>
  <c r="J629" i="11"/>
  <c r="J634" i="11"/>
  <c r="J636" i="11"/>
  <c r="J639" i="11"/>
  <c r="J641" i="11"/>
  <c r="J644" i="11"/>
  <c r="J648" i="11"/>
  <c r="J651" i="11"/>
  <c r="J653" i="11"/>
  <c r="J654" i="11"/>
  <c r="J659" i="11"/>
  <c r="J662" i="11"/>
  <c r="J664" i="11"/>
  <c r="J665" i="11"/>
  <c r="J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I6" i="24"/>
  <c r="I507" i="24"/>
  <c r="I508" i="24"/>
  <c r="I509" i="24"/>
  <c r="I510" i="24"/>
  <c r="I511" i="24"/>
  <c r="I512" i="24"/>
  <c r="I513" i="24"/>
  <c r="I514" i="24"/>
  <c r="I515" i="24"/>
  <c r="I516" i="24"/>
  <c r="I517" i="24"/>
  <c r="I518" i="24"/>
  <c r="I519" i="24"/>
  <c r="I520" i="24"/>
  <c r="I521" i="24"/>
  <c r="I522" i="24"/>
  <c r="I523" i="24"/>
  <c r="I524" i="24"/>
  <c r="I525" i="24"/>
  <c r="I526" i="24"/>
  <c r="I527" i="24"/>
  <c r="I528" i="24"/>
  <c r="I529" i="24"/>
  <c r="I530" i="24"/>
  <c r="I531" i="24"/>
  <c r="I532" i="24"/>
  <c r="I533" i="24"/>
  <c r="I534" i="24"/>
  <c r="I535" i="24"/>
  <c r="I536" i="24"/>
  <c r="I537" i="24"/>
  <c r="I538" i="24"/>
  <c r="I539" i="24"/>
  <c r="I540" i="24"/>
  <c r="I541" i="24"/>
  <c r="I542" i="24"/>
  <c r="I543" i="24"/>
  <c r="I544" i="24"/>
  <c r="I545" i="24"/>
  <c r="I546" i="24"/>
  <c r="I547" i="24"/>
  <c r="I548" i="24"/>
  <c r="I549" i="24"/>
  <c r="I550" i="24"/>
  <c r="I551" i="24"/>
  <c r="I552" i="24"/>
  <c r="I553" i="24"/>
  <c r="I554" i="24"/>
  <c r="I555" i="24"/>
  <c r="I556" i="24"/>
  <c r="I557" i="24"/>
  <c r="I558" i="24"/>
  <c r="I559" i="24"/>
  <c r="I560" i="24"/>
  <c r="I561" i="24"/>
  <c r="I562" i="24"/>
  <c r="I563" i="24"/>
  <c r="I564" i="24"/>
  <c r="I565" i="24"/>
  <c r="I566" i="24"/>
  <c r="I567" i="24"/>
  <c r="I568" i="24"/>
  <c r="I569" i="24"/>
  <c r="I570" i="24"/>
  <c r="I571" i="24"/>
  <c r="I572" i="24"/>
  <c r="I573" i="24"/>
  <c r="I574" i="24"/>
  <c r="I575" i="24"/>
  <c r="I576" i="24"/>
  <c r="I577" i="24"/>
  <c r="I578" i="24"/>
  <c r="I579" i="24"/>
  <c r="I580" i="24"/>
  <c r="I581" i="24"/>
  <c r="I582" i="24"/>
  <c r="I583" i="24"/>
  <c r="I584" i="24"/>
  <c r="I585" i="24"/>
  <c r="I586" i="24"/>
  <c r="I587" i="24"/>
  <c r="I588" i="24"/>
  <c r="I589" i="24"/>
  <c r="I590" i="24"/>
  <c r="I591" i="24"/>
  <c r="I592" i="24"/>
  <c r="I593" i="24"/>
  <c r="I594" i="24"/>
  <c r="I595" i="24"/>
  <c r="I596" i="24"/>
  <c r="I597" i="24"/>
  <c r="I598" i="24"/>
  <c r="I599" i="24"/>
  <c r="I600" i="24"/>
  <c r="I601" i="24"/>
  <c r="I602" i="24"/>
  <c r="I603" i="24"/>
  <c r="I604" i="24"/>
  <c r="I605" i="24"/>
  <c r="I606" i="24"/>
  <c r="I607" i="24"/>
  <c r="I608" i="24"/>
  <c r="I609" i="24"/>
  <c r="I610" i="24"/>
  <c r="I611" i="24"/>
  <c r="I612" i="24"/>
  <c r="I613" i="24"/>
  <c r="I614" i="24"/>
  <c r="I615" i="24"/>
  <c r="I616" i="24"/>
  <c r="I617" i="24"/>
  <c r="I618" i="24"/>
  <c r="I619" i="24"/>
  <c r="I620" i="24"/>
  <c r="I621" i="24"/>
  <c r="I622" i="24"/>
  <c r="I623" i="24"/>
  <c r="I624" i="24"/>
  <c r="I625" i="24"/>
  <c r="I626" i="24"/>
  <c r="I627" i="24"/>
  <c r="I628" i="24"/>
  <c r="I629" i="24"/>
  <c r="I630" i="24"/>
  <c r="I631" i="24"/>
  <c r="I632" i="24"/>
  <c r="I633" i="24"/>
  <c r="I634" i="24"/>
  <c r="I635" i="24"/>
  <c r="I636" i="24"/>
  <c r="I637" i="24"/>
  <c r="I638" i="24"/>
  <c r="I639" i="24"/>
  <c r="I640" i="24"/>
  <c r="I641" i="24"/>
  <c r="I642" i="24"/>
  <c r="I643" i="24"/>
  <c r="I644" i="24"/>
  <c r="I645" i="24"/>
  <c r="I646" i="24"/>
  <c r="I647" i="24"/>
  <c r="I648" i="24"/>
  <c r="I649" i="24"/>
  <c r="I650" i="24"/>
  <c r="I651" i="24"/>
  <c r="I652" i="24"/>
  <c r="I653" i="24"/>
  <c r="I654" i="24"/>
  <c r="I655" i="24"/>
  <c r="I656" i="24"/>
  <c r="I657" i="24"/>
  <c r="I658" i="24"/>
  <c r="I659" i="24"/>
  <c r="I660" i="24"/>
  <c r="I661" i="24"/>
  <c r="I662" i="24"/>
  <c r="I663" i="24"/>
  <c r="I664" i="24"/>
  <c r="I665" i="24"/>
  <c r="I666" i="24"/>
  <c r="I667" i="24"/>
  <c r="I668" i="24"/>
  <c r="I669" i="24"/>
  <c r="I670" i="24"/>
  <c r="I671" i="24"/>
  <c r="I672" i="24"/>
  <c r="I673" i="24"/>
  <c r="I674" i="24"/>
  <c r="I675" i="24"/>
  <c r="I676" i="24"/>
  <c r="I677" i="24"/>
  <c r="I678" i="24"/>
  <c r="I679" i="24"/>
  <c r="I680" i="24"/>
  <c r="I681" i="24"/>
  <c r="I682" i="24"/>
  <c r="I683" i="24"/>
  <c r="I684" i="24"/>
  <c r="I685" i="24"/>
  <c r="I686" i="24"/>
  <c r="I687" i="24"/>
  <c r="I688" i="24"/>
  <c r="I689" i="24"/>
  <c r="I690" i="24"/>
  <c r="I691" i="24"/>
  <c r="I692" i="24"/>
  <c r="I693" i="24"/>
  <c r="I694" i="24"/>
  <c r="I695" i="24"/>
  <c r="I696" i="24"/>
  <c r="I697" i="24"/>
  <c r="I698" i="24"/>
  <c r="I699" i="24"/>
  <c r="I700" i="24"/>
  <c r="I701" i="24"/>
  <c r="I702" i="24"/>
  <c r="I703" i="24"/>
  <c r="I704" i="24"/>
  <c r="I705" i="24"/>
  <c r="I706" i="24"/>
  <c r="I707" i="24"/>
  <c r="I708" i="24"/>
  <c r="I709" i="24"/>
  <c r="I710" i="24"/>
  <c r="I711" i="24"/>
  <c r="I712" i="24"/>
  <c r="I713" i="24"/>
  <c r="I714" i="24"/>
  <c r="I715" i="24"/>
  <c r="I716" i="24"/>
  <c r="I717" i="24"/>
  <c r="I718" i="24"/>
  <c r="I719" i="24"/>
  <c r="I720" i="24"/>
  <c r="I721" i="24"/>
  <c r="I722" i="24"/>
  <c r="I723" i="24"/>
  <c r="I724" i="24"/>
  <c r="I725" i="24"/>
  <c r="I726" i="24"/>
  <c r="I727" i="24"/>
  <c r="I728" i="24"/>
  <c r="I729" i="24"/>
  <c r="I730" i="24"/>
  <c r="I731" i="24"/>
  <c r="I732" i="24"/>
  <c r="I733" i="24"/>
  <c r="I734" i="24"/>
  <c r="K120" i="11"/>
  <c r="K124" i="11"/>
  <c r="K128" i="11"/>
  <c r="K131" i="11"/>
  <c r="K133" i="11"/>
  <c r="K136" i="11"/>
  <c r="K138" i="11"/>
  <c r="K144" i="11"/>
  <c r="K147" i="11"/>
  <c r="K151" i="11"/>
  <c r="K153" i="11"/>
  <c r="K155" i="11"/>
  <c r="K157" i="11"/>
  <c r="K160" i="11"/>
  <c r="K161" i="11"/>
  <c r="K163" i="11"/>
  <c r="K165" i="11"/>
  <c r="K166" i="11"/>
  <c r="K168" i="11"/>
  <c r="K169" i="11"/>
  <c r="K171" i="11"/>
  <c r="K175" i="11"/>
  <c r="K176" i="11"/>
  <c r="K177" i="11"/>
  <c r="K178" i="11"/>
  <c r="K180" i="11"/>
  <c r="K182" i="11"/>
  <c r="K185" i="11"/>
  <c r="K188" i="11"/>
  <c r="K190" i="11"/>
  <c r="K192" i="11"/>
  <c r="K193" i="11"/>
  <c r="K194" i="11"/>
  <c r="K196" i="11"/>
  <c r="K198" i="11"/>
  <c r="K201" i="11"/>
  <c r="K203" i="11"/>
  <c r="K205" i="11"/>
  <c r="K208" i="11"/>
  <c r="K210" i="11"/>
  <c r="K211" i="11"/>
  <c r="K212" i="11"/>
  <c r="K214" i="11"/>
  <c r="K215" i="11"/>
  <c r="K216" i="11"/>
  <c r="K221" i="11"/>
  <c r="K222" i="11"/>
  <c r="K225" i="11"/>
  <c r="K226" i="11"/>
  <c r="K232" i="11"/>
  <c r="K237" i="11"/>
  <c r="K240" i="11"/>
  <c r="K242" i="11"/>
  <c r="K243" i="11"/>
  <c r="K245" i="11"/>
  <c r="K249" i="11"/>
  <c r="K250" i="11"/>
  <c r="K251" i="11"/>
  <c r="K252" i="11"/>
  <c r="K260" i="11"/>
  <c r="K261" i="11"/>
  <c r="K264" i="11"/>
  <c r="K267" i="11"/>
  <c r="K269" i="11"/>
  <c r="K270" i="11"/>
  <c r="K271" i="11"/>
  <c r="K272" i="11"/>
  <c r="K274" i="11"/>
  <c r="K276" i="11"/>
  <c r="K278" i="11"/>
  <c r="K281" i="11"/>
  <c r="K282" i="11"/>
  <c r="K286" i="11"/>
  <c r="K288" i="11"/>
  <c r="K290" i="11"/>
  <c r="K293" i="11"/>
  <c r="K295" i="11"/>
  <c r="K296" i="11"/>
  <c r="K299" i="11"/>
  <c r="K302" i="11"/>
  <c r="K304" i="11"/>
  <c r="K305" i="11"/>
  <c r="K309" i="11"/>
  <c r="K314" i="11"/>
  <c r="K316" i="11"/>
  <c r="K317" i="11"/>
  <c r="K320" i="11"/>
  <c r="K329" i="11"/>
  <c r="K332" i="11"/>
  <c r="K334" i="11"/>
  <c r="K335" i="11"/>
  <c r="K340" i="11"/>
  <c r="K341" i="11"/>
  <c r="K343" i="11"/>
  <c r="K344" i="11"/>
  <c r="K345" i="11"/>
  <c r="K349" i="11"/>
  <c r="K350" i="11"/>
  <c r="K353" i="11"/>
  <c r="K355" i="11"/>
  <c r="K356" i="11"/>
  <c r="K359" i="11"/>
  <c r="K365" i="11"/>
  <c r="K369" i="11"/>
  <c r="K372" i="11"/>
  <c r="K374" i="11"/>
  <c r="K377" i="11"/>
  <c r="K378" i="11"/>
  <c r="K380" i="11"/>
  <c r="K383" i="11"/>
  <c r="K386" i="11"/>
  <c r="K388" i="11"/>
  <c r="K391" i="11"/>
  <c r="K392" i="11"/>
  <c r="K396" i="11"/>
  <c r="K397" i="11"/>
  <c r="K398" i="11"/>
  <c r="K399" i="11"/>
  <c r="K402" i="11"/>
  <c r="K406" i="11"/>
  <c r="K409" i="11"/>
  <c r="K414" i="11"/>
  <c r="K417" i="11"/>
  <c r="K418" i="11"/>
  <c r="K421" i="11"/>
  <c r="K422" i="11"/>
  <c r="K423" i="11"/>
  <c r="K426" i="11"/>
  <c r="K427" i="11"/>
  <c r="K431" i="11"/>
  <c r="K434" i="11"/>
  <c r="K438" i="11"/>
  <c r="K439" i="11"/>
  <c r="K441" i="11"/>
  <c r="K443" i="11"/>
  <c r="K448" i="11"/>
  <c r="K451" i="11"/>
  <c r="K452" i="11"/>
  <c r="K453" i="11"/>
  <c r="K454" i="11"/>
  <c r="K457" i="11"/>
  <c r="K460" i="11"/>
  <c r="K463" i="11"/>
  <c r="K465" i="11"/>
  <c r="K471" i="11"/>
  <c r="K472" i="11"/>
  <c r="K474" i="11"/>
  <c r="K475" i="11"/>
  <c r="K477" i="11"/>
  <c r="K478" i="11"/>
  <c r="K483" i="11"/>
  <c r="K487" i="11"/>
  <c r="K489" i="11"/>
  <c r="K492" i="11"/>
  <c r="K499" i="11"/>
  <c r="K502" i="11"/>
  <c r="K504" i="11"/>
  <c r="K508" i="11"/>
  <c r="K509" i="11"/>
  <c r="K510" i="11"/>
  <c r="K512" i="11"/>
  <c r="K517" i="11"/>
  <c r="K519" i="11"/>
  <c r="K521" i="11"/>
  <c r="K527" i="11"/>
  <c r="K528" i="11"/>
  <c r="K530" i="11"/>
  <c r="K531" i="11"/>
  <c r="K534" i="11"/>
  <c r="K537" i="11"/>
  <c r="K540" i="11"/>
  <c r="K542" i="11"/>
  <c r="K548" i="11"/>
  <c r="K549" i="11"/>
  <c r="K551" i="11"/>
  <c r="K552" i="11"/>
  <c r="K554" i="11"/>
  <c r="K557" i="11"/>
  <c r="K559" i="11"/>
  <c r="K560" i="11"/>
  <c r="K561" i="11"/>
  <c r="K563" i="11"/>
  <c r="K565" i="11"/>
  <c r="K567" i="11"/>
  <c r="K568" i="11"/>
  <c r="K573" i="11"/>
  <c r="K575" i="11"/>
  <c r="K578" i="11"/>
  <c r="K582" i="11"/>
  <c r="K585" i="11"/>
  <c r="K590" i="11"/>
  <c r="K591" i="11"/>
  <c r="K592" i="11"/>
  <c r="K595" i="11"/>
  <c r="K596" i="11"/>
  <c r="K598" i="11"/>
  <c r="K601" i="11"/>
  <c r="K607" i="11"/>
  <c r="K609" i="11"/>
  <c r="K610" i="11"/>
  <c r="K612" i="11"/>
  <c r="K613" i="11"/>
  <c r="K616" i="11"/>
  <c r="K620" i="11"/>
  <c r="K624" i="11"/>
  <c r="K629" i="11"/>
  <c r="K634" i="11"/>
  <c r="K636" i="11"/>
  <c r="K639" i="11"/>
  <c r="K641" i="11"/>
  <c r="K644" i="11"/>
  <c r="K648" i="11"/>
  <c r="K651" i="11"/>
  <c r="K653" i="11"/>
  <c r="K654" i="11"/>
  <c r="K659" i="11"/>
  <c r="K662" i="11"/>
  <c r="K664" i="11"/>
  <c r="K665" i="11"/>
  <c r="K21" i="31" l="1"/>
  <c r="O17" i="31"/>
  <c r="M23" i="20" s="1"/>
  <c r="K22" i="31"/>
  <c r="K20" i="31"/>
  <c r="K24" i="31"/>
  <c r="K23" i="31"/>
  <c r="H21" i="31"/>
  <c r="G21" i="31" s="1"/>
  <c r="H20" i="31"/>
  <c r="G20" i="31" s="1"/>
  <c r="H22" i="31"/>
  <c r="G22" i="31" s="1"/>
  <c r="K5" i="31"/>
  <c r="M11" i="20"/>
  <c r="C10" i="31"/>
  <c r="C8" i="31"/>
  <c r="C9" i="31"/>
  <c r="F25" i="12"/>
  <c r="L25" i="12"/>
  <c r="B25" i="12"/>
  <c r="B26" i="12" s="1"/>
  <c r="C26" i="12" s="1"/>
  <c r="D26" i="12" s="1"/>
  <c r="E26" i="12" s="1"/>
  <c r="F26" i="12" s="1"/>
  <c r="G26" i="12" s="1"/>
  <c r="H26" i="12" s="1"/>
  <c r="I26" i="12" s="1"/>
  <c r="J26" i="12" s="1"/>
  <c r="K26" i="12" s="1"/>
  <c r="L26" i="12" s="1"/>
  <c r="M26" i="12" s="1"/>
  <c r="E24" i="12"/>
  <c r="I25" i="12"/>
  <c r="M24" i="12"/>
  <c r="L24" i="12"/>
  <c r="I24" i="12"/>
  <c r="H25" i="12"/>
  <c r="D24" i="12"/>
  <c r="G24" i="12"/>
  <c r="C24" i="12"/>
  <c r="H24" i="12"/>
  <c r="D25" i="12"/>
  <c r="G25" i="12"/>
  <c r="C25" i="12"/>
  <c r="J25" i="12"/>
  <c r="B24" i="12"/>
  <c r="E25" i="12"/>
  <c r="M10" i="12"/>
  <c r="B18" i="12"/>
  <c r="C15" i="12" s="1"/>
  <c r="C18" i="12" s="1"/>
  <c r="D15" i="12" s="1"/>
  <c r="D18" i="12" s="1"/>
  <c r="E15" i="12" s="1"/>
  <c r="E18" i="12" s="1"/>
  <c r="F15" i="12" s="1"/>
  <c r="F18" i="12" s="1"/>
  <c r="G15" i="12" s="1"/>
  <c r="G18" i="12" s="1"/>
  <c r="H15" i="12" s="1"/>
  <c r="H18" i="12" s="1"/>
  <c r="I15" i="12" s="1"/>
  <c r="I18" i="12" s="1"/>
  <c r="J15" i="12" s="1"/>
  <c r="J18" i="12" s="1"/>
  <c r="K15" i="12" s="1"/>
  <c r="K18" i="12" s="1"/>
  <c r="L15" i="12" s="1"/>
  <c r="L18" i="12" s="1"/>
  <c r="M15" i="12" s="1"/>
  <c r="M18" i="12" s="1"/>
  <c r="N15" i="12" s="1"/>
  <c r="J24" i="12"/>
  <c r="F24" i="12"/>
  <c r="B10" i="12"/>
  <c r="D10" i="12"/>
  <c r="F10" i="12"/>
  <c r="H10" i="12"/>
  <c r="J10" i="12"/>
  <c r="L10" i="12"/>
  <c r="C10" i="12"/>
  <c r="E10" i="12"/>
  <c r="G10" i="12"/>
  <c r="I10" i="12"/>
  <c r="K10" i="12"/>
  <c r="L9" i="12"/>
  <c r="B9" i="12"/>
  <c r="C9" i="12"/>
  <c r="E9" i="12"/>
  <c r="G9" i="12"/>
  <c r="I9" i="12"/>
  <c r="K9" i="12"/>
  <c r="M9" i="12"/>
  <c r="B8" i="12"/>
  <c r="D9" i="12"/>
  <c r="F9" i="12"/>
  <c r="H9" i="12"/>
  <c r="J9" i="12"/>
  <c r="J8" i="8"/>
  <c r="C11" i="31" l="1"/>
  <c r="B7" i="20" s="1"/>
  <c r="B11" i="12"/>
  <c r="C8" i="12" s="1"/>
  <c r="C11" i="12" s="1"/>
  <c r="D8" i="12" s="1"/>
  <c r="D11" i="12" s="1"/>
  <c r="E8" i="12" s="1"/>
  <c r="E11" i="12" s="1"/>
  <c r="F8" i="12" s="1"/>
  <c r="F11" i="12" s="1"/>
  <c r="J14" i="7"/>
  <c r="G8" i="12" l="1"/>
  <c r="G11" i="12" s="1"/>
  <c r="H8" i="12" l="1"/>
  <c r="H11" i="12" s="1"/>
  <c r="I8" i="12" l="1"/>
  <c r="I11" i="12" s="1"/>
  <c r="J8" i="12" l="1"/>
  <c r="J11" i="12" s="1"/>
  <c r="K8" i="12" l="1"/>
  <c r="K11" i="12" s="1"/>
  <c r="L8" i="12" l="1"/>
  <c r="L11" i="12" s="1"/>
  <c r="M8" i="12" l="1"/>
  <c r="M11" i="12" s="1"/>
</calcChain>
</file>

<file path=xl/comments1.xml><?xml version="1.0" encoding="utf-8"?>
<comments xmlns="http://schemas.openxmlformats.org/spreadsheetml/2006/main">
  <authors>
    <author>USER</author>
  </authors>
  <commentList>
    <comment ref="N3" authorId="0" shapeId="0">
      <text>
        <r>
          <rPr>
            <b/>
            <sz val="9"/>
            <color indexed="81"/>
            <rFont val="Segoe UI"/>
            <charset val="1"/>
          </rPr>
          <t>É recomendado utilizar somente um filtro por vez para que a visualização dos dados seja clara.</t>
        </r>
      </text>
    </comment>
  </commentList>
</comments>
</file>

<file path=xl/sharedStrings.xml><?xml version="1.0" encoding="utf-8"?>
<sst xmlns="http://schemas.openxmlformats.org/spreadsheetml/2006/main" count="7141" uniqueCount="1564">
  <si>
    <t>FLUXO DE CAIXA EMPRESARIAL</t>
  </si>
  <si>
    <t>Empresa</t>
  </si>
  <si>
    <t>Responsável</t>
  </si>
  <si>
    <t>REGISTROS</t>
  </si>
  <si>
    <t>RELATÓRIOS</t>
  </si>
  <si>
    <t>DASHBOARDS</t>
  </si>
  <si>
    <t>REGISTRAR ENTRADA</t>
  </si>
  <si>
    <t>BASE DE OPERAÇÃO</t>
  </si>
  <si>
    <t>VENDEDOR</t>
  </si>
  <si>
    <t>Empréstimos</t>
  </si>
  <si>
    <t>Receitas Financeiras</t>
  </si>
  <si>
    <t>Venda de Ativos</t>
  </si>
  <si>
    <t>Venda de Mercadorias</t>
  </si>
  <si>
    <t>Empréstimos Capital de Giro</t>
  </si>
  <si>
    <t>Juros Sobre Aplicações</t>
  </si>
  <si>
    <t>Mobiliário Próprio</t>
  </si>
  <si>
    <t>Eletrodomésticos</t>
  </si>
  <si>
    <t>Informática</t>
  </si>
  <si>
    <t>Livros</t>
  </si>
  <si>
    <t>Móveis</t>
  </si>
  <si>
    <t>Som e Imagem</t>
  </si>
  <si>
    <t>REGISTRAR SAÍDA</t>
  </si>
  <si>
    <t>PLANO DE SAÍDAS</t>
  </si>
  <si>
    <t>NÍVEL 1</t>
  </si>
  <si>
    <t>NÍVEL 2</t>
  </si>
  <si>
    <t xml:space="preserve">           PLANO DE ENTRADAS</t>
  </si>
  <si>
    <t>Compra de mercadorias</t>
  </si>
  <si>
    <t>Despesas administrativas</t>
  </si>
  <si>
    <t>Despesas comerciais</t>
  </si>
  <si>
    <t>Despesas financeiras</t>
  </si>
  <si>
    <t>Imposto de renda</t>
  </si>
  <si>
    <t>Impostos sobre as vendas</t>
  </si>
  <si>
    <t>Som e imagem</t>
  </si>
  <si>
    <t>Vestuário</t>
  </si>
  <si>
    <t>Comunicação - internet e telefonia</t>
  </si>
  <si>
    <t>Energia elétrica</t>
  </si>
  <si>
    <t>Encargos sobre os salários dos vendedores</t>
  </si>
  <si>
    <t>Salários dos vendedores</t>
  </si>
  <si>
    <t>Juros sobre empréstimos</t>
  </si>
  <si>
    <t>IR sobre o lucro presumido</t>
  </si>
  <si>
    <t>Nível 1</t>
  </si>
  <si>
    <t>Nível 2</t>
  </si>
  <si>
    <t>SAÍDA (Nível 2)</t>
  </si>
  <si>
    <r>
      <t xml:space="preserve">BASE DE OPERAÇÃO </t>
    </r>
    <r>
      <rPr>
        <sz val="11"/>
        <color rgb="FFFF0000"/>
        <rFont val="Calibri"/>
        <family val="2"/>
        <scheme val="minor"/>
      </rPr>
      <t>*</t>
    </r>
  </si>
  <si>
    <r>
      <t xml:space="preserve">VALOR </t>
    </r>
    <r>
      <rPr>
        <sz val="11"/>
        <color rgb="FFFF0000"/>
        <rFont val="Calibri"/>
        <family val="2"/>
        <scheme val="minor"/>
      </rPr>
      <t>*</t>
    </r>
  </si>
  <si>
    <r>
      <t xml:space="preserve">ENTRADA (Nível 1) </t>
    </r>
    <r>
      <rPr>
        <sz val="11"/>
        <color rgb="FFFF0000"/>
        <rFont val="Calibri"/>
        <family val="2"/>
        <scheme val="minor"/>
      </rPr>
      <t>*</t>
    </r>
  </si>
  <si>
    <r>
      <t xml:space="preserve">ENTRADA (Nível 2) </t>
    </r>
    <r>
      <rPr>
        <sz val="11"/>
        <color rgb="FFFF0000"/>
        <rFont val="Calibri"/>
        <family val="2"/>
        <scheme val="minor"/>
      </rPr>
      <t>*</t>
    </r>
  </si>
  <si>
    <r>
      <t xml:space="preserve">SAÍDA (Nível 1) </t>
    </r>
    <r>
      <rPr>
        <sz val="11"/>
        <color rgb="FFFF0000"/>
        <rFont val="Calibri"/>
        <family val="2"/>
        <scheme val="minor"/>
      </rPr>
      <t>*</t>
    </r>
  </si>
  <si>
    <r>
      <t xml:space="preserve">DATA DO CAIXA REALIZADO </t>
    </r>
    <r>
      <rPr>
        <sz val="11"/>
        <color rgb="FFFF0000"/>
        <rFont val="Calibri"/>
        <family val="2"/>
        <scheme val="minor"/>
      </rPr>
      <t>*</t>
    </r>
  </si>
  <si>
    <r>
      <t xml:space="preserve">DATA DA COMPETÊNCIA </t>
    </r>
    <r>
      <rPr>
        <sz val="11"/>
        <color rgb="FFFF0000"/>
        <rFont val="Calibri"/>
        <family val="2"/>
        <scheme val="minor"/>
      </rPr>
      <t>*</t>
    </r>
  </si>
  <si>
    <r>
      <t xml:space="preserve">DATA DO CAIXA PREVISTO </t>
    </r>
    <r>
      <rPr>
        <sz val="11"/>
        <color rgb="FFFF0000"/>
        <rFont val="Calibri"/>
        <family val="2"/>
        <scheme val="minor"/>
      </rPr>
      <t>*</t>
    </r>
  </si>
  <si>
    <r>
      <t xml:space="preserve">HISTÓRICO </t>
    </r>
    <r>
      <rPr>
        <sz val="11"/>
        <color rgb="FFFF0000"/>
        <rFont val="Calibri"/>
        <family val="2"/>
        <scheme val="minor"/>
      </rPr>
      <t>*</t>
    </r>
  </si>
  <si>
    <t>DATA DE CAIXA REALIZADO</t>
  </si>
  <si>
    <t>DATA DA COMPETÊNCIA</t>
  </si>
  <si>
    <t>DATA DO CAIXA PREVISTO</t>
  </si>
  <si>
    <t>HISTÓRICO</t>
  </si>
  <si>
    <t>VALOR</t>
  </si>
  <si>
    <t>ENTRADA NÍVEL 2</t>
  </si>
  <si>
    <t>ENTRADA NÍVEL 1</t>
  </si>
  <si>
    <t>REGISTRO DE ENTRADAS</t>
  </si>
  <si>
    <t>REGISTRO DE BASES E VENDEDORES</t>
  </si>
  <si>
    <t>SÃO PAULO</t>
  </si>
  <si>
    <t>GUARULHOS</t>
  </si>
  <si>
    <t>ITAQUAQUECETUBA</t>
  </si>
  <si>
    <t>SANTOS</t>
  </si>
  <si>
    <t>GUARUJÁ</t>
  </si>
  <si>
    <t>OSASCO</t>
  </si>
  <si>
    <t>BARUERI</t>
  </si>
  <si>
    <t>Lucas Santos</t>
  </si>
  <si>
    <t>Ismael</t>
  </si>
  <si>
    <t>Manuel</t>
  </si>
  <si>
    <t>Marcos Silva</t>
  </si>
  <si>
    <t>Pedro Henrique</t>
  </si>
  <si>
    <t>José Paulo</t>
  </si>
  <si>
    <t>Matheus Souza</t>
  </si>
  <si>
    <t>Gian Gilson</t>
  </si>
  <si>
    <t>Clara Beltrão</t>
  </si>
  <si>
    <t xml:space="preserve">César Saulo </t>
  </si>
  <si>
    <t>Elias</t>
  </si>
  <si>
    <t>Armando</t>
  </si>
  <si>
    <t>Andréia Rita</t>
  </si>
  <si>
    <t xml:space="preserve">Eulália Sílvia </t>
  </si>
  <si>
    <t>Adriana Furtado</t>
  </si>
  <si>
    <t>Catarina Amorim</t>
  </si>
  <si>
    <t>Josefina Aragão</t>
  </si>
  <si>
    <t>Constância Delatorre</t>
  </si>
  <si>
    <t>Andrea Cruz</t>
  </si>
  <si>
    <t>Denise Franco</t>
  </si>
  <si>
    <t>Lucas Álvaro</t>
  </si>
  <si>
    <t>Alexandre Espinoza</t>
  </si>
  <si>
    <t>Abílio Carrara</t>
  </si>
  <si>
    <t>Constância Batista</t>
  </si>
  <si>
    <t>Camilo Borges</t>
  </si>
  <si>
    <t>Kátia Godói</t>
  </si>
  <si>
    <t>Carlos Perez</t>
  </si>
  <si>
    <t>Carlos Gusmão</t>
  </si>
  <si>
    <t xml:space="preserve">Tatiana Brito </t>
  </si>
  <si>
    <t>Gabriel Sobrinho</t>
  </si>
  <si>
    <t>Camila Azevedo</t>
  </si>
  <si>
    <t>Pedro Barbosa</t>
  </si>
  <si>
    <t>Elano Filho</t>
  </si>
  <si>
    <t>Gilmara Fonseca</t>
  </si>
  <si>
    <t>Reginaldo Casanova</t>
  </si>
  <si>
    <t>Gabriel Sena</t>
  </si>
  <si>
    <t>Mário Sobrinho</t>
  </si>
  <si>
    <t>Severino</t>
  </si>
  <si>
    <t>Murilo D'vila</t>
  </si>
  <si>
    <t>Ariel Galhardo</t>
  </si>
  <si>
    <t>Joana Soares</t>
  </si>
  <si>
    <t>Alberto Meireles</t>
  </si>
  <si>
    <t>Andréia Rezende</t>
  </si>
  <si>
    <t>Aparecida de Ferraz</t>
  </si>
  <si>
    <t>Alana Alcântara</t>
  </si>
  <si>
    <t>Sérgio Galvão</t>
  </si>
  <si>
    <t>Arnaldo Filho</t>
  </si>
  <si>
    <t>João Solano</t>
  </si>
  <si>
    <t>Luciano Galhardo</t>
  </si>
  <si>
    <t>Marlon Rocha</t>
  </si>
  <si>
    <t>Daniel Teles</t>
  </si>
  <si>
    <t>Dionísio Caldeira</t>
  </si>
  <si>
    <t>Anderson Filho</t>
  </si>
  <si>
    <t>Adriele Prado</t>
  </si>
  <si>
    <t>Helena Mendes</t>
  </si>
  <si>
    <t>Raiane Queirós</t>
  </si>
  <si>
    <t>Isabelala Mendes</t>
  </si>
  <si>
    <t>Emanuel da Silva</t>
  </si>
  <si>
    <t>Juliano Dias</t>
  </si>
  <si>
    <t>Antônio Ramires</t>
  </si>
  <si>
    <t>Vicente Neto</t>
  </si>
  <si>
    <t>Daniela Bragança</t>
  </si>
  <si>
    <t>Abílio Correia</t>
  </si>
  <si>
    <t>Celina Bezerra</t>
  </si>
  <si>
    <t>Hilda Silva</t>
  </si>
  <si>
    <t>Everton Padilha</t>
  </si>
  <si>
    <t>Vitória Garcia</t>
  </si>
  <si>
    <t>Fausto Fernandes</t>
  </si>
  <si>
    <t>Ana Karollyne</t>
  </si>
  <si>
    <t>SÃO MATEUS</t>
  </si>
  <si>
    <t>FRANCA</t>
  </si>
  <si>
    <r>
      <rPr>
        <sz val="11"/>
        <color theme="1"/>
        <rFont val="Calibri"/>
        <family val="2"/>
        <scheme val="minor"/>
      </rPr>
      <t>HISTÓRICO</t>
    </r>
    <r>
      <rPr>
        <sz val="11"/>
        <color rgb="FFFF0000"/>
        <rFont val="Calibri"/>
        <family val="2"/>
        <scheme val="minor"/>
      </rPr>
      <t xml:space="preserve"> *</t>
    </r>
  </si>
  <si>
    <t>REGISTRO DE SAÍDAS</t>
  </si>
  <si>
    <t>N/A</t>
  </si>
  <si>
    <t/>
  </si>
  <si>
    <t>NF7238</t>
  </si>
  <si>
    <t>NF9147</t>
  </si>
  <si>
    <t>NF8005</t>
  </si>
  <si>
    <t>NF5493</t>
  </si>
  <si>
    <t>NF7946</t>
  </si>
  <si>
    <t>NF8598</t>
  </si>
  <si>
    <t>NF1535</t>
  </si>
  <si>
    <t>NF4333</t>
  </si>
  <si>
    <t>NF8091</t>
  </si>
  <si>
    <t>NF2421</t>
  </si>
  <si>
    <t>NF9787</t>
  </si>
  <si>
    <t>NF8674</t>
  </si>
  <si>
    <t>NF5880</t>
  </si>
  <si>
    <t>NF2763</t>
  </si>
  <si>
    <t>NF3303</t>
  </si>
  <si>
    <t>NF3966</t>
  </si>
  <si>
    <t>NF6107</t>
  </si>
  <si>
    <t>NF4832</t>
  </si>
  <si>
    <t>NF5012</t>
  </si>
  <si>
    <t>NF7669</t>
  </si>
  <si>
    <t>NF7663</t>
  </si>
  <si>
    <t>NF4063</t>
  </si>
  <si>
    <t>NF4290</t>
  </si>
  <si>
    <t>NF7319</t>
  </si>
  <si>
    <t>NF7020</t>
  </si>
  <si>
    <t>NF7221</t>
  </si>
  <si>
    <t>NF5004</t>
  </si>
  <si>
    <t>NF8690</t>
  </si>
  <si>
    <t>NF3424</t>
  </si>
  <si>
    <t>NF5808</t>
  </si>
  <si>
    <t>NF2852</t>
  </si>
  <si>
    <t>NF2347</t>
  </si>
  <si>
    <t>NF7848</t>
  </si>
  <si>
    <t>NF4449</t>
  </si>
  <si>
    <t>NF7540</t>
  </si>
  <si>
    <t>NF7741</t>
  </si>
  <si>
    <t>NF6190</t>
  </si>
  <si>
    <t>NF4129</t>
  </si>
  <si>
    <t>NF6811</t>
  </si>
  <si>
    <t>NF1550</t>
  </si>
  <si>
    <t>NF7213</t>
  </si>
  <si>
    <t>NF8396</t>
  </si>
  <si>
    <t>NF2432</t>
  </si>
  <si>
    <t>NF4722</t>
  </si>
  <si>
    <t>NF8944</t>
  </si>
  <si>
    <t>NF2816</t>
  </si>
  <si>
    <t>NF6358</t>
  </si>
  <si>
    <t>NF8459</t>
  </si>
  <si>
    <t>NF5737</t>
  </si>
  <si>
    <t>NF8895</t>
  </si>
  <si>
    <t>NF2196</t>
  </si>
  <si>
    <t>NF1631</t>
  </si>
  <si>
    <t>NF9340</t>
  </si>
  <si>
    <t>NF6851</t>
  </si>
  <si>
    <t>NF3336</t>
  </si>
  <si>
    <t>NF7526</t>
  </si>
  <si>
    <t>NF3023</t>
  </si>
  <si>
    <t>NF7934</t>
  </si>
  <si>
    <t>NF7720</t>
  </si>
  <si>
    <t>NF2719</t>
  </si>
  <si>
    <t>NF3036</t>
  </si>
  <si>
    <t>NF4604</t>
  </si>
  <si>
    <t>NF2493</t>
  </si>
  <si>
    <t>NF5788</t>
  </si>
  <si>
    <t>NF9580</t>
  </si>
  <si>
    <t>NF4061</t>
  </si>
  <si>
    <t>NF6503</t>
  </si>
  <si>
    <t>NF6701</t>
  </si>
  <si>
    <t>NF8891</t>
  </si>
  <si>
    <t>NF2640</t>
  </si>
  <si>
    <t>NF8852</t>
  </si>
  <si>
    <t>NF7869</t>
  </si>
  <si>
    <t>NF4994</t>
  </si>
  <si>
    <t>NF5720</t>
  </si>
  <si>
    <t>NF6393</t>
  </si>
  <si>
    <t>NF9057</t>
  </si>
  <si>
    <t>NF7365</t>
  </si>
  <si>
    <t>NF4559</t>
  </si>
  <si>
    <t>NF7119</t>
  </si>
  <si>
    <t>NF2814</t>
  </si>
  <si>
    <t>NF5963</t>
  </si>
  <si>
    <t>NF3293</t>
  </si>
  <si>
    <t>NF8254</t>
  </si>
  <si>
    <t>NF4303</t>
  </si>
  <si>
    <t>NF2605</t>
  </si>
  <si>
    <t>NF8043</t>
  </si>
  <si>
    <t>NF6697</t>
  </si>
  <si>
    <t>NF5208</t>
  </si>
  <si>
    <t>NF2907</t>
  </si>
  <si>
    <t>NF9381</t>
  </si>
  <si>
    <t>NF3247</t>
  </si>
  <si>
    <t>NF4377</t>
  </si>
  <si>
    <t>NF2988</t>
  </si>
  <si>
    <t>NF4912</t>
  </si>
  <si>
    <t>NF7104</t>
  </si>
  <si>
    <t>NF6700</t>
  </si>
  <si>
    <t>NF7947</t>
  </si>
  <si>
    <t>NF3255</t>
  </si>
  <si>
    <t>NF7106</t>
  </si>
  <si>
    <t>NF1835</t>
  </si>
  <si>
    <t>NF7322</t>
  </si>
  <si>
    <t>NF3899</t>
  </si>
  <si>
    <t>NF5496</t>
  </si>
  <si>
    <t>NF4824</t>
  </si>
  <si>
    <t>NF2022</t>
  </si>
  <si>
    <t>NF8075</t>
  </si>
  <si>
    <t>NF1137</t>
  </si>
  <si>
    <t>NF3353</t>
  </si>
  <si>
    <t>NF5074</t>
  </si>
  <si>
    <t>NF1725</t>
  </si>
  <si>
    <t>NF5560</t>
  </si>
  <si>
    <t>NF2674</t>
  </si>
  <si>
    <t>NF2175</t>
  </si>
  <si>
    <t>NF3338</t>
  </si>
  <si>
    <t>NF7689</t>
  </si>
  <si>
    <t>NF5938</t>
  </si>
  <si>
    <t>NF9391</t>
  </si>
  <si>
    <t>NF6298</t>
  </si>
  <si>
    <t>NF7941</t>
  </si>
  <si>
    <t>NF3604</t>
  </si>
  <si>
    <t>NF4605</t>
  </si>
  <si>
    <t>NF1759</t>
  </si>
  <si>
    <t>NF2800</t>
  </si>
  <si>
    <t>NF7248</t>
  </si>
  <si>
    <t>NF5280</t>
  </si>
  <si>
    <t>NF2968</t>
  </si>
  <si>
    <t>NF4862</t>
  </si>
  <si>
    <t>NF6224</t>
  </si>
  <si>
    <t>NF6974</t>
  </si>
  <si>
    <t>NF3171</t>
  </si>
  <si>
    <t>NF9089</t>
  </si>
  <si>
    <t>NF9607</t>
  </si>
  <si>
    <t>NF6643</t>
  </si>
  <si>
    <t>NF3939</t>
  </si>
  <si>
    <t>NF3599</t>
  </si>
  <si>
    <t>NF9914</t>
  </si>
  <si>
    <t>NF5492</t>
  </si>
  <si>
    <t>NF7516</t>
  </si>
  <si>
    <t>NF8652</t>
  </si>
  <si>
    <t>NF4809</t>
  </si>
  <si>
    <t>NF5491</t>
  </si>
  <si>
    <t>NF7862</t>
  </si>
  <si>
    <t>NF3137</t>
  </si>
  <si>
    <t>NF2705</t>
  </si>
  <si>
    <t>NF9537</t>
  </si>
  <si>
    <t>NF1700</t>
  </si>
  <si>
    <t>NF9052</t>
  </si>
  <si>
    <t>NF9827</t>
  </si>
  <si>
    <t>NF4056</t>
  </si>
  <si>
    <t>NF4381</t>
  </si>
  <si>
    <t>NF5374</t>
  </si>
  <si>
    <t>NF4782</t>
  </si>
  <si>
    <t>NF9770</t>
  </si>
  <si>
    <t>NF3186</t>
  </si>
  <si>
    <t>NF7423</t>
  </si>
  <si>
    <t>NF3114</t>
  </si>
  <si>
    <t>NF1359</t>
  </si>
  <si>
    <t>NF5107</t>
  </si>
  <si>
    <t>NF4367</t>
  </si>
  <si>
    <t>NF8386</t>
  </si>
  <si>
    <t>NF5922</t>
  </si>
  <si>
    <t>NF9970</t>
  </si>
  <si>
    <t>NF1938</t>
  </si>
  <si>
    <t>NF7772</t>
  </si>
  <si>
    <t>NF9932</t>
  </si>
  <si>
    <t>NF2970</t>
  </si>
  <si>
    <t>NF4423</t>
  </si>
  <si>
    <t>NF9682</t>
  </si>
  <si>
    <t>NF7840</t>
  </si>
  <si>
    <t>NF4946</t>
  </si>
  <si>
    <t>NF6806</t>
  </si>
  <si>
    <t>NF3882</t>
  </si>
  <si>
    <t>NF1850</t>
  </si>
  <si>
    <t>NF7979</t>
  </si>
  <si>
    <t>NF1547</t>
  </si>
  <si>
    <t>NF2309</t>
  </si>
  <si>
    <t>NF5791</t>
  </si>
  <si>
    <t>NF2982</t>
  </si>
  <si>
    <t>NF1796</t>
  </si>
  <si>
    <t>NF2396</t>
  </si>
  <si>
    <t>NF8281</t>
  </si>
  <si>
    <t>NF3155</t>
  </si>
  <si>
    <t>NF4849</t>
  </si>
  <si>
    <t>NF4647</t>
  </si>
  <si>
    <t>NF9056</t>
  </si>
  <si>
    <t>NF4097</t>
  </si>
  <si>
    <t>NF9792</t>
  </si>
  <si>
    <t>NF1943</t>
  </si>
  <si>
    <t>NF5598</t>
  </si>
  <si>
    <t>NF8881</t>
  </si>
  <si>
    <t>NF3500</t>
  </si>
  <si>
    <t>NF3489</t>
  </si>
  <si>
    <t>NF8682</t>
  </si>
  <si>
    <t>NF8525</t>
  </si>
  <si>
    <t>NF2006</t>
  </si>
  <si>
    <t>NF7648</t>
  </si>
  <si>
    <t>NF6770</t>
  </si>
  <si>
    <t>NF2352</t>
  </si>
  <si>
    <t>NF4686</t>
  </si>
  <si>
    <t>NF9108</t>
  </si>
  <si>
    <t>NF1934</t>
  </si>
  <si>
    <t>NF5748</t>
  </si>
  <si>
    <t>NF3443</t>
  </si>
  <si>
    <t>NF4433</t>
  </si>
  <si>
    <t>NF7700</t>
  </si>
  <si>
    <t>NF8475</t>
  </si>
  <si>
    <t>NF3694</t>
  </si>
  <si>
    <t>NF5571</t>
  </si>
  <si>
    <t>NF7836</t>
  </si>
  <si>
    <t>NF7705</t>
  </si>
  <si>
    <t>NF1629</t>
  </si>
  <si>
    <t>NF4027</t>
  </si>
  <si>
    <t>NF7582</t>
  </si>
  <si>
    <t>NF7868</t>
  </si>
  <si>
    <t>NF6154</t>
  </si>
  <si>
    <t>NF5531</t>
  </si>
  <si>
    <t>NF9744</t>
  </si>
  <si>
    <t>NF1516</t>
  </si>
  <si>
    <t>NF2007</t>
  </si>
  <si>
    <t>NF9904</t>
  </si>
  <si>
    <t>NF8631</t>
  </si>
  <si>
    <t>NF5098</t>
  </si>
  <si>
    <t>NF8169</t>
  </si>
  <si>
    <t>NF4469</t>
  </si>
  <si>
    <t>NF6729</t>
  </si>
  <si>
    <t>NF3586</t>
  </si>
  <si>
    <t>NF9837</t>
  </si>
  <si>
    <t>NF6344</t>
  </si>
  <si>
    <t>NF3701</t>
  </si>
  <si>
    <t>NS7792</t>
  </si>
  <si>
    <t>NF4400</t>
  </si>
  <si>
    <t>NF5356</t>
  </si>
  <si>
    <t>NF1847</t>
  </si>
  <si>
    <t>NF7011</t>
  </si>
  <si>
    <t>NF7746</t>
  </si>
  <si>
    <t>NF1507</t>
  </si>
  <si>
    <t>NF5445</t>
  </si>
  <si>
    <t>NF7559</t>
  </si>
  <si>
    <t>NF9357</t>
  </si>
  <si>
    <t>NF3898</t>
  </si>
  <si>
    <t>NF7275</t>
  </si>
  <si>
    <t>NF9591</t>
  </si>
  <si>
    <t>NF3104</t>
  </si>
  <si>
    <t>NF3440</t>
  </si>
  <si>
    <t>NF9195</t>
  </si>
  <si>
    <t>NF1821</t>
  </si>
  <si>
    <t>NF5625</t>
  </si>
  <si>
    <t>NF7471</t>
  </si>
  <si>
    <t>NF9225</t>
  </si>
  <si>
    <t>NF3883</t>
  </si>
  <si>
    <t>NF9408</t>
  </si>
  <si>
    <t>NF1517</t>
  </si>
  <si>
    <t>NF8626</t>
  </si>
  <si>
    <t>NF4936</t>
  </si>
  <si>
    <t>NF7062</t>
  </si>
  <si>
    <t>NF3172</t>
  </si>
  <si>
    <t>NF5821</t>
  </si>
  <si>
    <t>NF8137</t>
  </si>
  <si>
    <t>NF8083</t>
  </si>
  <si>
    <t>NF9597</t>
  </si>
  <si>
    <t>NF2065</t>
  </si>
  <si>
    <t>NF3192</t>
  </si>
  <si>
    <t>NF1977</t>
  </si>
  <si>
    <t>NF3208</t>
  </si>
  <si>
    <t>NF9545</t>
  </si>
  <si>
    <t>NF3100</t>
  </si>
  <si>
    <t>NF1179</t>
  </si>
  <si>
    <t>NF3829</t>
  </si>
  <si>
    <t>NF6865</t>
  </si>
  <si>
    <t>NF9617</t>
  </si>
  <si>
    <t>NF5659</t>
  </si>
  <si>
    <t>NF6102</t>
  </si>
  <si>
    <t>NF8162</t>
  </si>
  <si>
    <t>NF4573</t>
  </si>
  <si>
    <t>NF8503</t>
  </si>
  <si>
    <t>NF3380</t>
  </si>
  <si>
    <t>NF6566</t>
  </si>
  <si>
    <t>NF5838</t>
  </si>
  <si>
    <t>NF1174</t>
  </si>
  <si>
    <t>NF2942</t>
  </si>
  <si>
    <t>NF8563</t>
  </si>
  <si>
    <t>NF8237</t>
  </si>
  <si>
    <t>NF4859</t>
  </si>
  <si>
    <t>NF1529</t>
  </si>
  <si>
    <t>NF6931</t>
  </si>
  <si>
    <t>NF9620</t>
  </si>
  <si>
    <t>NF4547</t>
  </si>
  <si>
    <t>NF6004</t>
  </si>
  <si>
    <t>NF3415</t>
  </si>
  <si>
    <t>NF1603</t>
  </si>
  <si>
    <t>NF8784</t>
  </si>
  <si>
    <t>NF1826</t>
  </si>
  <si>
    <t>NF7390</t>
  </si>
  <si>
    <t>NF7009</t>
  </si>
  <si>
    <t>NF7629</t>
  </si>
  <si>
    <t>NF2748</t>
  </si>
  <si>
    <t>NF5961</t>
  </si>
  <si>
    <t>NF7680</t>
  </si>
  <si>
    <t>NF9629</t>
  </si>
  <si>
    <t>NF5978</t>
  </si>
  <si>
    <t>NF5651</t>
  </si>
  <si>
    <t>NF5401</t>
  </si>
  <si>
    <t>NF9115</t>
  </si>
  <si>
    <t>NF4115</t>
  </si>
  <si>
    <t>NF5683</t>
  </si>
  <si>
    <t>NF7027</t>
  </si>
  <si>
    <t>NF7168</t>
  </si>
  <si>
    <t>NF4972</t>
  </si>
  <si>
    <t>NF7283</t>
  </si>
  <si>
    <t>NF6320</t>
  </si>
  <si>
    <t>NF7850</t>
  </si>
  <si>
    <t>NF2420</t>
  </si>
  <si>
    <t>NF6764</t>
  </si>
  <si>
    <t>NF6382</t>
  </si>
  <si>
    <t>NF8079</t>
  </si>
  <si>
    <t>NF2434</t>
  </si>
  <si>
    <t>NF3230</t>
  </si>
  <si>
    <t>NF8847</t>
  </si>
  <si>
    <t>NF8053</t>
  </si>
  <si>
    <t>NF2454</t>
  </si>
  <si>
    <t>NF8252</t>
  </si>
  <si>
    <t>NF6573</t>
  </si>
  <si>
    <t>NF8780</t>
  </si>
  <si>
    <t>NF6166</t>
  </si>
  <si>
    <t>NF8437</t>
  </si>
  <si>
    <t>NF6635</t>
  </si>
  <si>
    <t>NF8734</t>
  </si>
  <si>
    <t>NF4208</t>
  </si>
  <si>
    <t>NF4923</t>
  </si>
  <si>
    <t>NF6782</t>
  </si>
  <si>
    <t>NF6280</t>
  </si>
  <si>
    <t>NF7827</t>
  </si>
  <si>
    <t>NF5357</t>
  </si>
  <si>
    <t>NF8188</t>
  </si>
  <si>
    <t>NF4640</t>
  </si>
  <si>
    <t>NF2293</t>
  </si>
  <si>
    <t>NF2933</t>
  </si>
  <si>
    <t>NF4384</t>
  </si>
  <si>
    <t>NF8316</t>
  </si>
  <si>
    <t>NF1506</t>
  </si>
  <si>
    <t>NF4913</t>
  </si>
  <si>
    <t>NF8526</t>
  </si>
  <si>
    <t>NF9873</t>
  </si>
  <si>
    <t>NF9870</t>
  </si>
  <si>
    <t>NF5563</t>
  </si>
  <si>
    <t>NF5510</t>
  </si>
  <si>
    <t>NF1440</t>
  </si>
  <si>
    <t>NF2709</t>
  </si>
  <si>
    <t>NF9886</t>
  </si>
  <si>
    <t>NF6993</t>
  </si>
  <si>
    <t>NF9126</t>
  </si>
  <si>
    <t>NF3531</t>
  </si>
  <si>
    <t>NF6599</t>
  </si>
  <si>
    <t>NF9323</t>
  </si>
  <si>
    <t>NF3529</t>
  </si>
  <si>
    <t>NF5824</t>
  </si>
  <si>
    <t>NF3860</t>
  </si>
  <si>
    <t>NF7260</t>
  </si>
  <si>
    <t>NF2238</t>
  </si>
  <si>
    <t>NF7342</t>
  </si>
  <si>
    <t>NF8517</t>
  </si>
  <si>
    <t>NF9366</t>
  </si>
  <si>
    <t>NF4973</t>
  </si>
  <si>
    <t>NF1111</t>
  </si>
  <si>
    <t>NF8344</t>
  </si>
  <si>
    <t>NF8750</t>
  </si>
  <si>
    <t>NF7616</t>
  </si>
  <si>
    <t>NF3536</t>
  </si>
  <si>
    <t>NF9376</t>
  </si>
  <si>
    <t>NF1222</t>
  </si>
  <si>
    <t>NF3914</t>
  </si>
  <si>
    <t>NF7447</t>
  </si>
  <si>
    <t>NF5088</t>
  </si>
  <si>
    <t>NF7858</t>
  </si>
  <si>
    <t>NF7692</t>
  </si>
  <si>
    <t>NF6262</t>
  </si>
  <si>
    <t>NF9573</t>
  </si>
  <si>
    <t>NF8087</t>
  </si>
  <si>
    <t>NF5909</t>
  </si>
  <si>
    <t>NF4172</t>
  </si>
  <si>
    <t>NF8957</t>
  </si>
  <si>
    <t>NF2981</t>
  </si>
  <si>
    <t>NF5104</t>
  </si>
  <si>
    <t>NF3942</t>
  </si>
  <si>
    <t>NF6376</t>
  </si>
  <si>
    <t>NF7518</t>
  </si>
  <si>
    <t>NF5359</t>
  </si>
  <si>
    <t>NF5153</t>
  </si>
  <si>
    <t>NF3127</t>
  </si>
  <si>
    <t>NF7641</t>
  </si>
  <si>
    <t>NF2758</t>
  </si>
  <si>
    <t>NF9279</t>
  </si>
  <si>
    <t>NF2386</t>
  </si>
  <si>
    <t>NF6751</t>
  </si>
  <si>
    <t>NF9460</t>
  </si>
  <si>
    <t>NF5556</t>
  </si>
  <si>
    <t>NF4918</t>
  </si>
  <si>
    <t>NF1763</t>
  </si>
  <si>
    <t>NF2024</t>
  </si>
  <si>
    <t>NF6383</t>
  </si>
  <si>
    <t>NF3919</t>
  </si>
  <si>
    <t>NF1390</t>
  </si>
  <si>
    <t>NF2500</t>
  </si>
  <si>
    <t>NF2427</t>
  </si>
  <si>
    <t>NF4680</t>
  </si>
  <si>
    <t>NF7019</t>
  </si>
  <si>
    <t>NF4961</t>
  </si>
  <si>
    <t>NF4608</t>
  </si>
  <si>
    <t>NF1913</t>
  </si>
  <si>
    <t>NF5844</t>
  </si>
  <si>
    <t>NF7813</t>
  </si>
  <si>
    <t>NF6780</t>
  </si>
  <si>
    <t>NF9599</t>
  </si>
  <si>
    <t>NF8659</t>
  </si>
  <si>
    <t>NF4652</t>
  </si>
  <si>
    <t>NF3068</t>
  </si>
  <si>
    <t>NF7141</t>
  </si>
  <si>
    <t>NF3366</t>
  </si>
  <si>
    <t>NF8853</t>
  </si>
  <si>
    <t>NF7681</t>
  </si>
  <si>
    <t>NF1441</t>
  </si>
  <si>
    <t>NF9964</t>
  </si>
  <si>
    <t>NF9101</t>
  </si>
  <si>
    <t>NF3185</t>
  </si>
  <si>
    <t>NF2836</t>
  </si>
  <si>
    <t>NF7779</t>
  </si>
  <si>
    <t>NF5919</t>
  </si>
  <si>
    <t>NF1620</t>
  </si>
  <si>
    <t>NF3801</t>
  </si>
  <si>
    <t>NF8086</t>
  </si>
  <si>
    <t>NF4964</t>
  </si>
  <si>
    <t>NF6112</t>
  </si>
  <si>
    <t>NF2333</t>
  </si>
  <si>
    <t>NF7121</t>
  </si>
  <si>
    <t>NF8208</t>
  </si>
  <si>
    <t>NF1320</t>
  </si>
  <si>
    <t>NF9162</t>
  </si>
  <si>
    <t>NF1497</t>
  </si>
  <si>
    <t>NF8398</t>
  </si>
  <si>
    <t>NF1274</t>
  </si>
  <si>
    <t>NF1599</t>
  </si>
  <si>
    <t>NF6880</t>
  </si>
  <si>
    <t>NF3246</t>
  </si>
  <si>
    <t>NF5900</t>
  </si>
  <si>
    <t>NF2566</t>
  </si>
  <si>
    <t>NF1823</t>
  </si>
  <si>
    <t>NF9109</t>
  </si>
  <si>
    <t>NF4812</t>
  </si>
  <si>
    <t>NF9082</t>
  </si>
  <si>
    <t>NF3611</t>
  </si>
  <si>
    <t>NF4931</t>
  </si>
  <si>
    <t>MÊS CAIXA</t>
  </si>
  <si>
    <t>ANO CAIXA</t>
  </si>
  <si>
    <t>FLUXO CONSOLIDADO</t>
  </si>
  <si>
    <t>ESPECIFICAÇÃO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</si>
  <si>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</si>
  <si>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</si>
  <si>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</si>
  <si>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</si>
  <si>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</si>
  <si>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</si>
  <si>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</si>
  <si>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</si>
  <si>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</si>
  <si>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</si>
  <si>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</si>
  <si>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</si>
  <si>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ENTRADAS</t>
  </si>
  <si>
    <t>SAIDAS</t>
  </si>
  <si>
    <t>SALDO FINAL</t>
  </si>
  <si>
    <t>SALDO INICIAL</t>
  </si>
  <si>
    <t>FLUXO DE CAIXA - REGIME DE COMPETÊNCIA (CONTÁBIL)</t>
  </si>
  <si>
    <t>TOTAL DE ENTRADAS</t>
  </si>
  <si>
    <t>TOTAL DE SAÍDAS</t>
  </si>
  <si>
    <t>LUCRO</t>
  </si>
  <si>
    <t>PREJUÍZO</t>
  </si>
  <si>
    <t>ACUMULADO</t>
  </si>
  <si>
    <t xml:space="preserve">MÊS COMPETÊNCIA </t>
  </si>
  <si>
    <t>ANO COMPETÊNCIA</t>
  </si>
  <si>
    <t xml:space="preserve">RESULTADO MENSAL - REGIME DE COMPETÊNCIA </t>
  </si>
  <si>
    <t>DETALHAMENTO DE RECEITAS</t>
  </si>
  <si>
    <t>Rótulos de Linha</t>
  </si>
  <si>
    <t>Total Geral</t>
  </si>
  <si>
    <t>Rótulos de Coluna</t>
  </si>
  <si>
    <t>Soma de VALOR</t>
  </si>
  <si>
    <t>DETALHAMENTO DE DESPESAS</t>
  </si>
  <si>
    <t>CONTAS A PAGAR</t>
  </si>
  <si>
    <t>MÊS PREVISTO</t>
  </si>
  <si>
    <t>ANO PREVISTO</t>
  </si>
  <si>
    <t>0</t>
  </si>
  <si>
    <t>0 Total</t>
  </si>
  <si>
    <t>CONTAS A RECEBER</t>
  </si>
  <si>
    <t>Venda de Mercadorias Total</t>
  </si>
  <si>
    <t>Compra de mercadorias Total</t>
  </si>
  <si>
    <t>VENCIMENTO</t>
  </si>
  <si>
    <t>Vencida</t>
  </si>
  <si>
    <t>Vencida Total</t>
  </si>
  <si>
    <t>CONTAS A RECEBER VENCIDAS</t>
  </si>
  <si>
    <t>DETALHAMENTO DE ENTRADA DAS BASES</t>
  </si>
  <si>
    <t>DETALHAMENTO DE SAÍDA DAS BASES</t>
  </si>
  <si>
    <t>DETALHAMENTO DE VENDEDORES</t>
  </si>
  <si>
    <t>DASHBOARD ANUAL</t>
  </si>
  <si>
    <t>Minigráficos de contas a Pagar e a Receber</t>
  </si>
  <si>
    <t>Evolução das vendas</t>
  </si>
  <si>
    <t>ANO:</t>
  </si>
  <si>
    <t>Mês</t>
  </si>
  <si>
    <t>Pagar Mensal</t>
  </si>
  <si>
    <t>Receber Mensal</t>
  </si>
  <si>
    <t>Gráfico</t>
  </si>
  <si>
    <t>Saldo do Caixa</t>
  </si>
  <si>
    <t>Entradas</t>
  </si>
  <si>
    <t>Saídas</t>
  </si>
  <si>
    <t>Saldo</t>
  </si>
  <si>
    <t>Contas a pagar total</t>
  </si>
  <si>
    <t>Contas a receber total</t>
  </si>
  <si>
    <t>Total</t>
  </si>
  <si>
    <t>DASHBOARD FINANCEIRO ANUAL</t>
  </si>
  <si>
    <t>Saldo Inicial</t>
  </si>
  <si>
    <t>NF3244</t>
  </si>
  <si>
    <t>NF4687</t>
  </si>
  <si>
    <t>NF3441</t>
  </si>
  <si>
    <t>NF5702</t>
  </si>
  <si>
    <t>NF4758</t>
  </si>
  <si>
    <t>NF3118</t>
  </si>
  <si>
    <t>NF4684</t>
  </si>
  <si>
    <t>NF3698</t>
  </si>
  <si>
    <t>NF2613</t>
  </si>
  <si>
    <t>NF1636</t>
  </si>
  <si>
    <t>NF4313</t>
  </si>
  <si>
    <t>NF2634</t>
  </si>
  <si>
    <t>NF5934</t>
  </si>
  <si>
    <t>NF1323</t>
  </si>
  <si>
    <t>NF0762</t>
  </si>
  <si>
    <t>NF1345</t>
  </si>
  <si>
    <t>NF3333</t>
  </si>
  <si>
    <t>NF0588</t>
  </si>
  <si>
    <t>NF3087</t>
  </si>
  <si>
    <t>NF7222</t>
  </si>
  <si>
    <t>NF5396</t>
  </si>
  <si>
    <t>NF3843</t>
  </si>
  <si>
    <t>NF6915</t>
  </si>
  <si>
    <t>NF2232</t>
  </si>
  <si>
    <t>NF3034</t>
  </si>
  <si>
    <t>NF5379</t>
  </si>
  <si>
    <t>NF3227</t>
  </si>
  <si>
    <t>NF6178</t>
  </si>
  <si>
    <t>NF2569</t>
  </si>
  <si>
    <t>NF4894</t>
  </si>
  <si>
    <t>NF0641</t>
  </si>
  <si>
    <t>NF6680</t>
  </si>
  <si>
    <t>NF3580</t>
  </si>
  <si>
    <t>NF4357</t>
  </si>
  <si>
    <t>NF9754</t>
  </si>
  <si>
    <t>NF6292</t>
  </si>
  <si>
    <t>NF3406</t>
  </si>
  <si>
    <t>NF4233</t>
  </si>
  <si>
    <t>NF3888</t>
  </si>
  <si>
    <t>NF0479</t>
  </si>
  <si>
    <t>NF0183</t>
  </si>
  <si>
    <t>NF4288</t>
  </si>
  <si>
    <t>NF8176</t>
  </si>
  <si>
    <t>NF7473</t>
  </si>
  <si>
    <t>NF1285</t>
  </si>
  <si>
    <t>NF4526</t>
  </si>
  <si>
    <t>NF4339</t>
  </si>
  <si>
    <t>NF5858</t>
  </si>
  <si>
    <t>NF5964</t>
  </si>
  <si>
    <t>NF3122</t>
  </si>
  <si>
    <t>NF6347</t>
  </si>
  <si>
    <t>NF4200</t>
  </si>
  <si>
    <t>NF8858</t>
  </si>
  <si>
    <t>NF1032</t>
  </si>
  <si>
    <t>NF9410</t>
  </si>
  <si>
    <t>NF3725</t>
  </si>
  <si>
    <t>NF4371</t>
  </si>
  <si>
    <t>NF4329</t>
  </si>
  <si>
    <t>NF9582</t>
  </si>
  <si>
    <t>NF4748</t>
  </si>
  <si>
    <t>NF8123</t>
  </si>
  <si>
    <t>NF3475</t>
  </si>
  <si>
    <t>NF8824</t>
  </si>
  <si>
    <t>NF4926</t>
  </si>
  <si>
    <t>NF8878</t>
  </si>
  <si>
    <t>NF5960</t>
  </si>
  <si>
    <t>NF2487</t>
  </si>
  <si>
    <t>NF9252</t>
  </si>
  <si>
    <t>NF1055</t>
  </si>
  <si>
    <t>NF6571</t>
  </si>
  <si>
    <t>NF4854</t>
  </si>
  <si>
    <t>NF7672</t>
  </si>
  <si>
    <t>NF7846</t>
  </si>
  <si>
    <t>NF4251</t>
  </si>
  <si>
    <t>NF7686</t>
  </si>
  <si>
    <t>NF6411</t>
  </si>
  <si>
    <t>NF3962</t>
  </si>
  <si>
    <t>NF3983</t>
  </si>
  <si>
    <t>NF5395</t>
  </si>
  <si>
    <t>NF4689</t>
  </si>
  <si>
    <t>NF2938</t>
  </si>
  <si>
    <t>NF5925</t>
  </si>
  <si>
    <t>NF4413</t>
  </si>
  <si>
    <t>NF3792</t>
  </si>
  <si>
    <t>NF3065</t>
  </si>
  <si>
    <t>NF8642</t>
  </si>
  <si>
    <t>NF4244</t>
  </si>
  <si>
    <t>NF1858</t>
  </si>
  <si>
    <t>NF7802</t>
  </si>
  <si>
    <t>NF2795</t>
  </si>
  <si>
    <t>NF6742</t>
  </si>
  <si>
    <t>NF0212</t>
  </si>
  <si>
    <t>NF7309</t>
  </si>
  <si>
    <t>NF2586</t>
  </si>
  <si>
    <t>NF3325</t>
  </si>
  <si>
    <t>NF5832</t>
  </si>
  <si>
    <t>NF1119</t>
  </si>
  <si>
    <t>NF9273</t>
  </si>
  <si>
    <t>NF2967</t>
  </si>
  <si>
    <t>NF5947</t>
  </si>
  <si>
    <t>NF3123</t>
  </si>
  <si>
    <t>NF6758</t>
  </si>
  <si>
    <t>NF1284</t>
  </si>
  <si>
    <t>NF1082</t>
  </si>
  <si>
    <t>NF4261</t>
  </si>
  <si>
    <t>NF2187</t>
  </si>
  <si>
    <t>NF1910</t>
  </si>
  <si>
    <t>NF6014</t>
  </si>
  <si>
    <t>NF4242</t>
  </si>
  <si>
    <t>NF6236</t>
  </si>
  <si>
    <t>NF6747</t>
  </si>
  <si>
    <t>NF4362</t>
  </si>
  <si>
    <t>NF4121</t>
  </si>
  <si>
    <t>NF5655</t>
  </si>
  <si>
    <t>NF3370</t>
  </si>
  <si>
    <t>NF9074</t>
  </si>
  <si>
    <t>NF4811</t>
  </si>
  <si>
    <t>NF9585</t>
  </si>
  <si>
    <t>NF0026</t>
  </si>
  <si>
    <t>NF1214</t>
  </si>
  <si>
    <t>NF8651</t>
  </si>
  <si>
    <t>NF1585</t>
  </si>
  <si>
    <t>NF3483</t>
  </si>
  <si>
    <t>NF6837</t>
  </si>
  <si>
    <t>NF7786</t>
  </si>
  <si>
    <t>NF3242</t>
  </si>
  <si>
    <t>NF6325</t>
  </si>
  <si>
    <t>NF3477</t>
  </si>
  <si>
    <t>NF8387</t>
  </si>
  <si>
    <t>NF2143</t>
  </si>
  <si>
    <t>NF3197</t>
  </si>
  <si>
    <t>NF7952</t>
  </si>
  <si>
    <t>NF1853</t>
  </si>
  <si>
    <t>NF6705</t>
  </si>
  <si>
    <t>NF5181</t>
  </si>
  <si>
    <t>NF5916</t>
  </si>
  <si>
    <t>NF1665</t>
  </si>
  <si>
    <t>NF1526</t>
  </si>
  <si>
    <t>NF6546</t>
  </si>
  <si>
    <t>NF7642</t>
  </si>
  <si>
    <t>NF1571</t>
  </si>
  <si>
    <t>NF6331</t>
  </si>
  <si>
    <t>NF3346</t>
  </si>
  <si>
    <t>NF5864</t>
  </si>
  <si>
    <t>NF4977</t>
  </si>
  <si>
    <t>NF2173</t>
  </si>
  <si>
    <t>NF8434</t>
  </si>
  <si>
    <t>NF3187</t>
  </si>
  <si>
    <t>NF6022</t>
  </si>
  <si>
    <t>NF2868</t>
  </si>
  <si>
    <t>NF1549</t>
  </si>
  <si>
    <t>NF3003</t>
  </si>
  <si>
    <t>NF2562</t>
  </si>
  <si>
    <t>NF7752</t>
  </si>
  <si>
    <t>NF8821</t>
  </si>
  <si>
    <t>NF2332</t>
  </si>
  <si>
    <t>NF3162</t>
  </si>
  <si>
    <t>NF1584</t>
  </si>
  <si>
    <t>NF8586</t>
  </si>
  <si>
    <t>NF7079</t>
  </si>
  <si>
    <t>NF1463</t>
  </si>
  <si>
    <t>NF2528</t>
  </si>
  <si>
    <t>NF8224</t>
  </si>
  <si>
    <t>NF9112</t>
  </si>
  <si>
    <t>NF3869</t>
  </si>
  <si>
    <t>NF8428</t>
  </si>
  <si>
    <t>NF1594</t>
  </si>
  <si>
    <t>NF4802</t>
  </si>
  <si>
    <t>NF5072</t>
  </si>
  <si>
    <t>NF1141</t>
  </si>
  <si>
    <t>NF8164</t>
  </si>
  <si>
    <t>NF6818</t>
  </si>
  <si>
    <t>NF1258</t>
  </si>
  <si>
    <t>NF7467</t>
  </si>
  <si>
    <t>NF7942</t>
  </si>
  <si>
    <t>NF2730</t>
  </si>
  <si>
    <t>NF4451</t>
  </si>
  <si>
    <t>NF0388</t>
  </si>
  <si>
    <t>NF0725</t>
  </si>
  <si>
    <t>NF3676</t>
  </si>
  <si>
    <t>NF1155</t>
  </si>
  <si>
    <t>NF7745</t>
  </si>
  <si>
    <t>NF6982</t>
  </si>
  <si>
    <t>NF5714</t>
  </si>
  <si>
    <t>NF7814</t>
  </si>
  <si>
    <t>NF5209</t>
  </si>
  <si>
    <t>NF5707</t>
  </si>
  <si>
    <t>NF4131</t>
  </si>
  <si>
    <t>NF7172</t>
  </si>
  <si>
    <t>NF3543</t>
  </si>
  <si>
    <t>NF2263</t>
  </si>
  <si>
    <t>NF5804</t>
  </si>
  <si>
    <t>NF8388</t>
  </si>
  <si>
    <t>NF1436</t>
  </si>
  <si>
    <t>NF3963</t>
  </si>
  <si>
    <t>NF9233</t>
  </si>
  <si>
    <t>NF4183</t>
  </si>
  <si>
    <t>NF8893</t>
  </si>
  <si>
    <t>NF5713</t>
  </si>
  <si>
    <t>NF6670</t>
  </si>
  <si>
    <t>NF5591</t>
  </si>
  <si>
    <t>NF8624</t>
  </si>
  <si>
    <t>NF8148</t>
  </si>
  <si>
    <t>NF0666</t>
  </si>
  <si>
    <t>NF8303</t>
  </si>
  <si>
    <t>NF3649</t>
  </si>
  <si>
    <t>NF6105</t>
  </si>
  <si>
    <t>NF5218</t>
  </si>
  <si>
    <t>NF6538</t>
  </si>
  <si>
    <t>NF9166</t>
  </si>
  <si>
    <t>NF7575</t>
  </si>
  <si>
    <t>NF2904</t>
  </si>
  <si>
    <t>NF1863</t>
  </si>
  <si>
    <t>NF5371</t>
  </si>
  <si>
    <t>NF3184</t>
  </si>
  <si>
    <t>NF0916</t>
  </si>
  <si>
    <t>NF6130</t>
  </si>
  <si>
    <t>NF0473</t>
  </si>
  <si>
    <t>NF4513</t>
  </si>
  <si>
    <t>NF1561</t>
  </si>
  <si>
    <t>NF4638</t>
  </si>
  <si>
    <t>NF8501</t>
  </si>
  <si>
    <t>NF3201</t>
  </si>
  <si>
    <t>NF5287</t>
  </si>
  <si>
    <t>NF2323</t>
  </si>
  <si>
    <t>NF4375</t>
  </si>
  <si>
    <t>NF0944</t>
  </si>
  <si>
    <t>NF6379</t>
  </si>
  <si>
    <t>NF7684</t>
  </si>
  <si>
    <t>NF2152</t>
  </si>
  <si>
    <t>NF0014</t>
  </si>
  <si>
    <t>NF5573</t>
  </si>
  <si>
    <t>NF6176</t>
  </si>
  <si>
    <t>NF2235</t>
  </si>
  <si>
    <t>NF2106</t>
  </si>
  <si>
    <t>NF0045</t>
  </si>
  <si>
    <t>NF4864</t>
  </si>
  <si>
    <t>NF8195</t>
  </si>
  <si>
    <t>NF5842</t>
  </si>
  <si>
    <t>NF1371</t>
  </si>
  <si>
    <t>NF9313</t>
  </si>
  <si>
    <t>NF8267</t>
  </si>
  <si>
    <t>NF9215</t>
  </si>
  <si>
    <t>NF8585</t>
  </si>
  <si>
    <t>NF7805</t>
  </si>
  <si>
    <t>NF5412</t>
  </si>
  <si>
    <t>NF6836</t>
  </si>
  <si>
    <t>NF0738</t>
  </si>
  <si>
    <t>NF8328</t>
  </si>
  <si>
    <t>NF0663</t>
  </si>
  <si>
    <t>NF7577</t>
  </si>
  <si>
    <t>NF5464</t>
  </si>
  <si>
    <t>NF1522</t>
  </si>
  <si>
    <t>NF8552</t>
  </si>
  <si>
    <t>NF1534</t>
  </si>
  <si>
    <t>NF6180</t>
  </si>
  <si>
    <t>NF2231</t>
  </si>
  <si>
    <t>NF9255</t>
  </si>
  <si>
    <t>NF7699</t>
  </si>
  <si>
    <t>NF8371</t>
  </si>
  <si>
    <t>NF1876</t>
  </si>
  <si>
    <t>NF6317</t>
  </si>
  <si>
    <t>NF8124</t>
  </si>
  <si>
    <t>NF8963</t>
  </si>
  <si>
    <t>NF6710</t>
  </si>
  <si>
    <t>NF5186</t>
  </si>
  <si>
    <t>NF5456</t>
  </si>
  <si>
    <t>NF6528</t>
  </si>
  <si>
    <t>NF4216</t>
  </si>
  <si>
    <t>NF4414</t>
  </si>
  <si>
    <t>NF4855</t>
  </si>
  <si>
    <t>NF7884</t>
  </si>
  <si>
    <t>NF0733</t>
  </si>
  <si>
    <t>NF2768</t>
  </si>
  <si>
    <t>NF1668</t>
  </si>
  <si>
    <t>NF7572</t>
  </si>
  <si>
    <t>NF7535</t>
  </si>
  <si>
    <t>NF1830</t>
  </si>
  <si>
    <t>NF0334</t>
  </si>
  <si>
    <t>NF2328</t>
  </si>
  <si>
    <t>NF6287</t>
  </si>
  <si>
    <t>NF4467</t>
  </si>
  <si>
    <t>NF8884</t>
  </si>
  <si>
    <t>NF6790</t>
  </si>
  <si>
    <t>NF3101</t>
  </si>
  <si>
    <t>NF0860</t>
  </si>
  <si>
    <t>NF6024</t>
  </si>
  <si>
    <t>NF5966</t>
  </si>
  <si>
    <t>NF0719</t>
  </si>
  <si>
    <t>NF7654</t>
  </si>
  <si>
    <t>NF9172</t>
  </si>
  <si>
    <t>NF3691</t>
  </si>
  <si>
    <t>NF0684</t>
  </si>
  <si>
    <t>NF6234</t>
  </si>
  <si>
    <t>NF3309</t>
  </si>
  <si>
    <t>NF4491</t>
  </si>
  <si>
    <t>NF5975</t>
  </si>
  <si>
    <t>NF8362</t>
  </si>
  <si>
    <t>NF4534</t>
  </si>
  <si>
    <t>NF5420</t>
  </si>
  <si>
    <t>NF8762</t>
  </si>
  <si>
    <t>NF7216</t>
  </si>
  <si>
    <t>NF4434</t>
  </si>
  <si>
    <t>NF4474</t>
  </si>
  <si>
    <t>NF3558</t>
  </si>
  <si>
    <t>NF2762</t>
  </si>
  <si>
    <t>NF8433</t>
  </si>
  <si>
    <t>NF5732</t>
  </si>
  <si>
    <t>NF3970</t>
  </si>
  <si>
    <t>NF2442</t>
  </si>
  <si>
    <t>NF5566</t>
  </si>
  <si>
    <t>NF7839</t>
  </si>
  <si>
    <t>NF2844</t>
  </si>
  <si>
    <t>NF4365</t>
  </si>
  <si>
    <t>NF1314</t>
  </si>
  <si>
    <t>NF1244</t>
  </si>
  <si>
    <t>NF7253</t>
  </si>
  <si>
    <t>NF4766</t>
  </si>
  <si>
    <t>NF3895</t>
  </si>
  <si>
    <t>NF6141</t>
  </si>
  <si>
    <t>NF2661</t>
  </si>
  <si>
    <t>NF3107</t>
  </si>
  <si>
    <t>NF7520</t>
  </si>
  <si>
    <t>NF4655</t>
  </si>
  <si>
    <t>NF6418</t>
  </si>
  <si>
    <t>NF2761</t>
  </si>
  <si>
    <t>NF8835</t>
  </si>
  <si>
    <t>NF0494</t>
  </si>
  <si>
    <t>NF5803</t>
  </si>
  <si>
    <t>NF9227</t>
  </si>
  <si>
    <t>NF5262</t>
  </si>
  <si>
    <t>NF8718</t>
  </si>
  <si>
    <t>NF8896</t>
  </si>
  <si>
    <t>NF4238</t>
  </si>
  <si>
    <t>NF7583</t>
  </si>
  <si>
    <t>NF4740</t>
  </si>
  <si>
    <t>NF4618</t>
  </si>
  <si>
    <t>NF6117</t>
  </si>
  <si>
    <t>NF3821</t>
  </si>
  <si>
    <t>NF1139</t>
  </si>
  <si>
    <t>NF6433</t>
  </si>
  <si>
    <t>NF8531</t>
  </si>
  <si>
    <t>NF8663</t>
  </si>
  <si>
    <t>NF8969</t>
  </si>
  <si>
    <t>NF4788</t>
  </si>
  <si>
    <t>NF3445</t>
  </si>
  <si>
    <t>NF8601</t>
  </si>
  <si>
    <t>NF0366</t>
  </si>
  <si>
    <t>NF6833</t>
  </si>
  <si>
    <t>NF1203</t>
  </si>
  <si>
    <t>NF4646</t>
  </si>
  <si>
    <t>NF1656</t>
  </si>
  <si>
    <t>NF5852</t>
  </si>
  <si>
    <t>NF7227</t>
  </si>
  <si>
    <t>NF9318</t>
  </si>
  <si>
    <t>NF1114</t>
  </si>
  <si>
    <t>NF8357</t>
  </si>
  <si>
    <t>NF5868</t>
  </si>
  <si>
    <t>NF2520</t>
  </si>
  <si>
    <t>NF1432</t>
  </si>
  <si>
    <t>NF6288</t>
  </si>
  <si>
    <t>NF8177</t>
  </si>
  <si>
    <t>NF5744</t>
  </si>
  <si>
    <t>NF8324</t>
  </si>
  <si>
    <t>NF8111</t>
  </si>
  <si>
    <t>NF2922</t>
  </si>
  <si>
    <t>NF7358</t>
  </si>
  <si>
    <t>NF2131</t>
  </si>
  <si>
    <t>NF8758</t>
  </si>
  <si>
    <t>NF2444</t>
  </si>
  <si>
    <t>NF7442</t>
  </si>
  <si>
    <t>NF5856</t>
  </si>
  <si>
    <t>NF7617</t>
  </si>
  <si>
    <t>NF7503</t>
  </si>
  <si>
    <t>NF3778</t>
  </si>
  <si>
    <t>NF7736</t>
  </si>
  <si>
    <t>NF3113</t>
  </si>
  <si>
    <t>NF0718</t>
  </si>
  <si>
    <t>NF6855</t>
  </si>
  <si>
    <t>NF1224</t>
  </si>
  <si>
    <t>NF5602</t>
  </si>
  <si>
    <t>NF2458</t>
  </si>
  <si>
    <t>NF7866</t>
  </si>
  <si>
    <t>NF6038</t>
  </si>
  <si>
    <t>NF3566</t>
  </si>
  <si>
    <t>NF9446</t>
  </si>
  <si>
    <t>NF6256</t>
  </si>
  <si>
    <t>NF8483</t>
  </si>
  <si>
    <t>NF3115</t>
  </si>
  <si>
    <t>NF5874</t>
  </si>
  <si>
    <t>NF4421</t>
  </si>
  <si>
    <t>NF4548</t>
  </si>
  <si>
    <t>NF0451</t>
  </si>
  <si>
    <t>NF2732</t>
  </si>
  <si>
    <t>NF7698</t>
  </si>
  <si>
    <t>NF7612</t>
  </si>
  <si>
    <t>NF7596</t>
  </si>
  <si>
    <t>NF5904</t>
  </si>
  <si>
    <t>NF2538</t>
  </si>
  <si>
    <t>NF7492</t>
  </si>
  <si>
    <t>NF4673</t>
  </si>
  <si>
    <t>NF0975</t>
  </si>
  <si>
    <t>NF7514</t>
  </si>
  <si>
    <t>NF8643</t>
  </si>
  <si>
    <t>NF4358</t>
  </si>
  <si>
    <t>NF0231</t>
  </si>
  <si>
    <t>NF4601</t>
  </si>
  <si>
    <t>NF3717</t>
  </si>
  <si>
    <t>NF5170</t>
  </si>
  <si>
    <t>NF1572</t>
  </si>
  <si>
    <t>NF8223</t>
  </si>
  <si>
    <t>NF6743</t>
  </si>
  <si>
    <t>NF7156</t>
  </si>
  <si>
    <t>NF4982</t>
  </si>
  <si>
    <t>NF7854</t>
  </si>
  <si>
    <t>NF1328</t>
  </si>
  <si>
    <t>NF5142</t>
  </si>
  <si>
    <t>NF7343</t>
  </si>
  <si>
    <t>NF8253</t>
  </si>
  <si>
    <t>NF1803</t>
  </si>
  <si>
    <t>NF2051</t>
  </si>
  <si>
    <t>NF5727</t>
  </si>
  <si>
    <t>NF1780</t>
  </si>
  <si>
    <t>NF1703</t>
  </si>
  <si>
    <t>NF4161</t>
  </si>
  <si>
    <t>NF6137</t>
  </si>
  <si>
    <t>NF3130</t>
  </si>
  <si>
    <t>NF2513</t>
  </si>
  <si>
    <t>NF7557</t>
  </si>
  <si>
    <t>NF6529</t>
  </si>
  <si>
    <t>NF4363</t>
  </si>
  <si>
    <t>NF1785</t>
  </si>
  <si>
    <t>NF2514</t>
  </si>
  <si>
    <t>NF2351</t>
  </si>
  <si>
    <t>NF1464</t>
  </si>
  <si>
    <t>NF8121</t>
  </si>
  <si>
    <t>NF6574</t>
  </si>
  <si>
    <t>NF9244</t>
  </si>
  <si>
    <t>NF6153</t>
  </si>
  <si>
    <t>NF5141</t>
  </si>
  <si>
    <t>NF4883</t>
  </si>
  <si>
    <t>NF8753</t>
  </si>
  <si>
    <t>NF6361</t>
  </si>
  <si>
    <t>NF8732</t>
  </si>
  <si>
    <t>NF3847</t>
  </si>
  <si>
    <t>NF4192</t>
  </si>
  <si>
    <t>NF7574</t>
  </si>
  <si>
    <t>NF5652</t>
  </si>
  <si>
    <t>NF8457</t>
  </si>
  <si>
    <t>NF1683</t>
  </si>
  <si>
    <t>NF4837</t>
  </si>
  <si>
    <t>NF0126</t>
  </si>
  <si>
    <t>NF0455</t>
  </si>
  <si>
    <t>NF5231</t>
  </si>
  <si>
    <t>NF2036</t>
  </si>
  <si>
    <t>NF6434</t>
  </si>
  <si>
    <t>NF3560</t>
  </si>
  <si>
    <t>NF2771</t>
  </si>
  <si>
    <t>NF4389</t>
  </si>
  <si>
    <t>NF2512</t>
  </si>
  <si>
    <t>NF5458</t>
  </si>
  <si>
    <t>NF4611</t>
  </si>
  <si>
    <t>NF8533</t>
  </si>
  <si>
    <t>NF8174</t>
  </si>
  <si>
    <t>NF5355</t>
  </si>
  <si>
    <t>NF8647</t>
  </si>
  <si>
    <t>NF8142</t>
  </si>
  <si>
    <t>NF6572</t>
  </si>
  <si>
    <t>NF6239</t>
  </si>
  <si>
    <t>NF2136</t>
  </si>
  <si>
    <t>NF7765</t>
  </si>
  <si>
    <t>NF7870</t>
  </si>
  <si>
    <t>NF4306</t>
  </si>
  <si>
    <t>NF1271</t>
  </si>
  <si>
    <t>NF0870</t>
  </si>
  <si>
    <t>NF3964</t>
  </si>
  <si>
    <t>NF3418</t>
  </si>
  <si>
    <t>NF6896</t>
  </si>
  <si>
    <t>NF4361</t>
  </si>
  <si>
    <t>NF6175</t>
  </si>
  <si>
    <t>NF4460</t>
  </si>
  <si>
    <t>NF0354</t>
  </si>
  <si>
    <t>NF6768</t>
  </si>
  <si>
    <t>NF3765</t>
  </si>
  <si>
    <t>NF3568</t>
  </si>
  <si>
    <t>NF0434</t>
  </si>
  <si>
    <t>NF1362</t>
  </si>
  <si>
    <t>NF6274</t>
  </si>
  <si>
    <t>NF4312</t>
  </si>
  <si>
    <t>NF0018</t>
  </si>
  <si>
    <t>NF8473</t>
  </si>
  <si>
    <t>NF2331</t>
  </si>
  <si>
    <t>NF1189</t>
  </si>
  <si>
    <t>NF1458</t>
  </si>
  <si>
    <t>NF2233</t>
  </si>
  <si>
    <t>NF3924</t>
  </si>
  <si>
    <t>NF7477</t>
  </si>
  <si>
    <t>NF2858</t>
  </si>
  <si>
    <t>NF6737</t>
  </si>
  <si>
    <t>NF7507</t>
  </si>
  <si>
    <t>NF1257</t>
  </si>
  <si>
    <t>NF6845</t>
  </si>
  <si>
    <t>NF6533</t>
  </si>
  <si>
    <t>NF3149</t>
  </si>
  <si>
    <t>NF4791</t>
  </si>
  <si>
    <t>NF5091</t>
  </si>
  <si>
    <t>NF7621</t>
  </si>
  <si>
    <t>NF2272</t>
  </si>
  <si>
    <t>NF7556</t>
  </si>
  <si>
    <t>NF0522</t>
  </si>
  <si>
    <t>NF4112</t>
  </si>
  <si>
    <t>NF6002</t>
  </si>
  <si>
    <t>NF8365</t>
  </si>
  <si>
    <t>NF0637</t>
  </si>
  <si>
    <t>NF3110</t>
  </si>
  <si>
    <t>NF3433</t>
  </si>
  <si>
    <t>NF2958</t>
  </si>
  <si>
    <t>NF2423</t>
  </si>
  <si>
    <t>NF6612</t>
  </si>
  <si>
    <t>NF4349</t>
  </si>
  <si>
    <t>NF8637</t>
  </si>
  <si>
    <t>NF6881</t>
  </si>
  <si>
    <t>NF1030</t>
  </si>
  <si>
    <t>NF7082</t>
  </si>
  <si>
    <t>NF1392</t>
  </si>
  <si>
    <t>NF1237</t>
  </si>
  <si>
    <t>NF7398</t>
  </si>
  <si>
    <t>NF0824</t>
  </si>
  <si>
    <t>NF8632</t>
  </si>
  <si>
    <t>NF9695</t>
  </si>
  <si>
    <t>NF7756</t>
  </si>
  <si>
    <t>NF4173</t>
  </si>
  <si>
    <t>NF4482</t>
  </si>
  <si>
    <t>NF4871</t>
  </si>
  <si>
    <t>NF5010</t>
  </si>
  <si>
    <t>NF8297</t>
  </si>
  <si>
    <t>NF4218</t>
  </si>
  <si>
    <t>NF7794</t>
  </si>
  <si>
    <t>NF1896</t>
  </si>
  <si>
    <t>NF1475</t>
  </si>
  <si>
    <t>NF0534</t>
  </si>
  <si>
    <t>NF7071</t>
  </si>
  <si>
    <t>NF4483</t>
  </si>
  <si>
    <t>NF4418</t>
  </si>
  <si>
    <t>NF0147</t>
  </si>
  <si>
    <t>NF0444</t>
  </si>
  <si>
    <t>NF2865</t>
  </si>
  <si>
    <t>NF2446</t>
  </si>
  <si>
    <t>NF3174</t>
  </si>
  <si>
    <t>NF8909</t>
  </si>
  <si>
    <t>NF8373</t>
  </si>
  <si>
    <t>NF3776</t>
  </si>
  <si>
    <t>NF7532</t>
  </si>
  <si>
    <t>NF2269</t>
  </si>
  <si>
    <t>NF0298</t>
  </si>
  <si>
    <t>NF4127</t>
  </si>
  <si>
    <t>NF4983</t>
  </si>
  <si>
    <t>NF7334</t>
  </si>
  <si>
    <t>NF7523</t>
  </si>
  <si>
    <t>NF5361</t>
  </si>
  <si>
    <t>NF2436</t>
  </si>
  <si>
    <t>NF7274</t>
  </si>
  <si>
    <t>NF9852</t>
  </si>
  <si>
    <t>NF5697</t>
  </si>
  <si>
    <t>NF5427</t>
  </si>
  <si>
    <t>NF9785</t>
  </si>
  <si>
    <t>NF8374</t>
  </si>
  <si>
    <t>NF5483</t>
  </si>
  <si>
    <t>NF0144</t>
  </si>
  <si>
    <t>NF4266</t>
  </si>
  <si>
    <t>NF2254</t>
  </si>
  <si>
    <t>NF1167</t>
  </si>
  <si>
    <t>NF5297</t>
  </si>
  <si>
    <t>NF9484</t>
  </si>
  <si>
    <t>NF4884</t>
  </si>
  <si>
    <t>NF8618</t>
  </si>
  <si>
    <t>NF3042</t>
  </si>
  <si>
    <t>NF0048</t>
  </si>
  <si>
    <t>NF4728</t>
  </si>
  <si>
    <t>NF1242</t>
  </si>
  <si>
    <t>NF4778</t>
  </si>
  <si>
    <t>NF3693</t>
  </si>
  <si>
    <t>NF5178</t>
  </si>
  <si>
    <t>NF0279</t>
  </si>
  <si>
    <t>NF6119</t>
  </si>
  <si>
    <t>NF7214</t>
  </si>
  <si>
    <t>NF8564</t>
  </si>
  <si>
    <t>NF3354</t>
  </si>
  <si>
    <t>NF4497</t>
  </si>
  <si>
    <t>NF3318</t>
  </si>
  <si>
    <t>NF9212</t>
  </si>
  <si>
    <t>NF1013</t>
  </si>
  <si>
    <t>NF2888</t>
  </si>
  <si>
    <t>NF9654</t>
  </si>
  <si>
    <t>NF4582</t>
  </si>
  <si>
    <t>NF8556</t>
  </si>
  <si>
    <t>NF5149</t>
  </si>
  <si>
    <t>NF5642</t>
  </si>
  <si>
    <t>NF2488</t>
  </si>
  <si>
    <t>NF8823</t>
  </si>
  <si>
    <t>NF3627</t>
  </si>
  <si>
    <t>NF9772</t>
  </si>
  <si>
    <t>NF1539</t>
  </si>
  <si>
    <t>NF7488</t>
  </si>
  <si>
    <t>NF3685</t>
  </si>
  <si>
    <t>NF8832</t>
  </si>
  <si>
    <t>NF3313</t>
  </si>
  <si>
    <t>NF0538</t>
  </si>
  <si>
    <t>NF0424</t>
  </si>
  <si>
    <t>NF1007</t>
  </si>
  <si>
    <t>NF4786</t>
  </si>
  <si>
    <t>NF0572</t>
  </si>
  <si>
    <t>NF5582</t>
  </si>
  <si>
    <t>NF4721</t>
  </si>
  <si>
    <t>NF0579</t>
  </si>
  <si>
    <t>NF9813</t>
  </si>
  <si>
    <t>NF5448</t>
  </si>
  <si>
    <t>NF1442</t>
  </si>
  <si>
    <t>NF4144</t>
  </si>
  <si>
    <t>NF5124</t>
  </si>
  <si>
    <t>NF4550</t>
  </si>
  <si>
    <t>NF6711</t>
  </si>
  <si>
    <t>NF8760</t>
  </si>
  <si>
    <t>NF2738</t>
  </si>
  <si>
    <t>NF1412</t>
  </si>
  <si>
    <t>NF6872</t>
  </si>
  <si>
    <t>NF2542</t>
  </si>
  <si>
    <t>NF8012</t>
  </si>
  <si>
    <t>NF1046</t>
  </si>
  <si>
    <t>NF5438</t>
  </si>
  <si>
    <t>NF6827</t>
  </si>
  <si>
    <t>NF4461</t>
  </si>
  <si>
    <t>NF9821</t>
  </si>
  <si>
    <t>NF8568</t>
  </si>
  <si>
    <t>NF9506</t>
  </si>
  <si>
    <t>NF8886</t>
  </si>
  <si>
    <t>NF2145</t>
  </si>
  <si>
    <t>NF5267</t>
  </si>
  <si>
    <t>NF4443</t>
  </si>
  <si>
    <t>NF5148</t>
  </si>
  <si>
    <t>NF7257</t>
  </si>
  <si>
    <t>NF1923</t>
  </si>
  <si>
    <t>NF6816</t>
  </si>
  <si>
    <t>NF2886</t>
  </si>
  <si>
    <t>NF9728</t>
  </si>
  <si>
    <t>NF2053</t>
  </si>
  <si>
    <t>NF0305</t>
  </si>
  <si>
    <t>NF1439</t>
  </si>
  <si>
    <t>NF6520</t>
  </si>
  <si>
    <t>NF1124</t>
  </si>
  <si>
    <t>NF0409</t>
  </si>
  <si>
    <t>NF0248</t>
  </si>
  <si>
    <t>NF4867</t>
  </si>
  <si>
    <t>NF7656</t>
  </si>
  <si>
    <t>NF3644</t>
  </si>
  <si>
    <t>NF1743</t>
  </si>
  <si>
    <t>NF2081</t>
  </si>
  <si>
    <t>NF7778</t>
  </si>
  <si>
    <t>NF1659</t>
  </si>
  <si>
    <t>NF4844</t>
  </si>
  <si>
    <t>NF4838</t>
  </si>
  <si>
    <t>NF9436</t>
  </si>
  <si>
    <t>NF6662</t>
  </si>
  <si>
    <t>NF7615</t>
  </si>
  <si>
    <t>NF8561</t>
  </si>
  <si>
    <t>NF1377</t>
  </si>
  <si>
    <t>NF3411</t>
  </si>
  <si>
    <t>NF1658</t>
  </si>
  <si>
    <t>NF5626</t>
  </si>
  <si>
    <t>NF5552</t>
  </si>
  <si>
    <t>NF9972</t>
  </si>
  <si>
    <t>NF1016</t>
  </si>
  <si>
    <t>NF8423</t>
  </si>
  <si>
    <t>NF5265</t>
  </si>
  <si>
    <t>NF7777</t>
  </si>
  <si>
    <t>NF8549</t>
  </si>
  <si>
    <t>NF0287</t>
  </si>
  <si>
    <t>NF2244</t>
  </si>
  <si>
    <t>NF2663</t>
  </si>
  <si>
    <t>NF2188</t>
  </si>
  <si>
    <t>NF9103</t>
  </si>
  <si>
    <t>NF4572</t>
  </si>
  <si>
    <t>NF2637</t>
  </si>
  <si>
    <t>NF6268</t>
  </si>
  <si>
    <t>NF1245</t>
  </si>
  <si>
    <t>NF5505</t>
  </si>
  <si>
    <t>NF4122</t>
  </si>
  <si>
    <t>NF3661</t>
  </si>
  <si>
    <t>NF5663</t>
  </si>
  <si>
    <t>NF4910</t>
  </si>
  <si>
    <t>NF6289</t>
  </si>
  <si>
    <t>NF2537</t>
  </si>
  <si>
    <t>NF7158</t>
  </si>
  <si>
    <t>NF2543</t>
  </si>
  <si>
    <t>NF5593</t>
  </si>
  <si>
    <t>NF8534</t>
  </si>
  <si>
    <t>NF8500</t>
  </si>
  <si>
    <t>NF8662</t>
  </si>
  <si>
    <t>NF8068</t>
  </si>
  <si>
    <t>NF6252</t>
  </si>
  <si>
    <t>NF4284</t>
  </si>
  <si>
    <t>NF6789</t>
  </si>
  <si>
    <t>NF6101</t>
  </si>
  <si>
    <t>NF7652</t>
  </si>
  <si>
    <t>NF1987</t>
  </si>
  <si>
    <t>NF3699</t>
  </si>
  <si>
    <t>NF1474</t>
  </si>
  <si>
    <t>NF9040</t>
  </si>
  <si>
    <t>NF3815</t>
  </si>
  <si>
    <t>NF6375</t>
  </si>
  <si>
    <t>NF0416</t>
  </si>
  <si>
    <t>NF7886</t>
  </si>
  <si>
    <t>NF8627</t>
  </si>
  <si>
    <t>NF2223</t>
  </si>
  <si>
    <t>NF8915</t>
  </si>
  <si>
    <t>NF8892</t>
  </si>
  <si>
    <t>NF2465</t>
  </si>
  <si>
    <t>NF2539</t>
  </si>
  <si>
    <t>NF4708</t>
  </si>
  <si>
    <t>NF3456</t>
  </si>
  <si>
    <t>NF7819</t>
  </si>
  <si>
    <t>NF4542</t>
  </si>
  <si>
    <t>NF5462</t>
  </si>
  <si>
    <t>NF5031</t>
  </si>
  <si>
    <t>NF3287</t>
  </si>
  <si>
    <t>NF5855</t>
  </si>
  <si>
    <t>NF0257</t>
  </si>
  <si>
    <t>NF5254</t>
  </si>
  <si>
    <t>NF5373</t>
  </si>
  <si>
    <t>NF9188</t>
  </si>
  <si>
    <t>NF0607</t>
  </si>
  <si>
    <t>NF5517</t>
  </si>
  <si>
    <t>NF2161</t>
  </si>
  <si>
    <t>NF4355</t>
  </si>
  <si>
    <t>NF7874</t>
  </si>
  <si>
    <t>NF3858</t>
  </si>
  <si>
    <t>NF2573</t>
  </si>
  <si>
    <t>NF9449</t>
  </si>
  <si>
    <t>NF3203</t>
  </si>
  <si>
    <t>NF2552</t>
  </si>
  <si>
    <t>NF7357</t>
  </si>
  <si>
    <t>NF0173</t>
  </si>
  <si>
    <t>NF2912</t>
  </si>
  <si>
    <t>NF3800</t>
  </si>
  <si>
    <t>NF7290</t>
  </si>
  <si>
    <t>NF2861</t>
  </si>
  <si>
    <t>NF6852</t>
  </si>
  <si>
    <t>NF6557</t>
  </si>
  <si>
    <t>NF3956</t>
  </si>
  <si>
    <t>NF8587</t>
  </si>
  <si>
    <t>NF1423</t>
  </si>
  <si>
    <t>NF2642</t>
  </si>
  <si>
    <t>NF1756</t>
  </si>
  <si>
    <t>NF7302</t>
  </si>
  <si>
    <t>NF5768</t>
  </si>
  <si>
    <t>NF2184</t>
  </si>
  <si>
    <t>NF8795</t>
  </si>
  <si>
    <t>NF6550</t>
  </si>
  <si>
    <t>NF1344</t>
  </si>
  <si>
    <t>NF6359</t>
  </si>
  <si>
    <t>NF1449</t>
  </si>
  <si>
    <t>NF7739</t>
  </si>
  <si>
    <t>NF1748</t>
  </si>
  <si>
    <t>NF5220</t>
  </si>
  <si>
    <t>NF6468</t>
  </si>
  <si>
    <t>NF7701</t>
  </si>
  <si>
    <t>NF1945</t>
  </si>
  <si>
    <t>NF4665</t>
  </si>
  <si>
    <t>NF9623</t>
  </si>
  <si>
    <t>NF5728</t>
  </si>
  <si>
    <t>NF9847</t>
  </si>
  <si>
    <t>NF8988</t>
  </si>
  <si>
    <t>NF0217</t>
  </si>
  <si>
    <t>NF7655</t>
  </si>
  <si>
    <t>NF6451</t>
  </si>
  <si>
    <t>NF7432</t>
  </si>
  <si>
    <t>NF3016</t>
  </si>
  <si>
    <t>NF5612</t>
  </si>
  <si>
    <t>NF3075</t>
  </si>
  <si>
    <t>NF7330</t>
  </si>
  <si>
    <t>NF2283</t>
  </si>
  <si>
    <t>NF2917</t>
  </si>
  <si>
    <t>NF5333</t>
  </si>
  <si>
    <t>NF1253</t>
  </si>
  <si>
    <t>NF4317</t>
  </si>
  <si>
    <t>NF5594</t>
  </si>
  <si>
    <t>NF6467</t>
  </si>
  <si>
    <t>NF4522</t>
  </si>
  <si>
    <t>NF7236</t>
  </si>
  <si>
    <t>NF9541</t>
  </si>
  <si>
    <t>NF8227</t>
  </si>
  <si>
    <t>NF5647</t>
  </si>
  <si>
    <t>NF3734</t>
  </si>
  <si>
    <t>NF5911</t>
  </si>
  <si>
    <t>NF9749</t>
  </si>
  <si>
    <t>NF2197</t>
  </si>
  <si>
    <t>NF1814</t>
  </si>
  <si>
    <t>NF5467</t>
  </si>
  <si>
    <t>NF5002</t>
  </si>
  <si>
    <t>NF8231</t>
  </si>
  <si>
    <t>NF8314</t>
  </si>
  <si>
    <t>NF2971</t>
  </si>
  <si>
    <t>NF3430</t>
  </si>
  <si>
    <t>NF7545</t>
  </si>
  <si>
    <t>NF3181</t>
  </si>
  <si>
    <t>NF3277</t>
  </si>
  <si>
    <t>NF9776</t>
  </si>
  <si>
    <t>NF7856</t>
  </si>
  <si>
    <t>NF9475</t>
  </si>
  <si>
    <t>NF6621</t>
  </si>
  <si>
    <t>NF1633</t>
  </si>
  <si>
    <t>NF9378</t>
  </si>
  <si>
    <t>NF2718</t>
  </si>
  <si>
    <t>NF2589</t>
  </si>
  <si>
    <t>NF9242</t>
  </si>
  <si>
    <t>NF8178</t>
  </si>
  <si>
    <t>NF1117</t>
  </si>
  <si>
    <t>NF4145</t>
  </si>
  <si>
    <t>NF1736</t>
  </si>
  <si>
    <t>NF1283</t>
  </si>
  <si>
    <t>NF0438</t>
  </si>
  <si>
    <t>NF6763</t>
  </si>
  <si>
    <t>NF1747</t>
  </si>
  <si>
    <t>NF6653</t>
  </si>
  <si>
    <t>NF0471</t>
  </si>
  <si>
    <t>NF3453</t>
  </si>
  <si>
    <t>NF3695</t>
  </si>
  <si>
    <t>NF5670</t>
  </si>
  <si>
    <t>NF9348</t>
  </si>
  <si>
    <t>NF2504</t>
  </si>
  <si>
    <t>NF4386</t>
  </si>
  <si>
    <t>NF5665</t>
  </si>
  <si>
    <t>NF8206</t>
  </si>
  <si>
    <t>NF5106</t>
  </si>
  <si>
    <t>NF1670</t>
  </si>
  <si>
    <t>NF8736</t>
  </si>
  <si>
    <t>NF8128</t>
  </si>
  <si>
    <t>NF0560</t>
  </si>
  <si>
    <t>NF8038</t>
  </si>
  <si>
    <t>NF3221</t>
  </si>
  <si>
    <t>NF2045</t>
  </si>
  <si>
    <t>NF4752</t>
  </si>
  <si>
    <t>NF3348</t>
  </si>
  <si>
    <t>NF2019</t>
  </si>
  <si>
    <t>NF9881</t>
  </si>
  <si>
    <t>NF3352</t>
  </si>
  <si>
    <t>NF6271</t>
  </si>
  <si>
    <t>NF2110</t>
  </si>
  <si>
    <t>NF6061</t>
  </si>
  <si>
    <t>NF4614</t>
  </si>
  <si>
    <t>NF8066</t>
  </si>
  <si>
    <t>NF0510</t>
  </si>
  <si>
    <t>NF1481</t>
  </si>
  <si>
    <t>NF1870</t>
  </si>
  <si>
    <t>NF7607</t>
  </si>
  <si>
    <t>NF3537</t>
  </si>
  <si>
    <t>NF0685</t>
  </si>
  <si>
    <t>NF8574</t>
  </si>
  <si>
    <t>NF8393</t>
  </si>
  <si>
    <t>NF6639</t>
  </si>
  <si>
    <t>NF6513</t>
  </si>
  <si>
    <t>NF8724</t>
  </si>
  <si>
    <t>NF3485</t>
  </si>
  <si>
    <t>NF2417</t>
  </si>
  <si>
    <t>NF8874</t>
  </si>
  <si>
    <t>NF3372</t>
  </si>
  <si>
    <t>NF8737</t>
  </si>
  <si>
    <t>NF1915</t>
  </si>
  <si>
    <t>NF8664</t>
  </si>
  <si>
    <t>NF4032</t>
  </si>
  <si>
    <t>NF6068</t>
  </si>
  <si>
    <t>NF5792</t>
  </si>
  <si>
    <t>NF3757</t>
  </si>
  <si>
    <t>NF6688</t>
  </si>
  <si>
    <t>NF1215</t>
  </si>
  <si>
    <t>NF3702</t>
  </si>
  <si>
    <t>NF1754</t>
  </si>
  <si>
    <t>NF7818</t>
  </si>
  <si>
    <t>NF9876</t>
  </si>
  <si>
    <t>NF9371</t>
  </si>
  <si>
    <t>NF5621</t>
  </si>
  <si>
    <t>NF0843</t>
  </si>
  <si>
    <t>Compra de Mercadorias</t>
  </si>
  <si>
    <t>Saldo de Caixa</t>
  </si>
  <si>
    <t>Contas A pagar</t>
  </si>
  <si>
    <t>Contas A receber</t>
  </si>
  <si>
    <t>Valor Total de Vendas</t>
  </si>
  <si>
    <t>PERFIL</t>
  </si>
  <si>
    <t>ATRASO</t>
  </si>
  <si>
    <t>Desempenho das Bases por mês</t>
  </si>
  <si>
    <t>Base</t>
  </si>
  <si>
    <t>BASE</t>
  </si>
  <si>
    <t>Total de Vendas</t>
  </si>
  <si>
    <t>Ranking de Vendas das Bases</t>
  </si>
  <si>
    <t>1º Lugar</t>
  </si>
  <si>
    <t>2º Lugar</t>
  </si>
  <si>
    <t>3º Lugar</t>
  </si>
  <si>
    <t>Total de vendas por categoria</t>
  </si>
  <si>
    <t>*Campo obrigatório</t>
  </si>
  <si>
    <t>NF7789</t>
  </si>
  <si>
    <t>SAÍDA NÍVEL 1</t>
  </si>
  <si>
    <t>SAÍDA NÍVEL 2</t>
  </si>
  <si>
    <t>FLUXO DE CAIXA - REGIME DE CAIXA (REALIZADO)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</si>
</sst>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  <numFmt numFmtId="165" formatCode="[$-F800]dddd\,\ mmmm\ dd\,\ yyyy"/>
    <numFmt numFmtId="166" formatCode="_-&quot;R$&quot;* #,##0.00_-;\-&quot;R$&quot;* #,##0.00_-;_-&quot;R$&quot;* &quot;-&quot;??_-;_-@_-"/>
    <numFmt numFmtId="167" formatCode="#,##0.0_ ;[Red]\-#,##0.0\ "/>
    <numFmt numFmtId="168" formatCode="&quot;R$&quot;\ #,##0"/>
    <numFmt numFmtId="169" formatCode="&quot;R$&quot;\ #,##0.00"/>
    <numFmt numFmtId="170" formatCode="#,##0_ ;[Red]\-#,##0\ 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b/>
      <sz val="20"/>
      <color theme="1"/>
      <name val="Microsoft JhengHei UI"/>
      <family val="2"/>
    </font>
    <font>
      <sz val="11"/>
      <color theme="1"/>
      <name val="Calibri"/>
      <scheme val="minor"/>
    </font>
    <font>
      <b/>
      <sz val="11"/>
      <color theme="0"/>
      <name val="Calibri"/>
      <scheme val="minor"/>
    </font>
    <font>
      <b/>
      <sz val="9"/>
      <color indexed="81"/>
      <name val="Segoe UI"/>
      <charset val="1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4472C4"/>
      <name val="Calibri"/>
      <family val="2"/>
    </font>
    <font>
      <b/>
      <sz val="12"/>
      <color theme="2" tint="-0.499984740745262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b/>
      <sz val="16"/>
      <color theme="9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b/>
      <sz val="16"/>
      <color theme="2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2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/>
        <bgColor theme="6" tint="0.79998168889431442"/>
      </patternFill>
    </fill>
    <fill>
      <patternFill patternType="solid">
        <fgColor rgb="FFD0CECE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6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theme="2" tint="-0.749961851863155"/>
      </left>
      <right/>
      <top style="thin">
        <color theme="2" tint="-0.749961851863155"/>
      </top>
      <bottom/>
      <diagonal/>
    </border>
    <border>
      <left/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  <border>
      <left style="thin">
        <color theme="2" tint="-0.749961851863155"/>
      </left>
      <right/>
      <top/>
      <bottom style="thin">
        <color theme="2" tint="-0.749961851863155"/>
      </bottom>
      <diagonal/>
    </border>
    <border>
      <left/>
      <right style="thin">
        <color theme="2" tint="-0.749961851863155"/>
      </right>
      <top/>
      <bottom style="thin">
        <color theme="2" tint="-0.749961851863155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208">
    <xf numFmtId="0" fontId="0" fillId="0" borderId="0" xfId="0"/>
    <xf numFmtId="0" fontId="0" fillId="2" borderId="0" xfId="0" applyFill="1"/>
    <xf numFmtId="0" fontId="4" fillId="0" borderId="0" xfId="0" applyFont="1"/>
    <xf numFmtId="0" fontId="0" fillId="0" borderId="0" xfId="0" applyAlignment="1"/>
    <xf numFmtId="0" fontId="0" fillId="4" borderId="0" xfId="0" applyFill="1"/>
    <xf numFmtId="0" fontId="0" fillId="7" borderId="0" xfId="0" applyFill="1"/>
    <xf numFmtId="0" fontId="0" fillId="0" borderId="1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 wrapText="1"/>
    </xf>
    <xf numFmtId="0" fontId="0" fillId="0" borderId="4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5" fillId="2" borderId="0" xfId="0" applyFont="1" applyFill="1" applyAlignment="1">
      <alignment vertical="center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/>
    <xf numFmtId="44" fontId="0" fillId="2" borderId="0" xfId="1" applyFont="1" applyFill="1"/>
    <xf numFmtId="44" fontId="0" fillId="4" borderId="0" xfId="1" applyFont="1" applyFill="1"/>
    <xf numFmtId="44" fontId="0" fillId="0" borderId="0" xfId="1" applyFont="1"/>
    <xf numFmtId="14" fontId="0" fillId="2" borderId="0" xfId="0" applyNumberFormat="1" applyFill="1"/>
    <xf numFmtId="14" fontId="0" fillId="4" borderId="0" xfId="0" applyNumberFormat="1" applyFill="1"/>
    <xf numFmtId="14" fontId="0" fillId="0" borderId="0" xfId="0" applyNumberFormat="1"/>
    <xf numFmtId="44" fontId="0" fillId="2" borderId="0" xfId="1" applyNumberFormat="1" applyFont="1" applyFill="1"/>
    <xf numFmtId="44" fontId="0" fillId="4" borderId="0" xfId="1" applyNumberFormat="1" applyFont="1" applyFill="1"/>
    <xf numFmtId="44" fontId="0" fillId="0" borderId="0" xfId="1" applyNumberFormat="1" applyFont="1"/>
    <xf numFmtId="0" fontId="8" fillId="0" borderId="0" xfId="0" applyFont="1"/>
    <xf numFmtId="44" fontId="0" fillId="7" borderId="0" xfId="1" applyNumberFormat="1" applyFont="1" applyFill="1"/>
    <xf numFmtId="0" fontId="0" fillId="0" borderId="0" xfId="0"/>
    <xf numFmtId="14" fontId="0" fillId="0" borderId="0" xfId="0" applyNumberFormat="1"/>
    <xf numFmtId="14" fontId="7" fillId="8" borderId="0" xfId="0" applyNumberFormat="1" applyFont="1" applyFill="1" applyBorder="1" applyAlignment="1">
      <alignment vertical="center" wrapText="1"/>
    </xf>
    <xf numFmtId="0" fontId="7" fillId="8" borderId="0" xfId="0" applyFont="1" applyFill="1" applyBorder="1" applyAlignment="1">
      <alignment vertical="center" wrapText="1"/>
    </xf>
    <xf numFmtId="0" fontId="7" fillId="8" borderId="0" xfId="0" applyFont="1" applyFill="1" applyBorder="1" applyAlignment="1">
      <alignment horizontal="left" vertical="center"/>
    </xf>
    <xf numFmtId="0" fontId="0" fillId="0" borderId="0" xfId="0" applyNumberFormat="1"/>
    <xf numFmtId="0" fontId="0" fillId="4" borderId="0" xfId="0" applyNumberFormat="1" applyFill="1"/>
    <xf numFmtId="0" fontId="7" fillId="8" borderId="0" xfId="0" applyNumberFormat="1" applyFont="1" applyFill="1" applyBorder="1" applyAlignment="1">
      <alignment horizontal="left" vertical="center"/>
    </xf>
    <xf numFmtId="0" fontId="0" fillId="7" borderId="7" xfId="0" applyFont="1" applyFill="1" applyBorder="1"/>
    <xf numFmtId="14" fontId="0" fillId="2" borderId="0" xfId="0" applyNumberFormat="1" applyFill="1" applyAlignment="1">
      <alignment horizontal="right"/>
    </xf>
    <xf numFmtId="14" fontId="0" fillId="4" borderId="0" xfId="0" applyNumberFormat="1" applyFill="1" applyAlignment="1">
      <alignment horizontal="right"/>
    </xf>
    <xf numFmtId="14" fontId="0" fillId="0" borderId="0" xfId="0" applyNumberFormat="1" applyAlignment="1">
      <alignment horizontal="right"/>
    </xf>
    <xf numFmtId="14" fontId="7" fillId="8" borderId="0" xfId="0" applyNumberFormat="1" applyFont="1" applyFill="1" applyBorder="1" applyAlignment="1">
      <alignment horizontal="left" vertical="center" wrapText="1"/>
    </xf>
    <xf numFmtId="14" fontId="0" fillId="9" borderId="7" xfId="0" applyNumberFormat="1" applyFont="1" applyFill="1" applyBorder="1" applyAlignment="1">
      <alignment horizontal="right"/>
    </xf>
    <xf numFmtId="14" fontId="0" fillId="9" borderId="7" xfId="0" applyNumberFormat="1" applyFont="1" applyFill="1" applyBorder="1"/>
    <xf numFmtId="0" fontId="0" fillId="9" borderId="7" xfId="0" applyFont="1" applyFill="1" applyBorder="1"/>
    <xf numFmtId="14" fontId="0" fillId="7" borderId="7" xfId="0" applyNumberFormat="1" applyFont="1" applyFill="1" applyBorder="1" applyAlignment="1">
      <alignment horizontal="right"/>
    </xf>
    <xf numFmtId="14" fontId="0" fillId="7" borderId="7" xfId="0" applyNumberFormat="1" applyFont="1" applyFill="1" applyBorder="1"/>
    <xf numFmtId="0" fontId="0" fillId="9" borderId="7" xfId="0" applyNumberFormat="1" applyFont="1" applyFill="1" applyBorder="1"/>
    <xf numFmtId="0" fontId="0" fillId="7" borderId="7" xfId="0" applyNumberFormat="1" applyFont="1" applyFill="1" applyBorder="1"/>
    <xf numFmtId="14" fontId="0" fillId="7" borderId="0" xfId="0" applyNumberFormat="1" applyFill="1"/>
    <xf numFmtId="44" fontId="0" fillId="7" borderId="0" xfId="1" applyFont="1" applyFill="1"/>
    <xf numFmtId="14" fontId="0" fillId="0" borderId="0" xfId="0" applyNumberFormat="1"/>
    <xf numFmtId="44" fontId="7" fillId="8" borderId="8" xfId="1" applyFont="1" applyFill="1" applyBorder="1" applyAlignment="1">
      <alignment vertical="center" wrapText="1"/>
    </xf>
    <xf numFmtId="0" fontId="0" fillId="0" borderId="0" xfId="0"/>
    <xf numFmtId="0" fontId="0" fillId="0" borderId="0" xfId="0"/>
    <xf numFmtId="14" fontId="0" fillId="7" borderId="0" xfId="0" applyNumberFormat="1" applyFill="1" applyAlignment="1">
      <alignment horizontal="right"/>
    </xf>
    <xf numFmtId="14" fontId="7" fillId="8" borderId="9" xfId="0" applyNumberFormat="1" applyFont="1" applyFill="1" applyBorder="1" applyAlignment="1">
      <alignment horizontal="left" vertical="center" wrapText="1"/>
    </xf>
    <xf numFmtId="0" fontId="0" fillId="9" borderId="0" xfId="0" applyFont="1" applyFill="1" applyBorder="1"/>
    <xf numFmtId="0" fontId="7" fillId="8" borderId="0" xfId="0" applyFont="1" applyFill="1" applyAlignment="1">
      <alignment horizontal="left" vertical="center" wrapText="1"/>
    </xf>
    <xf numFmtId="0" fontId="0" fillId="9" borderId="0" xfId="0" applyNumberFormat="1" applyFont="1" applyFill="1" applyAlignment="1"/>
    <xf numFmtId="0" fontId="0" fillId="9" borderId="0" xfId="0" applyNumberFormat="1" applyFont="1" applyFill="1"/>
    <xf numFmtId="0" fontId="7" fillId="8" borderId="0" xfId="0" applyNumberFormat="1" applyFont="1" applyFill="1" applyAlignment="1">
      <alignment horizontal="left" vertical="center" wrapText="1"/>
    </xf>
    <xf numFmtId="0" fontId="9" fillId="7" borderId="0" xfId="0" applyFont="1" applyFill="1"/>
    <xf numFmtId="0" fontId="0" fillId="4" borderId="4" xfId="0" applyFont="1" applyFill="1" applyBorder="1" applyAlignment="1">
      <alignment horizontal="right" vertical="center"/>
    </xf>
    <xf numFmtId="0" fontId="0" fillId="4" borderId="1" xfId="0" applyFont="1" applyFill="1" applyBorder="1" applyAlignment="1">
      <alignment horizontal="right" vertical="center"/>
    </xf>
    <xf numFmtId="167" fontId="0" fillId="0" borderId="0" xfId="0" applyNumberFormat="1" applyFont="1" applyBorder="1" applyAlignment="1">
      <alignment horizontal="right" vertical="center"/>
    </xf>
    <xf numFmtId="167" fontId="0" fillId="0" borderId="0" xfId="0" applyNumberFormat="1" applyBorder="1" applyAlignment="1">
      <alignment horizontal="right" vertical="center"/>
    </xf>
    <xf numFmtId="167" fontId="0" fillId="0" borderId="5" xfId="0" applyNumberFormat="1" applyBorder="1" applyAlignment="1">
      <alignment horizontal="right" vertical="center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9" fillId="7" borderId="0" xfId="0" applyFont="1" applyFill="1" applyAlignment="1">
      <alignment horizontal="left"/>
    </xf>
    <xf numFmtId="0" fontId="0" fillId="4" borderId="12" xfId="0" applyFont="1" applyFill="1" applyBorder="1" applyAlignment="1">
      <alignment horizontal="left" vertical="center"/>
    </xf>
    <xf numFmtId="0" fontId="0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0" xfId="0" applyAlignment="1">
      <alignment horizontal="left"/>
    </xf>
    <xf numFmtId="167" fontId="0" fillId="4" borderId="0" xfId="0" applyNumberFormat="1" applyFill="1" applyBorder="1" applyAlignment="1">
      <alignment horizontal="right" vertical="center"/>
    </xf>
    <xf numFmtId="167" fontId="0" fillId="4" borderId="5" xfId="0" applyNumberFormat="1" applyFill="1" applyBorder="1" applyAlignment="1">
      <alignment horizontal="right" vertical="center"/>
    </xf>
    <xf numFmtId="0" fontId="0" fillId="4" borderId="10" xfId="0" applyFont="1" applyFill="1" applyBorder="1" applyAlignment="1">
      <alignment horizontal="left" vertical="center"/>
    </xf>
    <xf numFmtId="0" fontId="0" fillId="4" borderId="11" xfId="0" applyFont="1" applyFill="1" applyBorder="1" applyAlignment="1">
      <alignment horizontal="left"/>
    </xf>
    <xf numFmtId="0" fontId="11" fillId="9" borderId="0" xfId="0" applyFont="1" applyFill="1"/>
    <xf numFmtId="0" fontId="12" fillId="8" borderId="0" xfId="0" applyFont="1" applyFill="1" applyAlignment="1">
      <alignment horizontal="left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quotePrefix="1"/>
    <xf numFmtId="0" fontId="11" fillId="9" borderId="0" xfId="0" applyNumberFormat="1" applyFont="1" applyFill="1"/>
    <xf numFmtId="0" fontId="7" fillId="8" borderId="0" xfId="0" applyFont="1" applyFill="1" applyAlignment="1">
      <alignment horizontal="left" vertical="center"/>
    </xf>
    <xf numFmtId="3" fontId="0" fillId="0" borderId="0" xfId="0" applyNumberFormat="1"/>
    <xf numFmtId="0" fontId="0" fillId="0" borderId="0" xfId="0" applyFont="1"/>
    <xf numFmtId="0" fontId="14" fillId="0" borderId="0" xfId="0" applyFont="1" applyFill="1" applyBorder="1" applyAlignment="1">
      <alignment vertical="center"/>
    </xf>
    <xf numFmtId="0" fontId="15" fillId="1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13" xfId="0" applyFont="1" applyFill="1" applyBorder="1" applyAlignment="1">
      <alignment horizontal="right" vertical="center"/>
    </xf>
    <xf numFmtId="0" fontId="14" fillId="11" borderId="13" xfId="0" applyFont="1" applyFill="1" applyBorder="1" applyAlignment="1">
      <alignment horizontal="left" vertical="center"/>
    </xf>
    <xf numFmtId="0" fontId="14" fillId="0" borderId="14" xfId="0" applyFont="1" applyFill="1" applyBorder="1" applyAlignment="1">
      <alignment vertical="center"/>
    </xf>
    <xf numFmtId="43" fontId="14" fillId="4" borderId="14" xfId="2" applyFont="1" applyFill="1" applyBorder="1" applyAlignment="1">
      <alignment horizontal="right" vertical="center"/>
    </xf>
    <xf numFmtId="0" fontId="14" fillId="0" borderId="14" xfId="0" applyFont="1" applyFill="1" applyBorder="1" applyAlignment="1">
      <alignment horizontal="right" vertical="center"/>
    </xf>
    <xf numFmtId="43" fontId="14" fillId="4" borderId="0" xfId="2" applyFont="1" applyFill="1" applyBorder="1" applyAlignment="1">
      <alignment horizontal="right" vertical="center"/>
    </xf>
    <xf numFmtId="43" fontId="14" fillId="4" borderId="14" xfId="2" applyFont="1" applyFill="1" applyBorder="1" applyAlignment="1">
      <alignment vertical="center"/>
    </xf>
    <xf numFmtId="43" fontId="14" fillId="4" borderId="0" xfId="2" applyFont="1" applyFill="1" applyBorder="1" applyAlignment="1">
      <alignment vertical="center"/>
    </xf>
    <xf numFmtId="0" fontId="14" fillId="0" borderId="15" xfId="0" applyFont="1" applyFill="1" applyBorder="1" applyAlignment="1">
      <alignment vertical="center"/>
    </xf>
    <xf numFmtId="43" fontId="16" fillId="4" borderId="15" xfId="2" applyFont="1" applyFill="1" applyBorder="1" applyAlignment="1">
      <alignment vertical="center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43" fontId="14" fillId="4" borderId="15" xfId="2" applyFont="1" applyFill="1" applyBorder="1" applyAlignment="1">
      <alignment vertical="center"/>
    </xf>
    <xf numFmtId="1" fontId="14" fillId="0" borderId="0" xfId="0" applyNumberFormat="1" applyFont="1" applyFill="1" applyBorder="1" applyAlignment="1">
      <alignment vertical="center"/>
    </xf>
    <xf numFmtId="0" fontId="14" fillId="11" borderId="13" xfId="0" applyFont="1" applyFill="1" applyBorder="1" applyAlignment="1">
      <alignment horizontal="right" vertical="center" wrapText="1"/>
    </xf>
    <xf numFmtId="168" fontId="14" fillId="4" borderId="13" xfId="0" applyNumberFormat="1" applyFont="1" applyFill="1" applyBorder="1" applyAlignment="1">
      <alignment vertical="center"/>
    </xf>
    <xf numFmtId="1" fontId="14" fillId="11" borderId="0" xfId="0" applyNumberFormat="1" applyFont="1" applyFill="1" applyBorder="1" applyAlignment="1">
      <alignment vertical="center"/>
    </xf>
    <xf numFmtId="0" fontId="0" fillId="0" borderId="7" xfId="0" applyBorder="1"/>
    <xf numFmtId="0" fontId="0" fillId="9" borderId="0" xfId="0" applyNumberFormat="1" applyFont="1" applyFill="1" applyBorder="1"/>
    <xf numFmtId="14" fontId="0" fillId="0" borderId="7" xfId="0" applyNumberFormat="1" applyBorder="1"/>
    <xf numFmtId="14" fontId="0" fillId="9" borderId="0" xfId="0" applyNumberFormat="1" applyFont="1" applyFill="1" applyBorder="1" applyAlignment="1">
      <alignment horizontal="right"/>
    </xf>
    <xf numFmtId="14" fontId="0" fillId="7" borderId="0" xfId="0" applyNumberFormat="1" applyFont="1" applyFill="1" applyBorder="1" applyAlignment="1">
      <alignment horizontal="right"/>
    </xf>
    <xf numFmtId="14" fontId="0" fillId="9" borderId="0" xfId="0" applyNumberFormat="1" applyFont="1" applyFill="1" applyBorder="1"/>
    <xf numFmtId="14" fontId="0" fillId="7" borderId="0" xfId="0" applyNumberFormat="1" applyFont="1" applyFill="1" applyBorder="1"/>
    <xf numFmtId="0" fontId="0" fillId="7" borderId="0" xfId="0" applyFont="1" applyFill="1" applyBorder="1"/>
    <xf numFmtId="44" fontId="7" fillId="8" borderId="0" xfId="1" applyFont="1" applyFill="1" applyBorder="1" applyAlignment="1">
      <alignment vertical="center" wrapText="1"/>
    </xf>
    <xf numFmtId="44" fontId="0" fillId="0" borderId="7" xfId="1" applyFont="1" applyBorder="1"/>
    <xf numFmtId="44" fontId="0" fillId="9" borderId="0" xfId="1" applyFont="1" applyFill="1" applyBorder="1"/>
    <xf numFmtId="44" fontId="0" fillId="7" borderId="0" xfId="1" applyFont="1" applyFill="1" applyBorder="1"/>
    <xf numFmtId="44" fontId="0" fillId="9" borderId="7" xfId="1" applyFont="1" applyFill="1" applyBorder="1"/>
    <xf numFmtId="44" fontId="0" fillId="7" borderId="7" xfId="1" applyFont="1" applyFill="1" applyBorder="1"/>
    <xf numFmtId="167" fontId="1" fillId="0" borderId="0" xfId="0" applyNumberFormat="1" applyFont="1" applyBorder="1" applyAlignment="1">
      <alignment horizontal="right" vertical="center"/>
    </xf>
    <xf numFmtId="167" fontId="1" fillId="4" borderId="0" xfId="0" applyNumberFormat="1" applyFont="1" applyFill="1" applyBorder="1" applyAlignment="1">
      <alignment horizontal="right" vertical="center"/>
    </xf>
    <xf numFmtId="14" fontId="0" fillId="0" borderId="0" xfId="0" applyNumberFormat="1" applyBorder="1"/>
    <xf numFmtId="0" fontId="0" fillId="0" borderId="0" xfId="0" applyBorder="1"/>
    <xf numFmtId="44" fontId="0" fillId="0" borderId="0" xfId="1" applyFont="1" applyBorder="1"/>
    <xf numFmtId="0" fontId="0" fillId="7" borderId="0" xfId="0" applyNumberFormat="1" applyFill="1"/>
    <xf numFmtId="0" fontId="11" fillId="7" borderId="0" xfId="0" applyFont="1" applyFill="1"/>
    <xf numFmtId="0" fontId="14" fillId="0" borderId="14" xfId="0" applyFont="1" applyFill="1" applyBorder="1" applyAlignment="1">
      <alignment horizontal="right" vertical="center" wrapText="1"/>
    </xf>
    <xf numFmtId="43" fontId="14" fillId="4" borderId="22" xfId="2" applyFont="1" applyFill="1" applyBorder="1" applyAlignment="1">
      <alignment horizontal="right" vertical="center"/>
    </xf>
    <xf numFmtId="1" fontId="10" fillId="4" borderId="0" xfId="0" applyNumberFormat="1" applyFont="1" applyFill="1" applyAlignment="1">
      <alignment vertical="center"/>
    </xf>
    <xf numFmtId="0" fontId="0" fillId="0" borderId="23" xfId="0" applyBorder="1"/>
    <xf numFmtId="0" fontId="0" fillId="0" borderId="6" xfId="0" applyBorder="1"/>
    <xf numFmtId="0" fontId="0" fillId="0" borderId="10" xfId="0" applyBorder="1"/>
    <xf numFmtId="0" fontId="0" fillId="0" borderId="24" xfId="0" applyBorder="1"/>
    <xf numFmtId="0" fontId="0" fillId="0" borderId="11" xfId="0" applyBorder="1"/>
    <xf numFmtId="0" fontId="0" fillId="0" borderId="5" xfId="0" applyBorder="1"/>
    <xf numFmtId="0" fontId="0" fillId="0" borderId="2" xfId="0" applyBorder="1"/>
    <xf numFmtId="0" fontId="0" fillId="12" borderId="25" xfId="0" applyFill="1" applyBorder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0" fillId="7" borderId="7" xfId="0" applyFill="1" applyBorder="1"/>
    <xf numFmtId="0" fontId="0" fillId="7" borderId="0" xfId="0" applyNumberFormat="1" applyFont="1" applyFill="1" applyBorder="1"/>
    <xf numFmtId="0" fontId="0" fillId="7" borderId="0" xfId="0" applyNumberFormat="1" applyFont="1" applyFill="1" applyBorder="1" applyAlignment="1"/>
    <xf numFmtId="0" fontId="0" fillId="7" borderId="0" xfId="0" applyFill="1" applyBorder="1"/>
    <xf numFmtId="0" fontId="0" fillId="4" borderId="28" xfId="0" applyFill="1" applyBorder="1" applyAlignment="1">
      <alignment horizontal="center" vertical="center"/>
    </xf>
    <xf numFmtId="0" fontId="14" fillId="7" borderId="0" xfId="0" applyFont="1" applyFill="1" applyBorder="1" applyAlignment="1">
      <alignment horizontal="right" vertical="center"/>
    </xf>
    <xf numFmtId="0" fontId="15" fillId="7" borderId="0" xfId="0" applyFont="1" applyFill="1" applyBorder="1" applyAlignment="1">
      <alignment vertical="center"/>
    </xf>
    <xf numFmtId="0" fontId="25" fillId="13" borderId="26" xfId="0" applyFont="1" applyFill="1" applyBorder="1"/>
    <xf numFmtId="0" fontId="25" fillId="13" borderId="27" xfId="0" applyFont="1" applyFill="1" applyBorder="1"/>
    <xf numFmtId="0" fontId="25" fillId="13" borderId="29" xfId="0" applyFont="1" applyFill="1" applyBorder="1"/>
    <xf numFmtId="0" fontId="26" fillId="0" borderId="0" xfId="0" applyFont="1" applyFill="1" applyBorder="1" applyAlignment="1">
      <alignment vertical="center"/>
    </xf>
    <xf numFmtId="169" fontId="0" fillId="13" borderId="27" xfId="0" applyNumberFormat="1" applyFont="1" applyFill="1" applyBorder="1"/>
    <xf numFmtId="169" fontId="0" fillId="0" borderId="0" xfId="1" applyNumberFormat="1" applyFont="1"/>
    <xf numFmtId="169" fontId="0" fillId="0" borderId="0" xfId="0" applyNumberFormat="1"/>
    <xf numFmtId="0" fontId="17" fillId="0" borderId="10" xfId="0" applyFont="1" applyBorder="1" applyAlignment="1"/>
    <xf numFmtId="0" fontId="17" fillId="0" borderId="24" xfId="0" applyFont="1" applyBorder="1" applyAlignment="1"/>
    <xf numFmtId="0" fontId="17" fillId="0" borderId="11" xfId="0" applyFont="1" applyBorder="1" applyAlignment="1"/>
    <xf numFmtId="0" fontId="17" fillId="0" borderId="2" xfId="0" applyFont="1" applyBorder="1" applyAlignment="1"/>
    <xf numFmtId="169" fontId="24" fillId="0" borderId="24" xfId="0" applyNumberFormat="1" applyFont="1" applyBorder="1" applyAlignment="1"/>
    <xf numFmtId="169" fontId="24" fillId="0" borderId="10" xfId="0" applyNumberFormat="1" applyFont="1" applyBorder="1" applyAlignment="1"/>
    <xf numFmtId="164" fontId="0" fillId="0" borderId="0" xfId="0" applyNumberFormat="1"/>
    <xf numFmtId="3" fontId="0" fillId="0" borderId="0" xfId="0" applyNumberFormat="1" applyFont="1"/>
    <xf numFmtId="170" fontId="0" fillId="0" borderId="0" xfId="0" applyNumberFormat="1"/>
    <xf numFmtId="0" fontId="5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5" fillId="2" borderId="0" xfId="0" applyFont="1" applyFill="1" applyAlignment="1">
      <alignment horizontal="right" vertical="center"/>
    </xf>
    <xf numFmtId="14" fontId="0" fillId="6" borderId="0" xfId="0" applyNumberFormat="1" applyFill="1" applyAlignment="1">
      <alignment horizontal="left" vertical="center"/>
    </xf>
    <xf numFmtId="49" fontId="0" fillId="6" borderId="0" xfId="0" applyNumberFormat="1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NumberFormat="1" applyFill="1" applyAlignment="1">
      <alignment horizontal="left" vertical="center"/>
    </xf>
    <xf numFmtId="164" fontId="0" fillId="6" borderId="0" xfId="0" applyNumberFormat="1" applyFill="1" applyAlignment="1">
      <alignment horizontal="right" vertical="center"/>
    </xf>
    <xf numFmtId="164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165" fontId="0" fillId="6" borderId="0" xfId="0" applyNumberFormat="1" applyFill="1" applyAlignment="1">
      <alignment horizontal="center"/>
    </xf>
    <xf numFmtId="1" fontId="10" fillId="4" borderId="0" xfId="0" applyNumberFormat="1" applyFont="1" applyFill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169" fontId="20" fillId="0" borderId="10" xfId="0" applyNumberFormat="1" applyFont="1" applyBorder="1" applyAlignment="1">
      <alignment horizontal="center" vertical="center"/>
    </xf>
    <xf numFmtId="169" fontId="20" fillId="0" borderId="0" xfId="0" applyNumberFormat="1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6" xfId="0" applyBorder="1" applyAlignment="1">
      <alignment horizontal="center"/>
    </xf>
    <xf numFmtId="0" fontId="22" fillId="0" borderId="24" xfId="0" applyFont="1" applyBorder="1" applyAlignment="1">
      <alignment horizontal="center" vertical="center"/>
    </xf>
    <xf numFmtId="169" fontId="23" fillId="0" borderId="24" xfId="0" applyNumberFormat="1" applyFont="1" applyBorder="1" applyAlignment="1">
      <alignment horizontal="center" vertical="center"/>
    </xf>
    <xf numFmtId="169" fontId="23" fillId="0" borderId="2" xfId="0" applyNumberFormat="1" applyFont="1" applyBorder="1" applyAlignment="1">
      <alignment horizontal="center" vertical="center"/>
    </xf>
    <xf numFmtId="1" fontId="10" fillId="4" borderId="0" xfId="0" applyNumberFormat="1" applyFont="1" applyFill="1" applyAlignment="1">
      <alignment horizontal="right" vertical="center"/>
    </xf>
    <xf numFmtId="169" fontId="27" fillId="7" borderId="10" xfId="0" applyNumberFormat="1" applyFont="1" applyFill="1" applyBorder="1" applyAlignment="1">
      <alignment horizontal="center"/>
    </xf>
    <xf numFmtId="169" fontId="27" fillId="7" borderId="24" xfId="0" applyNumberFormat="1" applyFont="1" applyFill="1" applyBorder="1" applyAlignment="1">
      <alignment horizontal="center"/>
    </xf>
    <xf numFmtId="169" fontId="19" fillId="0" borderId="18" xfId="0" applyNumberFormat="1" applyFont="1" applyBorder="1" applyAlignment="1">
      <alignment horizontal="center" vertical="center"/>
    </xf>
    <xf numFmtId="169" fontId="19" fillId="0" borderId="19" xfId="0" applyNumberFormat="1" applyFont="1" applyBorder="1" applyAlignment="1">
      <alignment horizontal="center" vertical="center"/>
    </xf>
    <xf numFmtId="169" fontId="19" fillId="0" borderId="20" xfId="0" applyNumberFormat="1" applyFont="1" applyBorder="1" applyAlignment="1">
      <alignment horizontal="center" vertical="center"/>
    </xf>
    <xf numFmtId="169" fontId="19" fillId="0" borderId="21" xfId="0" applyNumberFormat="1" applyFont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169" fontId="20" fillId="0" borderId="18" xfId="0" applyNumberFormat="1" applyFont="1" applyBorder="1" applyAlignment="1">
      <alignment horizontal="center" vertical="center"/>
    </xf>
    <xf numFmtId="169" fontId="20" fillId="0" borderId="19" xfId="0" applyNumberFormat="1" applyFont="1" applyBorder="1" applyAlignment="1">
      <alignment horizontal="center" vertical="center"/>
    </xf>
    <xf numFmtId="169" fontId="20" fillId="0" borderId="20" xfId="0" applyNumberFormat="1" applyFont="1" applyBorder="1" applyAlignment="1">
      <alignment horizontal="center" vertical="center"/>
    </xf>
    <xf numFmtId="169" fontId="20" fillId="0" borderId="21" xfId="0" applyNumberFormat="1" applyFont="1" applyBorder="1" applyAlignment="1">
      <alignment horizontal="center" vertical="center"/>
    </xf>
    <xf numFmtId="169" fontId="21" fillId="0" borderId="18" xfId="0" applyNumberFormat="1" applyFont="1" applyBorder="1" applyAlignment="1">
      <alignment horizontal="center" vertical="center"/>
    </xf>
    <xf numFmtId="169" fontId="21" fillId="0" borderId="19" xfId="0" applyNumberFormat="1" applyFont="1" applyBorder="1" applyAlignment="1">
      <alignment horizontal="center" vertical="center"/>
    </xf>
    <xf numFmtId="169" fontId="21" fillId="0" borderId="20" xfId="0" applyNumberFormat="1" applyFont="1" applyBorder="1" applyAlignment="1">
      <alignment horizontal="center" vertical="center"/>
    </xf>
    <xf numFmtId="169" fontId="21" fillId="0" borderId="21" xfId="0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55"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" formatCode="#,##0"/>
    </dxf>
    <dxf>
      <font>
        <b val="0"/>
      </font>
    </dxf>
    <dxf>
      <font>
        <b/>
      </font>
    </dxf>
    <dxf>
      <font>
        <b val="0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alignment horizontal="right" textRotation="0" indent="0" justifyLastLine="0" shrinkToFit="0" readingOrder="0"/>
    </dxf>
    <dxf>
      <border outline="0">
        <top style="thin">
          <color theme="6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  <border diagonalUp="0" diagonalDown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6" tint="0.79998168889431442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5.xml"/><Relationship Id="rId39" Type="http://schemas.microsoft.com/office/2007/relationships/slicerCache" Target="slicerCaches/slicerCache18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13.xml"/><Relationship Id="rId42" Type="http://schemas.microsoft.com/office/2007/relationships/slicerCache" Target="slicerCaches/slicerCache21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8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microsoft.com/office/2007/relationships/slicerCache" Target="slicerCaches/slicerCache11.xml"/><Relationship Id="rId37" Type="http://schemas.microsoft.com/office/2007/relationships/slicerCache" Target="slicerCaches/slicerCache16.xml"/><Relationship Id="rId40" Type="http://schemas.microsoft.com/office/2007/relationships/slicerCache" Target="slicerCaches/slicerCache19.xml"/><Relationship Id="rId45" Type="http://schemas.microsoft.com/office/2007/relationships/slicerCache" Target="slicerCaches/slicerCache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microsoft.com/office/2007/relationships/slicerCache" Target="slicerCaches/slicerCache7.xml"/><Relationship Id="rId36" Type="http://schemas.microsoft.com/office/2007/relationships/slicerCache" Target="slicerCaches/slicerCache15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0.xml"/><Relationship Id="rId44" Type="http://schemas.microsoft.com/office/2007/relationships/slicerCache" Target="slicerCaches/slicerCache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microsoft.com/office/2007/relationships/slicerCache" Target="slicerCaches/slicerCache6.xml"/><Relationship Id="rId30" Type="http://schemas.microsoft.com/office/2007/relationships/slicerCache" Target="slicerCaches/slicerCache9.xml"/><Relationship Id="rId35" Type="http://schemas.microsoft.com/office/2007/relationships/slicerCache" Target="slicerCaches/slicerCache14.xml"/><Relationship Id="rId43" Type="http://schemas.microsoft.com/office/2007/relationships/slicerCache" Target="slicerCaches/slicerCache22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4.xml"/><Relationship Id="rId33" Type="http://schemas.microsoft.com/office/2007/relationships/slicerCache" Target="slicerCaches/slicerCache12.xml"/><Relationship Id="rId38" Type="http://schemas.microsoft.com/office/2007/relationships/slicerCache" Target="slicerCaches/slicerCache17.xml"/><Relationship Id="rId46" Type="http://schemas.openxmlformats.org/officeDocument/2006/relationships/theme" Target="theme/theme1.xml"/><Relationship Id="rId20" Type="http://schemas.openxmlformats.org/officeDocument/2006/relationships/pivotCacheDefinition" Target="pivotCache/pivotCacheDefinition1.xml"/><Relationship Id="rId41" Type="http://schemas.microsoft.com/office/2007/relationships/slicerCache" Target="slicerCaches/slicerCache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DaFinanceiroAnualT!$J$3</c:f>
              <c:strCache>
                <c:ptCount val="1"/>
                <c:pt idx="0">
                  <c:v>Evolução das vendas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DaFinanceiroAnualT!$L$5:$L$15</c:f>
              <c:strCache>
                <c:ptCount val="11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</c:strCache>
            </c:strRef>
          </c:cat>
          <c:val>
            <c:numRef>
              <c:f>DaFinanceiroAnualT!$K$5:$K$16</c:f>
              <c:numCache>
                <c:formatCode>_(* #,##0.00_);_(* \(#,##0.00\);_(* "-"??_);_(@_)</c:formatCode>
                <c:ptCount val="12"/>
                <c:pt idx="0">
                  <c:v>5142</c:v>
                </c:pt>
                <c:pt idx="1">
                  <c:v>12313</c:v>
                </c:pt>
                <c:pt idx="2">
                  <c:v>6794</c:v>
                </c:pt>
                <c:pt idx="3">
                  <c:v>4026</c:v>
                </c:pt>
                <c:pt idx="4">
                  <c:v>18618</c:v>
                </c:pt>
                <c:pt idx="5">
                  <c:v>13306</c:v>
                </c:pt>
                <c:pt idx="6">
                  <c:v>10956</c:v>
                </c:pt>
                <c:pt idx="7">
                  <c:v>24288</c:v>
                </c:pt>
                <c:pt idx="8">
                  <c:v>14547</c:v>
                </c:pt>
                <c:pt idx="9">
                  <c:v>4922</c:v>
                </c:pt>
                <c:pt idx="10">
                  <c:v>13425</c:v>
                </c:pt>
                <c:pt idx="11">
                  <c:v>7340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EB9-42AF-AD80-881401431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736191"/>
        <c:axId val="1283738271"/>
      </c:lineChart>
      <c:catAx>
        <c:axId val="128373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38271"/>
        <c:crosses val="autoZero"/>
        <c:auto val="1"/>
        <c:lblAlgn val="ctr"/>
        <c:lblOffset val="100"/>
        <c:noMultiLvlLbl val="0"/>
      </c:catAx>
      <c:valAx>
        <c:axId val="128373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36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</a:t>
            </a:r>
            <a:r>
              <a:rPr lang="pt-BR" baseline="0"/>
              <a:t> da base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DaFinanceiroAnualT!$N$5:$N$16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DaFinanceiroAnualT!$O$5:$O$16</c:f>
              <c:numCache>
                <c:formatCode>_(* #,##0.00_);_(* \(#,##0.00\);_(* "-"??_);_(@_)</c:formatCode>
                <c:ptCount val="12"/>
                <c:pt idx="0">
                  <c:v>5420</c:v>
                </c:pt>
                <c:pt idx="1">
                  <c:v>6047</c:v>
                </c:pt>
                <c:pt idx="2">
                  <c:v>17079</c:v>
                </c:pt>
                <c:pt idx="3">
                  <c:v>6486</c:v>
                </c:pt>
                <c:pt idx="4">
                  <c:v>17456</c:v>
                </c:pt>
                <c:pt idx="5">
                  <c:v>9538</c:v>
                </c:pt>
                <c:pt idx="6">
                  <c:v>11694</c:v>
                </c:pt>
                <c:pt idx="7">
                  <c:v>15104</c:v>
                </c:pt>
                <c:pt idx="8">
                  <c:v>12709</c:v>
                </c:pt>
                <c:pt idx="9">
                  <c:v>17824</c:v>
                </c:pt>
                <c:pt idx="10">
                  <c:v>7728</c:v>
                </c:pt>
                <c:pt idx="11">
                  <c:v>3775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27-45F2-9BF6-216BC0CE6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740351"/>
        <c:axId val="1283732447"/>
      </c:lineChart>
      <c:catAx>
        <c:axId val="1283740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32447"/>
        <c:crosses val="autoZero"/>
        <c:auto val="1"/>
        <c:lblAlgn val="ctr"/>
        <c:lblOffset val="100"/>
        <c:noMultiLvlLbl val="0"/>
      </c:catAx>
      <c:valAx>
        <c:axId val="128373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40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400"/>
              <a:t>Bases</a:t>
            </a:r>
            <a:r>
              <a:rPr lang="pt-BR" sz="1400" baseline="0"/>
              <a:t> com melhor desempenho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3E9-4800-80E3-60FB23B46D8F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3E9-4800-80E3-60FB23B46D8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3E9-4800-80E3-60FB23B46D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DaFinanceiroAnualT!$G$20:$G$22</c:f>
              <c:strCache>
                <c:ptCount val="3"/>
                <c:pt idx="0">
                  <c:v>GUARUJÁ</c:v>
                </c:pt>
                <c:pt idx="1">
                  <c:v>SÃO PAULO</c:v>
                </c:pt>
                <c:pt idx="2">
                  <c:v>BARUERI</c:v>
                </c:pt>
              </c:strCache>
            </c:strRef>
          </c:cat>
          <c:val>
            <c:numRef>
              <c:f>DaFinanceiroAnualT!$H$20:$H$22</c:f>
              <c:numCache>
                <c:formatCode>"R$"\ #,##0.00</c:formatCode>
                <c:ptCount val="3"/>
                <c:pt idx="0">
                  <c:v>167520</c:v>
                </c:pt>
                <c:pt idx="1">
                  <c:v>158538</c:v>
                </c:pt>
                <c:pt idx="2">
                  <c:v>134940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9-4800-80E3-60FB23B46D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216700159"/>
        <c:axId val="1216701407"/>
      </c:barChart>
      <c:catAx>
        <c:axId val="1216700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6701407"/>
        <c:crosses val="autoZero"/>
        <c:auto val="1"/>
        <c:lblAlgn val="ctr"/>
        <c:lblOffset val="100"/>
        <c:noMultiLvlLbl val="0"/>
      </c:catAx>
      <c:valAx>
        <c:axId val="1216701407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216700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Categorias mais vendidas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C3-48E1-B419-128A9D80BB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C3-48E1-B419-128A9D80BB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1C3-48E1-B419-128A9D80BB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1C3-48E1-B419-128A9D80BBA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1C3-48E1-B419-128A9D80BB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DaFinanceiroAnualT!$J$20:$J$24</c:f>
              <c:strCache>
                <c:ptCount val="5"/>
                <c:pt idx="0">
                  <c:v>Eletrodomésticos</c:v>
                </c:pt>
                <c:pt idx="1">
                  <c:v>Informática</c:v>
                </c:pt>
                <c:pt idx="2">
                  <c:v>Livros</c:v>
                </c:pt>
                <c:pt idx="3">
                  <c:v>Móveis</c:v>
                </c:pt>
                <c:pt idx="4">
                  <c:v>Som e Imagem</c:v>
                </c:pt>
              </c:strCache>
            </c:strRef>
          </c:cat>
          <c:val>
            <c:numRef>
              <c:f>DaFinanceiroAnualT!$K$20:$K$24</c:f>
              <c:numCache>
                <c:formatCode>_-[$R$-416]\ * #,##0.00_-;\-[$R$-416]\ * #,##0.00_-;_-[$R$-416]\ * "-"??_-;_-@_-</c:formatCode>
                <c:ptCount val="5"/>
                <c:pt idx="0">
                  <c:v>132661</c:v>
                </c:pt>
                <c:pt idx="1">
                  <c:v>255727</c:v>
                </c:pt>
                <c:pt idx="2">
                  <c:v>140870</c:v>
                </c:pt>
                <c:pt idx="3">
                  <c:v>211853</c:v>
                </c:pt>
                <c:pt idx="4">
                  <c:v>205399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C3-48E1-B419-128A9D80BB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etalhaReceita!A3"/><Relationship Id="rId13" Type="http://schemas.openxmlformats.org/officeDocument/2006/relationships/hyperlink" Target="#DetalhaEBases!A3"/><Relationship Id="rId3" Type="http://schemas.openxmlformats.org/officeDocument/2006/relationships/hyperlink" Target="#RegistroEntradas!A3"/><Relationship Id="rId7" Type="http://schemas.openxmlformats.org/officeDocument/2006/relationships/hyperlink" Target="#RBV!A3"/><Relationship Id="rId12" Type="http://schemas.openxmlformats.org/officeDocument/2006/relationships/hyperlink" Target="#ContasReceberVen!A3"/><Relationship Id="rId2" Type="http://schemas.openxmlformats.org/officeDocument/2006/relationships/hyperlink" Target="#Inserir_Sa&#237;das!F9"/><Relationship Id="rId1" Type="http://schemas.openxmlformats.org/officeDocument/2006/relationships/hyperlink" Target="#Inserir_Entradas!F9"/><Relationship Id="rId6" Type="http://schemas.openxmlformats.org/officeDocument/2006/relationships/hyperlink" Target="#RegistroSa&#237;das!A3"/><Relationship Id="rId11" Type="http://schemas.openxmlformats.org/officeDocument/2006/relationships/hyperlink" Target="#ContasReceber!A3"/><Relationship Id="rId5" Type="http://schemas.openxmlformats.org/officeDocument/2006/relationships/hyperlink" Target="#Fluxo_Consolidado!A3"/><Relationship Id="rId15" Type="http://schemas.openxmlformats.org/officeDocument/2006/relationships/hyperlink" Target="#DetalhaVendedores!A3"/><Relationship Id="rId10" Type="http://schemas.openxmlformats.org/officeDocument/2006/relationships/hyperlink" Target="#ContasPagar!A3"/><Relationship Id="rId4" Type="http://schemas.openxmlformats.org/officeDocument/2006/relationships/hyperlink" Target="#DaFinanceiroAnual!A3"/><Relationship Id="rId9" Type="http://schemas.openxmlformats.org/officeDocument/2006/relationships/hyperlink" Target="#DetalhaDespesa!A3"/><Relationship Id="rId14" Type="http://schemas.openxmlformats.org/officeDocument/2006/relationships/hyperlink" Target="#DetalhaSBases!A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PlanoEntradas!M23"/><Relationship Id="rId1" Type="http://schemas.openxmlformats.org/officeDocument/2006/relationships/hyperlink" Target="#Inicio!M2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serir_Entradas!F9"/><Relationship Id="rId1" Type="http://schemas.openxmlformats.org/officeDocument/2006/relationships/hyperlink" Target="#Inicio!M27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PlanoSa&#237;das!M23"/><Relationship Id="rId1" Type="http://schemas.openxmlformats.org/officeDocument/2006/relationships/hyperlink" Target="#Inicio!M27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serir_Sa&#237;das!F9"/><Relationship Id="rId1" Type="http://schemas.openxmlformats.org/officeDocument/2006/relationships/hyperlink" Target="#Inicio!M27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serir_Entradas!C9"/><Relationship Id="rId1" Type="http://schemas.openxmlformats.org/officeDocument/2006/relationships/hyperlink" Target="#Inicio!M27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serir_Sa&#237;das!C9"/><Relationship Id="rId1" Type="http://schemas.openxmlformats.org/officeDocument/2006/relationships/hyperlink" Target="#Inicio!M27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icio!M27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Inicio!M27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1074420</xdr:colOff>
      <xdr:row>8</xdr:row>
      <xdr:rowOff>22860</xdr:rowOff>
    </xdr:from>
    <xdr:to>
      <xdr:col>5</xdr:col>
      <xdr:colOff>1073940</xdr:colOff>
      <xdr:row>9</xdr:row>
      <xdr:rowOff>73980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3558540" y="164592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Registrar</a:t>
          </a:r>
          <a:r>
            <a:rPr lang="pt-BR" sz="1100" baseline="0">
              <a:solidFill>
                <a:schemeClr val="bg1"/>
              </a:solidFill>
            </a:rPr>
            <a:t> Entradas</a:t>
          </a:r>
        </a:p>
      </xdr:txBody>
    </xdr:sp>
    <xdr:clientData/>
  </xdr:twoCellAnchor>
  <xdr:twoCellAnchor>
    <xdr:from>
      <xdr:col>3</xdr:col>
      <xdr:colOff>1074420</xdr:colOff>
      <xdr:row>9</xdr:row>
      <xdr:rowOff>179070</xdr:rowOff>
    </xdr:from>
    <xdr:to>
      <xdr:col>5</xdr:col>
      <xdr:colOff>1073940</xdr:colOff>
      <xdr:row>11</xdr:row>
      <xdr:rowOff>1590</xdr:rowOff>
    </xdr:to>
    <xdr:sp macro="" textlink="">
      <xdr:nvSpPr>
        <xdr:cNvPr id="5" name="Retângulo Arredondado 4">
          <a:hlinkClick xmlns:r="http://schemas.openxmlformats.org/officeDocument/2006/relationships" r:id="rId2"/>
        </xdr:cNvPr>
        <xdr:cNvSpPr/>
      </xdr:nvSpPr>
      <xdr:spPr>
        <a:xfrm>
          <a:off x="3558540" y="198501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Registrar</a:t>
          </a:r>
          <a:r>
            <a:rPr lang="pt-BR" sz="1100" baseline="0">
              <a:solidFill>
                <a:schemeClr val="bg1"/>
              </a:solidFill>
            </a:rPr>
            <a:t> </a:t>
          </a:r>
          <a:r>
            <a:rPr lang="pt-BR" sz="1100">
              <a:solidFill>
                <a:schemeClr val="bg1"/>
              </a:solidFill>
            </a:rPr>
            <a:t>Saídas</a:t>
          </a:r>
        </a:p>
      </xdr:txBody>
    </xdr:sp>
    <xdr:clientData/>
  </xdr:twoCellAnchor>
  <xdr:twoCellAnchor>
    <xdr:from>
      <xdr:col>3</xdr:col>
      <xdr:colOff>1074420</xdr:colOff>
      <xdr:row>11</xdr:row>
      <xdr:rowOff>106680</xdr:rowOff>
    </xdr:from>
    <xdr:to>
      <xdr:col>5</xdr:col>
      <xdr:colOff>1073940</xdr:colOff>
      <xdr:row>12</xdr:row>
      <xdr:rowOff>157800</xdr:rowOff>
    </xdr:to>
    <xdr:sp macro="" textlink="">
      <xdr:nvSpPr>
        <xdr:cNvPr id="6" name="Retângulo Arredondado 5">
          <a:hlinkClick xmlns:r="http://schemas.openxmlformats.org/officeDocument/2006/relationships" r:id="rId3"/>
        </xdr:cNvPr>
        <xdr:cNvSpPr/>
      </xdr:nvSpPr>
      <xdr:spPr>
        <a:xfrm>
          <a:off x="3558540" y="23241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Registro das Entradas de Caixa</a:t>
          </a:r>
        </a:p>
      </xdr:txBody>
    </xdr:sp>
    <xdr:clientData/>
  </xdr:twoCellAnchor>
  <xdr:twoCellAnchor>
    <xdr:from>
      <xdr:col>10</xdr:col>
      <xdr:colOff>7620</xdr:colOff>
      <xdr:row>8</xdr:row>
      <xdr:rowOff>30480</xdr:rowOff>
    </xdr:from>
    <xdr:to>
      <xdr:col>12</xdr:col>
      <xdr:colOff>7140</xdr:colOff>
      <xdr:row>9</xdr:row>
      <xdr:rowOff>81600</xdr:rowOff>
    </xdr:to>
    <xdr:sp macro="" textlink="">
      <xdr:nvSpPr>
        <xdr:cNvPr id="13" name="Retângulo Arredondado 12">
          <a:hlinkClick xmlns:r="http://schemas.openxmlformats.org/officeDocument/2006/relationships" r:id="rId4"/>
        </xdr:cNvPr>
        <xdr:cNvSpPr/>
      </xdr:nvSpPr>
      <xdr:spPr>
        <a:xfrm>
          <a:off x="10066020" y="165354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Financeiro - Anual</a:t>
          </a:r>
        </a:p>
      </xdr:txBody>
    </xdr:sp>
    <xdr:clientData/>
  </xdr:twoCellAnchor>
  <xdr:twoCellAnchor>
    <xdr:from>
      <xdr:col>7</xdr:col>
      <xdr:colOff>3810</xdr:colOff>
      <xdr:row>8</xdr:row>
      <xdr:rowOff>15240</xdr:rowOff>
    </xdr:from>
    <xdr:to>
      <xdr:col>9</xdr:col>
      <xdr:colOff>3330</xdr:colOff>
      <xdr:row>9</xdr:row>
      <xdr:rowOff>66360</xdr:rowOff>
    </xdr:to>
    <xdr:sp macro="" textlink="">
      <xdr:nvSpPr>
        <xdr:cNvPr id="4" name="Retângulo Arredondado 3">
          <a:hlinkClick xmlns:r="http://schemas.openxmlformats.org/officeDocument/2006/relationships" r:id="rId5"/>
        </xdr:cNvPr>
        <xdr:cNvSpPr/>
      </xdr:nvSpPr>
      <xdr:spPr>
        <a:xfrm>
          <a:off x="6816090" y="16383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de Caixa e Resultado Mensal</a:t>
          </a:r>
        </a:p>
      </xdr:txBody>
    </xdr:sp>
    <xdr:clientData/>
  </xdr:twoCellAnchor>
  <xdr:twoCellAnchor>
    <xdr:from>
      <xdr:col>4</xdr:col>
      <xdr:colOff>0</xdr:colOff>
      <xdr:row>13</xdr:row>
      <xdr:rowOff>80010</xdr:rowOff>
    </xdr:from>
    <xdr:to>
      <xdr:col>5</xdr:col>
      <xdr:colOff>1081560</xdr:colOff>
      <xdr:row>14</xdr:row>
      <xdr:rowOff>131130</xdr:rowOff>
    </xdr:to>
    <xdr:sp macro="" textlink="">
      <xdr:nvSpPr>
        <xdr:cNvPr id="14" name="Retângulo Arredondado 13">
          <a:hlinkClick xmlns:r="http://schemas.openxmlformats.org/officeDocument/2006/relationships" r:id="rId6"/>
        </xdr:cNvPr>
        <xdr:cNvSpPr/>
      </xdr:nvSpPr>
      <xdr:spPr>
        <a:xfrm>
          <a:off x="3566160" y="266319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Registro</a:t>
          </a:r>
          <a:r>
            <a:rPr lang="pt-BR" sz="1100" baseline="0">
              <a:solidFill>
                <a:schemeClr val="bg1"/>
              </a:solidFill>
            </a:rPr>
            <a:t> das Saídas de Caixa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1074420</xdr:colOff>
      <xdr:row>15</xdr:row>
      <xdr:rowOff>53340</xdr:rowOff>
    </xdr:from>
    <xdr:to>
      <xdr:col>5</xdr:col>
      <xdr:colOff>1073940</xdr:colOff>
      <xdr:row>16</xdr:row>
      <xdr:rowOff>104460</xdr:rowOff>
    </xdr:to>
    <xdr:sp macro="" textlink="">
      <xdr:nvSpPr>
        <xdr:cNvPr id="15" name="Retângulo Arredondado 14">
          <a:hlinkClick xmlns:r="http://schemas.openxmlformats.org/officeDocument/2006/relationships" r:id="rId7"/>
        </xdr:cNvPr>
        <xdr:cNvSpPr/>
      </xdr:nvSpPr>
      <xdr:spPr>
        <a:xfrm>
          <a:off x="3558540" y="300228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Registro</a:t>
          </a:r>
          <a:r>
            <a:rPr lang="pt-BR" sz="1100" baseline="0">
              <a:solidFill>
                <a:schemeClr val="bg1"/>
              </a:solidFill>
            </a:rPr>
            <a:t> de Bases e Vendedores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9</xdr:row>
      <xdr:rowOff>156210</xdr:rowOff>
    </xdr:from>
    <xdr:to>
      <xdr:col>9</xdr:col>
      <xdr:colOff>3330</xdr:colOff>
      <xdr:row>10</xdr:row>
      <xdr:rowOff>207330</xdr:rowOff>
    </xdr:to>
    <xdr:sp macro="" textlink="">
      <xdr:nvSpPr>
        <xdr:cNvPr id="7" name="Retângulo Arredondado 6">
          <a:hlinkClick xmlns:r="http://schemas.openxmlformats.org/officeDocument/2006/relationships" r:id="rId8"/>
        </xdr:cNvPr>
        <xdr:cNvSpPr/>
      </xdr:nvSpPr>
      <xdr:spPr>
        <a:xfrm>
          <a:off x="6816090" y="19621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 da Receita</a:t>
          </a:r>
        </a:p>
      </xdr:txBody>
    </xdr:sp>
    <xdr:clientData/>
  </xdr:twoCellAnchor>
  <xdr:twoCellAnchor>
    <xdr:from>
      <xdr:col>7</xdr:col>
      <xdr:colOff>3810</xdr:colOff>
      <xdr:row>11</xdr:row>
      <xdr:rowOff>68580</xdr:rowOff>
    </xdr:from>
    <xdr:to>
      <xdr:col>9</xdr:col>
      <xdr:colOff>3330</xdr:colOff>
      <xdr:row>12</xdr:row>
      <xdr:rowOff>119700</xdr:rowOff>
    </xdr:to>
    <xdr:sp macro="" textlink="">
      <xdr:nvSpPr>
        <xdr:cNvPr id="8" name="Retângulo Arredondado 7">
          <a:hlinkClick xmlns:r="http://schemas.openxmlformats.org/officeDocument/2006/relationships" r:id="rId9"/>
        </xdr:cNvPr>
        <xdr:cNvSpPr/>
      </xdr:nvSpPr>
      <xdr:spPr>
        <a:xfrm>
          <a:off x="6816090" y="22860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 da Despesa</a:t>
          </a:r>
        </a:p>
      </xdr:txBody>
    </xdr:sp>
    <xdr:clientData/>
  </xdr:twoCellAnchor>
  <xdr:twoCellAnchor>
    <xdr:from>
      <xdr:col>6</xdr:col>
      <xdr:colOff>1070610</xdr:colOff>
      <xdr:row>18</xdr:row>
      <xdr:rowOff>83820</xdr:rowOff>
    </xdr:from>
    <xdr:to>
      <xdr:col>8</xdr:col>
      <xdr:colOff>1070130</xdr:colOff>
      <xdr:row>19</xdr:row>
      <xdr:rowOff>134940</xdr:rowOff>
    </xdr:to>
    <xdr:sp macro="" textlink="">
      <xdr:nvSpPr>
        <xdr:cNvPr id="9" name="Retângulo Arredondado 8">
          <a:hlinkClick xmlns:r="http://schemas.openxmlformats.org/officeDocument/2006/relationships" r:id="rId10"/>
        </xdr:cNvPr>
        <xdr:cNvSpPr/>
      </xdr:nvSpPr>
      <xdr:spPr>
        <a:xfrm>
          <a:off x="6800850" y="35814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 a Pagar</a:t>
          </a:r>
        </a:p>
      </xdr:txBody>
    </xdr:sp>
    <xdr:clientData/>
  </xdr:twoCellAnchor>
  <xdr:twoCellAnchor>
    <xdr:from>
      <xdr:col>6</xdr:col>
      <xdr:colOff>1070610</xdr:colOff>
      <xdr:row>20</xdr:row>
      <xdr:rowOff>41910</xdr:rowOff>
    </xdr:from>
    <xdr:to>
      <xdr:col>8</xdr:col>
      <xdr:colOff>1070130</xdr:colOff>
      <xdr:row>21</xdr:row>
      <xdr:rowOff>93030</xdr:rowOff>
    </xdr:to>
    <xdr:sp macro="" textlink="">
      <xdr:nvSpPr>
        <xdr:cNvPr id="10" name="Retângulo Arredondado 9">
          <a:hlinkClick xmlns:r="http://schemas.openxmlformats.org/officeDocument/2006/relationships" r:id="rId11"/>
        </xdr:cNvPr>
        <xdr:cNvSpPr/>
      </xdr:nvSpPr>
      <xdr:spPr>
        <a:xfrm>
          <a:off x="6800850" y="39052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 a Receber</a:t>
          </a:r>
        </a:p>
      </xdr:txBody>
    </xdr:sp>
    <xdr:clientData/>
  </xdr:twoCellAnchor>
  <xdr:twoCellAnchor>
    <xdr:from>
      <xdr:col>6</xdr:col>
      <xdr:colOff>1070610</xdr:colOff>
      <xdr:row>22</xdr:row>
      <xdr:rowOff>0</xdr:rowOff>
    </xdr:from>
    <xdr:to>
      <xdr:col>8</xdr:col>
      <xdr:colOff>1070130</xdr:colOff>
      <xdr:row>23</xdr:row>
      <xdr:rowOff>51120</xdr:rowOff>
    </xdr:to>
    <xdr:sp macro="" textlink="">
      <xdr:nvSpPr>
        <xdr:cNvPr id="11" name="Retângulo Arredondado 10">
          <a:hlinkClick xmlns:r="http://schemas.openxmlformats.org/officeDocument/2006/relationships" r:id="rId12"/>
        </xdr:cNvPr>
        <xdr:cNvSpPr/>
      </xdr:nvSpPr>
      <xdr:spPr>
        <a:xfrm>
          <a:off x="6800850" y="42291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 a Receber</a:t>
          </a:r>
          <a:r>
            <a:rPr lang="pt-BR" sz="1100" baseline="0">
              <a:solidFill>
                <a:schemeClr val="bg1"/>
              </a:solidFill>
            </a:rPr>
            <a:t> Vencidas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13</xdr:row>
      <xdr:rowOff>26670</xdr:rowOff>
    </xdr:from>
    <xdr:to>
      <xdr:col>9</xdr:col>
      <xdr:colOff>3330</xdr:colOff>
      <xdr:row>14</xdr:row>
      <xdr:rowOff>77790</xdr:rowOff>
    </xdr:to>
    <xdr:sp macro="" textlink="">
      <xdr:nvSpPr>
        <xdr:cNvPr id="16" name="Retângulo Arredondado 15">
          <a:hlinkClick xmlns:r="http://schemas.openxmlformats.org/officeDocument/2006/relationships" r:id="rId13"/>
        </xdr:cNvPr>
        <xdr:cNvSpPr/>
      </xdr:nvSpPr>
      <xdr:spPr>
        <a:xfrm>
          <a:off x="6816090" y="26098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chemeClr val="bg1"/>
              </a:solidFill>
            </a:rPr>
            <a:t>Detalhamento</a:t>
          </a:r>
          <a:r>
            <a:rPr lang="pt-BR" sz="1050" baseline="0">
              <a:solidFill>
                <a:schemeClr val="bg1"/>
              </a:solidFill>
            </a:rPr>
            <a:t> de Entrada das Bases</a:t>
          </a:r>
          <a:endParaRPr lang="pt-BR" sz="105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14</xdr:row>
      <xdr:rowOff>167640</xdr:rowOff>
    </xdr:from>
    <xdr:to>
      <xdr:col>9</xdr:col>
      <xdr:colOff>3330</xdr:colOff>
      <xdr:row>16</xdr:row>
      <xdr:rowOff>35880</xdr:rowOff>
    </xdr:to>
    <xdr:sp macro="" textlink="">
      <xdr:nvSpPr>
        <xdr:cNvPr id="17" name="Retângulo Arredondado 16">
          <a:hlinkClick xmlns:r="http://schemas.openxmlformats.org/officeDocument/2006/relationships" r:id="rId14"/>
        </xdr:cNvPr>
        <xdr:cNvSpPr/>
      </xdr:nvSpPr>
      <xdr:spPr>
        <a:xfrm>
          <a:off x="6816090" y="29337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</a:t>
          </a:r>
          <a:r>
            <a:rPr lang="pt-BR" sz="1100" baseline="0">
              <a:solidFill>
                <a:schemeClr val="bg1"/>
              </a:solidFill>
            </a:rPr>
            <a:t> de Saida das Bases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1070610</xdr:colOff>
      <xdr:row>16</xdr:row>
      <xdr:rowOff>125730</xdr:rowOff>
    </xdr:from>
    <xdr:to>
      <xdr:col>8</xdr:col>
      <xdr:colOff>1070130</xdr:colOff>
      <xdr:row>17</xdr:row>
      <xdr:rowOff>176850</xdr:rowOff>
    </xdr:to>
    <xdr:sp macro="" textlink="">
      <xdr:nvSpPr>
        <xdr:cNvPr id="18" name="Retângulo Arredondado 17">
          <a:hlinkClick xmlns:r="http://schemas.openxmlformats.org/officeDocument/2006/relationships" r:id="rId15"/>
        </xdr:cNvPr>
        <xdr:cNvSpPr/>
      </xdr:nvSpPr>
      <xdr:spPr>
        <a:xfrm>
          <a:off x="6800850" y="32575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Detalhamento</a:t>
          </a:r>
          <a:r>
            <a:rPr lang="pt-BR" sz="1100" baseline="0">
              <a:solidFill>
                <a:schemeClr val="bg1"/>
              </a:solidFill>
            </a:rPr>
            <a:t> de Vendedores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533220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4</xdr:col>
      <xdr:colOff>160020</xdr:colOff>
      <xdr:row>18</xdr:row>
      <xdr:rowOff>7620</xdr:rowOff>
    </xdr:from>
    <xdr:to>
      <xdr:col>7</xdr:col>
      <xdr:colOff>769620</xdr:colOff>
      <xdr:row>22</xdr:row>
      <xdr:rowOff>7620</xdr:rowOff>
    </xdr:to>
    <xdr:sp macro="[0]!RegistrarEntradas" textlink="">
      <xdr:nvSpPr>
        <xdr:cNvPr id="3" name="Retângulo 2"/>
        <xdr:cNvSpPr/>
      </xdr:nvSpPr>
      <xdr:spPr>
        <a:xfrm>
          <a:off x="5341620" y="3413760"/>
          <a:ext cx="3695700" cy="731520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+mn-lt"/>
            </a:rPr>
            <a:t>REGISTRAR</a:t>
          </a:r>
        </a:p>
      </xdr:txBody>
    </xdr:sp>
    <xdr:clientData/>
  </xdr:twoCellAnchor>
  <xdr:twoCellAnchor>
    <xdr:from>
      <xdr:col>1</xdr:col>
      <xdr:colOff>531960</xdr:colOff>
      <xdr:row>2</xdr:row>
      <xdr:rowOff>0</xdr:rowOff>
    </xdr:from>
    <xdr:to>
      <xdr:col>1</xdr:col>
      <xdr:colOff>2079960</xdr:colOff>
      <xdr:row>3</xdr:row>
      <xdr:rowOff>177120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38740" y="480060"/>
          <a:ext cx="1548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Plano</a:t>
          </a:r>
          <a:r>
            <a:rPr lang="pt-BR" sz="1400" b="1" baseline="0">
              <a:latin typeface="+mn-lt"/>
            </a:rPr>
            <a:t> de Entradas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1119960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1</xdr:col>
      <xdr:colOff>1119660</xdr:colOff>
      <xdr:row>2</xdr:row>
      <xdr:rowOff>0</xdr:rowOff>
    </xdr:from>
    <xdr:to>
      <xdr:col>3</xdr:col>
      <xdr:colOff>286800</xdr:colOff>
      <xdr:row>3</xdr:row>
      <xdr:rowOff>177120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39700" y="480060"/>
          <a:ext cx="1476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latin typeface="+mn-lt"/>
            </a:rPr>
            <a:t>Registrar Entrada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533220</xdr:colOff>
      <xdr:row>3</xdr:row>
      <xdr:rowOff>177120</xdr:rowOff>
    </xdr:to>
    <xdr:sp macro="" textlink="">
      <xdr:nvSpPr>
        <xdr:cNvPr id="6" name="Retângulo 5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4</xdr:col>
      <xdr:colOff>152400</xdr:colOff>
      <xdr:row>18</xdr:row>
      <xdr:rowOff>0</xdr:rowOff>
    </xdr:from>
    <xdr:to>
      <xdr:col>7</xdr:col>
      <xdr:colOff>763500</xdr:colOff>
      <xdr:row>22</xdr:row>
      <xdr:rowOff>0</xdr:rowOff>
    </xdr:to>
    <xdr:sp macro="[0]!RegistrarSaída" textlink="">
      <xdr:nvSpPr>
        <xdr:cNvPr id="7" name="Retângulo 6"/>
        <xdr:cNvSpPr/>
      </xdr:nvSpPr>
      <xdr:spPr>
        <a:xfrm>
          <a:off x="5334000" y="3406140"/>
          <a:ext cx="3697200" cy="731520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+mn-lt"/>
            </a:rPr>
            <a:t>REGISTRAR</a:t>
          </a:r>
        </a:p>
      </xdr:txBody>
    </xdr:sp>
    <xdr:clientData/>
  </xdr:twoCellAnchor>
  <xdr:twoCellAnchor>
    <xdr:from>
      <xdr:col>1</xdr:col>
      <xdr:colOff>540540</xdr:colOff>
      <xdr:row>2</xdr:row>
      <xdr:rowOff>0</xdr:rowOff>
    </xdr:from>
    <xdr:to>
      <xdr:col>1</xdr:col>
      <xdr:colOff>1980540</xdr:colOff>
      <xdr:row>3</xdr:row>
      <xdr:rowOff>177120</xdr:rowOff>
    </xdr:to>
    <xdr:sp macro="" textlink="">
      <xdr:nvSpPr>
        <xdr:cNvPr id="8" name="Retângulo 7">
          <a:hlinkClick xmlns:r="http://schemas.openxmlformats.org/officeDocument/2006/relationships" r:id="rId2"/>
        </xdr:cNvPr>
        <xdr:cNvSpPr/>
      </xdr:nvSpPr>
      <xdr:spPr>
        <a:xfrm>
          <a:off x="144732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Plano</a:t>
          </a:r>
          <a:r>
            <a:rPr lang="pt-BR" sz="1400" b="1" baseline="0">
              <a:latin typeface="+mn-lt"/>
            </a:rPr>
            <a:t> de Saídas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020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1</xdr:col>
      <xdr:colOff>1051560</xdr:colOff>
      <xdr:row>2</xdr:row>
      <xdr:rowOff>0</xdr:rowOff>
    </xdr:from>
    <xdr:to>
      <xdr:col>3</xdr:col>
      <xdr:colOff>289560</xdr:colOff>
      <xdr:row>4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1371600" y="480060"/>
          <a:ext cx="14020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Registrar</a:t>
          </a:r>
          <a:r>
            <a:rPr lang="pt-BR" sz="1400" b="1" baseline="0">
              <a:latin typeface="+mn-lt"/>
            </a:rPr>
            <a:t> Saídas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0</xdr:col>
      <xdr:colOff>1440000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1447800</xdr:colOff>
      <xdr:row>2</xdr:row>
      <xdr:rowOff>7620</xdr:rowOff>
    </xdr:from>
    <xdr:to>
      <xdr:col>1</xdr:col>
      <xdr:colOff>1325700</xdr:colOff>
      <xdr:row>4</xdr:row>
      <xdr:rowOff>1860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4780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Novo</a:t>
          </a:r>
          <a:r>
            <a:rPr lang="pt-BR" sz="1400" b="1" baseline="0">
              <a:latin typeface="+mn-lt"/>
            </a:rPr>
            <a:t> Registro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0</xdr:col>
      <xdr:colOff>1440000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1440180</xdr:colOff>
      <xdr:row>2</xdr:row>
      <xdr:rowOff>7620</xdr:rowOff>
    </xdr:from>
    <xdr:to>
      <xdr:col>1</xdr:col>
      <xdr:colOff>1112340</xdr:colOff>
      <xdr:row>4</xdr:row>
      <xdr:rowOff>1860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144018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Novo</a:t>
          </a:r>
          <a:r>
            <a:rPr lang="pt-BR" sz="1400" b="1" baseline="0">
              <a:latin typeface="+mn-lt"/>
            </a:rPr>
            <a:t> Registro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1</xdr:col>
      <xdr:colOff>449400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1188720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18872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0</xdr:col>
      <xdr:colOff>1188720</xdr:colOff>
      <xdr:row>2</xdr:row>
      <xdr:rowOff>0</xdr:rowOff>
    </xdr:from>
    <xdr:to>
      <xdr:col>2</xdr:col>
      <xdr:colOff>68580</xdr:colOff>
      <xdr:row>4</xdr:row>
      <xdr:rowOff>0</xdr:rowOff>
    </xdr:to>
    <xdr:sp macro="[0]!AnoAnterior" textlink="">
      <xdr:nvSpPr>
        <xdr:cNvPr id="9" name="Retângulo 8"/>
        <xdr:cNvSpPr/>
      </xdr:nvSpPr>
      <xdr:spPr>
        <a:xfrm>
          <a:off x="1188720" y="480060"/>
          <a:ext cx="118872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Anterior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2</xdr:col>
      <xdr:colOff>68580</xdr:colOff>
      <xdr:row>2</xdr:row>
      <xdr:rowOff>0</xdr:rowOff>
    </xdr:from>
    <xdr:to>
      <xdr:col>3</xdr:col>
      <xdr:colOff>297180</xdr:colOff>
      <xdr:row>4</xdr:row>
      <xdr:rowOff>0</xdr:rowOff>
    </xdr:to>
    <xdr:sp macro="[0]!AnoPosterior" textlink="">
      <xdr:nvSpPr>
        <xdr:cNvPr id="10" name="Retângulo 9"/>
        <xdr:cNvSpPr/>
      </xdr:nvSpPr>
      <xdr:spPr>
        <a:xfrm>
          <a:off x="2377440" y="480060"/>
          <a:ext cx="131064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Posterior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1264740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0</xdr:col>
      <xdr:colOff>30480</xdr:colOff>
      <xdr:row>4</xdr:row>
      <xdr:rowOff>22860</xdr:rowOff>
    </xdr:from>
    <xdr:to>
      <xdr:col>5</xdr:col>
      <xdr:colOff>861180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COMPETÊNCIA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" y="868680"/>
              <a:ext cx="574560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880950</xdr:colOff>
      <xdr:row>4</xdr:row>
      <xdr:rowOff>22860</xdr:rowOff>
    </xdr:from>
    <xdr:to>
      <xdr:col>8</xdr:col>
      <xdr:colOff>254550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5850" y="868680"/>
              <a:ext cx="211680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274320</xdr:colOff>
      <xdr:row>4</xdr:row>
      <xdr:rowOff>22860</xdr:rowOff>
    </xdr:from>
    <xdr:to>
      <xdr:col>14</xdr:col>
      <xdr:colOff>960120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NTRADA NÍVEL 2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32420" y="868680"/>
              <a:ext cx="617220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1</xdr:col>
      <xdr:colOff>1272360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762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0</xdr:col>
      <xdr:colOff>0</xdr:colOff>
      <xdr:row>4</xdr:row>
      <xdr:rowOff>22860</xdr:rowOff>
    </xdr:from>
    <xdr:to>
      <xdr:col>5</xdr:col>
      <xdr:colOff>800100</xdr:colOff>
      <xdr:row>7</xdr:row>
      <xdr:rowOff>129539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 COMPETÊNCIA 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8680"/>
              <a:ext cx="5715000" cy="6553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822960</xdr:colOff>
      <xdr:row>4</xdr:row>
      <xdr:rowOff>22860</xdr:rowOff>
    </xdr:from>
    <xdr:to>
      <xdr:col>8</xdr:col>
      <xdr:colOff>121920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 COMPETÊNCI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7860" y="868680"/>
              <a:ext cx="204216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160020</xdr:colOff>
      <xdr:row>4</xdr:row>
      <xdr:rowOff>22860</xdr:rowOff>
    </xdr:from>
    <xdr:to>
      <xdr:col>14</xdr:col>
      <xdr:colOff>952500</xdr:colOff>
      <xdr:row>7</xdr:row>
      <xdr:rowOff>129420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ENTRADA NÍVEL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18120" y="868680"/>
              <a:ext cx="6278880" cy="65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304800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0421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365760</xdr:colOff>
      <xdr:row>1</xdr:row>
      <xdr:rowOff>289560</xdr:rowOff>
    </xdr:from>
    <xdr:to>
      <xdr:col>14</xdr:col>
      <xdr:colOff>0</xdr:colOff>
      <xdr:row>6</xdr:row>
      <xdr:rowOff>264240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SE DE OPER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SE DE OPER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2400" y="472440"/>
              <a:ext cx="6271260" cy="1003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320040</xdr:colOff>
      <xdr:row>1</xdr:row>
      <xdr:rowOff>289560</xdr:rowOff>
    </xdr:from>
    <xdr:to>
      <xdr:col>7</xdr:col>
      <xdr:colOff>373380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COMPETÊNCIA 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7400" y="472440"/>
              <a:ext cx="572262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7620</xdr:rowOff>
    </xdr:from>
    <xdr:to>
      <xdr:col>1</xdr:col>
      <xdr:colOff>320040</xdr:colOff>
      <xdr:row>6</xdr:row>
      <xdr:rowOff>259079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COMPETÊNCIA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3440"/>
              <a:ext cx="2057400" cy="6172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381000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1183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464820</xdr:colOff>
      <xdr:row>1</xdr:row>
      <xdr:rowOff>289560</xdr:rowOff>
    </xdr:from>
    <xdr:to>
      <xdr:col>14</xdr:col>
      <xdr:colOff>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SE DE OPERAÇÃ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SE DE OPERAÇÃ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1460" y="472440"/>
              <a:ext cx="617220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381000</xdr:colOff>
      <xdr:row>1</xdr:row>
      <xdr:rowOff>289560</xdr:rowOff>
    </xdr:from>
    <xdr:to>
      <xdr:col>7</xdr:col>
      <xdr:colOff>480060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COMPETÊNCIA 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8360" y="472440"/>
              <a:ext cx="576834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7620</xdr:rowOff>
    </xdr:from>
    <xdr:to>
      <xdr:col>1</xdr:col>
      <xdr:colOff>381000</xdr:colOff>
      <xdr:row>6</xdr:row>
      <xdr:rowOff>257460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COMPETÊNCIA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3440"/>
              <a:ext cx="2118360" cy="61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609600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3469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723900</xdr:colOff>
      <xdr:row>1</xdr:row>
      <xdr:rowOff>289560</xdr:rowOff>
    </xdr:from>
    <xdr:to>
      <xdr:col>13</xdr:col>
      <xdr:colOff>1074420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SE DE OPERAÇÃ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SE DE OPERAÇÃ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30540" y="472440"/>
              <a:ext cx="590550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617220</xdr:colOff>
      <xdr:row>1</xdr:row>
      <xdr:rowOff>289560</xdr:rowOff>
    </xdr:from>
    <xdr:to>
      <xdr:col>7</xdr:col>
      <xdr:colOff>731520</xdr:colOff>
      <xdr:row>6</xdr:row>
      <xdr:rowOff>265260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COMPETÊNCIA 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54580" y="472440"/>
              <a:ext cx="578358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624840</xdr:colOff>
      <xdr:row>6</xdr:row>
      <xdr:rowOff>249840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COMPETÊNCIA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0"/>
              <a:ext cx="2362200" cy="61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1264740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0</xdr:col>
      <xdr:colOff>15240</xdr:colOff>
      <xdr:row>3</xdr:row>
      <xdr:rowOff>175260</xdr:rowOff>
    </xdr:from>
    <xdr:to>
      <xdr:col>5</xdr:col>
      <xdr:colOff>617220</xdr:colOff>
      <xdr:row>7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 PREVIS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838200"/>
              <a:ext cx="5821680" cy="662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689610</xdr:colOff>
      <xdr:row>3</xdr:row>
      <xdr:rowOff>175260</xdr:rowOff>
    </xdr:from>
    <xdr:to>
      <xdr:col>7</xdr:col>
      <xdr:colOff>861060</xdr:colOff>
      <xdr:row>7</xdr:row>
      <xdr:rowOff>106140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PREVIS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9310" y="838200"/>
              <a:ext cx="2000250" cy="66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7620</xdr:colOff>
      <xdr:row>3</xdr:row>
      <xdr:rowOff>175260</xdr:rowOff>
    </xdr:from>
    <xdr:to>
      <xdr:col>15</xdr:col>
      <xdr:colOff>0</xdr:colOff>
      <xdr:row>7</xdr:row>
      <xdr:rowOff>106140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ENTRADA NÍVEL 2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70520" y="838200"/>
              <a:ext cx="6179820" cy="66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0</xdr:col>
      <xdr:colOff>1455240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6</xdr:col>
      <xdr:colOff>45720</xdr:colOff>
      <xdr:row>4</xdr:row>
      <xdr:rowOff>7621</xdr:rowOff>
    </xdr:from>
    <xdr:to>
      <xdr:col>12</xdr:col>
      <xdr:colOff>76200</xdr:colOff>
      <xdr:row>7</xdr:row>
      <xdr:rowOff>144781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TRADA NÍVEL 2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5180" y="853441"/>
              <a:ext cx="6316980" cy="68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</xdr:colOff>
      <xdr:row>4</xdr:row>
      <xdr:rowOff>7621</xdr:rowOff>
    </xdr:from>
    <xdr:to>
      <xdr:col>4</xdr:col>
      <xdr:colOff>373380</xdr:colOff>
      <xdr:row>7</xdr:row>
      <xdr:rowOff>160021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PREVIS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853441"/>
              <a:ext cx="5303520" cy="701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377190</xdr:colOff>
      <xdr:row>4</xdr:row>
      <xdr:rowOff>7621</xdr:rowOff>
    </xdr:from>
    <xdr:to>
      <xdr:col>6</xdr:col>
      <xdr:colOff>41910</xdr:colOff>
      <xdr:row>7</xdr:row>
      <xdr:rowOff>150181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O PREVIS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22570" y="853441"/>
              <a:ext cx="1828800" cy="6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1440180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1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 editAs="oneCell">
    <xdr:from>
      <xdr:col>7</xdr:col>
      <xdr:colOff>121920</xdr:colOff>
      <xdr:row>4</xdr:row>
      <xdr:rowOff>1</xdr:rowOff>
    </xdr:from>
    <xdr:to>
      <xdr:col>12</xdr:col>
      <xdr:colOff>1859280</xdr:colOff>
      <xdr:row>7</xdr:row>
      <xdr:rowOff>160561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TRADA NÍVEL 2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ADA NÍVEL 2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88580" y="845821"/>
              <a:ext cx="6156960" cy="70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4</xdr:col>
      <xdr:colOff>929640</xdr:colOff>
      <xdr:row>7</xdr:row>
      <xdr:rowOff>160021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COMPETÊNCIA 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1"/>
              <a:ext cx="5661660" cy="708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7620</xdr:colOff>
      <xdr:row>4</xdr:row>
      <xdr:rowOff>1</xdr:rowOff>
    </xdr:from>
    <xdr:to>
      <xdr:col>7</xdr:col>
      <xdr:colOff>99060</xdr:colOff>
      <xdr:row>7</xdr:row>
      <xdr:rowOff>160561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COMPETÊNCI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84520" y="845821"/>
              <a:ext cx="1981200" cy="70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0</xdr:rowOff>
    </xdr:from>
    <xdr:to>
      <xdr:col>2</xdr:col>
      <xdr:colOff>53160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Inicio</a:t>
          </a:r>
        </a:p>
      </xdr:txBody>
    </xdr:sp>
    <xdr:clientData/>
  </xdr:twoCellAnchor>
  <xdr:twoCellAnchor>
    <xdr:from>
      <xdr:col>2</xdr:col>
      <xdr:colOff>45720</xdr:colOff>
      <xdr:row>2</xdr:row>
      <xdr:rowOff>0</xdr:rowOff>
    </xdr:from>
    <xdr:to>
      <xdr:col>4</xdr:col>
      <xdr:colOff>7440</xdr:colOff>
      <xdr:row>3</xdr:row>
      <xdr:rowOff>177120</xdr:rowOff>
    </xdr:to>
    <xdr:sp macro="[0]!AnoAnterior" textlink="">
      <xdr:nvSpPr>
        <xdr:cNvPr id="3" name="Retângulo 2"/>
        <xdr:cNvSpPr/>
      </xdr:nvSpPr>
      <xdr:spPr>
        <a:xfrm>
          <a:off x="144780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Anterior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4</xdr:col>
      <xdr:colOff>7620</xdr:colOff>
      <xdr:row>2</xdr:row>
      <xdr:rowOff>0</xdr:rowOff>
    </xdr:from>
    <xdr:to>
      <xdr:col>5</xdr:col>
      <xdr:colOff>365580</xdr:colOff>
      <xdr:row>3</xdr:row>
      <xdr:rowOff>177120</xdr:rowOff>
    </xdr:to>
    <xdr:sp macro="[0]!AnoPosterior" textlink="">
      <xdr:nvSpPr>
        <xdr:cNvPr id="4" name="Retângulo 3"/>
        <xdr:cNvSpPr/>
      </xdr:nvSpPr>
      <xdr:spPr>
        <a:xfrm>
          <a:off x="288798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Ano</a:t>
          </a:r>
          <a:r>
            <a:rPr lang="pt-BR" sz="1400" b="1" baseline="0">
              <a:latin typeface="+mn-lt"/>
            </a:rPr>
            <a:t> Posterior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7</xdr:col>
      <xdr:colOff>7620</xdr:colOff>
      <xdr:row>5</xdr:row>
      <xdr:rowOff>7620</xdr:rowOff>
    </xdr:from>
    <xdr:to>
      <xdr:col>11</xdr:col>
      <xdr:colOff>1036320</xdr:colOff>
      <xdr:row>15</xdr:row>
      <xdr:rowOff>175260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99060</xdr:colOff>
      <xdr:row>18</xdr:row>
      <xdr:rowOff>22860</xdr:rowOff>
    </xdr:from>
    <xdr:to>
      <xdr:col>11</xdr:col>
      <xdr:colOff>1021080</xdr:colOff>
      <xdr:row>24</xdr:row>
      <xdr:rowOff>350520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</xdr:colOff>
      <xdr:row>18</xdr:row>
      <xdr:rowOff>22860</xdr:rowOff>
    </xdr:from>
    <xdr:to>
      <xdr:col>6</xdr:col>
      <xdr:colOff>0</xdr:colOff>
      <xdr:row>24</xdr:row>
      <xdr:rowOff>297180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7620</xdr:colOff>
      <xdr:row>5</xdr:row>
      <xdr:rowOff>15240</xdr:rowOff>
    </xdr:from>
    <xdr:to>
      <xdr:col>5</xdr:col>
      <xdr:colOff>1440180</xdr:colOff>
      <xdr:row>15</xdr:row>
      <xdr:rowOff>480060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215.739865393516" createdVersion="6" refreshedVersion="6" minRefreshableVersion="3" recordCount="732">
  <cacheSource type="worksheet">
    <worksheetSource name="tbRegistroEntradas"/>
  </cacheSource>
  <cacheFields count="18">
    <cacheField name="DATA DE CAIXA REALIZADO" numFmtId="14">
      <sharedItems containsDate="1" containsMixedTypes="1" minDate="2021-01-03T00:00:00" maxDate="2023-12-30T00:00:00"/>
    </cacheField>
    <cacheField name="DATA DA COMPETÊNCIA" numFmtId="14">
      <sharedItems containsSemiMixedTypes="0" containsNonDate="0" containsDate="1" containsString="0" minDate="2020-12-03T00:00:00" maxDate="2023-11-29T00:00:00"/>
    </cacheField>
    <cacheField name="DATA DO CAIXA PREVISTO" numFmtId="14">
      <sharedItems containsSemiMixedTypes="0" containsNonDate="0" containsDate="1" containsString="0" minDate="2020-12-03T00:00:00" maxDate="2023-12-15T00:00:00"/>
    </cacheField>
    <cacheField name="BASE DE OPERAÇÃO" numFmtId="0">
      <sharedItems containsBlank="1" count="10">
        <s v="OSASCO"/>
        <s v="BARUERI"/>
        <s v="SANTOS"/>
        <s v="GUARUJÁ"/>
        <s v="ITAQUAQUECETUBA"/>
        <s v="SÃO MATEUS"/>
        <s v="SÃO PAULO"/>
        <s v="FRANCA"/>
        <s v="GUARULHOS"/>
        <m u="1"/>
      </sharedItems>
    </cacheField>
    <cacheField name="ENTRADA NÍVEL 1" numFmtId="0">
      <sharedItems containsBlank="1" count="3">
        <s v="Venda de Mercadorias"/>
        <m u="1"/>
        <s v="Vendas de mercadorias" u="1"/>
      </sharedItems>
    </cacheField>
    <cacheField name="ENTRADA NÍVEL 2" numFmtId="0">
      <sharedItems containsBlank="1" count="6">
        <s v="Livros"/>
        <s v="Informática"/>
        <s v="Móveis"/>
        <s v="Som e imagem"/>
        <s v="Eletrodomésticos"/>
        <m u="1"/>
      </sharedItems>
    </cacheField>
    <cacheField name="HISTÓRICO" numFmtId="0">
      <sharedItems/>
    </cacheField>
    <cacheField name="VENDEDOR" numFmtId="0">
      <sharedItems containsBlank="1" count="70">
        <s v="Raiane Queirós"/>
        <s v="Emanuel da Silva"/>
        <s v="Abílio Correia"/>
        <s v="Matheus Souza"/>
        <s v="Helena Mendes"/>
        <s v="Sérgio Galvão"/>
        <s v="Antônio Ramires"/>
        <s v="Dionísio Caldeira"/>
        <s v="Pedro Barbosa"/>
        <s v="Severino"/>
        <s v="Celina Bezerra"/>
        <s v="Marlon Rocha"/>
        <s v="Ismael"/>
        <s v="Vitória Garcia"/>
        <s v="Catarina Amorim"/>
        <s v="Isabelala Mendes"/>
        <s v="Daniel Teles"/>
        <s v="Alana Alcântara"/>
        <s v="Reginaldo Casanova"/>
        <s v="Marcos Silva"/>
        <s v="Arnaldo Filho"/>
        <s v="Anderson Filho"/>
        <s v="Andrea Cruz"/>
        <s v="Gian Gilson"/>
        <s v="Joana Soares"/>
        <s v="Aparecida de Ferraz"/>
        <s v="Andréia Rezende"/>
        <s v="Elias"/>
        <s v="Hilda Silva"/>
        <s v="Lucas Santos"/>
        <s v="Denise Franco"/>
        <s v="Everton Padilha"/>
        <s v="Elano Filho"/>
        <s v="Adriana Furtado"/>
        <s v="Ariel Galhardo"/>
        <s v="João Solano"/>
        <s v="José Paulo"/>
        <s v="Juliano Dias"/>
        <s v="Lucas Álvaro"/>
        <s v="Armando"/>
        <s v="Manuel"/>
        <s v="Vicente Neto"/>
        <s v="Josefina Aragão"/>
        <s v="Constância Delatorre"/>
        <s v="Gilmara Fonseca"/>
        <s v="Clara Beltrão"/>
        <s v="Fausto Fernandes"/>
        <s v="Daniela Bragança"/>
        <s v="Mário Sobrinho"/>
        <s v="Alexandre Espinoza"/>
        <s v="Abílio Carrara"/>
        <s v="Adriele Prado"/>
        <s v="Ana Karollyne"/>
        <s v="Luciano Galhardo"/>
        <s v="Alberto Meireles"/>
        <s v="César Saulo "/>
        <s v="Murilo D'vila"/>
        <s v="Eulália Sílvia "/>
        <s v="Gabriel Sena"/>
        <s v="Andréia Rita"/>
        <s v="Carlos Perez"/>
        <s v="Pedro Henrique"/>
        <s v="Constância Batista"/>
        <s v="Gabriel Sobrinho"/>
        <s v="Camila Azevedo"/>
        <s v="Kátia Godói"/>
        <s v="Camilo Borges"/>
        <s v="Tatiana Brito "/>
        <s v="Carlos Gusmão"/>
        <m u="1"/>
      </sharedItems>
    </cacheField>
    <cacheField name="VALOR" numFmtId="44">
      <sharedItems containsSemiMixedTypes="0" containsString="0" containsNumber="1" containsInteger="1" minValue="104" maxValue="7998"/>
    </cacheField>
    <cacheField name="MÊS CAIXA" numFmtId="0">
      <sharedItems containsBlank="1" count="14">
        <s v="JUN"/>
        <s v="ABR"/>
        <s v="SET"/>
        <s v="JUL"/>
        <s v="MAR"/>
        <s v="NOV"/>
        <s v="AGO"/>
        <s v="FEV"/>
        <s v="JAN"/>
        <s v="MAI"/>
        <s v="DEZ"/>
        <s v="OUT"/>
        <s v="0"/>
        <m u="1"/>
      </sharedItems>
    </cacheField>
    <cacheField name="ANO CAIXA" numFmtId="0">
      <sharedItems containsSemiMixedTypes="0" containsString="0" containsNumber="1" containsInteger="1" minValue="0" maxValue="2023"/>
    </cacheField>
    <cacheField name="MÊS COMPETÊNCIA " numFmtId="0">
      <sharedItems containsBlank="1" count="13">
        <s v="MAI"/>
        <s v="MAR"/>
        <s v="AGO"/>
        <s v="JUN"/>
        <s v="FEV"/>
        <s v="OUT"/>
        <s v="JUL"/>
        <s v="JAN"/>
        <s v="DEZ"/>
        <s v="ABR"/>
        <s v="NOV"/>
        <s v="SET"/>
        <m u="1"/>
      </sharedItems>
    </cacheField>
    <cacheField name="ANO COMPETÊNCIA" numFmtId="0">
      <sharedItems containsSemiMixedTypes="0" containsString="0" containsNumber="1" containsInteger="1" minValue="2020" maxValue="2023" count="4">
        <n v="2022"/>
        <n v="2023"/>
        <n v="2021"/>
        <n v="2020"/>
      </sharedItems>
    </cacheField>
    <cacheField name="MÊS PREVISTO" numFmtId="0">
      <sharedItems containsBlank="1" count="13">
        <s v="MAI"/>
        <s v="MAR"/>
        <s v="AGO"/>
        <s v="JUN"/>
        <s v="FEV"/>
        <s v="OUT"/>
        <s v="JUL"/>
        <s v="JAN"/>
        <s v="DEZ"/>
        <s v="ABR"/>
        <s v="NOV"/>
        <s v="SET"/>
        <m u="1"/>
      </sharedItems>
    </cacheField>
    <cacheField name="ANO PREVISTO" numFmtId="0">
      <sharedItems containsSemiMixedTypes="0" containsString="0" containsNumber="1" containsInteger="1" minValue="2020" maxValue="2023" count="4">
        <n v="2022"/>
        <n v="2023"/>
        <n v="2021"/>
        <n v="2020"/>
      </sharedItems>
    </cacheField>
    <cacheField name="VENCIMENTO" numFmtId="0">
      <sharedItems containsBlank="1" count="3">
        <s v="Não Vencida"/>
        <s v="Vencida"/>
        <m u="1"/>
      </sharedItems>
    </cacheField>
    <cacheField name="PERFIL" numFmtId="0">
      <sharedItems/>
    </cacheField>
    <cacheField name="ATRASO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215.742200694447" createdVersion="6" refreshedVersion="6" minRefreshableVersion="3" recordCount="730">
  <cacheSource type="worksheet">
    <worksheetSource name="tbRegistroSaidas"/>
  </cacheSource>
  <cacheFields count="14">
    <cacheField name="DATA DE CAIXA REALIZADO" numFmtId="14">
      <sharedItems containsDate="1" containsMixedTypes="1" minDate="2021-01-05T00:00:00" maxDate="2024-01-01T00:00:00"/>
    </cacheField>
    <cacheField name="DATA DA COMPETÊNCIA" numFmtId="14">
      <sharedItems containsSemiMixedTypes="0" containsNonDate="0" containsDate="1" containsString="0" minDate="2020-12-05T00:00:00" maxDate="2023-12-01T00:00:00"/>
    </cacheField>
    <cacheField name="DATA DO CAIXA PREVISTO" numFmtId="14">
      <sharedItems containsSemiMixedTypes="0" containsNonDate="0" containsDate="1" containsString="0" minDate="2020-12-21T00:00:00" maxDate="2023-12-17T00:00:00"/>
    </cacheField>
    <cacheField name="BASE DE OPERAÇÃO" numFmtId="0">
      <sharedItems count="9">
        <s v="SÃO MATEUS"/>
        <s v="SANTOS"/>
        <s v="ITAQUAQUECETUBA"/>
        <s v="SÃO PAULO"/>
        <s v="BARUERI"/>
        <s v="OSASCO"/>
        <s v="GUARUJÁ"/>
        <s v="FRANCA"/>
        <s v="GUARULHOS"/>
      </sharedItems>
    </cacheField>
    <cacheField name="ENTRADA NÍVEL 1" numFmtId="0">
      <sharedItems count="2">
        <s v="Compra de mercadorias"/>
        <s v="Venda de Mercadorias" u="1"/>
      </sharedItems>
    </cacheField>
    <cacheField name="ENTRADA NÍVEL 2" numFmtId="0">
      <sharedItems count="6">
        <s v="Som e imagem"/>
        <s v="Móveis"/>
        <s v="Informática"/>
        <s v="Livros"/>
        <s v="Eletrodomésticos"/>
        <s v="Vestuário"/>
      </sharedItems>
    </cacheField>
    <cacheField name="HISTÓRICO" numFmtId="0">
      <sharedItems/>
    </cacheField>
    <cacheField name="VALOR" numFmtId="44">
      <sharedItems containsSemiMixedTypes="0" containsString="0" containsNumber="1" containsInteger="1" minValue="112" maxValue="4947"/>
    </cacheField>
    <cacheField name="ANO CAIXA" numFmtId="0">
      <sharedItems containsString="0" containsBlank="1" containsNumber="1" containsInteger="1" minValue="0" maxValue="2023"/>
    </cacheField>
    <cacheField name="MÊS CAIXA" numFmtId="0">
      <sharedItems count="13">
        <s v="OUT"/>
        <s v="JUN"/>
        <s v="AGO"/>
        <s v="MAR"/>
        <s v="SET"/>
        <s v="ABR"/>
        <s v="JAN"/>
        <s v="FEV"/>
        <s v="DEZ"/>
        <s v="JUL"/>
        <s v="MAI"/>
        <s v="NOV"/>
        <s v="0"/>
      </sharedItems>
    </cacheField>
    <cacheField name="MÊS COMPETÊNCIA " numFmtId="0">
      <sharedItems count="12">
        <s v="AGO"/>
        <s v="MAI"/>
        <s v="JUL"/>
        <s v="FEV"/>
        <s v="SET"/>
        <s v="MAR"/>
        <s v="DEZ"/>
        <s v="JAN"/>
        <s v="NOV"/>
        <s v="JUN"/>
        <s v="ABR"/>
        <s v="OUT"/>
      </sharedItems>
    </cacheField>
    <cacheField name="ANO COMPETÊNCIA" numFmtId="0">
      <sharedItems containsSemiMixedTypes="0" containsString="0" containsNumber="1" containsInteger="1" minValue="2020" maxValue="2023" count="4">
        <n v="2021"/>
        <n v="2022"/>
        <n v="2023"/>
        <n v="2020"/>
      </sharedItems>
    </cacheField>
    <cacheField name="MÊS PREVISTO" numFmtId="0">
      <sharedItems count="12">
        <s v="OUT"/>
        <s v="MAI"/>
        <s v="JUL"/>
        <s v="FEV"/>
        <s v="SET"/>
        <s v="AGO"/>
        <s v="MAR"/>
        <s v="JAN"/>
        <s v="ABR"/>
        <s v="DEZ"/>
        <s v="NOV"/>
        <s v="JUN"/>
      </sharedItems>
    </cacheField>
    <cacheField name="ANO PREVISTO" numFmtId="0">
      <sharedItems containsSemiMixedTypes="0" containsString="0" containsNumber="1" containsInteger="1" minValue="2020" maxValue="2023" count="4">
        <n v="2021"/>
        <n v="2022"/>
        <n v="2023"/>
        <n v="2020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2">
  <r>
    <d v="2022-06-05T00:00:00"/>
    <d v="2022-05-05T00:00:00"/>
    <d v="2022-05-05T00:00:00"/>
    <x v="0"/>
    <x v="0"/>
    <x v="0"/>
    <s v="NF0014"/>
    <x v="0"/>
    <n v="6981"/>
    <x v="0"/>
    <n v="2022"/>
    <x v="0"/>
    <x v="0"/>
    <x v="0"/>
    <x v="0"/>
    <x v="0"/>
    <s v="Vista"/>
    <s v="Em Dia"/>
  </r>
  <r>
    <d v="2022-04-04T00:00:00"/>
    <d v="2022-03-04T00:00:00"/>
    <d v="2022-03-04T00:00:00"/>
    <x v="0"/>
    <x v="0"/>
    <x v="0"/>
    <s v="NF0026"/>
    <x v="1"/>
    <n v="1699"/>
    <x v="1"/>
    <n v="2022"/>
    <x v="1"/>
    <x v="0"/>
    <x v="1"/>
    <x v="0"/>
    <x v="0"/>
    <s v="Vista"/>
    <s v="Em Dia"/>
  </r>
  <r>
    <d v="2023-09-15T00:00:00"/>
    <d v="2023-08-15T00:00:00"/>
    <d v="2023-08-15T00:00:00"/>
    <x v="1"/>
    <x v="0"/>
    <x v="0"/>
    <s v="NF0045"/>
    <x v="2"/>
    <n v="6368"/>
    <x v="2"/>
    <n v="2023"/>
    <x v="2"/>
    <x v="1"/>
    <x v="2"/>
    <x v="1"/>
    <x v="0"/>
    <s v="Vista"/>
    <s v="Em Dia"/>
  </r>
  <r>
    <d v="2023-07-13T00:00:00"/>
    <d v="2023-06-12T00:00:00"/>
    <d v="2023-06-12T00:00:00"/>
    <x v="2"/>
    <x v="0"/>
    <x v="1"/>
    <s v="NF0183"/>
    <x v="3"/>
    <n v="6802"/>
    <x v="3"/>
    <n v="2023"/>
    <x v="3"/>
    <x v="1"/>
    <x v="3"/>
    <x v="1"/>
    <x v="0"/>
    <s v="Vista"/>
    <s v="Em Dia"/>
  </r>
  <r>
    <d v="2022-09-30T00:00:00"/>
    <d v="2022-08-30T00:00:00"/>
    <d v="2022-08-30T00:00:00"/>
    <x v="3"/>
    <x v="0"/>
    <x v="1"/>
    <s v="NF0212"/>
    <x v="4"/>
    <n v="3167"/>
    <x v="2"/>
    <n v="2022"/>
    <x v="2"/>
    <x v="0"/>
    <x v="2"/>
    <x v="0"/>
    <x v="0"/>
    <s v="Vista"/>
    <s v="Em Dia"/>
  </r>
  <r>
    <d v="2021-03-30T00:00:00"/>
    <d v="2021-02-27T00:00:00"/>
    <d v="2021-02-27T00:00:00"/>
    <x v="2"/>
    <x v="0"/>
    <x v="0"/>
    <s v="NF0231"/>
    <x v="5"/>
    <n v="2960"/>
    <x v="4"/>
    <n v="2021"/>
    <x v="4"/>
    <x v="2"/>
    <x v="4"/>
    <x v="2"/>
    <x v="0"/>
    <s v="Vista"/>
    <s v="Em Dia"/>
  </r>
  <r>
    <d v="2022-11-28T00:00:00"/>
    <d v="2022-10-28T00:00:00"/>
    <d v="2022-10-28T00:00:00"/>
    <x v="0"/>
    <x v="0"/>
    <x v="2"/>
    <s v="NF0334"/>
    <x v="6"/>
    <n v="7315"/>
    <x v="5"/>
    <n v="2022"/>
    <x v="5"/>
    <x v="0"/>
    <x v="5"/>
    <x v="0"/>
    <x v="0"/>
    <s v="Vista"/>
    <s v="Em Dia"/>
  </r>
  <r>
    <d v="2021-04-22T00:00:00"/>
    <d v="2021-03-22T00:00:00"/>
    <d v="2021-03-22T00:00:00"/>
    <x v="3"/>
    <x v="0"/>
    <x v="2"/>
    <s v="NF0366"/>
    <x v="7"/>
    <n v="2048"/>
    <x v="1"/>
    <n v="2021"/>
    <x v="1"/>
    <x v="2"/>
    <x v="1"/>
    <x v="2"/>
    <x v="0"/>
    <s v="Vista"/>
    <s v="Em Dia"/>
  </r>
  <r>
    <d v="2021-08-20T00:00:00"/>
    <d v="2021-07-20T00:00:00"/>
    <d v="2021-07-20T00:00:00"/>
    <x v="0"/>
    <x v="0"/>
    <x v="2"/>
    <s v="NF0388"/>
    <x v="0"/>
    <n v="2651"/>
    <x v="6"/>
    <n v="2021"/>
    <x v="6"/>
    <x v="2"/>
    <x v="6"/>
    <x v="2"/>
    <x v="0"/>
    <s v="Vista"/>
    <s v="Em Dia"/>
  </r>
  <r>
    <d v="2022-02-26T00:00:00"/>
    <d v="2022-01-26T00:00:00"/>
    <d v="2022-01-26T00:00:00"/>
    <x v="4"/>
    <x v="0"/>
    <x v="3"/>
    <s v="NF0451"/>
    <x v="8"/>
    <n v="4516"/>
    <x v="7"/>
    <n v="2022"/>
    <x v="7"/>
    <x v="0"/>
    <x v="7"/>
    <x v="0"/>
    <x v="0"/>
    <s v="Vista"/>
    <s v="Em Dia"/>
  </r>
  <r>
    <d v="2023-01-29T00:00:00"/>
    <d v="2022-12-29T00:00:00"/>
    <d v="2022-12-29T00:00:00"/>
    <x v="5"/>
    <x v="0"/>
    <x v="4"/>
    <s v="NF0473"/>
    <x v="9"/>
    <n v="2728"/>
    <x v="8"/>
    <n v="2023"/>
    <x v="8"/>
    <x v="0"/>
    <x v="8"/>
    <x v="0"/>
    <x v="0"/>
    <s v="Vista"/>
    <s v="Em Dia"/>
  </r>
  <r>
    <d v="2021-05-23T00:00:00"/>
    <d v="2021-04-22T00:00:00"/>
    <d v="2021-04-22T00:00:00"/>
    <x v="1"/>
    <x v="0"/>
    <x v="0"/>
    <s v="NF0479"/>
    <x v="10"/>
    <n v="1129"/>
    <x v="9"/>
    <n v="2021"/>
    <x v="9"/>
    <x v="2"/>
    <x v="9"/>
    <x v="2"/>
    <x v="0"/>
    <s v="Vista"/>
    <s v="Em Dia"/>
  </r>
  <r>
    <d v="2023-01-31T00:00:00"/>
    <d v="2022-12-31T00:00:00"/>
    <d v="2022-12-31T00:00:00"/>
    <x v="4"/>
    <x v="0"/>
    <x v="2"/>
    <s v="NF0494"/>
    <x v="8"/>
    <n v="7733"/>
    <x v="8"/>
    <n v="2023"/>
    <x v="8"/>
    <x v="0"/>
    <x v="8"/>
    <x v="0"/>
    <x v="0"/>
    <s v="Vista"/>
    <s v="Em Dia"/>
  </r>
  <r>
    <d v="2022-05-16T00:00:00"/>
    <d v="2022-04-15T00:00:00"/>
    <d v="2022-04-15T00:00:00"/>
    <x v="3"/>
    <x v="0"/>
    <x v="1"/>
    <s v="NF0588"/>
    <x v="11"/>
    <n v="3857"/>
    <x v="9"/>
    <n v="2022"/>
    <x v="9"/>
    <x v="0"/>
    <x v="9"/>
    <x v="0"/>
    <x v="0"/>
    <s v="Vista"/>
    <s v="Em Dia"/>
  </r>
  <r>
    <d v="2021-01-06T00:00:00"/>
    <d v="2020-12-06T00:00:00"/>
    <d v="2020-12-06T00:00:00"/>
    <x v="4"/>
    <x v="0"/>
    <x v="1"/>
    <s v="NF0641"/>
    <x v="12"/>
    <n v="5079"/>
    <x v="8"/>
    <n v="2021"/>
    <x v="8"/>
    <x v="3"/>
    <x v="8"/>
    <x v="3"/>
    <x v="0"/>
    <s v="Vista"/>
    <s v="Em Dia"/>
  </r>
  <r>
    <d v="2022-07-26T00:00:00"/>
    <d v="2022-06-25T00:00:00"/>
    <d v="2022-06-25T00:00:00"/>
    <x v="1"/>
    <x v="0"/>
    <x v="1"/>
    <s v="NF0663"/>
    <x v="2"/>
    <n v="4174"/>
    <x v="3"/>
    <n v="2022"/>
    <x v="3"/>
    <x v="0"/>
    <x v="3"/>
    <x v="0"/>
    <x v="0"/>
    <s v="Vista"/>
    <s v="Em Dia"/>
  </r>
  <r>
    <d v="2022-02-19T00:00:00"/>
    <d v="2022-01-19T00:00:00"/>
    <d v="2022-01-19T00:00:00"/>
    <x v="1"/>
    <x v="0"/>
    <x v="0"/>
    <s v="NF0666"/>
    <x v="13"/>
    <n v="7096"/>
    <x v="7"/>
    <n v="2022"/>
    <x v="7"/>
    <x v="0"/>
    <x v="7"/>
    <x v="0"/>
    <x v="0"/>
    <s v="Vista"/>
    <s v="Em Dia"/>
  </r>
  <r>
    <d v="2022-08-19T00:00:00"/>
    <d v="2022-07-19T00:00:00"/>
    <d v="2022-07-19T00:00:00"/>
    <x v="0"/>
    <x v="0"/>
    <x v="4"/>
    <s v="NF0684"/>
    <x v="0"/>
    <n v="4473"/>
    <x v="6"/>
    <n v="2022"/>
    <x v="6"/>
    <x v="0"/>
    <x v="6"/>
    <x v="0"/>
    <x v="0"/>
    <s v="Vista"/>
    <s v="Em Dia"/>
  </r>
  <r>
    <d v="2023-02-02T00:00:00"/>
    <d v="2023-01-02T00:00:00"/>
    <d v="2023-01-02T00:00:00"/>
    <x v="6"/>
    <x v="0"/>
    <x v="1"/>
    <s v="NF0718"/>
    <x v="14"/>
    <n v="3665"/>
    <x v="7"/>
    <n v="2023"/>
    <x v="7"/>
    <x v="1"/>
    <x v="7"/>
    <x v="1"/>
    <x v="0"/>
    <s v="Vista"/>
    <s v="Em Dia"/>
  </r>
  <r>
    <d v="2022-06-05T00:00:00"/>
    <d v="2022-05-05T00:00:00"/>
    <d v="2022-05-05T00:00:00"/>
    <x v="0"/>
    <x v="0"/>
    <x v="3"/>
    <s v="NF0719"/>
    <x v="15"/>
    <n v="5226"/>
    <x v="0"/>
    <n v="2022"/>
    <x v="0"/>
    <x v="0"/>
    <x v="0"/>
    <x v="0"/>
    <x v="0"/>
    <s v="Vista"/>
    <s v="Em Dia"/>
  </r>
  <r>
    <d v="2022-02-07T00:00:00"/>
    <d v="2022-01-07T00:00:00"/>
    <d v="2022-01-07T00:00:00"/>
    <x v="3"/>
    <x v="0"/>
    <x v="2"/>
    <s v="NF0725"/>
    <x v="16"/>
    <n v="3342"/>
    <x v="7"/>
    <n v="2022"/>
    <x v="7"/>
    <x v="0"/>
    <x v="7"/>
    <x v="0"/>
    <x v="0"/>
    <s v="Vista"/>
    <s v="Em Dia"/>
  </r>
  <r>
    <d v="2023-06-02T00:00:00"/>
    <d v="2023-05-02T00:00:00"/>
    <d v="2023-05-02T00:00:00"/>
    <x v="2"/>
    <x v="0"/>
    <x v="2"/>
    <s v="NF0733"/>
    <x v="17"/>
    <n v="5250"/>
    <x v="0"/>
    <n v="2023"/>
    <x v="0"/>
    <x v="1"/>
    <x v="0"/>
    <x v="1"/>
    <x v="0"/>
    <s v="Vista"/>
    <s v="Em Dia"/>
  </r>
  <r>
    <d v="2021-03-20T00:00:00"/>
    <d v="2021-02-17T00:00:00"/>
    <d v="2021-02-17T00:00:00"/>
    <x v="4"/>
    <x v="0"/>
    <x v="3"/>
    <s v="NF0738"/>
    <x v="18"/>
    <n v="5989"/>
    <x v="4"/>
    <n v="2021"/>
    <x v="4"/>
    <x v="2"/>
    <x v="4"/>
    <x v="2"/>
    <x v="0"/>
    <s v="Vista"/>
    <s v="Em Dia"/>
  </r>
  <r>
    <d v="2022-05-01T00:00:00"/>
    <d v="2022-03-31T00:00:00"/>
    <d v="2022-03-31T00:00:00"/>
    <x v="1"/>
    <x v="0"/>
    <x v="3"/>
    <s v="NF0762"/>
    <x v="13"/>
    <n v="4279"/>
    <x v="9"/>
    <n v="2022"/>
    <x v="1"/>
    <x v="0"/>
    <x v="1"/>
    <x v="0"/>
    <x v="0"/>
    <s v="Vista"/>
    <s v="Em Dia"/>
  </r>
  <r>
    <d v="2023-09-21T00:00:00"/>
    <d v="2023-08-21T00:00:00"/>
    <d v="2023-08-21T00:00:00"/>
    <x v="6"/>
    <x v="0"/>
    <x v="0"/>
    <s v="NF0860"/>
    <x v="19"/>
    <n v="4841"/>
    <x v="2"/>
    <n v="2023"/>
    <x v="2"/>
    <x v="1"/>
    <x v="2"/>
    <x v="1"/>
    <x v="0"/>
    <s v="Vista"/>
    <s v="Em Dia"/>
  </r>
  <r>
    <d v="2022-01-22T00:00:00"/>
    <d v="2021-12-22T00:00:00"/>
    <d v="2021-12-22T00:00:00"/>
    <x v="2"/>
    <x v="0"/>
    <x v="1"/>
    <s v="NF0916"/>
    <x v="20"/>
    <n v="1015"/>
    <x v="8"/>
    <n v="2022"/>
    <x v="8"/>
    <x v="2"/>
    <x v="8"/>
    <x v="2"/>
    <x v="0"/>
    <s v="Vista"/>
    <s v="Em Dia"/>
  </r>
  <r>
    <d v="2021-09-19T00:00:00"/>
    <d v="2021-08-19T00:00:00"/>
    <d v="2021-08-19T00:00:00"/>
    <x v="3"/>
    <x v="0"/>
    <x v="4"/>
    <s v="NF0944"/>
    <x v="21"/>
    <n v="2599"/>
    <x v="2"/>
    <n v="2021"/>
    <x v="2"/>
    <x v="2"/>
    <x v="2"/>
    <x v="2"/>
    <x v="0"/>
    <s v="Vista"/>
    <s v="Em Dia"/>
  </r>
  <r>
    <d v="2023-03-03T00:00:00"/>
    <d v="2023-01-31T00:00:00"/>
    <d v="2023-01-31T00:00:00"/>
    <x v="2"/>
    <x v="0"/>
    <x v="4"/>
    <s v="NF0975"/>
    <x v="3"/>
    <n v="408"/>
    <x v="4"/>
    <n v="2023"/>
    <x v="7"/>
    <x v="1"/>
    <x v="7"/>
    <x v="1"/>
    <x v="0"/>
    <s v="Vista"/>
    <s v="Em Dia"/>
  </r>
  <r>
    <d v="2023-03-07T00:00:00"/>
    <d v="2023-02-04T00:00:00"/>
    <d v="2023-02-04T00:00:00"/>
    <x v="5"/>
    <x v="0"/>
    <x v="1"/>
    <s v="NF1032"/>
    <x v="9"/>
    <n v="4423"/>
    <x v="4"/>
    <n v="2023"/>
    <x v="4"/>
    <x v="1"/>
    <x v="4"/>
    <x v="1"/>
    <x v="0"/>
    <s v="Vista"/>
    <s v="Em Dia"/>
  </r>
  <r>
    <d v="2021-07-10T00:00:00"/>
    <d v="2021-06-09T00:00:00"/>
    <d v="2021-06-09T00:00:00"/>
    <x v="2"/>
    <x v="0"/>
    <x v="1"/>
    <s v="NF1055"/>
    <x v="17"/>
    <n v="7866"/>
    <x v="3"/>
    <n v="2021"/>
    <x v="3"/>
    <x v="2"/>
    <x v="3"/>
    <x v="2"/>
    <x v="0"/>
    <s v="Vista"/>
    <s v="Em Dia"/>
  </r>
  <r>
    <d v="2023-06-17T00:00:00"/>
    <d v="2023-05-17T00:00:00"/>
    <d v="2023-05-17T00:00:00"/>
    <x v="6"/>
    <x v="0"/>
    <x v="3"/>
    <s v="NF1082"/>
    <x v="22"/>
    <n v="1152"/>
    <x v="0"/>
    <n v="2023"/>
    <x v="0"/>
    <x v="1"/>
    <x v="0"/>
    <x v="1"/>
    <x v="0"/>
    <s v="Vista"/>
    <s v="Em Dia"/>
  </r>
  <r>
    <d v="2022-05-10T00:00:00"/>
    <d v="2022-04-09T00:00:00"/>
    <d v="2022-04-09T00:00:00"/>
    <x v="7"/>
    <x v="0"/>
    <x v="1"/>
    <s v="NF1114"/>
    <x v="23"/>
    <n v="512"/>
    <x v="9"/>
    <n v="2022"/>
    <x v="9"/>
    <x v="0"/>
    <x v="9"/>
    <x v="0"/>
    <x v="0"/>
    <s v="Vista"/>
    <s v="Em Dia"/>
  </r>
  <r>
    <d v="2023-11-20T00:00:00"/>
    <d v="2023-10-20T00:00:00"/>
    <d v="2023-10-20T00:00:00"/>
    <x v="2"/>
    <x v="0"/>
    <x v="3"/>
    <s v="NF1119"/>
    <x v="24"/>
    <n v="4265"/>
    <x v="5"/>
    <n v="2023"/>
    <x v="5"/>
    <x v="1"/>
    <x v="5"/>
    <x v="1"/>
    <x v="0"/>
    <s v="Vista"/>
    <s v="Em Dia"/>
  </r>
  <r>
    <d v="2022-07-12T09:15:11"/>
    <d v="2022-06-15T00:00:00"/>
    <d v="2022-06-15T00:00:00"/>
    <x v="2"/>
    <x v="0"/>
    <x v="2"/>
    <s v="NF1137"/>
    <x v="25"/>
    <n v="2197"/>
    <x v="3"/>
    <n v="2022"/>
    <x v="3"/>
    <x v="0"/>
    <x v="3"/>
    <x v="0"/>
    <x v="0"/>
    <s v="Vista"/>
    <s v="Em Dia"/>
  </r>
  <r>
    <d v="2022-09-30T00:00:00"/>
    <d v="2022-08-30T00:00:00"/>
    <d v="2022-08-30T00:00:00"/>
    <x v="3"/>
    <x v="0"/>
    <x v="1"/>
    <s v="NF1139"/>
    <x v="11"/>
    <n v="7109"/>
    <x v="2"/>
    <n v="2022"/>
    <x v="2"/>
    <x v="0"/>
    <x v="2"/>
    <x v="0"/>
    <x v="0"/>
    <s v="Vista"/>
    <s v="Em Dia"/>
  </r>
  <r>
    <d v="2021-12-12T00:00:00"/>
    <d v="2021-11-11T00:00:00"/>
    <d v="2021-11-11T00:00:00"/>
    <x v="2"/>
    <x v="0"/>
    <x v="2"/>
    <s v="NF1141"/>
    <x v="25"/>
    <n v="5052"/>
    <x v="10"/>
    <n v="2021"/>
    <x v="10"/>
    <x v="2"/>
    <x v="10"/>
    <x v="2"/>
    <x v="0"/>
    <s v="Vista"/>
    <s v="Em Dia"/>
  </r>
  <r>
    <d v="2023-09-08T00:00:00"/>
    <d v="2023-08-08T00:00:00"/>
    <d v="2023-08-08T00:00:00"/>
    <x v="4"/>
    <x v="0"/>
    <x v="0"/>
    <s v="NF1155"/>
    <x v="8"/>
    <n v="6742"/>
    <x v="2"/>
    <n v="2023"/>
    <x v="2"/>
    <x v="1"/>
    <x v="2"/>
    <x v="1"/>
    <x v="0"/>
    <s v="Vista"/>
    <s v="Em Dia"/>
  </r>
  <r>
    <d v="2021-08-19T00:00:00"/>
    <d v="2021-07-19T00:00:00"/>
    <d v="2021-07-19T00:00:00"/>
    <x v="3"/>
    <x v="0"/>
    <x v="2"/>
    <s v="NF1203"/>
    <x v="11"/>
    <n v="6958"/>
    <x v="6"/>
    <n v="2021"/>
    <x v="6"/>
    <x v="2"/>
    <x v="6"/>
    <x v="2"/>
    <x v="0"/>
    <s v="Vista"/>
    <s v="Em Dia"/>
  </r>
  <r>
    <d v="2023-07-31T00:00:00"/>
    <d v="2023-06-30T00:00:00"/>
    <d v="2023-06-30T00:00:00"/>
    <x v="3"/>
    <x v="0"/>
    <x v="3"/>
    <s v="NF1214"/>
    <x v="11"/>
    <n v="6142"/>
    <x v="3"/>
    <n v="2023"/>
    <x v="3"/>
    <x v="1"/>
    <x v="3"/>
    <x v="1"/>
    <x v="0"/>
    <s v="Vista"/>
    <s v="Em Dia"/>
  </r>
  <r>
    <d v="2022-12-02T00:00:00"/>
    <d v="2022-11-01T00:00:00"/>
    <d v="2022-11-01T00:00:00"/>
    <x v="4"/>
    <x v="0"/>
    <x v="1"/>
    <s v="NF1222"/>
    <x v="18"/>
    <n v="5635"/>
    <x v="10"/>
    <n v="2022"/>
    <x v="10"/>
    <x v="0"/>
    <x v="10"/>
    <x v="0"/>
    <x v="0"/>
    <s v="Vista"/>
    <s v="Em Dia"/>
  </r>
  <r>
    <d v="2022-02-13T00:00:00"/>
    <d v="2022-01-13T00:00:00"/>
    <d v="2022-01-13T00:00:00"/>
    <x v="7"/>
    <x v="0"/>
    <x v="4"/>
    <s v="NF1224"/>
    <x v="23"/>
    <n v="1938"/>
    <x v="7"/>
    <n v="2022"/>
    <x v="7"/>
    <x v="0"/>
    <x v="7"/>
    <x v="0"/>
    <x v="0"/>
    <s v="Vista"/>
    <s v="Em Dia"/>
  </r>
  <r>
    <d v="2023-05-02T00:00:00"/>
    <d v="2023-04-01T00:00:00"/>
    <d v="2023-04-01T00:00:00"/>
    <x v="7"/>
    <x v="0"/>
    <x v="3"/>
    <s v="NF1244"/>
    <x v="23"/>
    <n v="2177"/>
    <x v="9"/>
    <n v="2023"/>
    <x v="9"/>
    <x v="1"/>
    <x v="9"/>
    <x v="1"/>
    <x v="0"/>
    <s v="Vista"/>
    <s v="Em Dia"/>
  </r>
  <r>
    <d v="2021-02-26T00:00:00"/>
    <d v="2021-01-26T00:00:00"/>
    <d v="2021-01-26T00:00:00"/>
    <x v="2"/>
    <x v="0"/>
    <x v="4"/>
    <s v="NF1258"/>
    <x v="26"/>
    <n v="5679"/>
    <x v="7"/>
    <n v="2021"/>
    <x v="7"/>
    <x v="2"/>
    <x v="7"/>
    <x v="2"/>
    <x v="0"/>
    <s v="Vista"/>
    <s v="Em Dia"/>
  </r>
  <r>
    <d v="2021-08-04T00:00:00"/>
    <d v="2021-07-04T00:00:00"/>
    <d v="2021-07-04T00:00:00"/>
    <x v="3"/>
    <x v="0"/>
    <x v="2"/>
    <s v="NF1258"/>
    <x v="4"/>
    <n v="5103"/>
    <x v="6"/>
    <n v="2021"/>
    <x v="6"/>
    <x v="2"/>
    <x v="6"/>
    <x v="2"/>
    <x v="0"/>
    <s v="Vista"/>
    <s v="Em Dia"/>
  </r>
  <r>
    <d v="2021-11-06T00:00:00"/>
    <d v="2021-10-06T00:00:00"/>
    <d v="2021-10-06T00:00:00"/>
    <x v="0"/>
    <x v="0"/>
    <x v="4"/>
    <s v="NF1258"/>
    <x v="15"/>
    <n v="2604"/>
    <x v="5"/>
    <n v="2021"/>
    <x v="5"/>
    <x v="2"/>
    <x v="5"/>
    <x v="2"/>
    <x v="0"/>
    <s v="Vista"/>
    <s v="Em Dia"/>
  </r>
  <r>
    <d v="2023-02-09T00:00:00"/>
    <d v="2023-01-09T00:00:00"/>
    <d v="2023-01-09T00:00:00"/>
    <x v="1"/>
    <x v="0"/>
    <x v="4"/>
    <s v="NF1284"/>
    <x v="2"/>
    <n v="755"/>
    <x v="7"/>
    <n v="2023"/>
    <x v="7"/>
    <x v="1"/>
    <x v="7"/>
    <x v="1"/>
    <x v="0"/>
    <s v="Vista"/>
    <s v="Em Dia"/>
  </r>
  <r>
    <d v="2023-03-19T00:00:00"/>
    <d v="2023-02-16T00:00:00"/>
    <d v="2023-02-16T00:00:00"/>
    <x v="7"/>
    <x v="0"/>
    <x v="3"/>
    <s v="NF1285"/>
    <x v="27"/>
    <n v="754"/>
    <x v="4"/>
    <n v="2023"/>
    <x v="4"/>
    <x v="1"/>
    <x v="4"/>
    <x v="1"/>
    <x v="0"/>
    <s v="Vista"/>
    <s v="Em Dia"/>
  </r>
  <r>
    <d v="2023-02-10T00:00:00"/>
    <d v="2023-01-10T00:00:00"/>
    <d v="2023-01-10T00:00:00"/>
    <x v="1"/>
    <x v="0"/>
    <x v="0"/>
    <s v="NF1314"/>
    <x v="28"/>
    <n v="189"/>
    <x v="7"/>
    <n v="2023"/>
    <x v="7"/>
    <x v="1"/>
    <x v="7"/>
    <x v="1"/>
    <x v="0"/>
    <s v="Vista"/>
    <s v="Em Dia"/>
  </r>
  <r>
    <d v="2022-05-07T00:00:00"/>
    <d v="2022-04-06T00:00:00"/>
    <d v="2022-04-06T00:00:00"/>
    <x v="7"/>
    <x v="0"/>
    <x v="3"/>
    <s v="NF1320"/>
    <x v="29"/>
    <n v="1836"/>
    <x v="9"/>
    <n v="2022"/>
    <x v="9"/>
    <x v="0"/>
    <x v="9"/>
    <x v="0"/>
    <x v="0"/>
    <s v="Vista"/>
    <s v="Em Dia"/>
  </r>
  <r>
    <d v="2023-07-15T00:00:00"/>
    <d v="2023-06-14T00:00:00"/>
    <d v="2023-06-14T00:00:00"/>
    <x v="6"/>
    <x v="0"/>
    <x v="3"/>
    <s v="NF1323"/>
    <x v="30"/>
    <n v="4817"/>
    <x v="3"/>
    <n v="2023"/>
    <x v="3"/>
    <x v="1"/>
    <x v="3"/>
    <x v="1"/>
    <x v="0"/>
    <s v="Vista"/>
    <s v="Em Dia"/>
  </r>
  <r>
    <d v="2022-12-25T00:00:00"/>
    <d v="2022-11-24T00:00:00"/>
    <d v="2022-11-24T00:00:00"/>
    <x v="0"/>
    <x v="0"/>
    <x v="1"/>
    <s v="NF1328"/>
    <x v="1"/>
    <n v="198"/>
    <x v="10"/>
    <n v="2022"/>
    <x v="10"/>
    <x v="0"/>
    <x v="10"/>
    <x v="0"/>
    <x v="0"/>
    <s v="Vista"/>
    <s v="Em Dia"/>
  </r>
  <r>
    <d v="2022-07-03T00:00:00"/>
    <d v="2022-06-02T00:00:00"/>
    <d v="2022-06-02T00:00:00"/>
    <x v="6"/>
    <x v="0"/>
    <x v="3"/>
    <s v="NF1345"/>
    <x v="30"/>
    <n v="6196"/>
    <x v="3"/>
    <n v="2022"/>
    <x v="3"/>
    <x v="0"/>
    <x v="3"/>
    <x v="0"/>
    <x v="0"/>
    <s v="Vista"/>
    <s v="Em Dia"/>
  </r>
  <r>
    <d v="2022-12-21T09:00:52"/>
    <d v="2022-11-21T00:00:00"/>
    <d v="2022-11-21T00:00:00"/>
    <x v="3"/>
    <x v="0"/>
    <x v="2"/>
    <s v="NF1359"/>
    <x v="11"/>
    <n v="1880"/>
    <x v="10"/>
    <n v="2022"/>
    <x v="10"/>
    <x v="0"/>
    <x v="10"/>
    <x v="0"/>
    <x v="0"/>
    <s v="Vista"/>
    <s v="Em Dia"/>
  </r>
  <r>
    <d v="2022-12-24T00:00:00"/>
    <d v="2022-11-23T00:00:00"/>
    <d v="2022-11-23T00:00:00"/>
    <x v="1"/>
    <x v="0"/>
    <x v="1"/>
    <s v="NF1371"/>
    <x v="2"/>
    <n v="5588"/>
    <x v="10"/>
    <n v="2022"/>
    <x v="10"/>
    <x v="0"/>
    <x v="10"/>
    <x v="0"/>
    <x v="0"/>
    <s v="Vista"/>
    <s v="Em Dia"/>
  </r>
  <r>
    <d v="2021-06-30T00:00:00"/>
    <d v="2021-05-30T00:00:00"/>
    <d v="2021-05-30T00:00:00"/>
    <x v="0"/>
    <x v="0"/>
    <x v="0"/>
    <s v="NF1432"/>
    <x v="15"/>
    <n v="7262"/>
    <x v="0"/>
    <n v="2021"/>
    <x v="0"/>
    <x v="2"/>
    <x v="0"/>
    <x v="2"/>
    <x v="0"/>
    <s v="Vista"/>
    <s v="Em Dia"/>
  </r>
  <r>
    <d v="2023-01-18T00:00:00"/>
    <d v="2022-12-18T00:00:00"/>
    <d v="2022-12-18T00:00:00"/>
    <x v="4"/>
    <x v="0"/>
    <x v="3"/>
    <s v="NF1436"/>
    <x v="12"/>
    <n v="2381"/>
    <x v="8"/>
    <n v="2023"/>
    <x v="8"/>
    <x v="0"/>
    <x v="8"/>
    <x v="0"/>
    <x v="0"/>
    <s v="Vista"/>
    <s v="Em Dia"/>
  </r>
  <r>
    <d v="2021-02-02T00:00:00"/>
    <d v="2021-01-02T00:00:00"/>
    <d v="2021-01-02T00:00:00"/>
    <x v="0"/>
    <x v="0"/>
    <x v="0"/>
    <s v="NF1441"/>
    <x v="6"/>
    <n v="2496"/>
    <x v="7"/>
    <n v="2021"/>
    <x v="7"/>
    <x v="2"/>
    <x v="7"/>
    <x v="2"/>
    <x v="0"/>
    <s v="Vista"/>
    <s v="Em Dia"/>
  </r>
  <r>
    <d v="2021-04-27T00:00:00"/>
    <d v="2021-03-27T00:00:00"/>
    <d v="2021-03-27T00:00:00"/>
    <x v="0"/>
    <x v="0"/>
    <x v="3"/>
    <s v="NF1463"/>
    <x v="1"/>
    <n v="5146"/>
    <x v="1"/>
    <n v="2021"/>
    <x v="1"/>
    <x v="2"/>
    <x v="1"/>
    <x v="2"/>
    <x v="0"/>
    <s v="Vista"/>
    <s v="Em Dia"/>
  </r>
  <r>
    <d v="2023-04-13T00:00:00"/>
    <d v="2023-03-13T00:00:00"/>
    <d v="2023-03-13T00:00:00"/>
    <x v="7"/>
    <x v="0"/>
    <x v="3"/>
    <s v="NF1464"/>
    <x v="29"/>
    <n v="1511"/>
    <x v="1"/>
    <n v="2023"/>
    <x v="1"/>
    <x v="1"/>
    <x v="1"/>
    <x v="1"/>
    <x v="0"/>
    <s v="Vista"/>
    <s v="Em Dia"/>
  </r>
  <r>
    <d v="2023-05-26T20:19:16"/>
    <d v="2023-05-26T00:00:00"/>
    <d v="2023-05-26T00:00:00"/>
    <x v="1"/>
    <x v="0"/>
    <x v="2"/>
    <s v="NF1516"/>
    <x v="31"/>
    <n v="2531"/>
    <x v="9"/>
    <n v="2023"/>
    <x v="0"/>
    <x v="1"/>
    <x v="0"/>
    <x v="1"/>
    <x v="0"/>
    <s v="Vista"/>
    <s v="Em Dia"/>
  </r>
  <r>
    <d v="2021-02-03T00:00:00"/>
    <d v="2021-01-03T00:00:00"/>
    <d v="2021-01-03T00:00:00"/>
    <x v="4"/>
    <x v="0"/>
    <x v="0"/>
    <s v="NF1522"/>
    <x v="32"/>
    <n v="6675"/>
    <x v="7"/>
    <n v="2021"/>
    <x v="7"/>
    <x v="2"/>
    <x v="7"/>
    <x v="2"/>
    <x v="0"/>
    <s v="Vista"/>
    <s v="Em Dia"/>
  </r>
  <r>
    <d v="2022-11-16T00:00:00"/>
    <d v="2022-10-16T00:00:00"/>
    <d v="2022-10-16T00:00:00"/>
    <x v="6"/>
    <x v="0"/>
    <x v="3"/>
    <s v="NF1526"/>
    <x v="33"/>
    <n v="4238"/>
    <x v="5"/>
    <n v="2022"/>
    <x v="5"/>
    <x v="0"/>
    <x v="5"/>
    <x v="0"/>
    <x v="0"/>
    <s v="Vista"/>
    <s v="Em Dia"/>
  </r>
  <r>
    <d v="2023-07-14T00:00:00"/>
    <d v="2023-06-13T00:00:00"/>
    <d v="2023-06-13T00:00:00"/>
    <x v="5"/>
    <x v="0"/>
    <x v="4"/>
    <s v="NF1526"/>
    <x v="34"/>
    <n v="7025"/>
    <x v="3"/>
    <n v="2023"/>
    <x v="3"/>
    <x v="1"/>
    <x v="3"/>
    <x v="1"/>
    <x v="0"/>
    <s v="Vista"/>
    <s v="Em Dia"/>
  </r>
  <r>
    <d v="2022-07-31T00:00:00"/>
    <d v="2022-06-30T00:00:00"/>
    <d v="2022-06-30T00:00:00"/>
    <x v="1"/>
    <x v="0"/>
    <x v="3"/>
    <s v="NF1534"/>
    <x v="31"/>
    <n v="3343"/>
    <x v="3"/>
    <n v="2022"/>
    <x v="3"/>
    <x v="0"/>
    <x v="3"/>
    <x v="0"/>
    <x v="0"/>
    <s v="Vista"/>
    <s v="Em Dia"/>
  </r>
  <r>
    <d v="2021-12-18T04:50:00"/>
    <d v="2021-09-01T00:00:00"/>
    <d v="2021-09-01T00:00:00"/>
    <x v="2"/>
    <x v="0"/>
    <x v="1"/>
    <s v="NF1535"/>
    <x v="35"/>
    <n v="4387"/>
    <x v="10"/>
    <n v="2021"/>
    <x v="11"/>
    <x v="2"/>
    <x v="11"/>
    <x v="2"/>
    <x v="0"/>
    <s v="Vista"/>
    <s v="Em Dia"/>
  </r>
  <r>
    <d v="2023-06-26T00:00:00"/>
    <d v="2023-05-26T00:00:00"/>
    <d v="2023-05-26T00:00:00"/>
    <x v="5"/>
    <x v="0"/>
    <x v="3"/>
    <s v="NF1535"/>
    <x v="36"/>
    <n v="3946"/>
    <x v="0"/>
    <n v="2023"/>
    <x v="0"/>
    <x v="1"/>
    <x v="0"/>
    <x v="1"/>
    <x v="0"/>
    <s v="Vista"/>
    <s v="Em Dia"/>
  </r>
  <r>
    <d v="2023-02-26T14:45:57"/>
    <d v="2023-01-21T00:00:00"/>
    <d v="2023-01-21T00:00:00"/>
    <x v="0"/>
    <x v="0"/>
    <x v="2"/>
    <s v="NF1547"/>
    <x v="37"/>
    <n v="1815"/>
    <x v="7"/>
    <n v="2023"/>
    <x v="7"/>
    <x v="1"/>
    <x v="7"/>
    <x v="1"/>
    <x v="0"/>
    <s v="Vista"/>
    <s v="Em Dia"/>
  </r>
  <r>
    <d v="2022-11-25T00:00:00"/>
    <d v="2022-10-25T00:00:00"/>
    <d v="2022-10-25T00:00:00"/>
    <x v="6"/>
    <x v="0"/>
    <x v="0"/>
    <s v="NF1549"/>
    <x v="14"/>
    <n v="3808"/>
    <x v="5"/>
    <n v="2022"/>
    <x v="5"/>
    <x v="0"/>
    <x v="5"/>
    <x v="0"/>
    <x v="0"/>
    <s v="Vista"/>
    <s v="Em Dia"/>
  </r>
  <r>
    <d v="2022-12-25T00:00:00"/>
    <d v="2022-11-24T00:00:00"/>
    <d v="2022-11-24T00:00:00"/>
    <x v="6"/>
    <x v="0"/>
    <x v="2"/>
    <s v="NF1549"/>
    <x v="38"/>
    <n v="4839"/>
    <x v="10"/>
    <n v="2022"/>
    <x v="10"/>
    <x v="0"/>
    <x v="10"/>
    <x v="0"/>
    <x v="0"/>
    <s v="Vista"/>
    <s v="Em Dia"/>
  </r>
  <r>
    <d v="2021-12-15T22:54:22"/>
    <d v="2021-12-04T00:00:00"/>
    <d v="2021-12-04T00:00:00"/>
    <x v="3"/>
    <x v="0"/>
    <x v="4"/>
    <s v="NF1550"/>
    <x v="7"/>
    <n v="3008"/>
    <x v="10"/>
    <n v="2021"/>
    <x v="8"/>
    <x v="2"/>
    <x v="8"/>
    <x v="2"/>
    <x v="0"/>
    <s v="Vista"/>
    <s v="Em Dia"/>
  </r>
  <r>
    <d v="2023-02-09T00:00:00"/>
    <d v="2023-01-09T00:00:00"/>
    <d v="2023-01-09T00:00:00"/>
    <x v="2"/>
    <x v="0"/>
    <x v="1"/>
    <s v="NF1561"/>
    <x v="17"/>
    <n v="6980"/>
    <x v="7"/>
    <n v="2023"/>
    <x v="7"/>
    <x v="1"/>
    <x v="7"/>
    <x v="1"/>
    <x v="0"/>
    <s v="Vista"/>
    <s v="Em Dia"/>
  </r>
  <r>
    <d v="2022-08-16T00:00:00"/>
    <d v="2022-07-16T00:00:00"/>
    <d v="2022-07-16T00:00:00"/>
    <x v="6"/>
    <x v="0"/>
    <x v="4"/>
    <s v="NF1571"/>
    <x v="33"/>
    <n v="3770"/>
    <x v="6"/>
    <n v="2022"/>
    <x v="6"/>
    <x v="0"/>
    <x v="6"/>
    <x v="0"/>
    <x v="0"/>
    <s v="Vista"/>
    <s v="Em Dia"/>
  </r>
  <r>
    <d v="2023-01-02T00:00:00"/>
    <d v="2022-12-02T00:00:00"/>
    <d v="2022-12-02T00:00:00"/>
    <x v="6"/>
    <x v="0"/>
    <x v="1"/>
    <s v="NF1572"/>
    <x v="39"/>
    <n v="2049"/>
    <x v="8"/>
    <n v="2023"/>
    <x v="8"/>
    <x v="0"/>
    <x v="8"/>
    <x v="0"/>
    <x v="0"/>
    <s v="Vista"/>
    <s v="Em Dia"/>
  </r>
  <r>
    <d v="2023-02-20T00:00:00"/>
    <d v="2023-01-20T00:00:00"/>
    <d v="2023-01-20T00:00:00"/>
    <x v="0"/>
    <x v="0"/>
    <x v="1"/>
    <s v="NF1584"/>
    <x v="15"/>
    <n v="2755"/>
    <x v="7"/>
    <n v="2023"/>
    <x v="7"/>
    <x v="1"/>
    <x v="7"/>
    <x v="1"/>
    <x v="0"/>
    <s v="Vista"/>
    <s v="Em Dia"/>
  </r>
  <r>
    <d v="2023-05-09T00:00:00"/>
    <d v="2023-04-08T00:00:00"/>
    <d v="2023-04-08T00:00:00"/>
    <x v="1"/>
    <x v="0"/>
    <x v="1"/>
    <s v="NF1585"/>
    <x v="40"/>
    <n v="142"/>
    <x v="9"/>
    <n v="2023"/>
    <x v="9"/>
    <x v="1"/>
    <x v="9"/>
    <x v="1"/>
    <x v="0"/>
    <s v="Vista"/>
    <s v="Em Dia"/>
  </r>
  <r>
    <d v="2021-08-11T00:00:00"/>
    <d v="2021-07-11T00:00:00"/>
    <d v="2021-07-11T00:00:00"/>
    <x v="0"/>
    <x v="0"/>
    <x v="3"/>
    <s v="NF1594"/>
    <x v="41"/>
    <n v="609"/>
    <x v="6"/>
    <n v="2021"/>
    <x v="6"/>
    <x v="2"/>
    <x v="6"/>
    <x v="2"/>
    <x v="0"/>
    <s v="Vista"/>
    <s v="Em Dia"/>
  </r>
  <r>
    <d v="2023-06-10T13:50:40"/>
    <d v="2023-05-05T00:00:00"/>
    <d v="2023-05-05T00:00:00"/>
    <x v="6"/>
    <x v="0"/>
    <x v="2"/>
    <s v="NF1629"/>
    <x v="42"/>
    <n v="4505"/>
    <x v="0"/>
    <n v="2023"/>
    <x v="0"/>
    <x v="1"/>
    <x v="0"/>
    <x v="1"/>
    <x v="0"/>
    <s v="Vista"/>
    <s v="Em Dia"/>
  </r>
  <r>
    <d v="2021-11-23T00:00:00"/>
    <d v="2021-10-23T00:00:00"/>
    <d v="2021-10-23T00:00:00"/>
    <x v="2"/>
    <x v="0"/>
    <x v="1"/>
    <s v="NF1631"/>
    <x v="26"/>
    <n v="6939"/>
    <x v="5"/>
    <n v="2021"/>
    <x v="5"/>
    <x v="2"/>
    <x v="5"/>
    <x v="2"/>
    <x v="0"/>
    <s v="Vista"/>
    <s v="Em Dia"/>
  </r>
  <r>
    <d v="2022-02-28T18:26:30"/>
    <d v="2022-01-03T00:00:00"/>
    <d v="2022-01-03T00:00:00"/>
    <x v="6"/>
    <x v="0"/>
    <x v="2"/>
    <s v="NF1631"/>
    <x v="39"/>
    <n v="1561"/>
    <x v="7"/>
    <n v="2022"/>
    <x v="7"/>
    <x v="0"/>
    <x v="7"/>
    <x v="0"/>
    <x v="0"/>
    <s v="Vista"/>
    <s v="Em Dia"/>
  </r>
  <r>
    <d v="2021-08-15T00:00:00"/>
    <d v="2021-07-15T00:00:00"/>
    <d v="2021-07-15T00:00:00"/>
    <x v="6"/>
    <x v="0"/>
    <x v="0"/>
    <s v="NF1636"/>
    <x v="43"/>
    <n v="6232"/>
    <x v="6"/>
    <n v="2021"/>
    <x v="6"/>
    <x v="2"/>
    <x v="6"/>
    <x v="2"/>
    <x v="0"/>
    <s v="Vista"/>
    <s v="Em Dia"/>
  </r>
  <r>
    <d v="2021-02-11T00:00:00"/>
    <d v="2021-01-11T00:00:00"/>
    <d v="2021-01-11T00:00:00"/>
    <x v="6"/>
    <x v="0"/>
    <x v="0"/>
    <s v="NF1656"/>
    <x v="39"/>
    <n v="3295"/>
    <x v="7"/>
    <n v="2021"/>
    <x v="7"/>
    <x v="2"/>
    <x v="7"/>
    <x v="2"/>
    <x v="0"/>
    <s v="Vista"/>
    <s v="Em Dia"/>
  </r>
  <r>
    <d v="2021-01-13T00:00:00"/>
    <d v="2020-12-13T00:00:00"/>
    <d v="2020-12-13T00:00:00"/>
    <x v="3"/>
    <x v="0"/>
    <x v="2"/>
    <s v="NF1665"/>
    <x v="16"/>
    <n v="4717"/>
    <x v="8"/>
    <n v="2021"/>
    <x v="8"/>
    <x v="3"/>
    <x v="8"/>
    <x v="3"/>
    <x v="0"/>
    <s v="Vista"/>
    <s v="Em Dia"/>
  </r>
  <r>
    <d v="2022-03-15T00:00:00"/>
    <d v="2022-02-12T00:00:00"/>
    <d v="2022-02-12T00:00:00"/>
    <x v="4"/>
    <x v="0"/>
    <x v="0"/>
    <s v="NF1668"/>
    <x v="44"/>
    <n v="3996"/>
    <x v="4"/>
    <n v="2022"/>
    <x v="4"/>
    <x v="0"/>
    <x v="4"/>
    <x v="0"/>
    <x v="0"/>
    <s v="Vista"/>
    <s v="Em Dia"/>
  </r>
  <r>
    <d v="2022-10-27T20:54:27"/>
    <d v="2022-10-14T00:00:00"/>
    <d v="2022-10-14T00:00:00"/>
    <x v="1"/>
    <x v="0"/>
    <x v="2"/>
    <s v="NF1700"/>
    <x v="31"/>
    <n v="3744"/>
    <x v="11"/>
    <n v="2022"/>
    <x v="5"/>
    <x v="0"/>
    <x v="5"/>
    <x v="0"/>
    <x v="0"/>
    <s v="Vista"/>
    <s v="Em Dia"/>
  </r>
  <r>
    <d v="2023-01-10T00:00:00"/>
    <d v="2022-12-10T00:00:00"/>
    <d v="2022-12-10T00:00:00"/>
    <x v="3"/>
    <x v="0"/>
    <x v="3"/>
    <s v="NF1703"/>
    <x v="4"/>
    <n v="3680"/>
    <x v="8"/>
    <n v="2023"/>
    <x v="8"/>
    <x v="0"/>
    <x v="8"/>
    <x v="0"/>
    <x v="0"/>
    <s v="Vista"/>
    <s v="Em Dia"/>
  </r>
  <r>
    <s v="N/A"/>
    <d v="2022-06-24T00:00:00"/>
    <d v="2022-06-24T00:00:00"/>
    <x v="6"/>
    <x v="0"/>
    <x v="3"/>
    <s v="NF1725"/>
    <x v="39"/>
    <n v="770"/>
    <x v="12"/>
    <n v="0"/>
    <x v="3"/>
    <x v="0"/>
    <x v="3"/>
    <x v="0"/>
    <x v="1"/>
    <s v="Vista"/>
    <s v="Com atraso"/>
  </r>
  <r>
    <d v="2022-11-24T17:33:03"/>
    <d v="2022-07-25T00:00:00"/>
    <d v="2022-07-25T00:00:00"/>
    <x v="6"/>
    <x v="0"/>
    <x v="1"/>
    <s v="NF1759"/>
    <x v="42"/>
    <n v="4383"/>
    <x v="5"/>
    <n v="2022"/>
    <x v="6"/>
    <x v="0"/>
    <x v="6"/>
    <x v="0"/>
    <x v="0"/>
    <s v="Vista"/>
    <s v="Em Dia"/>
  </r>
  <r>
    <d v="2022-03-10T00:00:00"/>
    <d v="2022-02-07T00:00:00"/>
    <d v="2022-02-07T00:00:00"/>
    <x v="6"/>
    <x v="0"/>
    <x v="0"/>
    <s v="NF1780"/>
    <x v="33"/>
    <n v="1736"/>
    <x v="4"/>
    <n v="2022"/>
    <x v="4"/>
    <x v="0"/>
    <x v="4"/>
    <x v="0"/>
    <x v="0"/>
    <s v="Vista"/>
    <s v="Em Dia"/>
  </r>
  <r>
    <d v="2023-06-22T00:00:00"/>
    <d v="2023-05-22T00:00:00"/>
    <d v="2023-05-22T00:00:00"/>
    <x v="7"/>
    <x v="0"/>
    <x v="1"/>
    <s v="NF1785"/>
    <x v="45"/>
    <n v="3425"/>
    <x v="0"/>
    <n v="2023"/>
    <x v="0"/>
    <x v="1"/>
    <x v="0"/>
    <x v="1"/>
    <x v="0"/>
    <s v="Vista"/>
    <s v="Em Dia"/>
  </r>
  <r>
    <d v="2023-03-10T23:45:15"/>
    <d v="2023-02-02T00:00:00"/>
    <d v="2023-02-02T00:00:00"/>
    <x v="6"/>
    <x v="0"/>
    <x v="0"/>
    <s v="NF1796"/>
    <x v="42"/>
    <n v="4030"/>
    <x v="4"/>
    <n v="2023"/>
    <x v="4"/>
    <x v="1"/>
    <x v="4"/>
    <x v="1"/>
    <x v="0"/>
    <s v="Vista"/>
    <s v="Em Dia"/>
  </r>
  <r>
    <d v="2021-10-09T00:00:00"/>
    <d v="2021-09-08T00:00:00"/>
    <d v="2021-09-08T00:00:00"/>
    <x v="7"/>
    <x v="0"/>
    <x v="1"/>
    <s v="NF1803"/>
    <x v="46"/>
    <n v="2169"/>
    <x v="11"/>
    <n v="2021"/>
    <x v="11"/>
    <x v="2"/>
    <x v="11"/>
    <x v="2"/>
    <x v="0"/>
    <s v="Vista"/>
    <s v="Em Dia"/>
  </r>
  <r>
    <d v="2023-03-05T00:00:00"/>
    <d v="2023-02-02T00:00:00"/>
    <d v="2023-02-02T00:00:00"/>
    <x v="3"/>
    <x v="0"/>
    <x v="2"/>
    <s v="NF1830"/>
    <x v="21"/>
    <n v="598"/>
    <x v="4"/>
    <n v="2023"/>
    <x v="4"/>
    <x v="1"/>
    <x v="4"/>
    <x v="1"/>
    <x v="0"/>
    <s v="Vista"/>
    <s v="Em Dia"/>
  </r>
  <r>
    <d v="2022-08-01T18:40:48"/>
    <d v="2022-06-03T00:00:00"/>
    <d v="2022-06-03T00:00:00"/>
    <x v="7"/>
    <x v="0"/>
    <x v="0"/>
    <s v="NF1835"/>
    <x v="46"/>
    <n v="443"/>
    <x v="6"/>
    <n v="2022"/>
    <x v="3"/>
    <x v="0"/>
    <x v="3"/>
    <x v="0"/>
    <x v="0"/>
    <s v="Vista"/>
    <s v="Em Dia"/>
  </r>
  <r>
    <d v="2023-05-16T18:46:13"/>
    <d v="2023-01-17T00:00:00"/>
    <d v="2023-01-17T00:00:00"/>
    <x v="2"/>
    <x v="0"/>
    <x v="4"/>
    <s v="NF1850"/>
    <x v="35"/>
    <n v="4993"/>
    <x v="9"/>
    <n v="2023"/>
    <x v="7"/>
    <x v="1"/>
    <x v="7"/>
    <x v="1"/>
    <x v="0"/>
    <s v="Vista"/>
    <s v="Em Dia"/>
  </r>
  <r>
    <d v="2021-05-13T00:00:00"/>
    <d v="2021-04-12T00:00:00"/>
    <d v="2021-04-12T00:00:00"/>
    <x v="4"/>
    <x v="0"/>
    <x v="0"/>
    <s v="NF1853"/>
    <x v="32"/>
    <n v="2985"/>
    <x v="9"/>
    <n v="2021"/>
    <x v="9"/>
    <x v="2"/>
    <x v="9"/>
    <x v="2"/>
    <x v="0"/>
    <s v="Vista"/>
    <s v="Em Dia"/>
  </r>
  <r>
    <d v="2023-09-27T00:00:00"/>
    <d v="2023-08-27T00:00:00"/>
    <d v="2023-08-27T00:00:00"/>
    <x v="0"/>
    <x v="0"/>
    <x v="4"/>
    <s v="NF1858"/>
    <x v="41"/>
    <n v="1015"/>
    <x v="2"/>
    <n v="2023"/>
    <x v="2"/>
    <x v="1"/>
    <x v="2"/>
    <x v="1"/>
    <x v="0"/>
    <s v="Vista"/>
    <s v="Em Dia"/>
  </r>
  <r>
    <d v="2021-08-08T00:00:00"/>
    <d v="2021-07-08T00:00:00"/>
    <d v="2021-07-08T00:00:00"/>
    <x v="1"/>
    <x v="0"/>
    <x v="4"/>
    <s v="NF1863"/>
    <x v="47"/>
    <n v="6700"/>
    <x v="6"/>
    <n v="2021"/>
    <x v="6"/>
    <x v="2"/>
    <x v="6"/>
    <x v="2"/>
    <x v="0"/>
    <s v="Vista"/>
    <s v="Em Dia"/>
  </r>
  <r>
    <d v="2023-01-29T00:00:00"/>
    <d v="2022-12-29T00:00:00"/>
    <d v="2022-12-29T00:00:00"/>
    <x v="3"/>
    <x v="0"/>
    <x v="2"/>
    <s v="NF1876"/>
    <x v="11"/>
    <n v="7729"/>
    <x v="8"/>
    <n v="2023"/>
    <x v="8"/>
    <x v="0"/>
    <x v="8"/>
    <x v="0"/>
    <x v="0"/>
    <s v="Vista"/>
    <s v="Em Dia"/>
  </r>
  <r>
    <d v="2021-04-12T00:00:00"/>
    <d v="2021-03-12T00:00:00"/>
    <d v="2021-03-12T00:00:00"/>
    <x v="4"/>
    <x v="0"/>
    <x v="1"/>
    <s v="NF1910"/>
    <x v="12"/>
    <n v="601"/>
    <x v="1"/>
    <n v="2021"/>
    <x v="1"/>
    <x v="2"/>
    <x v="1"/>
    <x v="2"/>
    <x v="0"/>
    <s v="Vista"/>
    <s v="Em Dia"/>
  </r>
  <r>
    <d v="2023-06-09T19:48:45"/>
    <d v="2023-04-07T00:00:00"/>
    <d v="2023-04-07T00:00:00"/>
    <x v="7"/>
    <x v="0"/>
    <x v="3"/>
    <s v="NF1934"/>
    <x v="45"/>
    <n v="373"/>
    <x v="0"/>
    <n v="2023"/>
    <x v="9"/>
    <x v="1"/>
    <x v="9"/>
    <x v="1"/>
    <x v="0"/>
    <s v="Vista"/>
    <s v="Em Dia"/>
  </r>
  <r>
    <s v="N/A"/>
    <d v="2022-12-10T00:00:00"/>
    <d v="2022-12-10T00:00:00"/>
    <x v="5"/>
    <x v="0"/>
    <x v="3"/>
    <s v="NF1938"/>
    <x v="48"/>
    <n v="483"/>
    <x v="12"/>
    <n v="0"/>
    <x v="8"/>
    <x v="0"/>
    <x v="8"/>
    <x v="0"/>
    <x v="1"/>
    <s v="Vista"/>
    <s v="Com atraso"/>
  </r>
  <r>
    <d v="2023-03-16T19:41:49"/>
    <d v="2023-02-18T00:00:00"/>
    <d v="2023-02-18T00:00:00"/>
    <x v="3"/>
    <x v="0"/>
    <x v="3"/>
    <s v="NF1943"/>
    <x v="49"/>
    <n v="741"/>
    <x v="4"/>
    <n v="2023"/>
    <x v="4"/>
    <x v="1"/>
    <x v="4"/>
    <x v="1"/>
    <x v="0"/>
    <s v="Vista"/>
    <s v="Em Dia"/>
  </r>
  <r>
    <d v="2023-03-31T16:25:16"/>
    <d v="2023-03-19T00:00:00"/>
    <d v="2023-03-19T00:00:00"/>
    <x v="0"/>
    <x v="0"/>
    <x v="0"/>
    <s v="NF2006"/>
    <x v="50"/>
    <n v="2069"/>
    <x v="4"/>
    <n v="2023"/>
    <x v="1"/>
    <x v="1"/>
    <x v="1"/>
    <x v="1"/>
    <x v="0"/>
    <s v="Vista"/>
    <s v="Em Dia"/>
  </r>
  <r>
    <d v="2023-08-31T16:25:56"/>
    <d v="2023-05-29T00:00:00"/>
    <d v="2023-05-29T00:00:00"/>
    <x v="0"/>
    <x v="0"/>
    <x v="1"/>
    <s v="NF2007"/>
    <x v="41"/>
    <n v="657"/>
    <x v="6"/>
    <n v="2023"/>
    <x v="0"/>
    <x v="1"/>
    <x v="0"/>
    <x v="1"/>
    <x v="0"/>
    <s v="Vista"/>
    <s v="Em Dia"/>
  </r>
  <r>
    <d v="2022-08-08T03:38:11"/>
    <d v="2022-06-13T00:00:00"/>
    <d v="2022-06-13T00:00:00"/>
    <x v="5"/>
    <x v="0"/>
    <x v="4"/>
    <s v="NF2022"/>
    <x v="48"/>
    <n v="4961"/>
    <x v="6"/>
    <n v="2022"/>
    <x v="3"/>
    <x v="0"/>
    <x v="3"/>
    <x v="0"/>
    <x v="0"/>
    <s v="Vista"/>
    <s v="Em Dia"/>
  </r>
  <r>
    <d v="2023-06-25T00:00:00"/>
    <d v="2023-05-25T00:00:00"/>
    <d v="2023-05-25T00:00:00"/>
    <x v="3"/>
    <x v="0"/>
    <x v="0"/>
    <s v="NF2051"/>
    <x v="51"/>
    <n v="7778"/>
    <x v="0"/>
    <n v="2023"/>
    <x v="0"/>
    <x v="1"/>
    <x v="0"/>
    <x v="1"/>
    <x v="0"/>
    <s v="Vista"/>
    <s v="Em Dia"/>
  </r>
  <r>
    <d v="2023-03-11T00:00:00"/>
    <d v="2023-02-08T00:00:00"/>
    <d v="2023-02-08T00:00:00"/>
    <x v="3"/>
    <x v="0"/>
    <x v="3"/>
    <s v="NF2065"/>
    <x v="51"/>
    <n v="5569"/>
    <x v="4"/>
    <n v="2023"/>
    <x v="4"/>
    <x v="1"/>
    <x v="4"/>
    <x v="1"/>
    <x v="0"/>
    <s v="Vista"/>
    <s v="Em Dia"/>
  </r>
  <r>
    <d v="2022-08-22T00:00:00"/>
    <d v="2022-07-22T00:00:00"/>
    <d v="2022-07-22T00:00:00"/>
    <x v="3"/>
    <x v="0"/>
    <x v="0"/>
    <s v="NF2106"/>
    <x v="49"/>
    <n v="5265"/>
    <x v="6"/>
    <n v="2022"/>
    <x v="6"/>
    <x v="0"/>
    <x v="6"/>
    <x v="0"/>
    <x v="0"/>
    <s v="Vista"/>
    <s v="Em Dia"/>
  </r>
  <r>
    <d v="2023-11-06T00:00:00"/>
    <d v="2023-10-06T00:00:00"/>
    <d v="2023-10-06T00:00:00"/>
    <x v="1"/>
    <x v="0"/>
    <x v="3"/>
    <s v="NF2131"/>
    <x v="31"/>
    <n v="2781"/>
    <x v="5"/>
    <n v="2023"/>
    <x v="5"/>
    <x v="1"/>
    <x v="5"/>
    <x v="1"/>
    <x v="0"/>
    <s v="Vista"/>
    <s v="Em Dia"/>
  </r>
  <r>
    <d v="2022-07-24T00:00:00"/>
    <d v="2022-06-23T00:00:00"/>
    <d v="2022-06-23T00:00:00"/>
    <x v="4"/>
    <x v="0"/>
    <x v="3"/>
    <s v="NF2143"/>
    <x v="44"/>
    <n v="150"/>
    <x v="3"/>
    <n v="2022"/>
    <x v="3"/>
    <x v="0"/>
    <x v="3"/>
    <x v="0"/>
    <x v="0"/>
    <s v="Vista"/>
    <s v="Em Dia"/>
  </r>
  <r>
    <d v="2022-10-04T00:00:00"/>
    <d v="2022-09-03T00:00:00"/>
    <d v="2022-09-03T00:00:00"/>
    <x v="7"/>
    <x v="0"/>
    <x v="1"/>
    <s v="NF2152"/>
    <x v="52"/>
    <n v="3803"/>
    <x v="11"/>
    <n v="2022"/>
    <x v="11"/>
    <x v="0"/>
    <x v="11"/>
    <x v="0"/>
    <x v="0"/>
    <s v="Vista"/>
    <s v="Em Dia"/>
  </r>
  <r>
    <d v="2023-07-31T00:00:00"/>
    <d v="2023-06-30T00:00:00"/>
    <d v="2023-06-30T00:00:00"/>
    <x v="3"/>
    <x v="0"/>
    <x v="1"/>
    <s v="NF2173"/>
    <x v="53"/>
    <n v="827"/>
    <x v="3"/>
    <n v="2023"/>
    <x v="3"/>
    <x v="1"/>
    <x v="3"/>
    <x v="1"/>
    <x v="0"/>
    <s v="Vista"/>
    <s v="Em Dia"/>
  </r>
  <r>
    <d v="2022-07-29T08:42:05"/>
    <d v="2022-07-03T00:00:00"/>
    <d v="2022-07-03T00:00:00"/>
    <x v="5"/>
    <x v="0"/>
    <x v="2"/>
    <s v="NF2175"/>
    <x v="34"/>
    <n v="3940"/>
    <x v="3"/>
    <n v="2022"/>
    <x v="6"/>
    <x v="0"/>
    <x v="6"/>
    <x v="0"/>
    <x v="0"/>
    <s v="Vista"/>
    <s v="Em Dia"/>
  </r>
  <r>
    <d v="2023-05-25T00:00:00"/>
    <d v="2023-04-24T00:00:00"/>
    <d v="2023-04-24T00:00:00"/>
    <x v="6"/>
    <x v="0"/>
    <x v="0"/>
    <s v="NF2187"/>
    <x v="33"/>
    <n v="4505"/>
    <x v="9"/>
    <n v="2023"/>
    <x v="9"/>
    <x v="1"/>
    <x v="9"/>
    <x v="1"/>
    <x v="0"/>
    <s v="Vista"/>
    <s v="Em Dia"/>
  </r>
  <r>
    <d v="2022-02-13T01:41:49"/>
    <d v="2021-12-31T00:00:00"/>
    <d v="2021-12-31T00:00:00"/>
    <x v="2"/>
    <x v="0"/>
    <x v="3"/>
    <s v="NF2196"/>
    <x v="54"/>
    <n v="2687"/>
    <x v="7"/>
    <n v="2022"/>
    <x v="8"/>
    <x v="2"/>
    <x v="8"/>
    <x v="2"/>
    <x v="0"/>
    <s v="Vista"/>
    <s v="Em Dia"/>
  </r>
  <r>
    <d v="2022-09-09T00:00:00"/>
    <d v="2022-08-09T00:00:00"/>
    <d v="2022-08-09T00:00:00"/>
    <x v="7"/>
    <x v="0"/>
    <x v="1"/>
    <s v="NF2231"/>
    <x v="55"/>
    <n v="6628"/>
    <x v="2"/>
    <n v="2022"/>
    <x v="2"/>
    <x v="0"/>
    <x v="2"/>
    <x v="0"/>
    <x v="0"/>
    <s v="Vista"/>
    <s v="Em Dia"/>
  </r>
  <r>
    <d v="2022-09-05T00:00:00"/>
    <d v="2022-08-05T00:00:00"/>
    <d v="2022-08-05T00:00:00"/>
    <x v="4"/>
    <x v="0"/>
    <x v="2"/>
    <s v="NF2232"/>
    <x v="8"/>
    <n v="7968"/>
    <x v="2"/>
    <n v="2022"/>
    <x v="2"/>
    <x v="0"/>
    <x v="2"/>
    <x v="0"/>
    <x v="0"/>
    <s v="Vista"/>
    <s v="Em Dia"/>
  </r>
  <r>
    <d v="2023-04-10T00:00:00"/>
    <d v="2023-03-10T00:00:00"/>
    <d v="2023-03-10T00:00:00"/>
    <x v="2"/>
    <x v="0"/>
    <x v="4"/>
    <s v="NF2235"/>
    <x v="54"/>
    <n v="4664"/>
    <x v="1"/>
    <n v="2023"/>
    <x v="1"/>
    <x v="1"/>
    <x v="1"/>
    <x v="1"/>
    <x v="0"/>
    <s v="Vista"/>
    <s v="Em Dia"/>
  </r>
  <r>
    <d v="2022-12-02T00:00:00"/>
    <d v="2022-11-01T00:00:00"/>
    <d v="2022-11-01T00:00:00"/>
    <x v="1"/>
    <x v="0"/>
    <x v="0"/>
    <s v="NF2263"/>
    <x v="40"/>
    <n v="1317"/>
    <x v="10"/>
    <n v="2022"/>
    <x v="10"/>
    <x v="0"/>
    <x v="10"/>
    <x v="0"/>
    <x v="0"/>
    <s v="Vista"/>
    <s v="Em Dia"/>
  </r>
  <r>
    <d v="2023-02-09T01:03:10"/>
    <d v="2023-01-23T00:00:00"/>
    <d v="2023-01-23T00:00:00"/>
    <x v="7"/>
    <x v="0"/>
    <x v="0"/>
    <s v="NF2309"/>
    <x v="23"/>
    <n v="3752"/>
    <x v="7"/>
    <n v="2023"/>
    <x v="7"/>
    <x v="1"/>
    <x v="7"/>
    <x v="1"/>
    <x v="0"/>
    <s v="Vista"/>
    <s v="Em Dia"/>
  </r>
  <r>
    <d v="2021-11-08T00:00:00"/>
    <d v="2021-10-08T00:00:00"/>
    <d v="2021-10-08T00:00:00"/>
    <x v="7"/>
    <x v="0"/>
    <x v="3"/>
    <s v="NF2323"/>
    <x v="23"/>
    <n v="6786"/>
    <x v="5"/>
    <n v="2021"/>
    <x v="5"/>
    <x v="2"/>
    <x v="5"/>
    <x v="2"/>
    <x v="0"/>
    <s v="Vista"/>
    <s v="Em Dia"/>
  </r>
  <r>
    <d v="2022-12-01T00:00:00"/>
    <d v="2022-10-31T00:00:00"/>
    <d v="2022-10-31T00:00:00"/>
    <x v="0"/>
    <x v="0"/>
    <x v="3"/>
    <s v="NF2328"/>
    <x v="41"/>
    <n v="2776"/>
    <x v="10"/>
    <n v="2022"/>
    <x v="5"/>
    <x v="0"/>
    <x v="5"/>
    <x v="0"/>
    <x v="0"/>
    <s v="Vista"/>
    <s v="Em Dia"/>
  </r>
  <r>
    <d v="2023-02-22T00:00:00"/>
    <d v="2023-01-22T00:00:00"/>
    <d v="2023-01-22T00:00:00"/>
    <x v="7"/>
    <x v="0"/>
    <x v="2"/>
    <s v="NF2332"/>
    <x v="29"/>
    <n v="4679"/>
    <x v="7"/>
    <n v="2023"/>
    <x v="7"/>
    <x v="1"/>
    <x v="7"/>
    <x v="1"/>
    <x v="0"/>
    <s v="Vista"/>
    <s v="Em Dia"/>
  </r>
  <r>
    <d v="2022-01-30T19:34:41"/>
    <d v="2021-11-14T00:00:00"/>
    <d v="2021-11-14T00:00:00"/>
    <x v="1"/>
    <x v="0"/>
    <x v="0"/>
    <s v="NF2347"/>
    <x v="31"/>
    <n v="4108"/>
    <x v="8"/>
    <n v="2022"/>
    <x v="10"/>
    <x v="2"/>
    <x v="10"/>
    <x v="2"/>
    <x v="0"/>
    <s v="Vista"/>
    <s v="Em Dia"/>
  </r>
  <r>
    <d v="2022-04-23T00:00:00"/>
    <d v="2022-03-23T00:00:00"/>
    <d v="2022-03-23T00:00:00"/>
    <x v="5"/>
    <x v="0"/>
    <x v="4"/>
    <s v="NF2351"/>
    <x v="56"/>
    <n v="1994"/>
    <x v="1"/>
    <n v="2022"/>
    <x v="1"/>
    <x v="0"/>
    <x v="1"/>
    <x v="0"/>
    <x v="0"/>
    <s v="Vista"/>
    <s v="Em Dia"/>
  </r>
  <r>
    <d v="2022-07-22T00:00:00"/>
    <d v="2022-06-21T00:00:00"/>
    <d v="2022-06-21T00:00:00"/>
    <x v="3"/>
    <x v="0"/>
    <x v="0"/>
    <s v="NF2352"/>
    <x v="16"/>
    <n v="731"/>
    <x v="3"/>
    <n v="2022"/>
    <x v="3"/>
    <x v="0"/>
    <x v="3"/>
    <x v="0"/>
    <x v="0"/>
    <s v="Vista"/>
    <s v="Em Dia"/>
  </r>
  <r>
    <s v="N/A"/>
    <d v="2023-03-28T00:00:00"/>
    <d v="2023-03-28T00:00:00"/>
    <x v="5"/>
    <x v="0"/>
    <x v="3"/>
    <s v="NF2352"/>
    <x v="9"/>
    <n v="1348"/>
    <x v="12"/>
    <n v="0"/>
    <x v="1"/>
    <x v="1"/>
    <x v="1"/>
    <x v="1"/>
    <x v="1"/>
    <s v="Vista"/>
    <s v="Com atraso"/>
  </r>
  <r>
    <d v="2023-02-16T21:15:54"/>
    <d v="2023-02-05T00:00:00"/>
    <d v="2023-02-05T00:00:00"/>
    <x v="6"/>
    <x v="0"/>
    <x v="0"/>
    <s v="NF2396"/>
    <x v="43"/>
    <n v="4157"/>
    <x v="7"/>
    <n v="2023"/>
    <x v="4"/>
    <x v="1"/>
    <x v="4"/>
    <x v="1"/>
    <x v="0"/>
    <s v="Vista"/>
    <s v="Em Dia"/>
  </r>
  <r>
    <s v="N/A"/>
    <d v="2021-09-10T00:00:00"/>
    <d v="2021-09-10T00:00:00"/>
    <x v="1"/>
    <x v="0"/>
    <x v="2"/>
    <s v="NF2421"/>
    <x v="13"/>
    <n v="4983"/>
    <x v="12"/>
    <n v="0"/>
    <x v="11"/>
    <x v="2"/>
    <x v="11"/>
    <x v="2"/>
    <x v="1"/>
    <s v="Vista"/>
    <s v="Com atraso"/>
  </r>
  <r>
    <d v="2021-12-17T18:42:03"/>
    <d v="2021-12-14T00:00:00"/>
    <d v="2021-12-14T00:00:00"/>
    <x v="1"/>
    <x v="0"/>
    <x v="2"/>
    <s v="NF2432"/>
    <x v="40"/>
    <n v="2046"/>
    <x v="10"/>
    <n v="2021"/>
    <x v="8"/>
    <x v="2"/>
    <x v="8"/>
    <x v="2"/>
    <x v="0"/>
    <s v="Vista"/>
    <s v="Em Dia"/>
  </r>
  <r>
    <d v="2023-07-26T00:00:00"/>
    <d v="2023-06-25T00:00:00"/>
    <d v="2023-06-25T00:00:00"/>
    <x v="7"/>
    <x v="0"/>
    <x v="2"/>
    <s v="NF2434"/>
    <x v="29"/>
    <n v="7119"/>
    <x v="3"/>
    <n v="2023"/>
    <x v="3"/>
    <x v="1"/>
    <x v="3"/>
    <x v="1"/>
    <x v="0"/>
    <s v="Vista"/>
    <s v="Em Dia"/>
  </r>
  <r>
    <d v="2021-03-21T00:00:00"/>
    <d v="2021-02-18T00:00:00"/>
    <d v="2021-02-18T00:00:00"/>
    <x v="2"/>
    <x v="0"/>
    <x v="3"/>
    <s v="NF2442"/>
    <x v="17"/>
    <n v="7052"/>
    <x v="4"/>
    <n v="2021"/>
    <x v="4"/>
    <x v="2"/>
    <x v="4"/>
    <x v="2"/>
    <x v="0"/>
    <s v="Vista"/>
    <s v="Em Dia"/>
  </r>
  <r>
    <d v="2022-01-21T00:00:00"/>
    <d v="2021-12-21T00:00:00"/>
    <d v="2021-12-21T00:00:00"/>
    <x v="1"/>
    <x v="0"/>
    <x v="1"/>
    <s v="NF2444"/>
    <x v="2"/>
    <n v="1182"/>
    <x v="8"/>
    <n v="2022"/>
    <x v="8"/>
    <x v="2"/>
    <x v="8"/>
    <x v="2"/>
    <x v="0"/>
    <s v="Vista"/>
    <s v="Em Dia"/>
  </r>
  <r>
    <d v="2023-11-06T00:00:00"/>
    <d v="2023-10-06T00:00:00"/>
    <d v="2023-10-06T00:00:00"/>
    <x v="2"/>
    <x v="0"/>
    <x v="1"/>
    <s v="NF2458"/>
    <x v="35"/>
    <n v="5370"/>
    <x v="5"/>
    <n v="2023"/>
    <x v="5"/>
    <x v="1"/>
    <x v="5"/>
    <x v="1"/>
    <x v="0"/>
    <s v="Vista"/>
    <s v="Em Dia"/>
  </r>
  <r>
    <d v="2021-02-22T00:00:00"/>
    <d v="2021-01-22T00:00:00"/>
    <d v="2021-01-22T00:00:00"/>
    <x v="1"/>
    <x v="0"/>
    <x v="2"/>
    <s v="NF2487"/>
    <x v="47"/>
    <n v="1533"/>
    <x v="7"/>
    <n v="2021"/>
    <x v="7"/>
    <x v="2"/>
    <x v="7"/>
    <x v="2"/>
    <x v="0"/>
    <s v="Vista"/>
    <s v="Em Dia"/>
  </r>
  <r>
    <d v="2021-07-03T00:00:00"/>
    <d v="2021-06-02T00:00:00"/>
    <d v="2021-06-02T00:00:00"/>
    <x v="6"/>
    <x v="0"/>
    <x v="0"/>
    <s v="NF2493"/>
    <x v="14"/>
    <n v="6936"/>
    <x v="3"/>
    <n v="2021"/>
    <x v="3"/>
    <x v="2"/>
    <x v="3"/>
    <x v="2"/>
    <x v="0"/>
    <s v="Vista"/>
    <s v="Em Dia"/>
  </r>
  <r>
    <d v="2022-03-31T04:13:26"/>
    <d v="2022-02-05T00:00:00"/>
    <d v="2022-02-05T00:00:00"/>
    <x v="6"/>
    <x v="0"/>
    <x v="3"/>
    <s v="NF2493"/>
    <x v="57"/>
    <n v="964"/>
    <x v="4"/>
    <n v="2022"/>
    <x v="4"/>
    <x v="0"/>
    <x v="4"/>
    <x v="0"/>
    <x v="0"/>
    <s v="Vista"/>
    <s v="Em Dia"/>
  </r>
  <r>
    <d v="2023-01-25T00:00:00"/>
    <d v="2022-12-25T00:00:00"/>
    <d v="2022-12-25T00:00:00"/>
    <x v="0"/>
    <x v="0"/>
    <x v="0"/>
    <s v="NF2513"/>
    <x v="0"/>
    <n v="3775"/>
    <x v="8"/>
    <n v="2023"/>
    <x v="8"/>
    <x v="0"/>
    <x v="8"/>
    <x v="0"/>
    <x v="0"/>
    <s v="Vista"/>
    <s v="Em Dia"/>
  </r>
  <r>
    <d v="2022-04-10T00:00:00"/>
    <d v="2022-03-10T00:00:00"/>
    <d v="2022-03-10T00:00:00"/>
    <x v="6"/>
    <x v="0"/>
    <x v="1"/>
    <s v="NF2514"/>
    <x v="22"/>
    <n v="5495"/>
    <x v="1"/>
    <n v="2022"/>
    <x v="1"/>
    <x v="0"/>
    <x v="1"/>
    <x v="0"/>
    <x v="0"/>
    <s v="Vista"/>
    <s v="Em Dia"/>
  </r>
  <r>
    <d v="2023-06-28T00:00:00"/>
    <d v="2023-05-28T00:00:00"/>
    <d v="2023-05-28T00:00:00"/>
    <x v="4"/>
    <x v="0"/>
    <x v="0"/>
    <s v="NF2520"/>
    <x v="32"/>
    <n v="5371"/>
    <x v="0"/>
    <n v="2023"/>
    <x v="0"/>
    <x v="1"/>
    <x v="0"/>
    <x v="1"/>
    <x v="0"/>
    <s v="Vista"/>
    <s v="Em Dia"/>
  </r>
  <r>
    <d v="2022-09-08T00:00:00"/>
    <d v="2022-08-08T00:00:00"/>
    <d v="2022-08-08T00:00:00"/>
    <x v="7"/>
    <x v="0"/>
    <x v="4"/>
    <s v="NF2528"/>
    <x v="45"/>
    <n v="6081"/>
    <x v="2"/>
    <n v="2022"/>
    <x v="2"/>
    <x v="0"/>
    <x v="2"/>
    <x v="0"/>
    <x v="0"/>
    <s v="Vista"/>
    <s v="Em Dia"/>
  </r>
  <r>
    <d v="2021-06-15T00:00:00"/>
    <d v="2021-05-15T00:00:00"/>
    <d v="2021-05-15T00:00:00"/>
    <x v="6"/>
    <x v="0"/>
    <x v="2"/>
    <s v="NF2538"/>
    <x v="57"/>
    <n v="6703"/>
    <x v="0"/>
    <n v="2021"/>
    <x v="0"/>
    <x v="2"/>
    <x v="0"/>
    <x v="2"/>
    <x v="0"/>
    <s v="Vista"/>
    <s v="Em Dia"/>
  </r>
  <r>
    <d v="2022-01-09T00:00:00"/>
    <d v="2021-12-09T00:00:00"/>
    <d v="2021-12-09T00:00:00"/>
    <x v="4"/>
    <x v="0"/>
    <x v="1"/>
    <s v="NF2562"/>
    <x v="18"/>
    <n v="2314"/>
    <x v="8"/>
    <n v="2022"/>
    <x v="8"/>
    <x v="2"/>
    <x v="8"/>
    <x v="2"/>
    <x v="0"/>
    <s v="Vista"/>
    <s v="Em Dia"/>
  </r>
  <r>
    <d v="2023-05-18T00:00:00"/>
    <d v="2023-04-17T00:00:00"/>
    <d v="2023-04-17T00:00:00"/>
    <x v="6"/>
    <x v="0"/>
    <x v="4"/>
    <s v="NF2569"/>
    <x v="57"/>
    <n v="4599"/>
    <x v="9"/>
    <n v="2023"/>
    <x v="9"/>
    <x v="1"/>
    <x v="9"/>
    <x v="1"/>
    <x v="0"/>
    <s v="Vista"/>
    <s v="Em Dia"/>
  </r>
  <r>
    <d v="2022-12-03T00:00:00"/>
    <d v="2022-11-02T00:00:00"/>
    <d v="2022-11-02T00:00:00"/>
    <x v="2"/>
    <x v="0"/>
    <x v="4"/>
    <s v="NF2586"/>
    <x v="5"/>
    <n v="5646"/>
    <x v="10"/>
    <n v="2022"/>
    <x v="10"/>
    <x v="0"/>
    <x v="10"/>
    <x v="0"/>
    <x v="0"/>
    <s v="Vista"/>
    <s v="Em Dia"/>
  </r>
  <r>
    <d v="2022-07-08T13:51:36"/>
    <d v="2022-04-03T00:00:00"/>
    <d v="2022-04-03T00:00:00"/>
    <x v="7"/>
    <x v="0"/>
    <x v="2"/>
    <s v="NF2605"/>
    <x v="52"/>
    <n v="3586"/>
    <x v="3"/>
    <n v="2022"/>
    <x v="9"/>
    <x v="0"/>
    <x v="9"/>
    <x v="0"/>
    <x v="0"/>
    <s v="Vista"/>
    <s v="Em Dia"/>
  </r>
  <r>
    <d v="2022-11-15T00:00:00"/>
    <d v="2022-10-15T00:00:00"/>
    <d v="2022-10-15T00:00:00"/>
    <x v="2"/>
    <x v="0"/>
    <x v="0"/>
    <s v="NF2613"/>
    <x v="17"/>
    <n v="2270"/>
    <x v="5"/>
    <n v="2022"/>
    <x v="5"/>
    <x v="0"/>
    <x v="5"/>
    <x v="0"/>
    <x v="0"/>
    <s v="Vista"/>
    <s v="Em Dia"/>
  </r>
  <r>
    <d v="2021-08-17T00:00:00"/>
    <d v="2021-07-17T00:00:00"/>
    <d v="2021-07-17T00:00:00"/>
    <x v="0"/>
    <x v="0"/>
    <x v="2"/>
    <s v="NF2634"/>
    <x v="1"/>
    <n v="7988"/>
    <x v="6"/>
    <n v="2021"/>
    <x v="6"/>
    <x v="2"/>
    <x v="6"/>
    <x v="2"/>
    <x v="0"/>
    <s v="Vista"/>
    <s v="Em Dia"/>
  </r>
  <r>
    <d v="2022-06-17T01:41:37"/>
    <d v="2022-02-27T00:00:00"/>
    <d v="2022-02-27T00:00:00"/>
    <x v="6"/>
    <x v="0"/>
    <x v="1"/>
    <s v="NF2640"/>
    <x v="42"/>
    <n v="3252"/>
    <x v="0"/>
    <n v="2022"/>
    <x v="4"/>
    <x v="0"/>
    <x v="4"/>
    <x v="0"/>
    <x v="0"/>
    <s v="Vista"/>
    <s v="Em Dia"/>
  </r>
  <r>
    <d v="2022-03-08T00:00:00"/>
    <d v="2022-02-05T00:00:00"/>
    <d v="2022-02-05T00:00:00"/>
    <x v="7"/>
    <x v="0"/>
    <x v="1"/>
    <s v="NF2661"/>
    <x v="55"/>
    <n v="3180"/>
    <x v="4"/>
    <n v="2022"/>
    <x v="4"/>
    <x v="0"/>
    <x v="4"/>
    <x v="0"/>
    <x v="0"/>
    <s v="Vista"/>
    <s v="Em Dia"/>
  </r>
  <r>
    <d v="2022-08-16T21:30:33"/>
    <d v="2022-06-29T00:00:00"/>
    <d v="2022-06-29T00:00:00"/>
    <x v="1"/>
    <x v="0"/>
    <x v="2"/>
    <s v="NF2674"/>
    <x v="28"/>
    <n v="2376"/>
    <x v="6"/>
    <n v="2022"/>
    <x v="3"/>
    <x v="0"/>
    <x v="3"/>
    <x v="0"/>
    <x v="0"/>
    <s v="Vista"/>
    <s v="Em Dia"/>
  </r>
  <r>
    <d v="2023-01-26T06:08:35"/>
    <d v="2022-10-09T00:00:00"/>
    <d v="2022-10-09T00:00:00"/>
    <x v="0"/>
    <x v="0"/>
    <x v="3"/>
    <s v="NF2705"/>
    <x v="15"/>
    <n v="1688"/>
    <x v="8"/>
    <n v="2023"/>
    <x v="5"/>
    <x v="0"/>
    <x v="5"/>
    <x v="0"/>
    <x v="0"/>
    <s v="Vista"/>
    <s v="Em Dia"/>
  </r>
  <r>
    <d v="2022-03-02T05:27:45"/>
    <d v="2022-01-29T00:00:00"/>
    <d v="2022-01-29T00:00:00"/>
    <x v="5"/>
    <x v="0"/>
    <x v="2"/>
    <s v="NF2719"/>
    <x v="56"/>
    <n v="4055"/>
    <x v="4"/>
    <n v="2022"/>
    <x v="7"/>
    <x v="0"/>
    <x v="7"/>
    <x v="0"/>
    <x v="0"/>
    <s v="Vista"/>
    <s v="Em Dia"/>
  </r>
  <r>
    <d v="2022-02-16T00:00:00"/>
    <d v="2022-01-16T00:00:00"/>
    <d v="2022-01-16T00:00:00"/>
    <x v="4"/>
    <x v="0"/>
    <x v="1"/>
    <s v="NF2730"/>
    <x v="12"/>
    <n v="1630"/>
    <x v="7"/>
    <n v="2022"/>
    <x v="7"/>
    <x v="0"/>
    <x v="7"/>
    <x v="0"/>
    <x v="0"/>
    <s v="Vista"/>
    <s v="Em Dia"/>
  </r>
  <r>
    <d v="2022-07-17T00:00:00"/>
    <d v="2022-06-16T00:00:00"/>
    <d v="2022-06-16T00:00:00"/>
    <x v="0"/>
    <x v="0"/>
    <x v="1"/>
    <s v="NF2732"/>
    <x v="6"/>
    <n v="3744"/>
    <x v="3"/>
    <n v="2022"/>
    <x v="3"/>
    <x v="0"/>
    <x v="3"/>
    <x v="0"/>
    <x v="0"/>
    <s v="Vista"/>
    <s v="Em Dia"/>
  </r>
  <r>
    <d v="2021-07-05T00:00:00"/>
    <d v="2021-06-04T00:00:00"/>
    <d v="2021-06-04T00:00:00"/>
    <x v="0"/>
    <x v="0"/>
    <x v="1"/>
    <s v="NF2761"/>
    <x v="37"/>
    <n v="2317"/>
    <x v="3"/>
    <n v="2021"/>
    <x v="3"/>
    <x v="2"/>
    <x v="3"/>
    <x v="2"/>
    <x v="0"/>
    <s v="Vista"/>
    <s v="Em Dia"/>
  </r>
  <r>
    <d v="2022-07-17T00:00:00"/>
    <d v="2022-06-16T00:00:00"/>
    <d v="2022-06-16T00:00:00"/>
    <x v="4"/>
    <x v="0"/>
    <x v="3"/>
    <s v="NF2762"/>
    <x v="32"/>
    <n v="3494"/>
    <x v="3"/>
    <n v="2022"/>
    <x v="3"/>
    <x v="0"/>
    <x v="3"/>
    <x v="0"/>
    <x v="0"/>
    <s v="Vista"/>
    <s v="Em Dia"/>
  </r>
  <r>
    <d v="2023-11-22T00:00:00"/>
    <d v="2023-10-22T00:00:00"/>
    <d v="2023-10-22T00:00:00"/>
    <x v="4"/>
    <x v="0"/>
    <x v="0"/>
    <s v="NF2762"/>
    <x v="58"/>
    <n v="2249"/>
    <x v="5"/>
    <n v="2023"/>
    <x v="5"/>
    <x v="1"/>
    <x v="5"/>
    <x v="1"/>
    <x v="0"/>
    <s v="Vista"/>
    <s v="Em Dia"/>
  </r>
  <r>
    <d v="2021-02-15T00:00:00"/>
    <d v="2021-01-15T00:00:00"/>
    <d v="2021-01-15T00:00:00"/>
    <x v="2"/>
    <x v="0"/>
    <x v="4"/>
    <s v="NF2763"/>
    <x v="54"/>
    <n v="328"/>
    <x v="7"/>
    <n v="2021"/>
    <x v="7"/>
    <x v="2"/>
    <x v="7"/>
    <x v="2"/>
    <x v="0"/>
    <s v="Vista"/>
    <s v="Em Dia"/>
  </r>
  <r>
    <d v="2021-11-17T15:04:34"/>
    <d v="2021-09-26T00:00:00"/>
    <d v="2021-09-26T00:00:00"/>
    <x v="3"/>
    <x v="0"/>
    <x v="2"/>
    <s v="NF2763"/>
    <x v="16"/>
    <n v="1201"/>
    <x v="5"/>
    <n v="2021"/>
    <x v="11"/>
    <x v="2"/>
    <x v="11"/>
    <x v="2"/>
    <x v="0"/>
    <s v="Vista"/>
    <s v="Em Dia"/>
  </r>
  <r>
    <d v="2021-10-16T00:00:00"/>
    <d v="2021-09-15T00:00:00"/>
    <d v="2021-09-15T00:00:00"/>
    <x v="6"/>
    <x v="0"/>
    <x v="2"/>
    <s v="NF2768"/>
    <x v="59"/>
    <n v="4803"/>
    <x v="11"/>
    <n v="2021"/>
    <x v="11"/>
    <x v="2"/>
    <x v="11"/>
    <x v="2"/>
    <x v="0"/>
    <s v="Vista"/>
    <s v="Em Dia"/>
  </r>
  <r>
    <d v="2021-09-12T00:00:00"/>
    <d v="2021-08-12T00:00:00"/>
    <d v="2021-08-12T00:00:00"/>
    <x v="6"/>
    <x v="0"/>
    <x v="3"/>
    <s v="NF2795"/>
    <x v="38"/>
    <n v="3467"/>
    <x v="2"/>
    <n v="2021"/>
    <x v="2"/>
    <x v="2"/>
    <x v="2"/>
    <x v="2"/>
    <x v="0"/>
    <s v="Vista"/>
    <s v="Em Dia"/>
  </r>
  <r>
    <d v="2022-09-09T16:42:33"/>
    <d v="2022-07-29T00:00:00"/>
    <d v="2022-07-29T00:00:00"/>
    <x v="8"/>
    <x v="0"/>
    <x v="2"/>
    <s v="NF2800"/>
    <x v="60"/>
    <n v="1369"/>
    <x v="2"/>
    <n v="2022"/>
    <x v="6"/>
    <x v="0"/>
    <x v="6"/>
    <x v="0"/>
    <x v="0"/>
    <s v="Vista"/>
    <s v="Em Dia"/>
  </r>
  <r>
    <s v="N/A"/>
    <d v="2022-03-23T00:00:00"/>
    <d v="2022-03-23T00:00:00"/>
    <x v="8"/>
    <x v="0"/>
    <x v="1"/>
    <s v="NF2814"/>
    <x v="61"/>
    <n v="2388"/>
    <x v="12"/>
    <n v="0"/>
    <x v="1"/>
    <x v="0"/>
    <x v="1"/>
    <x v="0"/>
    <x v="1"/>
    <s v="Vista"/>
    <s v="Com atraso"/>
  </r>
  <r>
    <d v="2022-01-25T11:04:56"/>
    <d v="2021-12-19T00:00:00"/>
    <d v="2021-12-19T00:00:00"/>
    <x v="5"/>
    <x v="0"/>
    <x v="2"/>
    <s v="NF2816"/>
    <x v="56"/>
    <n v="668"/>
    <x v="8"/>
    <n v="2022"/>
    <x v="8"/>
    <x v="2"/>
    <x v="8"/>
    <x v="2"/>
    <x v="0"/>
    <s v="Vista"/>
    <s v="Em Dia"/>
  </r>
  <r>
    <d v="2023-06-20T00:00:00"/>
    <d v="2023-05-20T00:00:00"/>
    <d v="2023-05-20T00:00:00"/>
    <x v="0"/>
    <x v="0"/>
    <x v="2"/>
    <s v="NF2844"/>
    <x v="6"/>
    <n v="2299"/>
    <x v="0"/>
    <n v="2023"/>
    <x v="0"/>
    <x v="1"/>
    <x v="0"/>
    <x v="1"/>
    <x v="0"/>
    <s v="Vista"/>
    <s v="Em Dia"/>
  </r>
  <r>
    <d v="2021-12-21T12:23:56"/>
    <d v="2021-11-12T00:00:00"/>
    <d v="2021-11-12T00:00:00"/>
    <x v="0"/>
    <x v="0"/>
    <x v="2"/>
    <s v="NF2852"/>
    <x v="41"/>
    <n v="1221"/>
    <x v="10"/>
    <n v="2021"/>
    <x v="10"/>
    <x v="2"/>
    <x v="10"/>
    <x v="2"/>
    <x v="0"/>
    <s v="Vista"/>
    <s v="Em Dia"/>
  </r>
  <r>
    <d v="2023-02-13T00:00:00"/>
    <d v="2023-01-13T00:00:00"/>
    <d v="2023-01-13T00:00:00"/>
    <x v="2"/>
    <x v="0"/>
    <x v="0"/>
    <s v="NF2868"/>
    <x v="20"/>
    <n v="4772"/>
    <x v="7"/>
    <n v="2023"/>
    <x v="7"/>
    <x v="1"/>
    <x v="7"/>
    <x v="1"/>
    <x v="0"/>
    <s v="Vista"/>
    <s v="Em Dia"/>
  </r>
  <r>
    <d v="2021-09-18T00:00:00"/>
    <d v="2021-08-18T00:00:00"/>
    <d v="2021-08-18T00:00:00"/>
    <x v="1"/>
    <x v="0"/>
    <x v="1"/>
    <s v="NF2904"/>
    <x v="31"/>
    <n v="4039"/>
    <x v="2"/>
    <n v="2021"/>
    <x v="2"/>
    <x v="2"/>
    <x v="2"/>
    <x v="2"/>
    <x v="0"/>
    <s v="Vista"/>
    <s v="Em Dia"/>
  </r>
  <r>
    <d v="2023-05-26T00:00:00"/>
    <d v="2023-04-25T00:00:00"/>
    <d v="2023-04-25T00:00:00"/>
    <x v="4"/>
    <x v="0"/>
    <x v="2"/>
    <s v="NF2904"/>
    <x v="18"/>
    <n v="6546"/>
    <x v="9"/>
    <n v="2023"/>
    <x v="9"/>
    <x v="1"/>
    <x v="9"/>
    <x v="1"/>
    <x v="0"/>
    <s v="Vista"/>
    <s v="Em Dia"/>
  </r>
  <r>
    <d v="2022-05-04T20:26:07"/>
    <d v="2022-04-14T00:00:00"/>
    <d v="2022-04-14T00:00:00"/>
    <x v="1"/>
    <x v="0"/>
    <x v="2"/>
    <s v="NF2907"/>
    <x v="2"/>
    <n v="1885"/>
    <x v="9"/>
    <n v="2022"/>
    <x v="9"/>
    <x v="0"/>
    <x v="9"/>
    <x v="0"/>
    <x v="0"/>
    <s v="Vista"/>
    <s v="Em Dia"/>
  </r>
  <r>
    <d v="2022-08-21T00:00:00"/>
    <d v="2022-07-21T00:00:00"/>
    <d v="2022-07-21T00:00:00"/>
    <x v="5"/>
    <x v="0"/>
    <x v="2"/>
    <s v="NF2922"/>
    <x v="36"/>
    <n v="4354"/>
    <x v="6"/>
    <n v="2022"/>
    <x v="6"/>
    <x v="0"/>
    <x v="6"/>
    <x v="0"/>
    <x v="0"/>
    <s v="Vista"/>
    <s v="Em Dia"/>
  </r>
  <r>
    <d v="2021-08-25T00:00:00"/>
    <d v="2021-07-25T00:00:00"/>
    <d v="2021-07-25T00:00:00"/>
    <x v="0"/>
    <x v="0"/>
    <x v="4"/>
    <s v="NF2938"/>
    <x v="15"/>
    <n v="1536"/>
    <x v="6"/>
    <n v="2021"/>
    <x v="6"/>
    <x v="2"/>
    <x v="6"/>
    <x v="2"/>
    <x v="0"/>
    <s v="Vista"/>
    <s v="Em Dia"/>
  </r>
  <r>
    <d v="2023-03-15T00:00:00"/>
    <d v="2023-02-12T00:00:00"/>
    <d v="2023-02-12T00:00:00"/>
    <x v="7"/>
    <x v="0"/>
    <x v="3"/>
    <s v="NF2967"/>
    <x v="45"/>
    <n v="7494"/>
    <x v="4"/>
    <n v="2023"/>
    <x v="4"/>
    <x v="1"/>
    <x v="4"/>
    <x v="1"/>
    <x v="0"/>
    <s v="Vista"/>
    <s v="Em Dia"/>
  </r>
  <r>
    <d v="2022-08-29T10:43:21"/>
    <d v="2022-08-09T00:00:00"/>
    <d v="2022-08-09T00:00:00"/>
    <x v="3"/>
    <x v="0"/>
    <x v="1"/>
    <s v="NF2968"/>
    <x v="21"/>
    <n v="1200"/>
    <x v="6"/>
    <n v="2022"/>
    <x v="2"/>
    <x v="0"/>
    <x v="2"/>
    <x v="0"/>
    <x v="0"/>
    <s v="Vista"/>
    <s v="Em Dia"/>
  </r>
  <r>
    <d v="2023-02-01T19:36:46"/>
    <d v="2022-12-21T00:00:00"/>
    <d v="2022-12-21T00:00:00"/>
    <x v="2"/>
    <x v="0"/>
    <x v="3"/>
    <s v="NF2970"/>
    <x v="26"/>
    <n v="1168"/>
    <x v="7"/>
    <n v="2023"/>
    <x v="8"/>
    <x v="0"/>
    <x v="8"/>
    <x v="0"/>
    <x v="0"/>
    <s v="Vista"/>
    <s v="Em Dia"/>
  </r>
  <r>
    <d v="2023-02-17T09:41:51"/>
    <d v="2023-01-29T00:00:00"/>
    <d v="2023-01-29T00:00:00"/>
    <x v="5"/>
    <x v="0"/>
    <x v="2"/>
    <s v="NF2982"/>
    <x v="34"/>
    <n v="3619"/>
    <x v="7"/>
    <n v="2023"/>
    <x v="7"/>
    <x v="1"/>
    <x v="7"/>
    <x v="1"/>
    <x v="0"/>
    <s v="Vista"/>
    <s v="Em Dia"/>
  </r>
  <r>
    <d v="2022-06-14T13:34:23"/>
    <d v="2022-04-30T00:00:00"/>
    <d v="2022-04-30T00:00:00"/>
    <x v="8"/>
    <x v="0"/>
    <x v="2"/>
    <s v="NF2988"/>
    <x v="62"/>
    <n v="4540"/>
    <x v="0"/>
    <n v="2022"/>
    <x v="9"/>
    <x v="0"/>
    <x v="9"/>
    <x v="0"/>
    <x v="0"/>
    <s v="Vista"/>
    <s v="Em Dia"/>
  </r>
  <r>
    <d v="2022-09-17T07:55:11"/>
    <d v="2022-08-14T00:00:00"/>
    <d v="2022-08-14T00:00:00"/>
    <x v="6"/>
    <x v="0"/>
    <x v="4"/>
    <s v="NF2988"/>
    <x v="43"/>
    <n v="3080"/>
    <x v="2"/>
    <n v="2022"/>
    <x v="2"/>
    <x v="0"/>
    <x v="2"/>
    <x v="0"/>
    <x v="0"/>
    <s v="Vista"/>
    <s v="Em Dia"/>
  </r>
  <r>
    <d v="2021-10-29T00:00:00"/>
    <d v="2021-09-28T00:00:00"/>
    <d v="2021-09-28T00:00:00"/>
    <x v="7"/>
    <x v="0"/>
    <x v="2"/>
    <s v="NF3003"/>
    <x v="52"/>
    <n v="6603"/>
    <x v="11"/>
    <n v="2021"/>
    <x v="11"/>
    <x v="2"/>
    <x v="11"/>
    <x v="2"/>
    <x v="0"/>
    <s v="Vista"/>
    <s v="Em Dia"/>
  </r>
  <r>
    <d v="2022-02-11T17:07:34"/>
    <d v="2022-01-24T00:00:00"/>
    <d v="2022-01-24T00:00:00"/>
    <x v="2"/>
    <x v="0"/>
    <x v="1"/>
    <s v="NF3023"/>
    <x v="17"/>
    <n v="3843"/>
    <x v="7"/>
    <n v="2022"/>
    <x v="7"/>
    <x v="0"/>
    <x v="7"/>
    <x v="0"/>
    <x v="0"/>
    <s v="Vista"/>
    <s v="Em Dia"/>
  </r>
  <r>
    <d v="2022-09-20T00:00:00"/>
    <d v="2022-08-20T00:00:00"/>
    <d v="2022-08-20T00:00:00"/>
    <x v="3"/>
    <x v="0"/>
    <x v="1"/>
    <s v="NF3034"/>
    <x v="51"/>
    <n v="6767"/>
    <x v="2"/>
    <n v="2022"/>
    <x v="2"/>
    <x v="0"/>
    <x v="2"/>
    <x v="0"/>
    <x v="0"/>
    <s v="Vista"/>
    <s v="Em Dia"/>
  </r>
  <r>
    <d v="2022-03-19T07:50:59"/>
    <d v="2022-01-30T00:00:00"/>
    <d v="2022-01-30T00:00:00"/>
    <x v="4"/>
    <x v="0"/>
    <x v="2"/>
    <s v="NF3036"/>
    <x v="32"/>
    <n v="427"/>
    <x v="4"/>
    <n v="2022"/>
    <x v="7"/>
    <x v="0"/>
    <x v="7"/>
    <x v="0"/>
    <x v="0"/>
    <s v="Vista"/>
    <s v="Em Dia"/>
  </r>
  <r>
    <d v="2021-12-03T00:00:00"/>
    <d v="2021-11-02T00:00:00"/>
    <d v="2021-11-02T00:00:00"/>
    <x v="1"/>
    <x v="0"/>
    <x v="4"/>
    <s v="NF3065"/>
    <x v="47"/>
    <n v="1515"/>
    <x v="10"/>
    <n v="2021"/>
    <x v="10"/>
    <x v="2"/>
    <x v="10"/>
    <x v="2"/>
    <x v="0"/>
    <s v="Vista"/>
    <s v="Em Dia"/>
  </r>
  <r>
    <d v="2023-09-21T00:00:00"/>
    <d v="2023-08-21T00:00:00"/>
    <d v="2023-08-21T00:00:00"/>
    <x v="3"/>
    <x v="0"/>
    <x v="2"/>
    <s v="NF3087"/>
    <x v="51"/>
    <n v="7023"/>
    <x v="2"/>
    <n v="2023"/>
    <x v="2"/>
    <x v="1"/>
    <x v="2"/>
    <x v="1"/>
    <x v="0"/>
    <s v="Vista"/>
    <s v="Em Dia"/>
  </r>
  <r>
    <d v="2022-05-06T00:00:00"/>
    <d v="2022-04-05T00:00:00"/>
    <d v="2022-04-05T00:00:00"/>
    <x v="6"/>
    <x v="0"/>
    <x v="0"/>
    <s v="NF3101"/>
    <x v="19"/>
    <n v="7132"/>
    <x v="9"/>
    <n v="2022"/>
    <x v="9"/>
    <x v="0"/>
    <x v="9"/>
    <x v="0"/>
    <x v="0"/>
    <s v="Vista"/>
    <s v="Em Dia"/>
  </r>
  <r>
    <d v="2023-08-18T00:00:00"/>
    <d v="2023-07-18T00:00:00"/>
    <d v="2023-07-18T00:00:00"/>
    <x v="4"/>
    <x v="0"/>
    <x v="1"/>
    <s v="NF3107"/>
    <x v="12"/>
    <n v="2243"/>
    <x v="6"/>
    <n v="2023"/>
    <x v="6"/>
    <x v="1"/>
    <x v="6"/>
    <x v="1"/>
    <x v="0"/>
    <s v="Vista"/>
    <s v="Em Dia"/>
  </r>
  <r>
    <d v="2023-02-28T00:00:00"/>
    <d v="2023-01-28T00:00:00"/>
    <d v="2023-01-28T00:00:00"/>
    <x v="3"/>
    <x v="0"/>
    <x v="1"/>
    <s v="NF3113"/>
    <x v="7"/>
    <n v="3972"/>
    <x v="7"/>
    <n v="2023"/>
    <x v="7"/>
    <x v="1"/>
    <x v="7"/>
    <x v="1"/>
    <x v="0"/>
    <s v="Vista"/>
    <s v="Em Dia"/>
  </r>
  <r>
    <d v="2022-12-30T17:57:50"/>
    <d v="2022-11-17T00:00:00"/>
    <d v="2022-11-17T00:00:00"/>
    <x v="3"/>
    <x v="0"/>
    <x v="1"/>
    <s v="NF3114"/>
    <x v="4"/>
    <n v="3068"/>
    <x v="10"/>
    <n v="2022"/>
    <x v="10"/>
    <x v="0"/>
    <x v="10"/>
    <x v="0"/>
    <x v="0"/>
    <s v="Vista"/>
    <s v="Em Dia"/>
  </r>
  <r>
    <d v="2022-07-20T00:00:00"/>
    <d v="2022-06-19T00:00:00"/>
    <d v="2022-06-19T00:00:00"/>
    <x v="3"/>
    <x v="0"/>
    <x v="1"/>
    <s v="NF3115"/>
    <x v="53"/>
    <n v="1728"/>
    <x v="3"/>
    <n v="2022"/>
    <x v="3"/>
    <x v="0"/>
    <x v="3"/>
    <x v="0"/>
    <x v="0"/>
    <s v="Vista"/>
    <s v="Em Dia"/>
  </r>
  <r>
    <d v="2021-03-15T00:00:00"/>
    <d v="2021-02-12T00:00:00"/>
    <d v="2021-02-12T00:00:00"/>
    <x v="3"/>
    <x v="0"/>
    <x v="1"/>
    <s v="NF3118"/>
    <x v="49"/>
    <n v="6200"/>
    <x v="4"/>
    <n v="2021"/>
    <x v="4"/>
    <x v="2"/>
    <x v="4"/>
    <x v="2"/>
    <x v="0"/>
    <s v="Vista"/>
    <s v="Em Dia"/>
  </r>
  <r>
    <d v="2021-07-31T00:00:00"/>
    <d v="2021-06-30T00:00:00"/>
    <d v="2021-06-30T00:00:00"/>
    <x v="5"/>
    <x v="0"/>
    <x v="2"/>
    <s v="NF3122"/>
    <x v="34"/>
    <n v="3044"/>
    <x v="3"/>
    <n v="2021"/>
    <x v="3"/>
    <x v="2"/>
    <x v="3"/>
    <x v="2"/>
    <x v="0"/>
    <s v="Vista"/>
    <s v="Em Dia"/>
  </r>
  <r>
    <d v="2022-10-16T00:00:00"/>
    <d v="2022-09-15T00:00:00"/>
    <d v="2022-09-15T00:00:00"/>
    <x v="5"/>
    <x v="0"/>
    <x v="3"/>
    <s v="NF3123"/>
    <x v="9"/>
    <n v="1677"/>
    <x v="11"/>
    <n v="2022"/>
    <x v="11"/>
    <x v="0"/>
    <x v="11"/>
    <x v="0"/>
    <x v="0"/>
    <s v="Vista"/>
    <s v="Em Dia"/>
  </r>
  <r>
    <d v="2022-04-05T00:00:00"/>
    <d v="2022-03-05T00:00:00"/>
    <d v="2022-03-05T00:00:00"/>
    <x v="2"/>
    <x v="0"/>
    <x v="3"/>
    <s v="NF3130"/>
    <x v="54"/>
    <n v="4004"/>
    <x v="1"/>
    <n v="2022"/>
    <x v="1"/>
    <x v="0"/>
    <x v="1"/>
    <x v="0"/>
    <x v="0"/>
    <s v="Vista"/>
    <s v="Em Dia"/>
  </r>
  <r>
    <s v="N/A"/>
    <d v="2022-10-05T00:00:00"/>
    <d v="2022-10-05T00:00:00"/>
    <x v="1"/>
    <x v="0"/>
    <x v="4"/>
    <s v="NF3137"/>
    <x v="28"/>
    <n v="4922"/>
    <x v="12"/>
    <n v="0"/>
    <x v="5"/>
    <x v="0"/>
    <x v="5"/>
    <x v="0"/>
    <x v="1"/>
    <s v="Vista"/>
    <s v="Com atraso"/>
  </r>
  <r>
    <d v="2023-03-16T07:28:02"/>
    <d v="2023-02-09T00:00:00"/>
    <d v="2023-02-09T00:00:00"/>
    <x v="2"/>
    <x v="0"/>
    <x v="3"/>
    <s v="NF3155"/>
    <x v="24"/>
    <n v="1117"/>
    <x v="4"/>
    <n v="2023"/>
    <x v="4"/>
    <x v="1"/>
    <x v="4"/>
    <x v="1"/>
    <x v="0"/>
    <s v="Vista"/>
    <s v="Em Dia"/>
  </r>
  <r>
    <d v="2023-07-18T00:00:00"/>
    <d v="2023-06-17T00:00:00"/>
    <d v="2023-06-17T00:00:00"/>
    <x v="3"/>
    <x v="0"/>
    <x v="3"/>
    <s v="NF3162"/>
    <x v="4"/>
    <n v="6241"/>
    <x v="3"/>
    <n v="2023"/>
    <x v="3"/>
    <x v="1"/>
    <x v="3"/>
    <x v="1"/>
    <x v="0"/>
    <s v="Vista"/>
    <s v="Em Dia"/>
  </r>
  <r>
    <d v="2022-10-22T21:34:17"/>
    <d v="2022-08-26T00:00:00"/>
    <d v="2022-10-22T21:34:17"/>
    <x v="3"/>
    <x v="0"/>
    <x v="3"/>
    <s v="NF3171"/>
    <x v="51"/>
    <n v="4857"/>
    <x v="11"/>
    <n v="2022"/>
    <x v="2"/>
    <x v="0"/>
    <x v="5"/>
    <x v="0"/>
    <x v="0"/>
    <s v="Prazo"/>
    <s v="Em Dia"/>
  </r>
  <r>
    <d v="2022-07-09T00:00:00"/>
    <d v="2022-06-08T00:00:00"/>
    <d v="2022-06-24T00:00:00"/>
    <x v="5"/>
    <x v="0"/>
    <x v="3"/>
    <s v="NF3184"/>
    <x v="36"/>
    <n v="7765"/>
    <x v="3"/>
    <n v="2022"/>
    <x v="3"/>
    <x v="0"/>
    <x v="3"/>
    <x v="0"/>
    <x v="0"/>
    <s v="Prazo"/>
    <s v="Em Dia"/>
  </r>
  <r>
    <d v="2023-01-02T08:14:42"/>
    <d v="2022-11-11T00:00:00"/>
    <d v="2022-11-17T02:12:26"/>
    <x v="7"/>
    <x v="0"/>
    <x v="2"/>
    <s v="NF3186"/>
    <x v="55"/>
    <n v="3902"/>
    <x v="8"/>
    <n v="2023"/>
    <x v="10"/>
    <x v="0"/>
    <x v="10"/>
    <x v="0"/>
    <x v="0"/>
    <s v="Prazo"/>
    <s v="Em Dia"/>
  </r>
  <r>
    <d v="2021-05-19T00:00:00"/>
    <d v="2021-04-18T00:00:00"/>
    <d v="2021-05-04T00:00:00"/>
    <x v="5"/>
    <x v="0"/>
    <x v="2"/>
    <s v="NF3187"/>
    <x v="9"/>
    <n v="7132"/>
    <x v="9"/>
    <n v="2021"/>
    <x v="9"/>
    <x v="2"/>
    <x v="0"/>
    <x v="2"/>
    <x v="0"/>
    <s v="Prazo"/>
    <s v="Em Dia"/>
  </r>
  <r>
    <d v="2023-06-21T00:00:00"/>
    <d v="2023-05-21T00:00:00"/>
    <d v="2023-06-06T00:00:00"/>
    <x v="7"/>
    <x v="0"/>
    <x v="4"/>
    <s v="NF3197"/>
    <x v="23"/>
    <n v="3216"/>
    <x v="0"/>
    <n v="2023"/>
    <x v="0"/>
    <x v="1"/>
    <x v="3"/>
    <x v="1"/>
    <x v="0"/>
    <s v="Prazo"/>
    <s v="Em Dia"/>
  </r>
  <r>
    <d v="2021-05-31T00:00:00"/>
    <d v="2021-04-30T00:00:00"/>
    <d v="2021-05-16T00:00:00"/>
    <x v="6"/>
    <x v="0"/>
    <x v="1"/>
    <s v="NF3201"/>
    <x v="38"/>
    <n v="1946"/>
    <x v="9"/>
    <n v="2021"/>
    <x v="9"/>
    <x v="2"/>
    <x v="0"/>
    <x v="2"/>
    <x v="0"/>
    <s v="Prazo"/>
    <s v="Em Dia"/>
  </r>
  <r>
    <d v="2022-06-03T00:00:00"/>
    <d v="2022-05-03T00:00:00"/>
    <d v="2022-05-19T00:00:00"/>
    <x v="1"/>
    <x v="0"/>
    <x v="3"/>
    <s v="NF3227"/>
    <x v="31"/>
    <n v="2337"/>
    <x v="0"/>
    <n v="2022"/>
    <x v="0"/>
    <x v="0"/>
    <x v="0"/>
    <x v="0"/>
    <x v="0"/>
    <s v="Prazo"/>
    <s v="Em Dia"/>
  </r>
  <r>
    <d v="2022-12-17T00:00:00"/>
    <d v="2022-11-16T00:00:00"/>
    <d v="2022-12-02T00:00:00"/>
    <x v="3"/>
    <x v="0"/>
    <x v="2"/>
    <s v="NF3242"/>
    <x v="51"/>
    <n v="1008"/>
    <x v="10"/>
    <n v="2022"/>
    <x v="10"/>
    <x v="0"/>
    <x v="8"/>
    <x v="0"/>
    <x v="0"/>
    <s v="Prazo"/>
    <s v="Em Dia"/>
  </r>
  <r>
    <d v="2022-04-08T00:00:00"/>
    <d v="2022-03-08T00:00:00"/>
    <d v="2022-03-24T00:00:00"/>
    <x v="0"/>
    <x v="0"/>
    <x v="2"/>
    <s v="NF3244"/>
    <x v="0"/>
    <n v="292"/>
    <x v="1"/>
    <n v="2022"/>
    <x v="1"/>
    <x v="0"/>
    <x v="1"/>
    <x v="0"/>
    <x v="0"/>
    <s v="Prazo"/>
    <s v="Em Dia"/>
  </r>
  <r>
    <d v="2023-07-20T00:00:00"/>
    <d v="2023-06-19T00:00:00"/>
    <d v="2023-07-05T00:00:00"/>
    <x v="1"/>
    <x v="0"/>
    <x v="2"/>
    <s v="NF3244"/>
    <x v="13"/>
    <n v="4123"/>
    <x v="3"/>
    <n v="2023"/>
    <x v="3"/>
    <x v="1"/>
    <x v="6"/>
    <x v="1"/>
    <x v="0"/>
    <s v="Prazo"/>
    <s v="Em Dia"/>
  </r>
  <r>
    <d v="2022-07-21T12:24:59"/>
    <d v="2022-04-23T00:00:00"/>
    <d v="2022-05-14T02:06:20"/>
    <x v="1"/>
    <x v="0"/>
    <x v="2"/>
    <s v="NF3247"/>
    <x v="28"/>
    <n v="3223"/>
    <x v="3"/>
    <n v="2022"/>
    <x v="9"/>
    <x v="0"/>
    <x v="0"/>
    <x v="0"/>
    <x v="0"/>
    <s v="Prazo"/>
    <s v="Em Dia"/>
  </r>
  <r>
    <d v="2022-06-24T15:56:07"/>
    <d v="2022-05-29T00:00:00"/>
    <d v="2022-06-24T15:56:07"/>
    <x v="3"/>
    <x v="0"/>
    <x v="4"/>
    <s v="NF3255"/>
    <x v="53"/>
    <n v="976"/>
    <x v="0"/>
    <n v="2022"/>
    <x v="0"/>
    <x v="0"/>
    <x v="3"/>
    <x v="0"/>
    <x v="0"/>
    <s v="Prazo"/>
    <s v="Em Dia"/>
  </r>
  <r>
    <d v="2022-04-15T06:12:30"/>
    <d v="2022-03-28T00:00:00"/>
    <d v="2022-04-15T06:12:30"/>
    <x v="1"/>
    <x v="0"/>
    <x v="3"/>
    <s v="NF3293"/>
    <x v="10"/>
    <n v="1662"/>
    <x v="1"/>
    <n v="2022"/>
    <x v="1"/>
    <x v="0"/>
    <x v="9"/>
    <x v="0"/>
    <x v="0"/>
    <s v="Prazo"/>
    <s v="Em Dia"/>
  </r>
  <r>
    <d v="2021-10-25T03:26:20"/>
    <d v="2021-09-27T00:00:00"/>
    <d v="2021-10-10T19:13:07"/>
    <x v="8"/>
    <x v="0"/>
    <x v="1"/>
    <s v="NF3303"/>
    <x v="62"/>
    <n v="4380"/>
    <x v="11"/>
    <n v="2021"/>
    <x v="11"/>
    <x v="2"/>
    <x v="5"/>
    <x v="2"/>
    <x v="0"/>
    <s v="Prazo"/>
    <s v="Em Dia"/>
  </r>
  <r>
    <d v="2021-06-01T00:00:00"/>
    <d v="2021-05-01T00:00:00"/>
    <d v="2021-05-17T00:00:00"/>
    <x v="1"/>
    <x v="0"/>
    <x v="3"/>
    <s v="NF3309"/>
    <x v="13"/>
    <n v="4684"/>
    <x v="0"/>
    <n v="2021"/>
    <x v="0"/>
    <x v="2"/>
    <x v="0"/>
    <x v="2"/>
    <x v="0"/>
    <s v="Prazo"/>
    <s v="Em Dia"/>
  </r>
  <r>
    <d v="2021-10-07T00:00:00"/>
    <d v="2021-09-06T00:00:00"/>
    <d v="2021-09-22T00:00:00"/>
    <x v="3"/>
    <x v="0"/>
    <x v="3"/>
    <s v="NF3325"/>
    <x v="51"/>
    <n v="4576"/>
    <x v="11"/>
    <n v="2021"/>
    <x v="11"/>
    <x v="2"/>
    <x v="11"/>
    <x v="2"/>
    <x v="0"/>
    <s v="Prazo"/>
    <s v="Em Dia"/>
  </r>
  <r>
    <d v="2023-04-24T00:00:00"/>
    <d v="2023-03-24T00:00:00"/>
    <d v="2023-04-09T00:00:00"/>
    <x v="2"/>
    <x v="0"/>
    <x v="3"/>
    <s v="NF3333"/>
    <x v="26"/>
    <n v="811"/>
    <x v="1"/>
    <n v="2023"/>
    <x v="1"/>
    <x v="1"/>
    <x v="9"/>
    <x v="1"/>
    <x v="0"/>
    <s v="Prazo"/>
    <s v="Em Dia"/>
  </r>
  <r>
    <d v="2022-03-07T12:09:07"/>
    <d v="2022-01-21T00:00:00"/>
    <d v="2022-03-07T12:09:07"/>
    <x v="5"/>
    <x v="0"/>
    <x v="3"/>
    <s v="NF3336"/>
    <x v="48"/>
    <n v="783"/>
    <x v="4"/>
    <n v="2022"/>
    <x v="7"/>
    <x v="0"/>
    <x v="1"/>
    <x v="0"/>
    <x v="0"/>
    <s v="Prazo"/>
    <s v="Em Dia"/>
  </r>
  <r>
    <d v="2022-08-31T20:21:30"/>
    <d v="2022-07-04T00:00:00"/>
    <d v="2022-08-31T20:21:30"/>
    <x v="3"/>
    <x v="0"/>
    <x v="2"/>
    <s v="NF3338"/>
    <x v="7"/>
    <n v="1732"/>
    <x v="6"/>
    <n v="2022"/>
    <x v="6"/>
    <x v="0"/>
    <x v="2"/>
    <x v="0"/>
    <x v="0"/>
    <s v="Prazo"/>
    <s v="Em Dia"/>
  </r>
  <r>
    <d v="2022-02-03T00:00:00"/>
    <d v="2022-01-03T00:00:00"/>
    <d v="2022-01-19T00:00:00"/>
    <x v="3"/>
    <x v="0"/>
    <x v="2"/>
    <s v="NF3346"/>
    <x v="53"/>
    <n v="1568"/>
    <x v="7"/>
    <n v="2022"/>
    <x v="7"/>
    <x v="0"/>
    <x v="7"/>
    <x v="0"/>
    <x v="0"/>
    <s v="Prazo"/>
    <s v="Em Dia"/>
  </r>
  <r>
    <d v="2022-09-04T18:49:58"/>
    <d v="2022-06-17T00:00:00"/>
    <d v="2022-07-29T06:14:28"/>
    <x v="3"/>
    <x v="0"/>
    <x v="3"/>
    <s v="NF3353"/>
    <x v="49"/>
    <n v="3045"/>
    <x v="2"/>
    <n v="2022"/>
    <x v="3"/>
    <x v="0"/>
    <x v="6"/>
    <x v="0"/>
    <x v="0"/>
    <s v="Prazo"/>
    <s v="Em Dia"/>
  </r>
  <r>
    <d v="2021-07-16T00:00:00"/>
    <d v="2021-06-15T00:00:00"/>
    <d v="2021-07-01T00:00:00"/>
    <x v="5"/>
    <x v="0"/>
    <x v="0"/>
    <s v="NF3370"/>
    <x v="56"/>
    <n v="4618"/>
    <x v="3"/>
    <n v="2021"/>
    <x v="3"/>
    <x v="2"/>
    <x v="6"/>
    <x v="2"/>
    <x v="0"/>
    <s v="Prazo"/>
    <s v="Em Dia"/>
  </r>
  <r>
    <d v="2023-09-11T00:00:00"/>
    <d v="2023-08-11T00:00:00"/>
    <d v="2023-08-27T00:00:00"/>
    <x v="2"/>
    <x v="0"/>
    <x v="4"/>
    <s v="NF3406"/>
    <x v="20"/>
    <n v="3175"/>
    <x v="2"/>
    <n v="2023"/>
    <x v="2"/>
    <x v="1"/>
    <x v="2"/>
    <x v="1"/>
    <x v="0"/>
    <s v="Prazo"/>
    <s v="Em Dia"/>
  </r>
  <r>
    <d v="2021-12-13T11:46:54"/>
    <d v="2021-11-04T00:00:00"/>
    <d v="2021-11-29T13:59:41"/>
    <x v="6"/>
    <x v="0"/>
    <x v="1"/>
    <s v="NF3424"/>
    <x v="43"/>
    <n v="3559"/>
    <x v="10"/>
    <n v="2021"/>
    <x v="10"/>
    <x v="2"/>
    <x v="10"/>
    <x v="2"/>
    <x v="0"/>
    <s v="Prazo"/>
    <s v="Em Dia"/>
  </r>
  <r>
    <d v="2023-09-12T00:00:00"/>
    <d v="2023-08-12T00:00:00"/>
    <d v="2023-08-28T00:00:00"/>
    <x v="4"/>
    <x v="0"/>
    <x v="1"/>
    <s v="NF3441"/>
    <x v="32"/>
    <n v="258"/>
    <x v="2"/>
    <n v="2023"/>
    <x v="2"/>
    <x v="1"/>
    <x v="2"/>
    <x v="1"/>
    <x v="0"/>
    <s v="Prazo"/>
    <s v="Em Dia"/>
  </r>
  <r>
    <d v="2023-05-30T01:49:11"/>
    <d v="2023-04-12T00:00:00"/>
    <d v="2023-05-30T01:49:11"/>
    <x v="5"/>
    <x v="0"/>
    <x v="2"/>
    <s v="NF3443"/>
    <x v="56"/>
    <n v="2883"/>
    <x v="9"/>
    <n v="2023"/>
    <x v="9"/>
    <x v="1"/>
    <x v="0"/>
    <x v="1"/>
    <x v="0"/>
    <s v="Prazo"/>
    <s v="Em Dia"/>
  </r>
  <r>
    <d v="2022-12-11T00:00:00"/>
    <d v="2022-11-10T00:00:00"/>
    <d v="2022-11-26T00:00:00"/>
    <x v="0"/>
    <x v="0"/>
    <x v="0"/>
    <s v="NF3445"/>
    <x v="50"/>
    <n v="2729"/>
    <x v="10"/>
    <n v="2022"/>
    <x v="10"/>
    <x v="0"/>
    <x v="10"/>
    <x v="0"/>
    <x v="0"/>
    <s v="Prazo"/>
    <s v="Em Dia"/>
  </r>
  <r>
    <d v="2021-05-16T00:00:00"/>
    <d v="2021-04-15T00:00:00"/>
    <d v="2021-05-01T00:00:00"/>
    <x v="2"/>
    <x v="0"/>
    <x v="4"/>
    <s v="NF3475"/>
    <x v="24"/>
    <n v="6252"/>
    <x v="9"/>
    <n v="2021"/>
    <x v="9"/>
    <x v="2"/>
    <x v="0"/>
    <x v="2"/>
    <x v="0"/>
    <s v="Prazo"/>
    <s v="Em Dia"/>
  </r>
  <r>
    <d v="2023-04-18T00:00:00"/>
    <d v="2023-03-18T00:00:00"/>
    <d v="2023-04-03T00:00:00"/>
    <x v="0"/>
    <x v="0"/>
    <x v="3"/>
    <s v="NF3477"/>
    <x v="41"/>
    <n v="7841"/>
    <x v="1"/>
    <n v="2023"/>
    <x v="1"/>
    <x v="1"/>
    <x v="9"/>
    <x v="1"/>
    <x v="0"/>
    <s v="Prazo"/>
    <s v="Em Dia"/>
  </r>
  <r>
    <d v="2023-07-21T00:00:00"/>
    <d v="2023-06-20T00:00:00"/>
    <d v="2023-07-06T00:00:00"/>
    <x v="2"/>
    <x v="0"/>
    <x v="1"/>
    <s v="NF3483"/>
    <x v="26"/>
    <n v="1599"/>
    <x v="3"/>
    <n v="2023"/>
    <x v="3"/>
    <x v="1"/>
    <x v="6"/>
    <x v="1"/>
    <x v="0"/>
    <s v="Prazo"/>
    <s v="Em Dia"/>
  </r>
  <r>
    <d v="2023-05-05T00:09:47"/>
    <d v="2023-03-03T00:00:00"/>
    <d v="2023-04-13T17:11:44"/>
    <x v="6"/>
    <x v="0"/>
    <x v="1"/>
    <s v="NF3489"/>
    <x v="22"/>
    <n v="517"/>
    <x v="9"/>
    <n v="2023"/>
    <x v="1"/>
    <x v="1"/>
    <x v="9"/>
    <x v="1"/>
    <x v="0"/>
    <s v="Prazo"/>
    <s v="Em Dia"/>
  </r>
  <r>
    <d v="2023-04-16T11:01:03"/>
    <d v="2023-03-01T00:00:00"/>
    <d v="2023-04-16T11:01:03"/>
    <x v="6"/>
    <x v="0"/>
    <x v="1"/>
    <s v="NF3500"/>
    <x v="38"/>
    <n v="471"/>
    <x v="1"/>
    <n v="2023"/>
    <x v="1"/>
    <x v="1"/>
    <x v="9"/>
    <x v="1"/>
    <x v="0"/>
    <s v="Prazo"/>
    <s v="Em Dia"/>
  </r>
  <r>
    <d v="2022-12-22T00:00:00"/>
    <d v="2022-11-21T00:00:00"/>
    <d v="2022-12-07T00:00:00"/>
    <x v="1"/>
    <x v="0"/>
    <x v="4"/>
    <s v="NF3543"/>
    <x v="47"/>
    <n v="3049"/>
    <x v="10"/>
    <n v="2022"/>
    <x v="10"/>
    <x v="0"/>
    <x v="8"/>
    <x v="0"/>
    <x v="0"/>
    <s v="Prazo"/>
    <s v="Em Dia"/>
  </r>
  <r>
    <d v="2023-04-18T00:00:00"/>
    <d v="2023-03-18T00:00:00"/>
    <d v="2023-04-03T00:00:00"/>
    <x v="3"/>
    <x v="0"/>
    <x v="2"/>
    <s v="NF3558"/>
    <x v="53"/>
    <n v="829"/>
    <x v="1"/>
    <n v="2023"/>
    <x v="1"/>
    <x v="1"/>
    <x v="9"/>
    <x v="1"/>
    <x v="0"/>
    <s v="Prazo"/>
    <s v="Em Dia"/>
  </r>
  <r>
    <d v="2021-01-09T00:00:00"/>
    <d v="2020-12-09T00:00:00"/>
    <d v="2020-12-25T00:00:00"/>
    <x v="3"/>
    <x v="0"/>
    <x v="4"/>
    <s v="NF3566"/>
    <x v="53"/>
    <n v="7271"/>
    <x v="8"/>
    <n v="2021"/>
    <x v="8"/>
    <x v="3"/>
    <x v="8"/>
    <x v="3"/>
    <x v="0"/>
    <s v="Prazo"/>
    <s v="Em Dia"/>
  </r>
  <r>
    <d v="2021-03-08T00:00:00"/>
    <d v="2021-02-05T00:00:00"/>
    <d v="2021-02-21T00:00:00"/>
    <x v="6"/>
    <x v="0"/>
    <x v="4"/>
    <s v="NF3580"/>
    <x v="33"/>
    <n v="464"/>
    <x v="4"/>
    <n v="2021"/>
    <x v="4"/>
    <x v="2"/>
    <x v="4"/>
    <x v="2"/>
    <x v="0"/>
    <s v="Prazo"/>
    <s v="Em Dia"/>
  </r>
  <r>
    <d v="2023-10-03T03:26:59"/>
    <d v="2023-06-20T00:00:00"/>
    <d v="2023-08-10T13:42:12"/>
    <x v="2"/>
    <x v="0"/>
    <x v="4"/>
    <s v="NF3586"/>
    <x v="25"/>
    <n v="1906"/>
    <x v="11"/>
    <n v="2023"/>
    <x v="3"/>
    <x v="1"/>
    <x v="2"/>
    <x v="1"/>
    <x v="0"/>
    <s v="Prazo"/>
    <s v="Em Dia"/>
  </r>
  <r>
    <d v="2022-09-27T17:55:23"/>
    <d v="2022-09-09T00:00:00"/>
    <d v="2022-09-22T19:10:46"/>
    <x v="0"/>
    <x v="0"/>
    <x v="2"/>
    <s v="NF3599"/>
    <x v="41"/>
    <n v="3669"/>
    <x v="2"/>
    <n v="2022"/>
    <x v="11"/>
    <x v="0"/>
    <x v="11"/>
    <x v="0"/>
    <x v="0"/>
    <s v="Prazo"/>
    <s v="Em Dia"/>
  </r>
  <r>
    <d v="2022-09-03T07:30:56"/>
    <d v="2022-07-18T00:00:00"/>
    <d v="2022-09-03T07:30:56"/>
    <x v="7"/>
    <x v="0"/>
    <x v="2"/>
    <s v="NF3604"/>
    <x v="23"/>
    <n v="2071"/>
    <x v="2"/>
    <n v="2022"/>
    <x v="6"/>
    <x v="0"/>
    <x v="11"/>
    <x v="0"/>
    <x v="0"/>
    <s v="Prazo"/>
    <s v="Em Dia"/>
  </r>
  <r>
    <d v="2023-07-18T00:00:00"/>
    <d v="2023-06-17T00:00:00"/>
    <d v="2023-07-03T00:00:00"/>
    <x v="1"/>
    <x v="0"/>
    <x v="2"/>
    <s v="NF3649"/>
    <x v="10"/>
    <n v="1117"/>
    <x v="3"/>
    <n v="2023"/>
    <x v="3"/>
    <x v="1"/>
    <x v="6"/>
    <x v="1"/>
    <x v="0"/>
    <s v="Prazo"/>
    <s v="Em Dia"/>
  </r>
  <r>
    <d v="2021-04-02T00:00:00"/>
    <d v="2021-03-02T00:00:00"/>
    <d v="2021-03-18T00:00:00"/>
    <x v="5"/>
    <x v="0"/>
    <x v="1"/>
    <s v="NF3676"/>
    <x v="56"/>
    <n v="4425"/>
    <x v="1"/>
    <n v="2021"/>
    <x v="1"/>
    <x v="2"/>
    <x v="1"/>
    <x v="2"/>
    <x v="0"/>
    <s v="Prazo"/>
    <s v="Em Dia"/>
  </r>
  <r>
    <d v="2021-02-11T00:00:00"/>
    <d v="2021-01-11T00:00:00"/>
    <d v="2021-01-27T00:00:00"/>
    <x v="0"/>
    <x v="0"/>
    <x v="4"/>
    <s v="NF3691"/>
    <x v="41"/>
    <n v="251"/>
    <x v="7"/>
    <n v="2021"/>
    <x v="7"/>
    <x v="2"/>
    <x v="7"/>
    <x v="2"/>
    <x v="0"/>
    <s v="Prazo"/>
    <s v="Em Dia"/>
  </r>
  <r>
    <d v="2023-06-09T20:50:45"/>
    <d v="2023-04-27T00:00:00"/>
    <d v="2023-06-09T20:50:45"/>
    <x v="3"/>
    <x v="0"/>
    <x v="3"/>
    <s v="NF3694"/>
    <x v="13"/>
    <n v="245"/>
    <x v="0"/>
    <n v="2023"/>
    <x v="9"/>
    <x v="1"/>
    <x v="3"/>
    <x v="1"/>
    <x v="0"/>
    <s v="Prazo"/>
    <s v="Em Dia"/>
  </r>
  <r>
    <d v="2021-06-07T00:00:00"/>
    <d v="2021-05-07T00:00:00"/>
    <d v="2021-05-23T00:00:00"/>
    <x v="2"/>
    <x v="0"/>
    <x v="4"/>
    <s v="NF3698"/>
    <x v="26"/>
    <n v="1058"/>
    <x v="0"/>
    <n v="2021"/>
    <x v="0"/>
    <x v="2"/>
    <x v="0"/>
    <x v="2"/>
    <x v="0"/>
    <s v="Prazo"/>
    <s v="Em Dia"/>
  </r>
  <r>
    <d v="2023-09-19T08:33:43"/>
    <d v="2023-06-29T00:00:00"/>
    <d v="2023-07-01T19:32:54"/>
    <x v="1"/>
    <x v="0"/>
    <x v="2"/>
    <s v="NF3701"/>
    <x v="47"/>
    <n v="3446"/>
    <x v="2"/>
    <n v="2023"/>
    <x v="3"/>
    <x v="1"/>
    <x v="6"/>
    <x v="1"/>
    <x v="0"/>
    <s v="Prazo"/>
    <s v="Em Dia"/>
  </r>
  <r>
    <d v="2022-09-10T00:00:00"/>
    <d v="2022-08-10T00:00:00"/>
    <d v="2022-08-26T00:00:00"/>
    <x v="0"/>
    <x v="0"/>
    <x v="3"/>
    <s v="NF3717"/>
    <x v="37"/>
    <n v="6886"/>
    <x v="2"/>
    <n v="2022"/>
    <x v="2"/>
    <x v="0"/>
    <x v="2"/>
    <x v="0"/>
    <x v="0"/>
    <s v="Prazo"/>
    <s v="Em Dia"/>
  </r>
  <r>
    <d v="2022-12-31T00:00:00"/>
    <d v="2022-11-30T00:00:00"/>
    <d v="2022-12-16T00:00:00"/>
    <x v="5"/>
    <x v="0"/>
    <x v="4"/>
    <s v="NF3725"/>
    <x v="56"/>
    <n v="300"/>
    <x v="10"/>
    <n v="2022"/>
    <x v="10"/>
    <x v="0"/>
    <x v="8"/>
    <x v="0"/>
    <x v="0"/>
    <s v="Prazo"/>
    <s v="Em Dia"/>
  </r>
  <r>
    <d v="2022-03-06T00:00:00"/>
    <d v="2022-02-03T00:00:00"/>
    <d v="2022-02-19T00:00:00"/>
    <x v="5"/>
    <x v="0"/>
    <x v="0"/>
    <s v="NF3778"/>
    <x v="36"/>
    <n v="122"/>
    <x v="4"/>
    <n v="2022"/>
    <x v="4"/>
    <x v="0"/>
    <x v="4"/>
    <x v="0"/>
    <x v="0"/>
    <s v="Prazo"/>
    <s v="Em Dia"/>
  </r>
  <r>
    <d v="2023-06-15T00:00:00"/>
    <d v="2023-05-15T00:00:00"/>
    <d v="2023-05-31T00:00:00"/>
    <x v="2"/>
    <x v="0"/>
    <x v="2"/>
    <s v="NF3792"/>
    <x v="5"/>
    <n v="3412"/>
    <x v="0"/>
    <n v="2023"/>
    <x v="0"/>
    <x v="1"/>
    <x v="0"/>
    <x v="1"/>
    <x v="0"/>
    <s v="Prazo"/>
    <s v="Em Dia"/>
  </r>
  <r>
    <d v="2021-05-07T00:00:00"/>
    <d v="2021-04-06T00:00:00"/>
    <d v="2021-04-22T00:00:00"/>
    <x v="0"/>
    <x v="0"/>
    <x v="0"/>
    <s v="NF3821"/>
    <x v="0"/>
    <n v="377"/>
    <x v="9"/>
    <n v="2021"/>
    <x v="9"/>
    <x v="2"/>
    <x v="9"/>
    <x v="2"/>
    <x v="0"/>
    <s v="Prazo"/>
    <s v="Em Dia"/>
  </r>
  <r>
    <d v="2021-04-03T00:00:00"/>
    <d v="2021-03-03T00:00:00"/>
    <d v="2021-03-19T00:00:00"/>
    <x v="1"/>
    <x v="0"/>
    <x v="1"/>
    <s v="NF3843"/>
    <x v="2"/>
    <n v="4621"/>
    <x v="1"/>
    <n v="2021"/>
    <x v="1"/>
    <x v="2"/>
    <x v="1"/>
    <x v="2"/>
    <x v="0"/>
    <s v="Prazo"/>
    <s v="Em Dia"/>
  </r>
  <r>
    <d v="2021-05-24T00:00:00"/>
    <d v="2021-04-23T00:00:00"/>
    <d v="2021-05-09T00:00:00"/>
    <x v="2"/>
    <x v="0"/>
    <x v="4"/>
    <s v="NF3847"/>
    <x v="54"/>
    <n v="2758"/>
    <x v="9"/>
    <n v="2021"/>
    <x v="9"/>
    <x v="2"/>
    <x v="0"/>
    <x v="2"/>
    <x v="0"/>
    <s v="Prazo"/>
    <s v="Em Dia"/>
  </r>
  <r>
    <d v="2023-06-17T00:00:00"/>
    <d v="2023-05-17T00:00:00"/>
    <d v="2023-06-02T00:00:00"/>
    <x v="3"/>
    <x v="0"/>
    <x v="2"/>
    <s v="NF3869"/>
    <x v="7"/>
    <n v="4152"/>
    <x v="0"/>
    <n v="2023"/>
    <x v="0"/>
    <x v="1"/>
    <x v="3"/>
    <x v="1"/>
    <x v="0"/>
    <s v="Prazo"/>
    <s v="Em Dia"/>
  </r>
  <r>
    <d v="2023-02-13T05:18:28"/>
    <d v="2023-01-13T00:00:00"/>
    <d v="2023-02-13T05:18:28"/>
    <x v="8"/>
    <x v="0"/>
    <x v="2"/>
    <s v="NF3882"/>
    <x v="53"/>
    <n v="2970"/>
    <x v="7"/>
    <n v="2023"/>
    <x v="7"/>
    <x v="1"/>
    <x v="4"/>
    <x v="1"/>
    <x v="0"/>
    <s v="Prazo"/>
    <s v="Em Dia"/>
  </r>
  <r>
    <d v="2023-04-08T00:00:00"/>
    <d v="2023-03-08T00:00:00"/>
    <d v="2023-03-24T00:00:00"/>
    <x v="5"/>
    <x v="0"/>
    <x v="2"/>
    <s v="NF3888"/>
    <x v="34"/>
    <n v="6810"/>
    <x v="1"/>
    <n v="2023"/>
    <x v="1"/>
    <x v="1"/>
    <x v="1"/>
    <x v="1"/>
    <x v="0"/>
    <s v="Prazo"/>
    <s v="Em Dia"/>
  </r>
  <r>
    <d v="2022-08-08T00:00:00"/>
    <d v="2022-07-08T00:00:00"/>
    <d v="2022-07-24T00:00:00"/>
    <x v="2"/>
    <x v="0"/>
    <x v="0"/>
    <s v="NF3895"/>
    <x v="20"/>
    <n v="5279"/>
    <x v="6"/>
    <n v="2022"/>
    <x v="6"/>
    <x v="0"/>
    <x v="6"/>
    <x v="0"/>
    <x v="0"/>
    <s v="Prazo"/>
    <s v="Em Dia"/>
  </r>
  <r>
    <d v="2022-06-16T15:21:18"/>
    <d v="2022-06-05T00:00:00"/>
    <d v="2022-06-16T15:21:18"/>
    <x v="0"/>
    <x v="0"/>
    <x v="4"/>
    <s v="NF3899"/>
    <x v="37"/>
    <n v="1875"/>
    <x v="0"/>
    <n v="2022"/>
    <x v="3"/>
    <x v="0"/>
    <x v="3"/>
    <x v="0"/>
    <x v="0"/>
    <s v="Prazo"/>
    <s v="Em Dia"/>
  </r>
  <r>
    <d v="2022-09-14T18:46:28"/>
    <d v="2022-09-07T00:00:00"/>
    <d v="2022-09-14T18:46:28"/>
    <x v="4"/>
    <x v="0"/>
    <x v="3"/>
    <s v="NF3939"/>
    <x v="44"/>
    <n v="2391"/>
    <x v="2"/>
    <n v="2022"/>
    <x v="11"/>
    <x v="0"/>
    <x v="11"/>
    <x v="0"/>
    <x v="0"/>
    <s v="Prazo"/>
    <s v="Em Dia"/>
  </r>
  <r>
    <d v="2023-09-01T00:00:00"/>
    <d v="2023-08-01T00:00:00"/>
    <d v="2023-08-17T00:00:00"/>
    <x v="3"/>
    <x v="0"/>
    <x v="1"/>
    <s v="NF3962"/>
    <x v="7"/>
    <n v="1306"/>
    <x v="2"/>
    <n v="2023"/>
    <x v="2"/>
    <x v="1"/>
    <x v="2"/>
    <x v="1"/>
    <x v="0"/>
    <s v="Prazo"/>
    <s v="Em Dia"/>
  </r>
  <r>
    <d v="2022-08-08T00:00:00"/>
    <d v="2022-07-08T00:00:00"/>
    <d v="2022-07-24T00:00:00"/>
    <x v="4"/>
    <x v="0"/>
    <x v="1"/>
    <s v="NF3963"/>
    <x v="58"/>
    <n v="7465"/>
    <x v="6"/>
    <n v="2022"/>
    <x v="6"/>
    <x v="0"/>
    <x v="6"/>
    <x v="0"/>
    <x v="0"/>
    <s v="Prazo"/>
    <s v="Em Dia"/>
  </r>
  <r>
    <d v="2021-10-11T13:55:20"/>
    <d v="2021-09-30T00:00:00"/>
    <d v="2021-10-11T13:55:20"/>
    <x v="6"/>
    <x v="0"/>
    <x v="0"/>
    <s v="NF3966"/>
    <x v="33"/>
    <n v="919"/>
    <x v="11"/>
    <n v="2021"/>
    <x v="11"/>
    <x v="2"/>
    <x v="5"/>
    <x v="2"/>
    <x v="0"/>
    <s v="Prazo"/>
    <s v="Em Dia"/>
  </r>
  <r>
    <d v="2021-07-07T00:00:00"/>
    <d v="2021-06-06T00:00:00"/>
    <d v="2021-06-22T00:00:00"/>
    <x v="5"/>
    <x v="0"/>
    <x v="1"/>
    <s v="NF3970"/>
    <x v="36"/>
    <n v="1617"/>
    <x v="3"/>
    <n v="2021"/>
    <x v="3"/>
    <x v="2"/>
    <x v="3"/>
    <x v="2"/>
    <x v="0"/>
    <s v="Prazo"/>
    <s v="Em Dia"/>
  </r>
  <r>
    <d v="2023-09-03T00:00:00"/>
    <d v="2023-08-03T00:00:00"/>
    <d v="2023-08-19T00:00:00"/>
    <x v="3"/>
    <x v="0"/>
    <x v="2"/>
    <s v="NF3983"/>
    <x v="21"/>
    <n v="4984"/>
    <x v="2"/>
    <n v="2023"/>
    <x v="2"/>
    <x v="1"/>
    <x v="2"/>
    <x v="1"/>
    <x v="0"/>
    <s v="Prazo"/>
    <s v="Em Dia"/>
  </r>
  <r>
    <d v="2023-06-08T12:57:32"/>
    <d v="2023-05-07T00:00:00"/>
    <d v="2023-05-24T02:45:41"/>
    <x v="6"/>
    <x v="0"/>
    <x v="2"/>
    <s v="NF4027"/>
    <x v="43"/>
    <n v="343"/>
    <x v="0"/>
    <n v="2023"/>
    <x v="0"/>
    <x v="1"/>
    <x v="0"/>
    <x v="1"/>
    <x v="0"/>
    <s v="Prazo"/>
    <s v="Em Dia"/>
  </r>
  <r>
    <d v="2021-06-18T00:00:00"/>
    <d v="2021-05-18T00:00:00"/>
    <d v="2021-06-03T00:00:00"/>
    <x v="5"/>
    <x v="0"/>
    <x v="4"/>
    <s v="NF4056"/>
    <x v="34"/>
    <n v="4856"/>
    <x v="0"/>
    <n v="2021"/>
    <x v="0"/>
    <x v="2"/>
    <x v="3"/>
    <x v="2"/>
    <x v="0"/>
    <s v="Prazo"/>
    <s v="Em Dia"/>
  </r>
  <r>
    <d v="2022-11-15T14:37:18"/>
    <d v="2022-10-25T00:00:00"/>
    <d v="2022-11-15T14:37:18"/>
    <x v="6"/>
    <x v="0"/>
    <x v="2"/>
    <s v="NF4056"/>
    <x v="42"/>
    <n v="2429"/>
    <x v="5"/>
    <n v="2022"/>
    <x v="5"/>
    <x v="0"/>
    <x v="10"/>
    <x v="0"/>
    <x v="0"/>
    <s v="Prazo"/>
    <s v="Em Dia"/>
  </r>
  <r>
    <d v="2022-04-03T11:13:40"/>
    <d v="2022-02-17T00:00:00"/>
    <d v="2022-04-03T11:13:40"/>
    <x v="2"/>
    <x v="0"/>
    <x v="0"/>
    <s v="NF4061"/>
    <x v="5"/>
    <n v="1532"/>
    <x v="1"/>
    <n v="2022"/>
    <x v="4"/>
    <x v="0"/>
    <x v="9"/>
    <x v="0"/>
    <x v="0"/>
    <s v="Prazo"/>
    <s v="Em Dia"/>
  </r>
  <r>
    <d v="2021-11-18T18:36:55"/>
    <d v="2021-10-18T00:00:00"/>
    <d v="2021-11-18T18:36:55"/>
    <x v="5"/>
    <x v="0"/>
    <x v="3"/>
    <s v="NF4063"/>
    <x v="9"/>
    <n v="4454"/>
    <x v="5"/>
    <n v="2021"/>
    <x v="5"/>
    <x v="2"/>
    <x v="10"/>
    <x v="2"/>
    <x v="0"/>
    <s v="Prazo"/>
    <s v="Em Dia"/>
  </r>
  <r>
    <s v="N/A"/>
    <d v="2023-02-16T00:00:00"/>
    <d v="2023-04-15T04:56:28"/>
    <x v="6"/>
    <x v="0"/>
    <x v="2"/>
    <s v="NF4097"/>
    <x v="22"/>
    <n v="928"/>
    <x v="12"/>
    <n v="0"/>
    <x v="4"/>
    <x v="1"/>
    <x v="9"/>
    <x v="1"/>
    <x v="1"/>
    <s v="Prazo"/>
    <s v="Com atraso"/>
  </r>
  <r>
    <d v="2023-03-07T00:00:00"/>
    <d v="2023-02-04T00:00:00"/>
    <d v="2023-02-20T00:00:00"/>
    <x v="5"/>
    <x v="0"/>
    <x v="3"/>
    <s v="NF4121"/>
    <x v="48"/>
    <n v="5370"/>
    <x v="4"/>
    <n v="2023"/>
    <x v="4"/>
    <x v="1"/>
    <x v="4"/>
    <x v="1"/>
    <x v="0"/>
    <s v="Prazo"/>
    <s v="Em Dia"/>
  </r>
  <r>
    <s v="N/A"/>
    <d v="2021-11-29T00:00:00"/>
    <d v="2022-01-26T12:01:24"/>
    <x v="7"/>
    <x v="0"/>
    <x v="4"/>
    <s v="NF4129"/>
    <x v="52"/>
    <n v="1284"/>
    <x v="12"/>
    <n v="0"/>
    <x v="10"/>
    <x v="2"/>
    <x v="7"/>
    <x v="0"/>
    <x v="1"/>
    <s v="Prazo"/>
    <s v="Com atraso"/>
  </r>
  <r>
    <d v="2023-11-14T00:00:00"/>
    <d v="2023-10-14T00:00:00"/>
    <d v="2023-10-30T00:00:00"/>
    <x v="2"/>
    <x v="0"/>
    <x v="1"/>
    <s v="NF4131"/>
    <x v="3"/>
    <n v="4626"/>
    <x v="5"/>
    <n v="2023"/>
    <x v="5"/>
    <x v="1"/>
    <x v="5"/>
    <x v="1"/>
    <x v="0"/>
    <s v="Prazo"/>
    <s v="Em Dia"/>
  </r>
  <r>
    <d v="2022-12-23T00:00:00"/>
    <d v="2022-11-22T00:00:00"/>
    <d v="2022-12-08T00:00:00"/>
    <x v="6"/>
    <x v="0"/>
    <x v="1"/>
    <s v="NF4161"/>
    <x v="30"/>
    <n v="4076"/>
    <x v="10"/>
    <n v="2022"/>
    <x v="10"/>
    <x v="0"/>
    <x v="8"/>
    <x v="0"/>
    <x v="0"/>
    <s v="Prazo"/>
    <s v="Em Dia"/>
  </r>
  <r>
    <d v="2023-03-28T00:00:00"/>
    <d v="2023-02-25T00:00:00"/>
    <d v="2023-03-13T00:00:00"/>
    <x v="7"/>
    <x v="0"/>
    <x v="3"/>
    <s v="NF4183"/>
    <x v="52"/>
    <n v="2897"/>
    <x v="4"/>
    <n v="2023"/>
    <x v="4"/>
    <x v="1"/>
    <x v="1"/>
    <x v="1"/>
    <x v="0"/>
    <s v="Prazo"/>
    <s v="Em Dia"/>
  </r>
  <r>
    <d v="2022-10-21T00:00:00"/>
    <d v="2022-09-20T00:00:00"/>
    <d v="2022-10-06T00:00:00"/>
    <x v="2"/>
    <x v="0"/>
    <x v="0"/>
    <s v="NF4192"/>
    <x v="26"/>
    <n v="3199"/>
    <x v="11"/>
    <n v="2022"/>
    <x v="11"/>
    <x v="0"/>
    <x v="5"/>
    <x v="0"/>
    <x v="0"/>
    <s v="Prazo"/>
    <s v="Em Dia"/>
  </r>
  <r>
    <d v="2022-07-12T00:00:00"/>
    <d v="2022-06-11T00:00:00"/>
    <d v="2022-06-27T00:00:00"/>
    <x v="7"/>
    <x v="0"/>
    <x v="0"/>
    <s v="NF4200"/>
    <x v="52"/>
    <n v="965"/>
    <x v="3"/>
    <n v="2022"/>
    <x v="3"/>
    <x v="0"/>
    <x v="3"/>
    <x v="0"/>
    <x v="0"/>
    <s v="Prazo"/>
    <s v="Em Dia"/>
  </r>
  <r>
    <d v="2022-02-02T00:00:00"/>
    <d v="2022-01-02T00:00:00"/>
    <d v="2022-01-18T00:00:00"/>
    <x v="3"/>
    <x v="0"/>
    <x v="4"/>
    <s v="NF4216"/>
    <x v="11"/>
    <n v="464"/>
    <x v="7"/>
    <n v="2022"/>
    <x v="7"/>
    <x v="0"/>
    <x v="7"/>
    <x v="0"/>
    <x v="0"/>
    <s v="Prazo"/>
    <s v="Em Dia"/>
  </r>
  <r>
    <d v="2023-04-24T00:00:00"/>
    <d v="2023-03-24T00:00:00"/>
    <d v="2023-04-09T00:00:00"/>
    <x v="4"/>
    <x v="0"/>
    <x v="1"/>
    <s v="NF4233"/>
    <x v="32"/>
    <n v="6786"/>
    <x v="1"/>
    <n v="2023"/>
    <x v="1"/>
    <x v="1"/>
    <x v="9"/>
    <x v="1"/>
    <x v="0"/>
    <s v="Prazo"/>
    <s v="Em Dia"/>
  </r>
  <r>
    <d v="2023-12-15T00:00:00"/>
    <d v="2023-11-14T00:00:00"/>
    <d v="2023-11-30T00:00:00"/>
    <x v="3"/>
    <x v="0"/>
    <x v="4"/>
    <s v="NF4233"/>
    <x v="4"/>
    <n v="3613"/>
    <x v="10"/>
    <n v="2023"/>
    <x v="10"/>
    <x v="1"/>
    <x v="10"/>
    <x v="1"/>
    <x v="0"/>
    <s v="Prazo"/>
    <s v="Em Dia"/>
  </r>
  <r>
    <d v="2022-05-17T00:00:00"/>
    <d v="2022-04-16T00:00:00"/>
    <d v="2022-05-02T00:00:00"/>
    <x v="3"/>
    <x v="0"/>
    <x v="0"/>
    <s v="NF4238"/>
    <x v="53"/>
    <n v="6184"/>
    <x v="9"/>
    <n v="2022"/>
    <x v="9"/>
    <x v="0"/>
    <x v="0"/>
    <x v="0"/>
    <x v="0"/>
    <s v="Prazo"/>
    <s v="Em Dia"/>
  </r>
  <r>
    <d v="2022-01-04T00:00:00"/>
    <d v="2021-12-04T00:00:00"/>
    <d v="2021-12-20T00:00:00"/>
    <x v="6"/>
    <x v="0"/>
    <x v="1"/>
    <s v="NF4242"/>
    <x v="19"/>
    <n v="2544"/>
    <x v="8"/>
    <n v="2022"/>
    <x v="8"/>
    <x v="2"/>
    <x v="8"/>
    <x v="2"/>
    <x v="0"/>
    <s v="Prazo"/>
    <s v="Em Dia"/>
  </r>
  <r>
    <d v="2023-03-05T00:00:00"/>
    <d v="2023-02-02T00:00:00"/>
    <d v="2023-02-18T00:00:00"/>
    <x v="5"/>
    <x v="0"/>
    <x v="2"/>
    <s v="NF4244"/>
    <x v="36"/>
    <n v="6985"/>
    <x v="4"/>
    <n v="2023"/>
    <x v="4"/>
    <x v="1"/>
    <x v="4"/>
    <x v="1"/>
    <x v="0"/>
    <s v="Prazo"/>
    <s v="Em Dia"/>
  </r>
  <r>
    <d v="2023-08-22T00:00:00"/>
    <d v="2023-07-22T00:00:00"/>
    <d v="2023-08-07T00:00:00"/>
    <x v="7"/>
    <x v="0"/>
    <x v="0"/>
    <s v="NF4251"/>
    <x v="55"/>
    <n v="3830"/>
    <x v="6"/>
    <n v="2023"/>
    <x v="6"/>
    <x v="1"/>
    <x v="2"/>
    <x v="1"/>
    <x v="0"/>
    <s v="Prazo"/>
    <s v="Em Dia"/>
  </r>
  <r>
    <d v="2023-12-02T00:00:00"/>
    <d v="2023-11-01T00:00:00"/>
    <d v="2023-11-17T00:00:00"/>
    <x v="7"/>
    <x v="0"/>
    <x v="4"/>
    <s v="NF4261"/>
    <x v="55"/>
    <n v="5197"/>
    <x v="10"/>
    <n v="2023"/>
    <x v="10"/>
    <x v="1"/>
    <x v="10"/>
    <x v="1"/>
    <x v="0"/>
    <s v="Prazo"/>
    <s v="Em Dia"/>
  </r>
  <r>
    <d v="2023-11-01T00:00:00"/>
    <d v="2023-10-01T00:00:00"/>
    <d v="2023-10-17T00:00:00"/>
    <x v="0"/>
    <x v="0"/>
    <x v="4"/>
    <s v="NF4288"/>
    <x v="0"/>
    <n v="650"/>
    <x v="5"/>
    <n v="2023"/>
    <x v="5"/>
    <x v="1"/>
    <x v="5"/>
    <x v="1"/>
    <x v="0"/>
    <s v="Prazo"/>
    <s v="Em Dia"/>
  </r>
  <r>
    <d v="2021-10-29T10:53:35"/>
    <d v="2021-10-22T00:00:00"/>
    <d v="2021-10-29T10:53:35"/>
    <x v="5"/>
    <x v="0"/>
    <x v="1"/>
    <s v="NF4290"/>
    <x v="48"/>
    <n v="2134"/>
    <x v="11"/>
    <n v="2021"/>
    <x v="5"/>
    <x v="2"/>
    <x v="5"/>
    <x v="2"/>
    <x v="0"/>
    <s v="Prazo"/>
    <s v="Em Dia"/>
  </r>
  <r>
    <d v="2021-01-06T00:00:00"/>
    <d v="2020-12-06T00:00:00"/>
    <d v="2020-12-22T00:00:00"/>
    <x v="0"/>
    <x v="0"/>
    <x v="0"/>
    <s v="NF4303"/>
    <x v="0"/>
    <n v="5405"/>
    <x v="8"/>
    <n v="2021"/>
    <x v="8"/>
    <x v="3"/>
    <x v="8"/>
    <x v="3"/>
    <x v="0"/>
    <s v="Prazo"/>
    <s v="Em Dia"/>
  </r>
  <r>
    <d v="2022-05-08T12:38:09"/>
    <d v="2022-03-31T00:00:00"/>
    <d v="2022-05-08T12:38:09"/>
    <x v="7"/>
    <x v="0"/>
    <x v="3"/>
    <s v="NF4303"/>
    <x v="46"/>
    <n v="4017"/>
    <x v="9"/>
    <n v="2022"/>
    <x v="1"/>
    <x v="0"/>
    <x v="0"/>
    <x v="0"/>
    <x v="0"/>
    <s v="Prazo"/>
    <s v="Em Dia"/>
  </r>
  <r>
    <d v="2023-05-13T00:00:00"/>
    <d v="2023-04-12T00:00:00"/>
    <d v="2023-04-28T00:00:00"/>
    <x v="0"/>
    <x v="0"/>
    <x v="3"/>
    <s v="NF4313"/>
    <x v="1"/>
    <n v="894"/>
    <x v="9"/>
    <n v="2023"/>
    <x v="9"/>
    <x v="1"/>
    <x v="9"/>
    <x v="1"/>
    <x v="0"/>
    <s v="Prazo"/>
    <s v="Em Dia"/>
  </r>
  <r>
    <d v="2021-11-24T00:00:00"/>
    <d v="2021-10-24T00:00:00"/>
    <d v="2021-11-09T00:00:00"/>
    <x v="4"/>
    <x v="0"/>
    <x v="2"/>
    <s v="NF4329"/>
    <x v="8"/>
    <n v="1026"/>
    <x v="5"/>
    <n v="2021"/>
    <x v="5"/>
    <x v="2"/>
    <x v="10"/>
    <x v="2"/>
    <x v="0"/>
    <s v="Prazo"/>
    <s v="Em Dia"/>
  </r>
  <r>
    <d v="2021-09-26T16:31:18"/>
    <d v="2021-09-02T00:00:00"/>
    <d v="2021-09-26T16:31:18"/>
    <x v="2"/>
    <x v="0"/>
    <x v="2"/>
    <s v="NF4333"/>
    <x v="3"/>
    <n v="4268"/>
    <x v="2"/>
    <n v="2021"/>
    <x v="11"/>
    <x v="2"/>
    <x v="11"/>
    <x v="2"/>
    <x v="0"/>
    <s v="Prazo"/>
    <s v="Em Dia"/>
  </r>
  <r>
    <d v="2021-02-19T00:00:00"/>
    <d v="2021-01-19T00:00:00"/>
    <d v="2021-02-04T00:00:00"/>
    <x v="6"/>
    <x v="0"/>
    <x v="0"/>
    <s v="NF4339"/>
    <x v="59"/>
    <n v="4795"/>
    <x v="7"/>
    <n v="2021"/>
    <x v="7"/>
    <x v="2"/>
    <x v="4"/>
    <x v="2"/>
    <x v="0"/>
    <s v="Prazo"/>
    <s v="Em Dia"/>
  </r>
  <r>
    <d v="2021-03-16T00:00:00"/>
    <d v="2021-02-13T00:00:00"/>
    <d v="2021-03-01T00:00:00"/>
    <x v="2"/>
    <x v="0"/>
    <x v="3"/>
    <s v="NF4357"/>
    <x v="25"/>
    <n v="5814"/>
    <x v="4"/>
    <n v="2021"/>
    <x v="4"/>
    <x v="2"/>
    <x v="1"/>
    <x v="2"/>
    <x v="0"/>
    <s v="Prazo"/>
    <s v="Em Dia"/>
  </r>
  <r>
    <d v="2021-08-10T00:00:00"/>
    <d v="2021-07-10T00:00:00"/>
    <d v="2021-07-26T00:00:00"/>
    <x v="5"/>
    <x v="0"/>
    <x v="1"/>
    <s v="NF4358"/>
    <x v="36"/>
    <n v="3243"/>
    <x v="6"/>
    <n v="2021"/>
    <x v="6"/>
    <x v="2"/>
    <x v="6"/>
    <x v="2"/>
    <x v="0"/>
    <s v="Prazo"/>
    <s v="Em Dia"/>
  </r>
  <r>
    <d v="2021-05-06T00:00:00"/>
    <d v="2021-04-05T00:00:00"/>
    <d v="2021-04-21T00:00:00"/>
    <x v="5"/>
    <x v="0"/>
    <x v="1"/>
    <s v="NF4362"/>
    <x v="36"/>
    <n v="5069"/>
    <x v="9"/>
    <n v="2021"/>
    <x v="9"/>
    <x v="2"/>
    <x v="9"/>
    <x v="2"/>
    <x v="0"/>
    <s v="Prazo"/>
    <s v="Em Dia"/>
  </r>
  <r>
    <d v="2021-03-07T00:00:00"/>
    <d v="2021-02-04T00:00:00"/>
    <d v="2021-02-20T00:00:00"/>
    <x v="5"/>
    <x v="0"/>
    <x v="4"/>
    <s v="NF4363"/>
    <x v="48"/>
    <n v="6481"/>
    <x v="4"/>
    <n v="2021"/>
    <x v="4"/>
    <x v="2"/>
    <x v="4"/>
    <x v="2"/>
    <x v="0"/>
    <s v="Prazo"/>
    <s v="Em Dia"/>
  </r>
  <r>
    <d v="2023-07-05T00:00:00"/>
    <d v="2023-06-04T00:00:00"/>
    <d v="2023-06-20T00:00:00"/>
    <x v="7"/>
    <x v="0"/>
    <x v="0"/>
    <s v="NF4365"/>
    <x v="27"/>
    <n v="1425"/>
    <x v="3"/>
    <n v="2023"/>
    <x v="3"/>
    <x v="1"/>
    <x v="3"/>
    <x v="1"/>
    <x v="0"/>
    <s v="Prazo"/>
    <s v="Em Dia"/>
  </r>
  <r>
    <s v="N/A"/>
    <d v="2022-11-26T00:00:00"/>
    <d v="2022-12-13T21:21:29"/>
    <x v="1"/>
    <x v="0"/>
    <x v="4"/>
    <s v="NF4367"/>
    <x v="28"/>
    <n v="919"/>
    <x v="12"/>
    <n v="0"/>
    <x v="10"/>
    <x v="0"/>
    <x v="8"/>
    <x v="0"/>
    <x v="1"/>
    <s v="Prazo"/>
    <s v="Com atraso"/>
  </r>
  <r>
    <d v="2023-07-08T00:00:00"/>
    <d v="2023-06-07T00:00:00"/>
    <d v="2023-06-23T00:00:00"/>
    <x v="7"/>
    <x v="0"/>
    <x v="4"/>
    <s v="NF4371"/>
    <x v="52"/>
    <n v="4987"/>
    <x v="3"/>
    <n v="2023"/>
    <x v="3"/>
    <x v="1"/>
    <x v="3"/>
    <x v="1"/>
    <x v="0"/>
    <s v="Prazo"/>
    <s v="Em Dia"/>
  </r>
  <r>
    <d v="2021-03-08T00:00:00"/>
    <d v="2021-02-05T00:00:00"/>
    <d v="2021-02-21T00:00:00"/>
    <x v="6"/>
    <x v="0"/>
    <x v="4"/>
    <s v="NF4375"/>
    <x v="14"/>
    <n v="6544"/>
    <x v="4"/>
    <n v="2021"/>
    <x v="4"/>
    <x v="2"/>
    <x v="4"/>
    <x v="2"/>
    <x v="0"/>
    <s v="Prazo"/>
    <s v="Em Dia"/>
  </r>
  <r>
    <d v="2022-07-18T22:23:37"/>
    <d v="2022-04-26T00:00:00"/>
    <d v="2022-06-14T00:22:09"/>
    <x v="6"/>
    <x v="0"/>
    <x v="0"/>
    <s v="NF4377"/>
    <x v="14"/>
    <n v="3446"/>
    <x v="3"/>
    <n v="2022"/>
    <x v="9"/>
    <x v="0"/>
    <x v="3"/>
    <x v="0"/>
    <x v="0"/>
    <s v="Prazo"/>
    <s v="Em Dia"/>
  </r>
  <r>
    <d v="2022-12-23T10:14:59"/>
    <d v="2022-10-25T00:00:00"/>
    <d v="2022-12-23T10:14:59"/>
    <x v="8"/>
    <x v="0"/>
    <x v="1"/>
    <s v="NF4381"/>
    <x v="63"/>
    <n v="2713"/>
    <x v="10"/>
    <n v="2022"/>
    <x v="5"/>
    <x v="0"/>
    <x v="8"/>
    <x v="0"/>
    <x v="0"/>
    <s v="Prazo"/>
    <s v="Em Dia"/>
  </r>
  <r>
    <d v="2022-06-02T00:00:00"/>
    <d v="2022-05-02T00:00:00"/>
    <d v="2022-05-18T00:00:00"/>
    <x v="6"/>
    <x v="0"/>
    <x v="4"/>
    <s v="NF4413"/>
    <x v="42"/>
    <n v="2214"/>
    <x v="0"/>
    <n v="2022"/>
    <x v="0"/>
    <x v="0"/>
    <x v="0"/>
    <x v="0"/>
    <x v="0"/>
    <s v="Prazo"/>
    <s v="Em Dia"/>
  </r>
  <r>
    <d v="2021-07-27T00:00:00"/>
    <d v="2021-06-26T00:00:00"/>
    <d v="2021-07-12T00:00:00"/>
    <x v="4"/>
    <x v="0"/>
    <x v="1"/>
    <s v="NF4414"/>
    <x v="64"/>
    <n v="5646"/>
    <x v="3"/>
    <n v="2021"/>
    <x v="3"/>
    <x v="2"/>
    <x v="6"/>
    <x v="2"/>
    <x v="0"/>
    <s v="Prazo"/>
    <s v="Em Dia"/>
  </r>
  <r>
    <d v="2022-09-10T00:00:00"/>
    <d v="2022-08-10T00:00:00"/>
    <d v="2022-08-26T00:00:00"/>
    <x v="0"/>
    <x v="0"/>
    <x v="3"/>
    <s v="NF4421"/>
    <x v="15"/>
    <n v="3931"/>
    <x v="2"/>
    <n v="2022"/>
    <x v="2"/>
    <x v="0"/>
    <x v="2"/>
    <x v="0"/>
    <x v="0"/>
    <s v="Prazo"/>
    <s v="Em Dia"/>
  </r>
  <r>
    <d v="2023-03-26T21:47:46"/>
    <d v="2022-12-23T00:00:00"/>
    <d v="2023-01-28T21:24:55"/>
    <x v="2"/>
    <x v="0"/>
    <x v="3"/>
    <s v="NF4423"/>
    <x v="25"/>
    <n v="4429"/>
    <x v="4"/>
    <n v="2023"/>
    <x v="8"/>
    <x v="0"/>
    <x v="7"/>
    <x v="1"/>
    <x v="0"/>
    <s v="Prazo"/>
    <s v="Em Dia"/>
  </r>
  <r>
    <d v="2023-04-15T18:28:04"/>
    <d v="2023-04-14T00:00:00"/>
    <d v="2023-04-15T18:28:04"/>
    <x v="6"/>
    <x v="0"/>
    <x v="1"/>
    <s v="NF4433"/>
    <x v="59"/>
    <n v="4651"/>
    <x v="1"/>
    <n v="2023"/>
    <x v="9"/>
    <x v="1"/>
    <x v="9"/>
    <x v="1"/>
    <x v="0"/>
    <s v="Prazo"/>
    <s v="Em Dia"/>
  </r>
  <r>
    <d v="2021-04-27T00:00:00"/>
    <d v="2021-03-27T00:00:00"/>
    <d v="2021-04-12T00:00:00"/>
    <x v="2"/>
    <x v="0"/>
    <x v="4"/>
    <s v="NF4434"/>
    <x v="3"/>
    <n v="3880"/>
    <x v="1"/>
    <n v="2021"/>
    <x v="1"/>
    <x v="2"/>
    <x v="9"/>
    <x v="2"/>
    <x v="0"/>
    <s v="Prazo"/>
    <s v="Em Dia"/>
  </r>
  <r>
    <d v="2022-01-01T09:02:08"/>
    <d v="2021-11-18T00:00:00"/>
    <d v="2022-01-01T09:02:08"/>
    <x v="8"/>
    <x v="0"/>
    <x v="4"/>
    <s v="NF4449"/>
    <x v="65"/>
    <n v="4843"/>
    <x v="8"/>
    <n v="2022"/>
    <x v="10"/>
    <x v="2"/>
    <x v="7"/>
    <x v="0"/>
    <x v="0"/>
    <s v="Prazo"/>
    <s v="Em Dia"/>
  </r>
  <r>
    <d v="2022-12-27T00:00:00"/>
    <d v="2022-11-26T00:00:00"/>
    <d v="2022-12-12T00:00:00"/>
    <x v="2"/>
    <x v="0"/>
    <x v="3"/>
    <s v="NF4451"/>
    <x v="35"/>
    <n v="1572"/>
    <x v="10"/>
    <n v="2022"/>
    <x v="10"/>
    <x v="0"/>
    <x v="8"/>
    <x v="0"/>
    <x v="0"/>
    <s v="Prazo"/>
    <s v="Em Dia"/>
  </r>
  <r>
    <d v="2023-03-21T00:00:00"/>
    <d v="2023-02-18T00:00:00"/>
    <d v="2023-03-06T00:00:00"/>
    <x v="4"/>
    <x v="0"/>
    <x v="3"/>
    <s v="NF4467"/>
    <x v="58"/>
    <n v="6787"/>
    <x v="4"/>
    <n v="2023"/>
    <x v="4"/>
    <x v="1"/>
    <x v="1"/>
    <x v="1"/>
    <x v="0"/>
    <s v="Prazo"/>
    <s v="Em Dia"/>
  </r>
  <r>
    <d v="2023-07-17T14:30:41"/>
    <d v="2023-06-15T00:00:00"/>
    <d v="2023-07-17T14:30:41"/>
    <x v="2"/>
    <x v="0"/>
    <x v="0"/>
    <s v="NF4469"/>
    <x v="24"/>
    <n v="1482"/>
    <x v="3"/>
    <n v="2023"/>
    <x v="3"/>
    <x v="1"/>
    <x v="6"/>
    <x v="1"/>
    <x v="0"/>
    <s v="Prazo"/>
    <s v="Em Dia"/>
  </r>
  <r>
    <d v="2023-10-31T00:00:00"/>
    <d v="2023-09-30T00:00:00"/>
    <d v="2023-10-16T00:00:00"/>
    <x v="1"/>
    <x v="0"/>
    <x v="1"/>
    <s v="NF4474"/>
    <x v="28"/>
    <n v="3076"/>
    <x v="11"/>
    <n v="2023"/>
    <x v="11"/>
    <x v="1"/>
    <x v="5"/>
    <x v="1"/>
    <x v="0"/>
    <s v="Prazo"/>
    <s v="Em Dia"/>
  </r>
  <r>
    <d v="2023-02-09T00:00:00"/>
    <d v="2023-01-09T00:00:00"/>
    <d v="2023-01-25T00:00:00"/>
    <x v="2"/>
    <x v="0"/>
    <x v="2"/>
    <s v="NF4491"/>
    <x v="5"/>
    <n v="6912"/>
    <x v="7"/>
    <n v="2023"/>
    <x v="7"/>
    <x v="1"/>
    <x v="7"/>
    <x v="1"/>
    <x v="0"/>
    <s v="Prazo"/>
    <s v="Em Dia"/>
  </r>
  <r>
    <d v="2021-08-28T00:00:00"/>
    <d v="2021-07-28T00:00:00"/>
    <d v="2021-08-13T00:00:00"/>
    <x v="1"/>
    <x v="0"/>
    <x v="1"/>
    <s v="NF4513"/>
    <x v="2"/>
    <n v="2242"/>
    <x v="6"/>
    <n v="2021"/>
    <x v="6"/>
    <x v="2"/>
    <x v="2"/>
    <x v="2"/>
    <x v="0"/>
    <s v="Prazo"/>
    <s v="Em Dia"/>
  </r>
  <r>
    <d v="2023-10-22T00:00:00"/>
    <d v="2023-09-21T00:00:00"/>
    <d v="2023-10-07T00:00:00"/>
    <x v="3"/>
    <x v="0"/>
    <x v="1"/>
    <s v="NF4526"/>
    <x v="4"/>
    <n v="1810"/>
    <x v="11"/>
    <n v="2023"/>
    <x v="11"/>
    <x v="1"/>
    <x v="5"/>
    <x v="1"/>
    <x v="0"/>
    <s v="Prazo"/>
    <s v="Em Dia"/>
  </r>
  <r>
    <d v="2023-04-06T00:00:00"/>
    <d v="2023-03-06T00:00:00"/>
    <d v="2023-03-22T00:00:00"/>
    <x v="3"/>
    <x v="0"/>
    <x v="3"/>
    <s v="NF4534"/>
    <x v="11"/>
    <n v="7078"/>
    <x v="1"/>
    <n v="2023"/>
    <x v="1"/>
    <x v="1"/>
    <x v="1"/>
    <x v="1"/>
    <x v="0"/>
    <s v="Prazo"/>
    <s v="Em Dia"/>
  </r>
  <r>
    <d v="2023-12-27T00:00:00"/>
    <d v="2023-11-26T00:00:00"/>
    <d v="2023-12-12T00:00:00"/>
    <x v="6"/>
    <x v="0"/>
    <x v="3"/>
    <s v="NF4534"/>
    <x v="43"/>
    <n v="6033"/>
    <x v="10"/>
    <n v="2023"/>
    <x v="10"/>
    <x v="1"/>
    <x v="8"/>
    <x v="1"/>
    <x v="0"/>
    <s v="Prazo"/>
    <s v="Em Dia"/>
  </r>
  <r>
    <d v="2023-09-15T00:00:00"/>
    <d v="2023-08-15T00:00:00"/>
    <d v="2023-08-31T00:00:00"/>
    <x v="0"/>
    <x v="0"/>
    <x v="1"/>
    <s v="NF4548"/>
    <x v="6"/>
    <n v="5013"/>
    <x v="2"/>
    <n v="2023"/>
    <x v="2"/>
    <x v="1"/>
    <x v="2"/>
    <x v="1"/>
    <x v="0"/>
    <s v="Prazo"/>
    <s v="Em Dia"/>
  </r>
  <r>
    <d v="2022-05-14T10:59:29"/>
    <d v="2022-03-18T00:00:00"/>
    <d v="2022-05-14T10:59:29"/>
    <x v="0"/>
    <x v="0"/>
    <x v="2"/>
    <s v="NF4559"/>
    <x v="15"/>
    <n v="3540"/>
    <x v="9"/>
    <n v="2022"/>
    <x v="1"/>
    <x v="0"/>
    <x v="0"/>
    <x v="0"/>
    <x v="0"/>
    <s v="Prazo"/>
    <s v="Em Dia"/>
  </r>
  <r>
    <d v="2023-01-02T00:00:00"/>
    <d v="2022-12-02T00:00:00"/>
    <d v="2022-12-18T00:00:00"/>
    <x v="2"/>
    <x v="0"/>
    <x v="4"/>
    <s v="NF4559"/>
    <x v="24"/>
    <n v="4612"/>
    <x v="8"/>
    <n v="2023"/>
    <x v="8"/>
    <x v="0"/>
    <x v="8"/>
    <x v="0"/>
    <x v="0"/>
    <s v="Prazo"/>
    <s v="Em Dia"/>
  </r>
  <r>
    <d v="2023-04-20T00:00:00"/>
    <d v="2023-03-20T00:00:00"/>
    <d v="2023-04-05T00:00:00"/>
    <x v="6"/>
    <x v="0"/>
    <x v="3"/>
    <s v="NF4601"/>
    <x v="19"/>
    <n v="4596"/>
    <x v="1"/>
    <n v="2023"/>
    <x v="1"/>
    <x v="1"/>
    <x v="9"/>
    <x v="1"/>
    <x v="0"/>
    <s v="Prazo"/>
    <s v="Em Dia"/>
  </r>
  <r>
    <d v="2022-02-07T02:03:02"/>
    <d v="2022-02-02T00:00:00"/>
    <d v="2022-02-07T02:03:02"/>
    <x v="5"/>
    <x v="0"/>
    <x v="0"/>
    <s v="NF4604"/>
    <x v="34"/>
    <n v="460"/>
    <x v="7"/>
    <n v="2022"/>
    <x v="4"/>
    <x v="0"/>
    <x v="4"/>
    <x v="0"/>
    <x v="0"/>
    <s v="Prazo"/>
    <s v="Em Dia"/>
  </r>
  <r>
    <d v="2022-08-21T18:39:14"/>
    <d v="2022-07-23T00:00:00"/>
    <d v="2022-08-21T18:39:14"/>
    <x v="6"/>
    <x v="0"/>
    <x v="3"/>
    <s v="NF4605"/>
    <x v="14"/>
    <n v="4258"/>
    <x v="6"/>
    <n v="2022"/>
    <x v="6"/>
    <x v="0"/>
    <x v="2"/>
    <x v="0"/>
    <x v="0"/>
    <s v="Prazo"/>
    <s v="Em Dia"/>
  </r>
  <r>
    <d v="2023-04-21T00:00:00"/>
    <d v="2023-03-21T00:00:00"/>
    <d v="2023-04-06T00:00:00"/>
    <x v="6"/>
    <x v="0"/>
    <x v="1"/>
    <s v="NF4618"/>
    <x v="39"/>
    <n v="1020"/>
    <x v="1"/>
    <n v="2023"/>
    <x v="1"/>
    <x v="1"/>
    <x v="9"/>
    <x v="1"/>
    <x v="0"/>
    <s v="Prazo"/>
    <s v="Em Dia"/>
  </r>
  <r>
    <d v="2022-12-22T00:00:00"/>
    <d v="2022-11-21T00:00:00"/>
    <d v="2022-12-07T00:00:00"/>
    <x v="2"/>
    <x v="0"/>
    <x v="0"/>
    <s v="NF4638"/>
    <x v="20"/>
    <n v="3679"/>
    <x v="10"/>
    <n v="2022"/>
    <x v="10"/>
    <x v="0"/>
    <x v="8"/>
    <x v="0"/>
    <x v="0"/>
    <s v="Prazo"/>
    <s v="Em Dia"/>
  </r>
  <r>
    <d v="2022-09-15T00:00:00"/>
    <d v="2022-08-15T00:00:00"/>
    <d v="2022-08-31T00:00:00"/>
    <x v="1"/>
    <x v="0"/>
    <x v="4"/>
    <s v="NF4646"/>
    <x v="2"/>
    <n v="3776"/>
    <x v="2"/>
    <n v="2022"/>
    <x v="2"/>
    <x v="0"/>
    <x v="2"/>
    <x v="0"/>
    <x v="0"/>
    <s v="Prazo"/>
    <s v="Em Dia"/>
  </r>
  <r>
    <d v="2023-04-05T01:14:25"/>
    <d v="2023-02-12T00:00:00"/>
    <d v="2023-03-30T02:17:21"/>
    <x v="3"/>
    <x v="0"/>
    <x v="2"/>
    <s v="NF4647"/>
    <x v="16"/>
    <n v="3732"/>
    <x v="1"/>
    <n v="2023"/>
    <x v="4"/>
    <x v="1"/>
    <x v="1"/>
    <x v="1"/>
    <x v="0"/>
    <s v="Prazo"/>
    <s v="Em Dia"/>
  </r>
  <r>
    <d v="2022-02-06T00:00:00"/>
    <d v="2022-01-06T00:00:00"/>
    <d v="2022-01-22T00:00:00"/>
    <x v="0"/>
    <x v="0"/>
    <x v="3"/>
    <s v="NF4655"/>
    <x v="15"/>
    <n v="510"/>
    <x v="7"/>
    <n v="2022"/>
    <x v="7"/>
    <x v="0"/>
    <x v="7"/>
    <x v="0"/>
    <x v="0"/>
    <s v="Prazo"/>
    <s v="Em Dia"/>
  </r>
  <r>
    <d v="2022-10-28T00:00:00"/>
    <d v="2022-09-27T00:00:00"/>
    <d v="2022-10-13T00:00:00"/>
    <x v="2"/>
    <x v="0"/>
    <x v="0"/>
    <s v="NF4673"/>
    <x v="25"/>
    <n v="5289"/>
    <x v="11"/>
    <n v="2022"/>
    <x v="11"/>
    <x v="0"/>
    <x v="5"/>
    <x v="0"/>
    <x v="0"/>
    <s v="Prazo"/>
    <s v="Em Dia"/>
  </r>
  <r>
    <d v="2022-04-23T00:00:00"/>
    <d v="2022-03-23T00:00:00"/>
    <d v="2022-04-08T00:00:00"/>
    <x v="3"/>
    <x v="0"/>
    <x v="1"/>
    <s v="NF4684"/>
    <x v="51"/>
    <n v="3339"/>
    <x v="1"/>
    <n v="2022"/>
    <x v="1"/>
    <x v="0"/>
    <x v="9"/>
    <x v="0"/>
    <x v="0"/>
    <s v="Prazo"/>
    <s v="Em Dia"/>
  </r>
  <r>
    <d v="2023-04-24T13:27:37"/>
    <d v="2023-04-03T00:00:00"/>
    <d v="2023-04-24T13:27:37"/>
    <x v="4"/>
    <x v="0"/>
    <x v="2"/>
    <s v="NF4686"/>
    <x v="44"/>
    <n v="1738"/>
    <x v="1"/>
    <n v="2023"/>
    <x v="9"/>
    <x v="1"/>
    <x v="9"/>
    <x v="1"/>
    <x v="0"/>
    <s v="Prazo"/>
    <s v="Em Dia"/>
  </r>
  <r>
    <d v="2021-05-06T00:00:00"/>
    <d v="2021-04-05T00:00:00"/>
    <d v="2021-04-21T00:00:00"/>
    <x v="1"/>
    <x v="0"/>
    <x v="3"/>
    <s v="NF4687"/>
    <x v="31"/>
    <n v="5651"/>
    <x v="9"/>
    <n v="2021"/>
    <x v="9"/>
    <x v="2"/>
    <x v="9"/>
    <x v="2"/>
    <x v="0"/>
    <s v="Prazo"/>
    <s v="Em Dia"/>
  </r>
  <r>
    <d v="2022-06-27T00:00:00"/>
    <d v="2022-05-27T00:00:00"/>
    <d v="2022-06-12T00:00:00"/>
    <x v="3"/>
    <x v="0"/>
    <x v="1"/>
    <s v="NF4689"/>
    <x v="21"/>
    <n v="4414"/>
    <x v="0"/>
    <n v="2022"/>
    <x v="0"/>
    <x v="0"/>
    <x v="3"/>
    <x v="0"/>
    <x v="0"/>
    <s v="Prazo"/>
    <s v="Em Dia"/>
  </r>
  <r>
    <d v="2022-02-04T09:13:28"/>
    <d v="2021-12-16T00:00:00"/>
    <d v="2022-01-22T18:55:36"/>
    <x v="0"/>
    <x v="0"/>
    <x v="1"/>
    <s v="NF4722"/>
    <x v="1"/>
    <n v="3880"/>
    <x v="7"/>
    <n v="2022"/>
    <x v="8"/>
    <x v="2"/>
    <x v="7"/>
    <x v="0"/>
    <x v="0"/>
    <s v="Prazo"/>
    <s v="Em Dia"/>
  </r>
  <r>
    <d v="2023-11-07T00:00:00"/>
    <d v="2023-10-07T00:00:00"/>
    <d v="2023-10-23T00:00:00"/>
    <x v="3"/>
    <x v="0"/>
    <x v="4"/>
    <s v="NF4740"/>
    <x v="51"/>
    <n v="3502"/>
    <x v="5"/>
    <n v="2023"/>
    <x v="5"/>
    <x v="1"/>
    <x v="5"/>
    <x v="1"/>
    <x v="0"/>
    <s v="Prazo"/>
    <s v="Em Dia"/>
  </r>
  <r>
    <d v="2022-07-28T00:00:00"/>
    <d v="2022-06-27T00:00:00"/>
    <d v="2022-07-13T00:00:00"/>
    <x v="4"/>
    <x v="0"/>
    <x v="2"/>
    <s v="NF4748"/>
    <x v="64"/>
    <n v="3289"/>
    <x v="3"/>
    <n v="2022"/>
    <x v="3"/>
    <x v="0"/>
    <x v="6"/>
    <x v="0"/>
    <x v="0"/>
    <s v="Prazo"/>
    <s v="Em Dia"/>
  </r>
  <r>
    <d v="2022-07-20T00:00:00"/>
    <d v="2022-06-19T00:00:00"/>
    <d v="2022-07-05T00:00:00"/>
    <x v="3"/>
    <x v="0"/>
    <x v="4"/>
    <s v="NF4758"/>
    <x v="11"/>
    <n v="1244"/>
    <x v="3"/>
    <n v="2022"/>
    <x v="3"/>
    <x v="0"/>
    <x v="6"/>
    <x v="0"/>
    <x v="0"/>
    <s v="Prazo"/>
    <s v="Em Dia"/>
  </r>
  <r>
    <d v="2021-10-03T00:00:00"/>
    <d v="2021-09-02T00:00:00"/>
    <d v="2021-09-18T00:00:00"/>
    <x v="6"/>
    <x v="0"/>
    <x v="1"/>
    <s v="NF4766"/>
    <x v="19"/>
    <n v="7152"/>
    <x v="11"/>
    <n v="2021"/>
    <x v="11"/>
    <x v="2"/>
    <x v="11"/>
    <x v="2"/>
    <x v="0"/>
    <s v="Prazo"/>
    <s v="Em Dia"/>
  </r>
  <r>
    <d v="2023-02-07T00:24:31"/>
    <d v="2022-11-04T00:00:00"/>
    <d v="2022-12-08T21:36:08"/>
    <x v="6"/>
    <x v="0"/>
    <x v="0"/>
    <s v="NF4782"/>
    <x v="43"/>
    <n v="1820"/>
    <x v="7"/>
    <n v="2023"/>
    <x v="10"/>
    <x v="0"/>
    <x v="8"/>
    <x v="0"/>
    <x v="0"/>
    <s v="Prazo"/>
    <s v="Em Dia"/>
  </r>
  <r>
    <d v="2021-04-28T00:00:00"/>
    <d v="2021-03-28T00:00:00"/>
    <d v="2021-04-13T00:00:00"/>
    <x v="4"/>
    <x v="0"/>
    <x v="3"/>
    <s v="NF4788"/>
    <x v="8"/>
    <n v="3923"/>
    <x v="1"/>
    <n v="2021"/>
    <x v="1"/>
    <x v="2"/>
    <x v="9"/>
    <x v="2"/>
    <x v="0"/>
    <s v="Prazo"/>
    <s v="Em Dia"/>
  </r>
  <r>
    <d v="2022-10-29T00:00:00"/>
    <d v="2022-09-28T00:00:00"/>
    <d v="2022-10-14T00:00:00"/>
    <x v="5"/>
    <x v="0"/>
    <x v="1"/>
    <s v="NF4802"/>
    <x v="34"/>
    <n v="2780"/>
    <x v="11"/>
    <n v="2022"/>
    <x v="11"/>
    <x v="0"/>
    <x v="5"/>
    <x v="0"/>
    <x v="0"/>
    <s v="Prazo"/>
    <s v="Em Dia"/>
  </r>
  <r>
    <d v="2022-11-01T16:45:30"/>
    <d v="2022-09-23T00:00:00"/>
    <d v="2022-11-01T16:45:30"/>
    <x v="4"/>
    <x v="0"/>
    <x v="0"/>
    <s v="NF4809"/>
    <x v="64"/>
    <n v="3742"/>
    <x v="5"/>
    <n v="2022"/>
    <x v="11"/>
    <x v="0"/>
    <x v="10"/>
    <x v="0"/>
    <x v="0"/>
    <s v="Prazo"/>
    <s v="Em Dia"/>
  </r>
  <r>
    <d v="2021-02-28T00:00:00"/>
    <d v="2021-01-28T00:00:00"/>
    <d v="2021-02-13T00:00:00"/>
    <x v="4"/>
    <x v="0"/>
    <x v="0"/>
    <s v="NF4811"/>
    <x v="64"/>
    <n v="3948"/>
    <x v="7"/>
    <n v="2021"/>
    <x v="7"/>
    <x v="2"/>
    <x v="4"/>
    <x v="2"/>
    <x v="0"/>
    <s v="Prazo"/>
    <s v="Em Dia"/>
  </r>
  <r>
    <d v="2022-06-25T12:16:33"/>
    <d v="2022-06-10T00:00:00"/>
    <d v="2022-06-25T12:16:33"/>
    <x v="5"/>
    <x v="0"/>
    <x v="1"/>
    <s v="NF4824"/>
    <x v="9"/>
    <n v="2114"/>
    <x v="0"/>
    <n v="2022"/>
    <x v="3"/>
    <x v="0"/>
    <x v="3"/>
    <x v="0"/>
    <x v="0"/>
    <s v="Prazo"/>
    <s v="Em Dia"/>
  </r>
  <r>
    <d v="2021-11-13T10:54:19"/>
    <d v="2021-10-07T00:00:00"/>
    <d v="2021-11-13T10:54:19"/>
    <x v="4"/>
    <x v="0"/>
    <x v="4"/>
    <s v="NF4832"/>
    <x v="12"/>
    <n v="1958"/>
    <x v="5"/>
    <n v="2021"/>
    <x v="5"/>
    <x v="2"/>
    <x v="10"/>
    <x v="2"/>
    <x v="0"/>
    <s v="Prazo"/>
    <s v="Em Dia"/>
  </r>
  <r>
    <d v="2023-03-17T15:39:40"/>
    <d v="2023-02-10T00:00:00"/>
    <d v="2023-03-17T15:39:40"/>
    <x v="1"/>
    <x v="0"/>
    <x v="4"/>
    <s v="NF4849"/>
    <x v="10"/>
    <n v="4461"/>
    <x v="4"/>
    <n v="2023"/>
    <x v="4"/>
    <x v="1"/>
    <x v="1"/>
    <x v="1"/>
    <x v="0"/>
    <s v="Prazo"/>
    <s v="Em Dia"/>
  </r>
  <r>
    <d v="2021-05-05T00:00:00"/>
    <d v="2021-04-04T00:00:00"/>
    <d v="2021-04-20T00:00:00"/>
    <x v="6"/>
    <x v="0"/>
    <x v="0"/>
    <s v="NF4854"/>
    <x v="43"/>
    <n v="4673"/>
    <x v="9"/>
    <n v="2021"/>
    <x v="9"/>
    <x v="2"/>
    <x v="9"/>
    <x v="2"/>
    <x v="0"/>
    <s v="Prazo"/>
    <s v="Em Dia"/>
  </r>
  <r>
    <d v="2022-01-21T00:00:00"/>
    <d v="2021-12-21T00:00:00"/>
    <d v="2022-01-06T00:00:00"/>
    <x v="0"/>
    <x v="0"/>
    <x v="1"/>
    <s v="NF4854"/>
    <x v="0"/>
    <n v="5592"/>
    <x v="8"/>
    <n v="2022"/>
    <x v="8"/>
    <x v="2"/>
    <x v="7"/>
    <x v="0"/>
    <x v="0"/>
    <s v="Prazo"/>
    <s v="Em Dia"/>
  </r>
  <r>
    <d v="2022-06-01T00:00:00"/>
    <d v="2022-05-01T00:00:00"/>
    <d v="2022-05-17T00:00:00"/>
    <x v="3"/>
    <x v="0"/>
    <x v="3"/>
    <s v="NF4855"/>
    <x v="49"/>
    <n v="3866"/>
    <x v="0"/>
    <n v="2022"/>
    <x v="0"/>
    <x v="0"/>
    <x v="0"/>
    <x v="0"/>
    <x v="0"/>
    <s v="Prazo"/>
    <s v="Em Dia"/>
  </r>
  <r>
    <d v="2022-08-31T18:29:50"/>
    <d v="2022-08-11T00:00:00"/>
    <d v="2022-08-31T18:29:50"/>
    <x v="7"/>
    <x v="0"/>
    <x v="1"/>
    <s v="NF4862"/>
    <x v="27"/>
    <n v="405"/>
    <x v="6"/>
    <n v="2022"/>
    <x v="2"/>
    <x v="0"/>
    <x v="2"/>
    <x v="0"/>
    <x v="0"/>
    <s v="Prazo"/>
    <s v="Em Dia"/>
  </r>
  <r>
    <d v="2022-01-09T00:00:00"/>
    <d v="2021-12-09T00:00:00"/>
    <d v="2021-12-25T00:00:00"/>
    <x v="0"/>
    <x v="0"/>
    <x v="1"/>
    <s v="NF4864"/>
    <x v="50"/>
    <n v="6321"/>
    <x v="8"/>
    <n v="2022"/>
    <x v="8"/>
    <x v="2"/>
    <x v="8"/>
    <x v="2"/>
    <x v="0"/>
    <s v="Prazo"/>
    <s v="Em Dia"/>
  </r>
  <r>
    <d v="2023-04-20T00:00:00"/>
    <d v="2023-03-20T00:00:00"/>
    <d v="2023-04-05T00:00:00"/>
    <x v="3"/>
    <x v="0"/>
    <x v="4"/>
    <s v="NF4883"/>
    <x v="16"/>
    <n v="6957"/>
    <x v="1"/>
    <n v="2023"/>
    <x v="1"/>
    <x v="1"/>
    <x v="9"/>
    <x v="1"/>
    <x v="0"/>
    <s v="Prazo"/>
    <s v="Em Dia"/>
  </r>
  <r>
    <d v="2021-07-07T00:00:00"/>
    <d v="2021-06-06T00:00:00"/>
    <d v="2021-06-22T00:00:00"/>
    <x v="6"/>
    <x v="0"/>
    <x v="2"/>
    <s v="NF4894"/>
    <x v="42"/>
    <n v="6558"/>
    <x v="3"/>
    <n v="2021"/>
    <x v="3"/>
    <x v="2"/>
    <x v="3"/>
    <x v="2"/>
    <x v="0"/>
    <s v="Prazo"/>
    <s v="Em Dia"/>
  </r>
  <r>
    <d v="2022-08-18T15:26:28"/>
    <d v="2022-05-08T00:00:00"/>
    <d v="2022-07-02T22:06:22"/>
    <x v="8"/>
    <x v="0"/>
    <x v="3"/>
    <s v="NF4912"/>
    <x v="66"/>
    <n v="3862"/>
    <x v="6"/>
    <n v="2022"/>
    <x v="0"/>
    <x v="0"/>
    <x v="6"/>
    <x v="0"/>
    <x v="0"/>
    <s v="Prazo"/>
    <s v="Em Dia"/>
  </r>
  <r>
    <d v="2021-01-03T00:00:00"/>
    <d v="2020-12-03T00:00:00"/>
    <d v="2020-12-03T00:00:00"/>
    <x v="6"/>
    <x v="0"/>
    <x v="2"/>
    <s v="NF4918"/>
    <x v="19"/>
    <n v="6198"/>
    <x v="8"/>
    <n v="2021"/>
    <x v="8"/>
    <x v="3"/>
    <x v="8"/>
    <x v="3"/>
    <x v="0"/>
    <s v="Vista"/>
    <s v="Em Dia"/>
  </r>
  <r>
    <d v="2021-07-13T00:00:00"/>
    <d v="2021-06-12T00:00:00"/>
    <d v="2021-06-28T00:00:00"/>
    <x v="7"/>
    <x v="0"/>
    <x v="1"/>
    <s v="NF4926"/>
    <x v="29"/>
    <n v="6392"/>
    <x v="3"/>
    <n v="2021"/>
    <x v="3"/>
    <x v="2"/>
    <x v="3"/>
    <x v="2"/>
    <x v="0"/>
    <s v="Prazo"/>
    <s v="Em Dia"/>
  </r>
  <r>
    <d v="2023-02-15T16:37:04"/>
    <d v="2023-01-04T00:00:00"/>
    <d v="2023-02-15T16:37:04"/>
    <x v="1"/>
    <x v="0"/>
    <x v="0"/>
    <s v="NF4946"/>
    <x v="47"/>
    <n v="3007"/>
    <x v="7"/>
    <n v="2023"/>
    <x v="7"/>
    <x v="1"/>
    <x v="4"/>
    <x v="1"/>
    <x v="0"/>
    <s v="Prazo"/>
    <s v="Em Dia"/>
  </r>
  <r>
    <d v="2023-08-09T00:00:00"/>
    <d v="2023-07-09T00:00:00"/>
    <d v="2023-07-25T00:00:00"/>
    <x v="4"/>
    <x v="0"/>
    <x v="3"/>
    <s v="NF4977"/>
    <x v="58"/>
    <n v="7525"/>
    <x v="6"/>
    <n v="2023"/>
    <x v="6"/>
    <x v="1"/>
    <x v="6"/>
    <x v="1"/>
    <x v="0"/>
    <s v="Prazo"/>
    <s v="Em Dia"/>
  </r>
  <r>
    <d v="2021-02-19T00:00:00"/>
    <d v="2021-01-19T00:00:00"/>
    <d v="2021-02-04T00:00:00"/>
    <x v="1"/>
    <x v="0"/>
    <x v="2"/>
    <s v="NF4982"/>
    <x v="40"/>
    <n v="5305"/>
    <x v="7"/>
    <n v="2021"/>
    <x v="7"/>
    <x v="2"/>
    <x v="4"/>
    <x v="2"/>
    <x v="0"/>
    <s v="Prazo"/>
    <s v="Em Dia"/>
  </r>
  <r>
    <d v="2022-06-26T16:36:24"/>
    <d v="2022-03-04T00:00:00"/>
    <d v="2022-04-21T02:43:37"/>
    <x v="2"/>
    <x v="0"/>
    <x v="0"/>
    <s v="NF4994"/>
    <x v="24"/>
    <n v="1217"/>
    <x v="0"/>
    <n v="2022"/>
    <x v="1"/>
    <x v="0"/>
    <x v="9"/>
    <x v="0"/>
    <x v="0"/>
    <s v="Prazo"/>
    <s v="Em Dia"/>
  </r>
  <r>
    <d v="2021-11-13T11:03:59"/>
    <d v="2021-10-30T00:00:00"/>
    <d v="2021-11-13T11:03:59"/>
    <x v="3"/>
    <x v="0"/>
    <x v="0"/>
    <s v="NF5004"/>
    <x v="49"/>
    <n v="4446"/>
    <x v="5"/>
    <n v="2021"/>
    <x v="5"/>
    <x v="2"/>
    <x v="10"/>
    <x v="2"/>
    <x v="0"/>
    <s v="Prazo"/>
    <s v="Em Dia"/>
  </r>
  <r>
    <s v="N/A"/>
    <d v="2021-10-09T00:00:00"/>
    <d v="2021-11-04T07:09:50"/>
    <x v="0"/>
    <x v="0"/>
    <x v="1"/>
    <s v="NF5012"/>
    <x v="37"/>
    <n v="1171"/>
    <x v="12"/>
    <n v="0"/>
    <x v="5"/>
    <x v="2"/>
    <x v="10"/>
    <x v="2"/>
    <x v="1"/>
    <s v="Prazo"/>
    <s v="Com atraso"/>
  </r>
  <r>
    <d v="2021-06-24T00:00:00"/>
    <d v="2021-05-24T00:00:00"/>
    <d v="2021-06-09T00:00:00"/>
    <x v="6"/>
    <x v="0"/>
    <x v="3"/>
    <s v="NF5072"/>
    <x v="33"/>
    <n v="7450"/>
    <x v="0"/>
    <n v="2021"/>
    <x v="0"/>
    <x v="2"/>
    <x v="3"/>
    <x v="2"/>
    <x v="0"/>
    <s v="Prazo"/>
    <s v="Em Dia"/>
  </r>
  <r>
    <d v="2022-08-16T03:25:23"/>
    <d v="2022-06-21T00:00:00"/>
    <d v="2022-07-28T09:26:34"/>
    <x v="2"/>
    <x v="0"/>
    <x v="3"/>
    <s v="NF5074"/>
    <x v="17"/>
    <n v="460"/>
    <x v="6"/>
    <n v="2022"/>
    <x v="3"/>
    <x v="0"/>
    <x v="6"/>
    <x v="0"/>
    <x v="0"/>
    <s v="Prazo"/>
    <s v="Em Dia"/>
  </r>
  <r>
    <d v="2023-06-17T04:51:59"/>
    <d v="2023-06-09T00:00:00"/>
    <d v="2023-06-16T20:20:17"/>
    <x v="5"/>
    <x v="0"/>
    <x v="2"/>
    <s v="NF5098"/>
    <x v="56"/>
    <n v="191"/>
    <x v="0"/>
    <n v="2023"/>
    <x v="3"/>
    <x v="1"/>
    <x v="3"/>
    <x v="1"/>
    <x v="0"/>
    <s v="Prazo"/>
    <s v="Em Dia"/>
  </r>
  <r>
    <s v="N/A"/>
    <d v="2022-11-23T00:00:00"/>
    <d v="2022-12-31T01:31:16"/>
    <x v="7"/>
    <x v="0"/>
    <x v="2"/>
    <s v="NF5107"/>
    <x v="46"/>
    <n v="1414"/>
    <x v="12"/>
    <n v="0"/>
    <x v="10"/>
    <x v="0"/>
    <x v="8"/>
    <x v="0"/>
    <x v="1"/>
    <s v="Prazo"/>
    <s v="Com atraso"/>
  </r>
  <r>
    <d v="2021-10-08T00:00:00"/>
    <d v="2021-09-07T00:00:00"/>
    <d v="2021-09-23T00:00:00"/>
    <x v="7"/>
    <x v="0"/>
    <x v="4"/>
    <s v="NF5141"/>
    <x v="27"/>
    <n v="7117"/>
    <x v="11"/>
    <n v="2021"/>
    <x v="11"/>
    <x v="2"/>
    <x v="11"/>
    <x v="2"/>
    <x v="0"/>
    <s v="Prazo"/>
    <s v="Em Dia"/>
  </r>
  <r>
    <d v="2021-05-28T00:00:00"/>
    <d v="2021-04-27T00:00:00"/>
    <d v="2021-05-13T00:00:00"/>
    <x v="6"/>
    <x v="0"/>
    <x v="0"/>
    <s v="NF5142"/>
    <x v="30"/>
    <n v="2153"/>
    <x v="9"/>
    <n v="2021"/>
    <x v="9"/>
    <x v="2"/>
    <x v="0"/>
    <x v="2"/>
    <x v="0"/>
    <s v="Prazo"/>
    <s v="Em Dia"/>
  </r>
  <r>
    <d v="2021-04-22T00:00:00"/>
    <d v="2021-03-22T00:00:00"/>
    <d v="2021-04-07T00:00:00"/>
    <x v="2"/>
    <x v="0"/>
    <x v="3"/>
    <s v="NF5170"/>
    <x v="35"/>
    <n v="1985"/>
    <x v="1"/>
    <n v="2021"/>
    <x v="1"/>
    <x v="2"/>
    <x v="9"/>
    <x v="2"/>
    <x v="0"/>
    <s v="Prazo"/>
    <s v="Em Dia"/>
  </r>
  <r>
    <d v="2022-07-08T00:00:00"/>
    <d v="2022-06-07T00:00:00"/>
    <d v="2022-06-23T00:00:00"/>
    <x v="5"/>
    <x v="0"/>
    <x v="1"/>
    <s v="NF5181"/>
    <x v="34"/>
    <n v="4187"/>
    <x v="3"/>
    <n v="2022"/>
    <x v="3"/>
    <x v="0"/>
    <x v="3"/>
    <x v="0"/>
    <x v="0"/>
    <s v="Prazo"/>
    <s v="Em Dia"/>
  </r>
  <r>
    <d v="2022-03-05T00:00:00"/>
    <d v="2022-02-02T00:00:00"/>
    <d v="2022-02-18T00:00:00"/>
    <x v="0"/>
    <x v="0"/>
    <x v="4"/>
    <s v="NF5186"/>
    <x v="41"/>
    <n v="2049"/>
    <x v="4"/>
    <n v="2022"/>
    <x v="4"/>
    <x v="0"/>
    <x v="4"/>
    <x v="0"/>
    <x v="0"/>
    <s v="Prazo"/>
    <s v="Em Dia"/>
  </r>
  <r>
    <d v="2022-06-13T21:25:50"/>
    <d v="2022-04-11T00:00:00"/>
    <d v="2022-06-09T12:51:29"/>
    <x v="6"/>
    <x v="0"/>
    <x v="2"/>
    <s v="NF5208"/>
    <x v="57"/>
    <n v="2593"/>
    <x v="0"/>
    <n v="2022"/>
    <x v="9"/>
    <x v="0"/>
    <x v="3"/>
    <x v="0"/>
    <x v="0"/>
    <s v="Prazo"/>
    <s v="Em Dia"/>
  </r>
  <r>
    <d v="2022-03-21T00:00:00"/>
    <d v="2022-02-18T00:00:00"/>
    <d v="2022-03-06T00:00:00"/>
    <x v="3"/>
    <x v="0"/>
    <x v="1"/>
    <s v="NF5209"/>
    <x v="21"/>
    <n v="4926"/>
    <x v="4"/>
    <n v="2022"/>
    <x v="4"/>
    <x v="0"/>
    <x v="1"/>
    <x v="0"/>
    <x v="0"/>
    <s v="Prazo"/>
    <s v="Em Dia"/>
  </r>
  <r>
    <d v="2022-05-12T00:00:00"/>
    <d v="2022-04-11T00:00:00"/>
    <d v="2022-04-27T00:00:00"/>
    <x v="6"/>
    <x v="0"/>
    <x v="4"/>
    <s v="NF5218"/>
    <x v="39"/>
    <n v="4026"/>
    <x v="9"/>
    <n v="2022"/>
    <x v="9"/>
    <x v="0"/>
    <x v="9"/>
    <x v="0"/>
    <x v="0"/>
    <s v="Prazo"/>
    <s v="Em Dia"/>
  </r>
  <r>
    <d v="2021-07-10T00:00:00"/>
    <d v="2021-06-09T00:00:00"/>
    <d v="2021-06-25T00:00:00"/>
    <x v="5"/>
    <x v="0"/>
    <x v="2"/>
    <s v="NF5262"/>
    <x v="9"/>
    <n v="3130"/>
    <x v="3"/>
    <n v="2021"/>
    <x v="3"/>
    <x v="2"/>
    <x v="3"/>
    <x v="2"/>
    <x v="0"/>
    <s v="Prazo"/>
    <s v="Em Dia"/>
  </r>
  <r>
    <d v="2022-08-09T08:15:02"/>
    <d v="2022-08-06T00:00:00"/>
    <d v="2022-08-09T08:15:02"/>
    <x v="2"/>
    <x v="0"/>
    <x v="2"/>
    <s v="NF5280"/>
    <x v="3"/>
    <n v="3031"/>
    <x v="6"/>
    <n v="2022"/>
    <x v="2"/>
    <x v="0"/>
    <x v="2"/>
    <x v="0"/>
    <x v="0"/>
    <s v="Prazo"/>
    <s v="Em Dia"/>
  </r>
  <r>
    <d v="2022-08-12T00:00:00"/>
    <d v="2022-07-12T00:00:00"/>
    <d v="2022-07-28T00:00:00"/>
    <x v="1"/>
    <x v="0"/>
    <x v="1"/>
    <s v="NF5287"/>
    <x v="13"/>
    <n v="299"/>
    <x v="6"/>
    <n v="2022"/>
    <x v="6"/>
    <x v="0"/>
    <x v="6"/>
    <x v="0"/>
    <x v="0"/>
    <s v="Prazo"/>
    <s v="Em Dia"/>
  </r>
  <r>
    <d v="2023-07-02T00:00:00"/>
    <d v="2023-06-01T00:00:00"/>
    <d v="2023-06-17T00:00:00"/>
    <x v="4"/>
    <x v="0"/>
    <x v="3"/>
    <s v="NF5356"/>
    <x v="18"/>
    <n v="2301"/>
    <x v="3"/>
    <n v="2023"/>
    <x v="3"/>
    <x v="1"/>
    <x v="3"/>
    <x v="1"/>
    <x v="0"/>
    <s v="Prazo"/>
    <s v="Em Dia"/>
  </r>
  <r>
    <d v="2023-06-13T00:00:00"/>
    <d v="2023-05-13T00:00:00"/>
    <d v="2023-05-29T00:00:00"/>
    <x v="7"/>
    <x v="0"/>
    <x v="4"/>
    <s v="NF5357"/>
    <x v="52"/>
    <n v="6871"/>
    <x v="0"/>
    <n v="2023"/>
    <x v="0"/>
    <x v="1"/>
    <x v="0"/>
    <x v="1"/>
    <x v="0"/>
    <s v="Prazo"/>
    <s v="Em Dia"/>
  </r>
  <r>
    <d v="2022-06-10T00:00:00"/>
    <d v="2022-05-10T00:00:00"/>
    <d v="2022-05-26T00:00:00"/>
    <x v="7"/>
    <x v="0"/>
    <x v="3"/>
    <s v="NF5371"/>
    <x v="55"/>
    <n v="7921"/>
    <x v="0"/>
    <n v="2022"/>
    <x v="0"/>
    <x v="0"/>
    <x v="0"/>
    <x v="0"/>
    <x v="0"/>
    <s v="Prazo"/>
    <s v="Em Dia"/>
  </r>
  <r>
    <d v="2022-11-12T18:59:39"/>
    <d v="2022-10-30T00:00:00"/>
    <d v="2022-11-12T18:59:39"/>
    <x v="8"/>
    <x v="0"/>
    <x v="2"/>
    <s v="NF5374"/>
    <x v="61"/>
    <n v="3787"/>
    <x v="5"/>
    <n v="2022"/>
    <x v="5"/>
    <x v="0"/>
    <x v="10"/>
    <x v="0"/>
    <x v="0"/>
    <s v="Prazo"/>
    <s v="Em Dia"/>
  </r>
  <r>
    <d v="2021-09-14T00:00:00"/>
    <d v="2021-08-14T00:00:00"/>
    <d v="2021-08-30T00:00:00"/>
    <x v="3"/>
    <x v="0"/>
    <x v="1"/>
    <s v="NF5379"/>
    <x v="49"/>
    <n v="4644"/>
    <x v="2"/>
    <n v="2021"/>
    <x v="2"/>
    <x v="2"/>
    <x v="2"/>
    <x v="2"/>
    <x v="0"/>
    <s v="Prazo"/>
    <s v="Em Dia"/>
  </r>
  <r>
    <d v="2023-07-29T00:00:00"/>
    <d v="2023-06-28T00:00:00"/>
    <d v="2023-07-14T00:00:00"/>
    <x v="1"/>
    <x v="0"/>
    <x v="0"/>
    <s v="NF5395"/>
    <x v="40"/>
    <n v="6934"/>
    <x v="3"/>
    <n v="2023"/>
    <x v="3"/>
    <x v="1"/>
    <x v="6"/>
    <x v="1"/>
    <x v="0"/>
    <s v="Prazo"/>
    <s v="Em Dia"/>
  </r>
  <r>
    <d v="2021-09-23T00:00:00"/>
    <d v="2021-08-23T00:00:00"/>
    <d v="2021-09-08T00:00:00"/>
    <x v="5"/>
    <x v="0"/>
    <x v="1"/>
    <s v="NF5396"/>
    <x v="48"/>
    <n v="891"/>
    <x v="2"/>
    <n v="2021"/>
    <x v="2"/>
    <x v="2"/>
    <x v="11"/>
    <x v="2"/>
    <x v="0"/>
    <s v="Prazo"/>
    <s v="Em Dia"/>
  </r>
  <r>
    <d v="2023-06-16T00:00:00"/>
    <d v="2023-05-16T00:00:00"/>
    <d v="2023-06-01T00:00:00"/>
    <x v="7"/>
    <x v="0"/>
    <x v="4"/>
    <s v="NF5412"/>
    <x v="29"/>
    <n v="3795"/>
    <x v="0"/>
    <n v="2023"/>
    <x v="0"/>
    <x v="1"/>
    <x v="3"/>
    <x v="1"/>
    <x v="0"/>
    <s v="Prazo"/>
    <s v="Em Dia"/>
  </r>
  <r>
    <d v="2022-06-03T00:00:00"/>
    <d v="2022-05-03T00:00:00"/>
    <d v="2022-05-19T00:00:00"/>
    <x v="5"/>
    <x v="0"/>
    <x v="0"/>
    <s v="NF5420"/>
    <x v="9"/>
    <n v="3033"/>
    <x v="0"/>
    <n v="2022"/>
    <x v="0"/>
    <x v="0"/>
    <x v="0"/>
    <x v="0"/>
    <x v="0"/>
    <s v="Prazo"/>
    <s v="Em Dia"/>
  </r>
  <r>
    <d v="2023-11-24T00:00:00"/>
    <d v="2023-10-24T00:00:00"/>
    <d v="2023-11-09T00:00:00"/>
    <x v="0"/>
    <x v="0"/>
    <x v="4"/>
    <s v="NF5456"/>
    <x v="6"/>
    <n v="5681"/>
    <x v="5"/>
    <n v="2023"/>
    <x v="5"/>
    <x v="1"/>
    <x v="10"/>
    <x v="1"/>
    <x v="0"/>
    <s v="Prazo"/>
    <s v="Em Dia"/>
  </r>
  <r>
    <d v="2021-04-18T00:00:00"/>
    <d v="2021-03-18T00:00:00"/>
    <d v="2021-04-03T00:00:00"/>
    <x v="1"/>
    <x v="0"/>
    <x v="2"/>
    <s v="NF5464"/>
    <x v="28"/>
    <n v="1649"/>
    <x v="1"/>
    <n v="2021"/>
    <x v="1"/>
    <x v="2"/>
    <x v="9"/>
    <x v="2"/>
    <x v="0"/>
    <s v="Prazo"/>
    <s v="Em Dia"/>
  </r>
  <r>
    <d v="2022-10-22T15:14:34"/>
    <d v="2022-09-26T00:00:00"/>
    <d v="2022-10-22T15:14:34"/>
    <x v="7"/>
    <x v="0"/>
    <x v="1"/>
    <s v="NF5491"/>
    <x v="23"/>
    <n v="3222"/>
    <x v="11"/>
    <n v="2022"/>
    <x v="11"/>
    <x v="0"/>
    <x v="5"/>
    <x v="0"/>
    <x v="0"/>
    <s v="Prazo"/>
    <s v="Em Dia"/>
  </r>
  <r>
    <d v="2022-11-08T01:06:09"/>
    <d v="2022-09-18T00:00:00"/>
    <d v="2022-11-08T01:06:09"/>
    <x v="8"/>
    <x v="0"/>
    <x v="1"/>
    <s v="NF5492"/>
    <x v="67"/>
    <n v="2539"/>
    <x v="5"/>
    <n v="2022"/>
    <x v="11"/>
    <x v="0"/>
    <x v="10"/>
    <x v="0"/>
    <x v="0"/>
    <s v="Prazo"/>
    <s v="Em Dia"/>
  </r>
  <r>
    <d v="2021-10-12T22:20:38"/>
    <d v="2021-08-22T00:00:00"/>
    <d v="2021-10-12T22:20:38"/>
    <x v="6"/>
    <x v="0"/>
    <x v="3"/>
    <s v="NF5493"/>
    <x v="19"/>
    <n v="807"/>
    <x v="11"/>
    <n v="2021"/>
    <x v="2"/>
    <x v="2"/>
    <x v="5"/>
    <x v="2"/>
    <x v="0"/>
    <s v="Prazo"/>
    <s v="Em Dia"/>
  </r>
  <r>
    <d v="2022-07-14T23:49:32"/>
    <d v="2022-06-08T00:00:00"/>
    <d v="2022-07-14T23:49:32"/>
    <x v="4"/>
    <x v="0"/>
    <x v="2"/>
    <s v="NF5496"/>
    <x v="12"/>
    <n v="3134"/>
    <x v="3"/>
    <n v="2022"/>
    <x v="3"/>
    <x v="0"/>
    <x v="6"/>
    <x v="0"/>
    <x v="0"/>
    <s v="Prazo"/>
    <s v="Em Dia"/>
  </r>
  <r>
    <d v="2023-08-09T15:25:27"/>
    <d v="2023-05-19T00:00:00"/>
    <d v="2023-06-19T21:04:28"/>
    <x v="2"/>
    <x v="0"/>
    <x v="3"/>
    <s v="NF5531"/>
    <x v="35"/>
    <n v="1071"/>
    <x v="6"/>
    <n v="2023"/>
    <x v="0"/>
    <x v="1"/>
    <x v="3"/>
    <x v="1"/>
    <x v="0"/>
    <s v="Prazo"/>
    <s v="Em Dia"/>
  </r>
  <r>
    <d v="2022-08-09T01:35:18"/>
    <d v="2022-06-25T00:00:00"/>
    <d v="2022-08-05T17:42:47"/>
    <x v="6"/>
    <x v="0"/>
    <x v="2"/>
    <s v="NF5560"/>
    <x v="59"/>
    <n v="3646"/>
    <x v="6"/>
    <n v="2022"/>
    <x v="3"/>
    <x v="0"/>
    <x v="2"/>
    <x v="0"/>
    <x v="0"/>
    <s v="Prazo"/>
    <s v="Em Dia"/>
  </r>
  <r>
    <d v="2022-10-03T00:00:00"/>
    <d v="2022-09-02T00:00:00"/>
    <d v="2022-09-18T00:00:00"/>
    <x v="2"/>
    <x v="0"/>
    <x v="4"/>
    <s v="NF5566"/>
    <x v="24"/>
    <n v="7872"/>
    <x v="11"/>
    <n v="2022"/>
    <x v="11"/>
    <x v="0"/>
    <x v="11"/>
    <x v="0"/>
    <x v="0"/>
    <s v="Prazo"/>
    <s v="Em Dia"/>
  </r>
  <r>
    <d v="2023-05-10T23:40:58"/>
    <d v="2023-04-29T00:00:00"/>
    <d v="2023-05-10T23:40:58"/>
    <x v="6"/>
    <x v="0"/>
    <x v="2"/>
    <s v="NF5571"/>
    <x v="14"/>
    <n v="2091"/>
    <x v="9"/>
    <n v="2023"/>
    <x v="9"/>
    <x v="1"/>
    <x v="0"/>
    <x v="1"/>
    <x v="0"/>
    <s v="Prazo"/>
    <s v="Em Dia"/>
  </r>
  <r>
    <d v="2023-09-10T00:00:00"/>
    <d v="2023-08-10T00:00:00"/>
    <d v="2023-08-26T00:00:00"/>
    <x v="7"/>
    <x v="0"/>
    <x v="3"/>
    <s v="NF5573"/>
    <x v="46"/>
    <n v="2876"/>
    <x v="2"/>
    <n v="2023"/>
    <x v="2"/>
    <x v="1"/>
    <x v="2"/>
    <x v="1"/>
    <x v="0"/>
    <s v="Prazo"/>
    <s v="Em Dia"/>
  </r>
  <r>
    <d v="2021-05-16T00:00:00"/>
    <d v="2021-04-15T00:00:00"/>
    <d v="2021-05-01T00:00:00"/>
    <x v="6"/>
    <x v="0"/>
    <x v="2"/>
    <s v="NF5591"/>
    <x v="22"/>
    <n v="4096"/>
    <x v="9"/>
    <n v="2021"/>
    <x v="9"/>
    <x v="2"/>
    <x v="0"/>
    <x v="2"/>
    <x v="0"/>
    <s v="Prazo"/>
    <s v="Em Dia"/>
  </r>
  <r>
    <d v="2023-03-24T05:21:02"/>
    <d v="2023-02-21T00:00:00"/>
    <d v="2023-03-24T05:21:02"/>
    <x v="7"/>
    <x v="0"/>
    <x v="3"/>
    <s v="NF5598"/>
    <x v="46"/>
    <n v="850"/>
    <x v="4"/>
    <n v="2023"/>
    <x v="4"/>
    <x v="1"/>
    <x v="1"/>
    <x v="1"/>
    <x v="0"/>
    <s v="Prazo"/>
    <s v="Em Dia"/>
  </r>
  <r>
    <d v="2021-04-22T00:00:00"/>
    <d v="2021-03-22T00:00:00"/>
    <d v="2021-04-07T00:00:00"/>
    <x v="5"/>
    <x v="0"/>
    <x v="4"/>
    <s v="NF5602"/>
    <x v="34"/>
    <n v="5240"/>
    <x v="1"/>
    <n v="2021"/>
    <x v="1"/>
    <x v="2"/>
    <x v="9"/>
    <x v="2"/>
    <x v="0"/>
    <s v="Prazo"/>
    <s v="Em Dia"/>
  </r>
  <r>
    <d v="2021-03-20T00:00:00"/>
    <d v="2021-02-17T00:00:00"/>
    <d v="2021-03-05T00:00:00"/>
    <x v="4"/>
    <x v="0"/>
    <x v="0"/>
    <s v="NF5652"/>
    <x v="58"/>
    <n v="7345"/>
    <x v="4"/>
    <n v="2021"/>
    <x v="4"/>
    <x v="2"/>
    <x v="1"/>
    <x v="2"/>
    <x v="0"/>
    <s v="Prazo"/>
    <s v="Em Dia"/>
  </r>
  <r>
    <d v="2021-12-21T00:00:00"/>
    <d v="2021-11-20T00:00:00"/>
    <d v="2021-12-06T00:00:00"/>
    <x v="1"/>
    <x v="0"/>
    <x v="4"/>
    <s v="NF5655"/>
    <x v="10"/>
    <n v="7842"/>
    <x v="10"/>
    <n v="2021"/>
    <x v="10"/>
    <x v="2"/>
    <x v="8"/>
    <x v="2"/>
    <x v="0"/>
    <s v="Prazo"/>
    <s v="Em Dia"/>
  </r>
  <r>
    <d v="2022-05-27T00:00:00"/>
    <d v="2022-04-26T00:00:00"/>
    <d v="2022-05-12T00:00:00"/>
    <x v="4"/>
    <x v="0"/>
    <x v="0"/>
    <s v="NF5702"/>
    <x v="58"/>
    <n v="3259"/>
    <x v="9"/>
    <n v="2022"/>
    <x v="9"/>
    <x v="0"/>
    <x v="0"/>
    <x v="0"/>
    <x v="0"/>
    <s v="Prazo"/>
    <s v="Em Dia"/>
  </r>
  <r>
    <d v="2021-08-15T00:00:00"/>
    <d v="2021-07-15T00:00:00"/>
    <d v="2021-07-31T00:00:00"/>
    <x v="0"/>
    <x v="0"/>
    <x v="4"/>
    <s v="NF5707"/>
    <x v="50"/>
    <n v="735"/>
    <x v="6"/>
    <n v="2021"/>
    <x v="6"/>
    <x v="2"/>
    <x v="6"/>
    <x v="2"/>
    <x v="0"/>
    <s v="Prazo"/>
    <s v="Em Dia"/>
  </r>
  <r>
    <d v="2023-08-03T00:00:00"/>
    <d v="2023-07-03T00:00:00"/>
    <d v="2023-07-19T00:00:00"/>
    <x v="5"/>
    <x v="0"/>
    <x v="4"/>
    <s v="NF5707"/>
    <x v="36"/>
    <n v="5795"/>
    <x v="6"/>
    <n v="2023"/>
    <x v="6"/>
    <x v="1"/>
    <x v="6"/>
    <x v="1"/>
    <x v="0"/>
    <s v="Prazo"/>
    <s v="Em Dia"/>
  </r>
  <r>
    <d v="2022-10-26T00:00:00"/>
    <d v="2022-09-25T00:00:00"/>
    <d v="2022-10-11T00:00:00"/>
    <x v="6"/>
    <x v="0"/>
    <x v="4"/>
    <s v="NF5713"/>
    <x v="59"/>
    <n v="6675"/>
    <x v="11"/>
    <n v="2022"/>
    <x v="11"/>
    <x v="0"/>
    <x v="5"/>
    <x v="0"/>
    <x v="0"/>
    <s v="Prazo"/>
    <s v="Em Dia"/>
  </r>
  <r>
    <d v="2022-02-22T00:00:00"/>
    <d v="2022-01-22T00:00:00"/>
    <d v="2022-02-07T00:00:00"/>
    <x v="3"/>
    <x v="0"/>
    <x v="1"/>
    <s v="NF5714"/>
    <x v="49"/>
    <n v="1200"/>
    <x v="7"/>
    <n v="2022"/>
    <x v="7"/>
    <x v="0"/>
    <x v="4"/>
    <x v="0"/>
    <x v="0"/>
    <s v="Prazo"/>
    <s v="Em Dia"/>
  </r>
  <r>
    <d v="2022-07-02T19:37:07"/>
    <d v="2022-03-07T00:00:00"/>
    <d v="2022-04-13T04:11:14"/>
    <x v="8"/>
    <x v="0"/>
    <x v="4"/>
    <s v="NF5720"/>
    <x v="63"/>
    <n v="1660"/>
    <x v="3"/>
    <n v="2022"/>
    <x v="1"/>
    <x v="0"/>
    <x v="9"/>
    <x v="0"/>
    <x v="0"/>
    <s v="Prazo"/>
    <s v="Em Dia"/>
  </r>
  <r>
    <d v="2022-03-05T00:00:00"/>
    <d v="2022-02-02T00:00:00"/>
    <d v="2022-02-18T00:00:00"/>
    <x v="7"/>
    <x v="0"/>
    <x v="4"/>
    <s v="NF5727"/>
    <x v="45"/>
    <n v="6333"/>
    <x v="4"/>
    <n v="2022"/>
    <x v="4"/>
    <x v="0"/>
    <x v="4"/>
    <x v="0"/>
    <x v="0"/>
    <s v="Prazo"/>
    <s v="Em Dia"/>
  </r>
  <r>
    <d v="2022-04-17T00:00:00"/>
    <d v="2022-03-17T00:00:00"/>
    <d v="2022-04-02T00:00:00"/>
    <x v="5"/>
    <x v="0"/>
    <x v="3"/>
    <s v="NF5732"/>
    <x v="48"/>
    <n v="3189"/>
    <x v="1"/>
    <n v="2022"/>
    <x v="1"/>
    <x v="0"/>
    <x v="9"/>
    <x v="0"/>
    <x v="0"/>
    <s v="Prazo"/>
    <s v="Em Dia"/>
  </r>
  <r>
    <d v="2022-03-12T12:37:55"/>
    <d v="2021-12-26T00:00:00"/>
    <d v="2022-02-19T00:57:48"/>
    <x v="2"/>
    <x v="0"/>
    <x v="2"/>
    <s v="NF5737"/>
    <x v="35"/>
    <n v="1436"/>
    <x v="4"/>
    <n v="2022"/>
    <x v="8"/>
    <x v="2"/>
    <x v="4"/>
    <x v="0"/>
    <x v="0"/>
    <s v="Prazo"/>
    <s v="Em Dia"/>
  </r>
  <r>
    <d v="2023-05-24T00:00:00"/>
    <d v="2023-04-23T00:00:00"/>
    <d v="2023-05-09T00:00:00"/>
    <x v="0"/>
    <x v="0"/>
    <x v="0"/>
    <s v="NF5744"/>
    <x v="37"/>
    <n v="1005"/>
    <x v="9"/>
    <n v="2023"/>
    <x v="9"/>
    <x v="1"/>
    <x v="0"/>
    <x v="1"/>
    <x v="0"/>
    <s v="Prazo"/>
    <s v="Em Dia"/>
  </r>
  <r>
    <d v="2023-08-03T02:13:16"/>
    <d v="2023-04-09T00:00:00"/>
    <d v="2023-05-24T04:50:10"/>
    <x v="1"/>
    <x v="0"/>
    <x v="1"/>
    <s v="NF5748"/>
    <x v="47"/>
    <n v="609"/>
    <x v="6"/>
    <n v="2023"/>
    <x v="9"/>
    <x v="1"/>
    <x v="0"/>
    <x v="1"/>
    <x v="0"/>
    <s v="Prazo"/>
    <s v="Em Dia"/>
  </r>
  <r>
    <d v="2022-02-14T22:35:00"/>
    <d v="2022-02-09T00:00:00"/>
    <d v="2022-02-14T22:35:00"/>
    <x v="6"/>
    <x v="0"/>
    <x v="2"/>
    <s v="NF5788"/>
    <x v="14"/>
    <n v="3412"/>
    <x v="7"/>
    <n v="2022"/>
    <x v="4"/>
    <x v="0"/>
    <x v="4"/>
    <x v="0"/>
    <x v="0"/>
    <s v="Prazo"/>
    <s v="Em Dia"/>
  </r>
  <r>
    <d v="2023-02-17T10:09:23"/>
    <d v="2023-01-27T00:00:00"/>
    <d v="2023-02-17T10:09:23"/>
    <x v="4"/>
    <x v="0"/>
    <x v="2"/>
    <s v="NF5791"/>
    <x v="64"/>
    <n v="177"/>
    <x v="7"/>
    <n v="2023"/>
    <x v="7"/>
    <x v="1"/>
    <x v="4"/>
    <x v="1"/>
    <x v="0"/>
    <s v="Prazo"/>
    <s v="Em Dia"/>
  </r>
  <r>
    <d v="2023-05-17T00:00:00"/>
    <d v="2023-04-16T00:00:00"/>
    <d v="2023-05-02T00:00:00"/>
    <x v="0"/>
    <x v="0"/>
    <x v="3"/>
    <s v="NF5803"/>
    <x v="0"/>
    <n v="3939"/>
    <x v="9"/>
    <n v="2023"/>
    <x v="9"/>
    <x v="1"/>
    <x v="0"/>
    <x v="1"/>
    <x v="0"/>
    <s v="Prazo"/>
    <s v="Em Dia"/>
  </r>
  <r>
    <d v="2022-02-24T00:00:00"/>
    <d v="2022-01-24T00:00:00"/>
    <d v="2022-02-09T00:00:00"/>
    <x v="0"/>
    <x v="0"/>
    <x v="2"/>
    <s v="NF5804"/>
    <x v="37"/>
    <n v="3726"/>
    <x v="7"/>
    <n v="2022"/>
    <x v="7"/>
    <x v="0"/>
    <x v="4"/>
    <x v="0"/>
    <x v="0"/>
    <s v="Prazo"/>
    <s v="Em Dia"/>
  </r>
  <r>
    <d v="2021-12-04T00:54:45"/>
    <d v="2021-11-08T00:00:00"/>
    <d v="2021-11-14T16:52:19"/>
    <x v="1"/>
    <x v="0"/>
    <x v="2"/>
    <s v="NF5808"/>
    <x v="2"/>
    <n v="547"/>
    <x v="10"/>
    <n v="2021"/>
    <x v="10"/>
    <x v="2"/>
    <x v="10"/>
    <x v="2"/>
    <x v="0"/>
    <s v="Prazo"/>
    <s v="Em Dia"/>
  </r>
  <r>
    <d v="2023-02-25T00:00:00"/>
    <d v="2023-01-25T00:00:00"/>
    <d v="2023-02-10T00:00:00"/>
    <x v="4"/>
    <x v="0"/>
    <x v="3"/>
    <s v="NF5832"/>
    <x v="44"/>
    <n v="4107"/>
    <x v="7"/>
    <n v="2023"/>
    <x v="7"/>
    <x v="1"/>
    <x v="4"/>
    <x v="1"/>
    <x v="0"/>
    <s v="Prazo"/>
    <s v="Em Dia"/>
  </r>
  <r>
    <d v="2022-06-04T00:00:00"/>
    <d v="2022-05-04T00:00:00"/>
    <d v="2022-05-20T00:00:00"/>
    <x v="0"/>
    <x v="0"/>
    <x v="1"/>
    <s v="NF5842"/>
    <x v="1"/>
    <n v="5249"/>
    <x v="0"/>
    <n v="2022"/>
    <x v="0"/>
    <x v="0"/>
    <x v="0"/>
    <x v="0"/>
    <x v="0"/>
    <s v="Prazo"/>
    <s v="Em Dia"/>
  </r>
  <r>
    <d v="2021-10-29T00:00:00"/>
    <d v="2021-09-28T00:00:00"/>
    <d v="2021-10-14T00:00:00"/>
    <x v="7"/>
    <x v="0"/>
    <x v="0"/>
    <s v="NF5852"/>
    <x v="29"/>
    <n v="4604"/>
    <x v="11"/>
    <n v="2021"/>
    <x v="11"/>
    <x v="2"/>
    <x v="5"/>
    <x v="2"/>
    <x v="0"/>
    <s v="Prazo"/>
    <s v="Em Dia"/>
  </r>
  <r>
    <d v="2021-02-04T00:00:00"/>
    <d v="2021-01-04T00:00:00"/>
    <d v="2021-01-20T00:00:00"/>
    <x v="7"/>
    <x v="0"/>
    <x v="2"/>
    <s v="NF5856"/>
    <x v="45"/>
    <n v="3852"/>
    <x v="7"/>
    <n v="2021"/>
    <x v="7"/>
    <x v="2"/>
    <x v="7"/>
    <x v="2"/>
    <x v="0"/>
    <s v="Prazo"/>
    <s v="Em Dia"/>
  </r>
  <r>
    <d v="2023-07-25T00:00:00"/>
    <d v="2023-06-24T00:00:00"/>
    <d v="2023-07-10T00:00:00"/>
    <x v="2"/>
    <x v="0"/>
    <x v="0"/>
    <s v="NF5858"/>
    <x v="17"/>
    <n v="1302"/>
    <x v="3"/>
    <n v="2023"/>
    <x v="3"/>
    <x v="1"/>
    <x v="6"/>
    <x v="1"/>
    <x v="0"/>
    <s v="Prazo"/>
    <s v="Em Dia"/>
  </r>
  <r>
    <d v="2022-04-02T00:00:00"/>
    <d v="2022-03-02T00:00:00"/>
    <d v="2022-03-18T00:00:00"/>
    <x v="2"/>
    <x v="0"/>
    <x v="2"/>
    <s v="NF5864"/>
    <x v="3"/>
    <n v="6846"/>
    <x v="1"/>
    <n v="2022"/>
    <x v="1"/>
    <x v="0"/>
    <x v="1"/>
    <x v="0"/>
    <x v="0"/>
    <s v="Prazo"/>
    <s v="Em Dia"/>
  </r>
  <r>
    <d v="2022-06-23T00:00:00"/>
    <d v="2022-05-23T00:00:00"/>
    <d v="2022-06-08T00:00:00"/>
    <x v="3"/>
    <x v="0"/>
    <x v="0"/>
    <s v="NF5868"/>
    <x v="7"/>
    <n v="6471"/>
    <x v="0"/>
    <n v="2022"/>
    <x v="0"/>
    <x v="0"/>
    <x v="3"/>
    <x v="0"/>
    <x v="0"/>
    <s v="Prazo"/>
    <s v="Em Dia"/>
  </r>
  <r>
    <d v="2022-03-19T00:00:00"/>
    <d v="2022-02-16T00:00:00"/>
    <d v="2022-03-04T00:00:00"/>
    <x v="5"/>
    <x v="0"/>
    <x v="2"/>
    <s v="NF5874"/>
    <x v="9"/>
    <n v="4464"/>
    <x v="4"/>
    <n v="2022"/>
    <x v="4"/>
    <x v="0"/>
    <x v="1"/>
    <x v="0"/>
    <x v="0"/>
    <s v="Prazo"/>
    <s v="Em Dia"/>
  </r>
  <r>
    <d v="2021-10-02T23:42:15"/>
    <d v="2021-09-23T00:00:00"/>
    <d v="2021-10-02T23:42:15"/>
    <x v="3"/>
    <x v="0"/>
    <x v="0"/>
    <s v="NF5880"/>
    <x v="53"/>
    <n v="3125"/>
    <x v="11"/>
    <n v="2021"/>
    <x v="11"/>
    <x v="2"/>
    <x v="5"/>
    <x v="2"/>
    <x v="0"/>
    <s v="Prazo"/>
    <s v="Em Dia"/>
  </r>
  <r>
    <d v="2023-02-05T00:00:00"/>
    <d v="2023-01-05T00:00:00"/>
    <d v="2023-01-21T00:00:00"/>
    <x v="5"/>
    <x v="0"/>
    <x v="1"/>
    <s v="NF5904"/>
    <x v="48"/>
    <n v="7186"/>
    <x v="7"/>
    <n v="2023"/>
    <x v="7"/>
    <x v="1"/>
    <x v="7"/>
    <x v="1"/>
    <x v="0"/>
    <s v="Prazo"/>
    <s v="Em Dia"/>
  </r>
  <r>
    <d v="2021-09-19T00:00:00"/>
    <d v="2021-08-19T00:00:00"/>
    <d v="2021-09-04T00:00:00"/>
    <x v="0"/>
    <x v="0"/>
    <x v="0"/>
    <s v="NF5916"/>
    <x v="6"/>
    <n v="5194"/>
    <x v="2"/>
    <n v="2021"/>
    <x v="2"/>
    <x v="2"/>
    <x v="11"/>
    <x v="2"/>
    <x v="0"/>
    <s v="Prazo"/>
    <s v="Em Dia"/>
  </r>
  <r>
    <s v="N/A"/>
    <d v="2022-11-30T00:00:00"/>
    <d v="2022-12-21T06:25:18"/>
    <x v="4"/>
    <x v="0"/>
    <x v="3"/>
    <s v="NF5922"/>
    <x v="58"/>
    <n v="4639"/>
    <x v="12"/>
    <n v="0"/>
    <x v="10"/>
    <x v="0"/>
    <x v="8"/>
    <x v="0"/>
    <x v="1"/>
    <s v="Prazo"/>
    <s v="Com atraso"/>
  </r>
  <r>
    <d v="2021-09-01T00:00:00"/>
    <d v="2021-08-01T00:00:00"/>
    <d v="2021-08-17T00:00:00"/>
    <x v="3"/>
    <x v="0"/>
    <x v="2"/>
    <s v="NF5925"/>
    <x v="16"/>
    <n v="4016"/>
    <x v="2"/>
    <n v="2021"/>
    <x v="2"/>
    <x v="2"/>
    <x v="2"/>
    <x v="2"/>
    <x v="0"/>
    <s v="Prazo"/>
    <s v="Em Dia"/>
  </r>
  <r>
    <d v="2023-10-22T00:00:00"/>
    <d v="2023-09-21T00:00:00"/>
    <d v="2023-10-07T00:00:00"/>
    <x v="6"/>
    <x v="0"/>
    <x v="1"/>
    <s v="NF5934"/>
    <x v="59"/>
    <n v="848"/>
    <x v="11"/>
    <n v="2023"/>
    <x v="11"/>
    <x v="1"/>
    <x v="5"/>
    <x v="1"/>
    <x v="0"/>
    <s v="Prazo"/>
    <s v="Em Dia"/>
  </r>
  <r>
    <d v="2022-08-24T04:25:29"/>
    <d v="2022-07-07T00:00:00"/>
    <d v="2022-08-24T04:25:29"/>
    <x v="1"/>
    <x v="0"/>
    <x v="1"/>
    <s v="NF5938"/>
    <x v="10"/>
    <n v="3954"/>
    <x v="6"/>
    <n v="2022"/>
    <x v="6"/>
    <x v="0"/>
    <x v="2"/>
    <x v="0"/>
    <x v="0"/>
    <s v="Prazo"/>
    <s v="Em Dia"/>
  </r>
  <r>
    <d v="2023-12-23T00:00:00"/>
    <d v="2023-11-22T00:00:00"/>
    <d v="2023-12-08T00:00:00"/>
    <x v="0"/>
    <x v="0"/>
    <x v="0"/>
    <s v="NF5947"/>
    <x v="41"/>
    <n v="4966"/>
    <x v="10"/>
    <n v="2023"/>
    <x v="10"/>
    <x v="1"/>
    <x v="8"/>
    <x v="1"/>
    <x v="0"/>
    <s v="Prazo"/>
    <s v="Em Dia"/>
  </r>
  <r>
    <d v="2023-01-20T00:00:00"/>
    <d v="2022-12-20T00:00:00"/>
    <d v="2023-01-05T00:00:00"/>
    <x v="5"/>
    <x v="0"/>
    <x v="2"/>
    <s v="NF5960"/>
    <x v="36"/>
    <n v="6634"/>
    <x v="8"/>
    <n v="2023"/>
    <x v="8"/>
    <x v="0"/>
    <x v="7"/>
    <x v="1"/>
    <x v="0"/>
    <s v="Prazo"/>
    <s v="Em Dia"/>
  </r>
  <r>
    <d v="2022-03-28T13:03:26"/>
    <d v="2022-03-25T00:00:00"/>
    <d v="2022-03-28T13:03:26"/>
    <x v="5"/>
    <x v="0"/>
    <x v="4"/>
    <s v="NF5963"/>
    <x v="34"/>
    <n v="2303"/>
    <x v="4"/>
    <n v="2022"/>
    <x v="1"/>
    <x v="0"/>
    <x v="1"/>
    <x v="0"/>
    <x v="0"/>
    <s v="Prazo"/>
    <s v="Em Dia"/>
  </r>
  <r>
    <d v="2023-07-08T00:00:00"/>
    <d v="2023-06-07T00:00:00"/>
    <d v="2023-06-23T00:00:00"/>
    <x v="7"/>
    <x v="0"/>
    <x v="1"/>
    <s v="NF5964"/>
    <x v="46"/>
    <n v="1100"/>
    <x v="3"/>
    <n v="2023"/>
    <x v="3"/>
    <x v="1"/>
    <x v="3"/>
    <x v="1"/>
    <x v="0"/>
    <s v="Prazo"/>
    <s v="Em Dia"/>
  </r>
  <r>
    <d v="2021-02-08T00:00:00"/>
    <d v="2021-01-08T00:00:00"/>
    <d v="2021-01-24T00:00:00"/>
    <x v="2"/>
    <x v="0"/>
    <x v="0"/>
    <s v="NF5966"/>
    <x v="24"/>
    <n v="1703"/>
    <x v="7"/>
    <n v="2021"/>
    <x v="7"/>
    <x v="2"/>
    <x v="7"/>
    <x v="2"/>
    <x v="0"/>
    <s v="Prazo"/>
    <s v="Em Dia"/>
  </r>
  <r>
    <d v="2023-11-09T00:00:00"/>
    <d v="2023-10-09T00:00:00"/>
    <d v="2023-10-25T00:00:00"/>
    <x v="4"/>
    <x v="0"/>
    <x v="0"/>
    <s v="NF5975"/>
    <x v="18"/>
    <n v="6225"/>
    <x v="5"/>
    <n v="2023"/>
    <x v="5"/>
    <x v="1"/>
    <x v="5"/>
    <x v="1"/>
    <x v="0"/>
    <s v="Prazo"/>
    <s v="Em Dia"/>
  </r>
  <r>
    <d v="2023-08-05T00:00:00"/>
    <d v="2023-07-05T00:00:00"/>
    <d v="2023-07-21T00:00:00"/>
    <x v="5"/>
    <x v="0"/>
    <x v="0"/>
    <s v="NF6014"/>
    <x v="9"/>
    <n v="2726"/>
    <x v="6"/>
    <n v="2023"/>
    <x v="6"/>
    <x v="1"/>
    <x v="6"/>
    <x v="1"/>
    <x v="0"/>
    <s v="Prazo"/>
    <s v="Em Dia"/>
  </r>
  <r>
    <d v="2023-08-26T00:00:00"/>
    <d v="2023-07-26T00:00:00"/>
    <d v="2023-08-11T00:00:00"/>
    <x v="7"/>
    <x v="0"/>
    <x v="2"/>
    <s v="NF6022"/>
    <x v="27"/>
    <n v="7284"/>
    <x v="6"/>
    <n v="2023"/>
    <x v="6"/>
    <x v="1"/>
    <x v="2"/>
    <x v="1"/>
    <x v="0"/>
    <s v="Prazo"/>
    <s v="Em Dia"/>
  </r>
  <r>
    <d v="2021-12-24T00:00:00"/>
    <d v="2021-11-23T00:00:00"/>
    <d v="2021-12-09T00:00:00"/>
    <x v="2"/>
    <x v="0"/>
    <x v="4"/>
    <s v="NF6024"/>
    <x v="5"/>
    <n v="7707"/>
    <x v="10"/>
    <n v="2021"/>
    <x v="10"/>
    <x v="2"/>
    <x v="8"/>
    <x v="2"/>
    <x v="0"/>
    <s v="Prazo"/>
    <s v="Em Dia"/>
  </r>
  <r>
    <d v="2022-10-18T00:00:00"/>
    <d v="2022-09-17T00:00:00"/>
    <d v="2022-10-03T00:00:00"/>
    <x v="7"/>
    <x v="0"/>
    <x v="2"/>
    <s v="NF6038"/>
    <x v="29"/>
    <n v="6416"/>
    <x v="11"/>
    <n v="2022"/>
    <x v="11"/>
    <x v="0"/>
    <x v="5"/>
    <x v="0"/>
    <x v="0"/>
    <s v="Prazo"/>
    <s v="Em Dia"/>
  </r>
  <r>
    <d v="2022-04-27T00:00:00"/>
    <d v="2022-03-27T00:00:00"/>
    <d v="2022-04-12T00:00:00"/>
    <x v="3"/>
    <x v="0"/>
    <x v="1"/>
    <s v="NF6105"/>
    <x v="4"/>
    <n v="7554"/>
    <x v="1"/>
    <n v="2022"/>
    <x v="1"/>
    <x v="0"/>
    <x v="9"/>
    <x v="0"/>
    <x v="0"/>
    <s v="Prazo"/>
    <s v="Em Dia"/>
  </r>
  <r>
    <d v="2021-10-17T23:52:55"/>
    <d v="2021-10-04T00:00:00"/>
    <d v="2021-10-17T23:52:55"/>
    <x v="6"/>
    <x v="0"/>
    <x v="3"/>
    <s v="NF6107"/>
    <x v="14"/>
    <n v="4590"/>
    <x v="11"/>
    <n v="2021"/>
    <x v="5"/>
    <x v="2"/>
    <x v="5"/>
    <x v="2"/>
    <x v="0"/>
    <s v="Prazo"/>
    <s v="Em Dia"/>
  </r>
  <r>
    <d v="2021-10-02T00:00:00"/>
    <d v="2021-09-01T00:00:00"/>
    <d v="2021-09-17T00:00:00"/>
    <x v="5"/>
    <x v="0"/>
    <x v="0"/>
    <s v="NF6117"/>
    <x v="56"/>
    <n v="1208"/>
    <x v="11"/>
    <n v="2021"/>
    <x v="11"/>
    <x v="2"/>
    <x v="11"/>
    <x v="2"/>
    <x v="0"/>
    <s v="Prazo"/>
    <s v="Em Dia"/>
  </r>
  <r>
    <d v="2022-01-12T00:00:00"/>
    <d v="2021-12-12T00:00:00"/>
    <d v="2021-12-28T00:00:00"/>
    <x v="5"/>
    <x v="0"/>
    <x v="2"/>
    <s v="NF6130"/>
    <x v="48"/>
    <n v="7437"/>
    <x v="8"/>
    <n v="2022"/>
    <x v="8"/>
    <x v="2"/>
    <x v="8"/>
    <x v="2"/>
    <x v="0"/>
    <s v="Prazo"/>
    <s v="Em Dia"/>
  </r>
  <r>
    <d v="2023-12-29T00:00:00"/>
    <d v="2023-11-28T00:00:00"/>
    <d v="2023-12-14T00:00:00"/>
    <x v="4"/>
    <x v="0"/>
    <x v="0"/>
    <s v="NF6137"/>
    <x v="58"/>
    <n v="2356"/>
    <x v="10"/>
    <n v="2023"/>
    <x v="10"/>
    <x v="1"/>
    <x v="8"/>
    <x v="1"/>
    <x v="0"/>
    <s v="Prazo"/>
    <s v="Em Dia"/>
  </r>
  <r>
    <d v="2021-07-10T00:00:00"/>
    <d v="2021-06-09T00:00:00"/>
    <d v="2021-06-25T00:00:00"/>
    <x v="5"/>
    <x v="0"/>
    <x v="3"/>
    <s v="NF6141"/>
    <x v="48"/>
    <n v="5399"/>
    <x v="3"/>
    <n v="2021"/>
    <x v="3"/>
    <x v="2"/>
    <x v="3"/>
    <x v="2"/>
    <x v="0"/>
    <s v="Prazo"/>
    <s v="Em Dia"/>
  </r>
  <r>
    <d v="2022-02-18T00:00:00"/>
    <d v="2022-01-18T00:00:00"/>
    <d v="2022-02-03T00:00:00"/>
    <x v="2"/>
    <x v="0"/>
    <x v="3"/>
    <s v="NF6141"/>
    <x v="25"/>
    <n v="5893"/>
    <x v="7"/>
    <n v="2022"/>
    <x v="7"/>
    <x v="0"/>
    <x v="4"/>
    <x v="0"/>
    <x v="0"/>
    <s v="Prazo"/>
    <s v="Em Dia"/>
  </r>
  <r>
    <d v="2023-12-12T00:00:00"/>
    <d v="2023-11-11T00:00:00"/>
    <d v="2023-11-27T00:00:00"/>
    <x v="4"/>
    <x v="0"/>
    <x v="2"/>
    <s v="NF6153"/>
    <x v="18"/>
    <n v="3700"/>
    <x v="10"/>
    <n v="2023"/>
    <x v="10"/>
    <x v="1"/>
    <x v="10"/>
    <x v="1"/>
    <x v="0"/>
    <s v="Prazo"/>
    <s v="Em Dia"/>
  </r>
  <r>
    <d v="2023-06-15T04:03:49"/>
    <d v="2023-05-15T00:00:00"/>
    <d v="2023-06-15T04:03:49"/>
    <x v="3"/>
    <x v="0"/>
    <x v="2"/>
    <s v="NF6154"/>
    <x v="21"/>
    <n v="1006"/>
    <x v="0"/>
    <n v="2023"/>
    <x v="0"/>
    <x v="1"/>
    <x v="3"/>
    <x v="1"/>
    <x v="0"/>
    <s v="Prazo"/>
    <s v="Em Dia"/>
  </r>
  <r>
    <d v="2022-07-23T00:00:00"/>
    <d v="2022-06-22T00:00:00"/>
    <d v="2022-07-08T00:00:00"/>
    <x v="5"/>
    <x v="0"/>
    <x v="1"/>
    <s v="NF6176"/>
    <x v="56"/>
    <n v="6317"/>
    <x v="3"/>
    <n v="2022"/>
    <x v="3"/>
    <x v="0"/>
    <x v="6"/>
    <x v="0"/>
    <x v="0"/>
    <s v="Prazo"/>
    <s v="Em Dia"/>
  </r>
  <r>
    <d v="2021-02-27T00:00:00"/>
    <d v="2021-01-27T00:00:00"/>
    <d v="2021-02-12T00:00:00"/>
    <x v="5"/>
    <x v="0"/>
    <x v="0"/>
    <s v="NF6178"/>
    <x v="9"/>
    <n v="3862"/>
    <x v="7"/>
    <n v="2021"/>
    <x v="7"/>
    <x v="2"/>
    <x v="4"/>
    <x v="2"/>
    <x v="0"/>
    <s v="Prazo"/>
    <s v="Em Dia"/>
  </r>
  <r>
    <d v="2022-02-14T00:00:00"/>
    <d v="2022-01-14T00:00:00"/>
    <d v="2022-01-30T00:00:00"/>
    <x v="1"/>
    <x v="0"/>
    <x v="4"/>
    <s v="NF6180"/>
    <x v="31"/>
    <n v="876"/>
    <x v="7"/>
    <n v="2022"/>
    <x v="7"/>
    <x v="0"/>
    <x v="7"/>
    <x v="0"/>
    <x v="0"/>
    <s v="Prazo"/>
    <s v="Em Dia"/>
  </r>
  <r>
    <d v="2022-01-22T15:22:36"/>
    <d v="2021-11-24T00:00:00"/>
    <d v="2022-01-22T15:22:36"/>
    <x v="6"/>
    <x v="0"/>
    <x v="1"/>
    <s v="NF6190"/>
    <x v="38"/>
    <n v="3992"/>
    <x v="8"/>
    <n v="2022"/>
    <x v="10"/>
    <x v="2"/>
    <x v="7"/>
    <x v="0"/>
    <x v="0"/>
    <s v="Prazo"/>
    <s v="Em Dia"/>
  </r>
  <r>
    <d v="2022-08-17T07:33:55"/>
    <d v="2022-08-17T00:00:00"/>
    <d v="2022-08-17T07:33:55"/>
    <x v="6"/>
    <x v="0"/>
    <x v="2"/>
    <s v="NF6224"/>
    <x v="22"/>
    <n v="2137"/>
    <x v="6"/>
    <n v="2022"/>
    <x v="2"/>
    <x v="0"/>
    <x v="2"/>
    <x v="0"/>
    <x v="0"/>
    <s v="Prazo"/>
    <s v="Em Dia"/>
  </r>
  <r>
    <d v="2021-12-14T00:00:00"/>
    <d v="2021-11-13T00:00:00"/>
    <d v="2021-11-29T00:00:00"/>
    <x v="1"/>
    <x v="0"/>
    <x v="1"/>
    <s v="NF6234"/>
    <x v="28"/>
    <n v="6283"/>
    <x v="10"/>
    <n v="2021"/>
    <x v="10"/>
    <x v="2"/>
    <x v="10"/>
    <x v="2"/>
    <x v="0"/>
    <s v="Prazo"/>
    <s v="Em Dia"/>
  </r>
  <r>
    <d v="2021-01-22T00:00:00"/>
    <d v="2020-12-22T00:00:00"/>
    <d v="2021-01-07T00:00:00"/>
    <x v="0"/>
    <x v="0"/>
    <x v="0"/>
    <s v="NF6236"/>
    <x v="37"/>
    <n v="5307"/>
    <x v="8"/>
    <n v="2021"/>
    <x v="8"/>
    <x v="3"/>
    <x v="7"/>
    <x v="2"/>
    <x v="0"/>
    <s v="Prazo"/>
    <s v="Em Dia"/>
  </r>
  <r>
    <d v="2022-10-20T00:00:00"/>
    <d v="2022-09-19T00:00:00"/>
    <d v="2022-10-05T00:00:00"/>
    <x v="3"/>
    <x v="0"/>
    <x v="1"/>
    <s v="NF6256"/>
    <x v="16"/>
    <n v="359"/>
    <x v="11"/>
    <n v="2022"/>
    <x v="11"/>
    <x v="0"/>
    <x v="5"/>
    <x v="0"/>
    <x v="0"/>
    <s v="Prazo"/>
    <s v="Em Dia"/>
  </r>
  <r>
    <d v="2023-06-19T00:00:00"/>
    <d v="2023-05-19T00:00:00"/>
    <d v="2023-06-04T00:00:00"/>
    <x v="3"/>
    <x v="0"/>
    <x v="1"/>
    <s v="NF6287"/>
    <x v="21"/>
    <n v="7255"/>
    <x v="0"/>
    <n v="2023"/>
    <x v="0"/>
    <x v="1"/>
    <x v="3"/>
    <x v="1"/>
    <x v="0"/>
    <s v="Prazo"/>
    <s v="Em Dia"/>
  </r>
  <r>
    <d v="2021-06-14T00:00:00"/>
    <d v="2021-05-14T00:00:00"/>
    <d v="2021-05-30T00:00:00"/>
    <x v="5"/>
    <x v="0"/>
    <x v="0"/>
    <s v="NF6288"/>
    <x v="56"/>
    <n v="2099"/>
    <x v="0"/>
    <n v="2021"/>
    <x v="0"/>
    <x v="2"/>
    <x v="0"/>
    <x v="2"/>
    <x v="0"/>
    <s v="Prazo"/>
    <s v="Em Dia"/>
  </r>
  <r>
    <d v="2023-02-27T00:00:00"/>
    <d v="2023-01-27T00:00:00"/>
    <d v="2023-02-12T00:00:00"/>
    <x v="3"/>
    <x v="0"/>
    <x v="1"/>
    <s v="NF6292"/>
    <x v="49"/>
    <n v="1796"/>
    <x v="7"/>
    <n v="2023"/>
    <x v="7"/>
    <x v="1"/>
    <x v="4"/>
    <x v="1"/>
    <x v="0"/>
    <s v="Prazo"/>
    <s v="Em Dia"/>
  </r>
  <r>
    <d v="2022-07-30T01:14:31"/>
    <d v="2022-07-12T00:00:00"/>
    <d v="2022-07-30T01:14:31"/>
    <x v="5"/>
    <x v="0"/>
    <x v="4"/>
    <s v="NF6298"/>
    <x v="9"/>
    <n v="2713"/>
    <x v="3"/>
    <n v="2022"/>
    <x v="6"/>
    <x v="0"/>
    <x v="6"/>
    <x v="0"/>
    <x v="0"/>
    <s v="Prazo"/>
    <s v="Em Dia"/>
  </r>
  <r>
    <d v="2021-12-17T00:00:00"/>
    <d v="2021-11-16T00:00:00"/>
    <d v="2021-12-02T00:00:00"/>
    <x v="5"/>
    <x v="0"/>
    <x v="2"/>
    <s v="NF6317"/>
    <x v="34"/>
    <n v="125"/>
    <x v="10"/>
    <n v="2021"/>
    <x v="10"/>
    <x v="2"/>
    <x v="8"/>
    <x v="2"/>
    <x v="0"/>
    <s v="Prazo"/>
    <s v="Em Dia"/>
  </r>
  <r>
    <d v="2021-01-07T00:00:00"/>
    <d v="2020-12-07T00:00:00"/>
    <d v="2020-12-23T00:00:00"/>
    <x v="3"/>
    <x v="0"/>
    <x v="4"/>
    <s v="NF6325"/>
    <x v="11"/>
    <n v="1882"/>
    <x v="8"/>
    <n v="2021"/>
    <x v="8"/>
    <x v="3"/>
    <x v="8"/>
    <x v="3"/>
    <x v="0"/>
    <s v="Prazo"/>
    <s v="Em Dia"/>
  </r>
  <r>
    <d v="2021-10-22T00:00:00"/>
    <d v="2021-09-21T00:00:00"/>
    <d v="2021-10-07T00:00:00"/>
    <x v="0"/>
    <x v="0"/>
    <x v="3"/>
    <s v="NF6331"/>
    <x v="0"/>
    <n v="869"/>
    <x v="11"/>
    <n v="2021"/>
    <x v="11"/>
    <x v="2"/>
    <x v="5"/>
    <x v="2"/>
    <x v="0"/>
    <s v="Prazo"/>
    <s v="Em Dia"/>
  </r>
  <r>
    <d v="2022-07-13T00:00:00"/>
    <d v="2022-06-12T00:00:00"/>
    <d v="2022-06-28T00:00:00"/>
    <x v="4"/>
    <x v="0"/>
    <x v="3"/>
    <s v="NF6331"/>
    <x v="8"/>
    <n v="679"/>
    <x v="3"/>
    <n v="2022"/>
    <x v="3"/>
    <x v="0"/>
    <x v="3"/>
    <x v="0"/>
    <x v="0"/>
    <s v="Prazo"/>
    <s v="Em Dia"/>
  </r>
  <r>
    <s v="N/A"/>
    <d v="2023-06-28T00:00:00"/>
    <d v="2023-07-16T06:26:47"/>
    <x v="6"/>
    <x v="0"/>
    <x v="2"/>
    <s v="NF6344"/>
    <x v="43"/>
    <n v="1479"/>
    <x v="12"/>
    <n v="0"/>
    <x v="3"/>
    <x v="1"/>
    <x v="6"/>
    <x v="1"/>
    <x v="1"/>
    <s v="Prazo"/>
    <s v="Com atraso"/>
  </r>
  <r>
    <d v="2022-01-30T00:00:00"/>
    <d v="2021-12-30T00:00:00"/>
    <d v="2022-01-15T00:00:00"/>
    <x v="2"/>
    <x v="0"/>
    <x v="3"/>
    <s v="NF6347"/>
    <x v="3"/>
    <n v="1667"/>
    <x v="8"/>
    <n v="2022"/>
    <x v="8"/>
    <x v="2"/>
    <x v="7"/>
    <x v="0"/>
    <x v="0"/>
    <s v="Prazo"/>
    <s v="Em Dia"/>
  </r>
  <r>
    <d v="2022-01-17T06:21:52"/>
    <d v="2021-12-20T00:00:00"/>
    <d v="2022-01-17T06:21:52"/>
    <x v="5"/>
    <x v="0"/>
    <x v="3"/>
    <s v="NF6358"/>
    <x v="9"/>
    <n v="3721"/>
    <x v="8"/>
    <n v="2022"/>
    <x v="8"/>
    <x v="2"/>
    <x v="7"/>
    <x v="0"/>
    <x v="0"/>
    <s v="Prazo"/>
    <s v="Em Dia"/>
  </r>
  <r>
    <d v="2021-10-06T00:00:00"/>
    <d v="2021-09-05T00:00:00"/>
    <d v="2021-09-21T00:00:00"/>
    <x v="0"/>
    <x v="0"/>
    <x v="0"/>
    <s v="NF6361"/>
    <x v="50"/>
    <n v="4220"/>
    <x v="11"/>
    <n v="2021"/>
    <x v="11"/>
    <x v="2"/>
    <x v="11"/>
    <x v="2"/>
    <x v="0"/>
    <s v="Prazo"/>
    <s v="Em Dia"/>
  </r>
  <r>
    <d v="2023-01-05T00:00:00"/>
    <d v="2022-12-05T00:00:00"/>
    <d v="2022-12-21T00:00:00"/>
    <x v="1"/>
    <x v="0"/>
    <x v="2"/>
    <s v="NF6379"/>
    <x v="10"/>
    <n v="1358"/>
    <x v="8"/>
    <n v="2023"/>
    <x v="8"/>
    <x v="0"/>
    <x v="8"/>
    <x v="0"/>
    <x v="0"/>
    <s v="Prazo"/>
    <s v="Em Dia"/>
  </r>
  <r>
    <d v="2022-03-25T02:00:56"/>
    <d v="2022-03-10T00:00:00"/>
    <d v="2022-03-25T02:00:56"/>
    <x v="6"/>
    <x v="0"/>
    <x v="4"/>
    <s v="NF6393"/>
    <x v="30"/>
    <n v="837"/>
    <x v="4"/>
    <n v="2022"/>
    <x v="1"/>
    <x v="0"/>
    <x v="1"/>
    <x v="0"/>
    <x v="0"/>
    <s v="Prazo"/>
    <s v="Em Dia"/>
  </r>
  <r>
    <d v="2022-05-21T00:00:00"/>
    <d v="2022-04-20T00:00:00"/>
    <d v="2022-05-06T00:00:00"/>
    <x v="2"/>
    <x v="0"/>
    <x v="3"/>
    <s v="NF6411"/>
    <x v="26"/>
    <n v="154"/>
    <x v="9"/>
    <n v="2022"/>
    <x v="9"/>
    <x v="0"/>
    <x v="0"/>
    <x v="0"/>
    <x v="0"/>
    <s v="Prazo"/>
    <s v="Em Dia"/>
  </r>
  <r>
    <d v="2022-02-28T00:00:00"/>
    <d v="2022-01-28T00:00:00"/>
    <d v="2022-02-13T00:00:00"/>
    <x v="3"/>
    <x v="0"/>
    <x v="1"/>
    <s v="NF6418"/>
    <x v="7"/>
    <n v="5336"/>
    <x v="7"/>
    <n v="2022"/>
    <x v="7"/>
    <x v="0"/>
    <x v="4"/>
    <x v="0"/>
    <x v="0"/>
    <s v="Prazo"/>
    <s v="Em Dia"/>
  </r>
  <r>
    <d v="2021-06-28T00:00:00"/>
    <d v="2021-05-28T00:00:00"/>
    <d v="2021-06-13T00:00:00"/>
    <x v="4"/>
    <x v="0"/>
    <x v="4"/>
    <s v="NF6433"/>
    <x v="44"/>
    <n v="5124"/>
    <x v="0"/>
    <n v="2021"/>
    <x v="0"/>
    <x v="2"/>
    <x v="3"/>
    <x v="2"/>
    <x v="0"/>
    <s v="Prazo"/>
    <s v="Em Dia"/>
  </r>
  <r>
    <d v="2022-04-03T09:49:51"/>
    <d v="2022-02-20T00:00:00"/>
    <d v="2022-04-03T09:49:51"/>
    <x v="2"/>
    <x v="0"/>
    <x v="0"/>
    <s v="NF6503"/>
    <x v="35"/>
    <n v="3726"/>
    <x v="1"/>
    <n v="2022"/>
    <x v="4"/>
    <x v="0"/>
    <x v="9"/>
    <x v="0"/>
    <x v="0"/>
    <s v="Prazo"/>
    <s v="Em Dia"/>
  </r>
  <r>
    <d v="2022-07-22T00:00:00"/>
    <d v="2022-06-21T00:00:00"/>
    <d v="2022-07-07T00:00:00"/>
    <x v="1"/>
    <x v="0"/>
    <x v="1"/>
    <s v="NF6528"/>
    <x v="47"/>
    <n v="6338"/>
    <x v="3"/>
    <n v="2022"/>
    <x v="3"/>
    <x v="0"/>
    <x v="6"/>
    <x v="0"/>
    <x v="0"/>
    <s v="Prazo"/>
    <s v="Em Dia"/>
  </r>
  <r>
    <d v="2023-11-07T00:00:00"/>
    <d v="2023-10-07T00:00:00"/>
    <d v="2023-10-23T00:00:00"/>
    <x v="0"/>
    <x v="0"/>
    <x v="0"/>
    <s v="NF6529"/>
    <x v="37"/>
    <n v="1481"/>
    <x v="5"/>
    <n v="2023"/>
    <x v="5"/>
    <x v="1"/>
    <x v="5"/>
    <x v="1"/>
    <x v="0"/>
    <s v="Prazo"/>
    <s v="Em Dia"/>
  </r>
  <r>
    <d v="2022-06-10T00:00:00"/>
    <d v="2022-05-10T00:00:00"/>
    <d v="2022-05-26T00:00:00"/>
    <x v="5"/>
    <x v="0"/>
    <x v="1"/>
    <s v="NF6538"/>
    <x v="48"/>
    <n v="2740"/>
    <x v="0"/>
    <n v="2022"/>
    <x v="0"/>
    <x v="0"/>
    <x v="0"/>
    <x v="0"/>
    <x v="0"/>
    <s v="Prazo"/>
    <s v="Em Dia"/>
  </r>
  <r>
    <d v="2021-12-28T00:00:00"/>
    <d v="2021-11-27T00:00:00"/>
    <d v="2021-12-13T00:00:00"/>
    <x v="5"/>
    <x v="0"/>
    <x v="4"/>
    <s v="NF6546"/>
    <x v="36"/>
    <n v="582"/>
    <x v="10"/>
    <n v="2021"/>
    <x v="10"/>
    <x v="2"/>
    <x v="8"/>
    <x v="2"/>
    <x v="0"/>
    <s v="Prazo"/>
    <s v="Em Dia"/>
  </r>
  <r>
    <d v="2023-01-01T00:00:00"/>
    <d v="2022-12-01T00:00:00"/>
    <d v="2022-12-17T00:00:00"/>
    <x v="2"/>
    <x v="0"/>
    <x v="1"/>
    <s v="NF6546"/>
    <x v="3"/>
    <n v="2801"/>
    <x v="8"/>
    <n v="2023"/>
    <x v="8"/>
    <x v="0"/>
    <x v="8"/>
    <x v="0"/>
    <x v="0"/>
    <s v="Prazo"/>
    <s v="Em Dia"/>
  </r>
  <r>
    <d v="2021-02-22T00:00:00"/>
    <d v="2021-01-22T00:00:00"/>
    <d v="2021-02-07T00:00:00"/>
    <x v="5"/>
    <x v="0"/>
    <x v="4"/>
    <s v="NF6571"/>
    <x v="36"/>
    <n v="2951"/>
    <x v="7"/>
    <n v="2021"/>
    <x v="7"/>
    <x v="2"/>
    <x v="4"/>
    <x v="2"/>
    <x v="0"/>
    <s v="Prazo"/>
    <s v="Em Dia"/>
  </r>
  <r>
    <d v="2021-10-12T00:00:00"/>
    <d v="2021-09-11T00:00:00"/>
    <d v="2021-09-27T00:00:00"/>
    <x v="2"/>
    <x v="0"/>
    <x v="0"/>
    <s v="NF6573"/>
    <x v="24"/>
    <n v="600"/>
    <x v="11"/>
    <n v="2021"/>
    <x v="11"/>
    <x v="2"/>
    <x v="11"/>
    <x v="2"/>
    <x v="0"/>
    <s v="Prazo"/>
    <s v="Em Dia"/>
  </r>
  <r>
    <d v="2022-01-17T00:00:00"/>
    <d v="2021-12-17T00:00:00"/>
    <d v="2022-01-02T00:00:00"/>
    <x v="1"/>
    <x v="0"/>
    <x v="2"/>
    <s v="NF6574"/>
    <x v="47"/>
    <n v="7144"/>
    <x v="8"/>
    <n v="2022"/>
    <x v="8"/>
    <x v="2"/>
    <x v="7"/>
    <x v="0"/>
    <x v="0"/>
    <s v="Prazo"/>
    <s v="Em Dia"/>
  </r>
  <r>
    <s v="N/A"/>
    <d v="2022-09-01T00:00:00"/>
    <d v="2022-09-27T15:55:52"/>
    <x v="6"/>
    <x v="0"/>
    <x v="2"/>
    <s v="NF6643"/>
    <x v="38"/>
    <n v="4253"/>
    <x v="12"/>
    <n v="0"/>
    <x v="11"/>
    <x v="0"/>
    <x v="11"/>
    <x v="0"/>
    <x v="1"/>
    <s v="Prazo"/>
    <s v="Com atraso"/>
  </r>
  <r>
    <d v="2022-12-24T00:00:00"/>
    <d v="2022-11-23T00:00:00"/>
    <d v="2022-12-09T00:00:00"/>
    <x v="7"/>
    <x v="0"/>
    <x v="2"/>
    <s v="NF6670"/>
    <x v="27"/>
    <n v="4308"/>
    <x v="10"/>
    <n v="2022"/>
    <x v="10"/>
    <x v="0"/>
    <x v="8"/>
    <x v="0"/>
    <x v="0"/>
    <s v="Prazo"/>
    <s v="Em Dia"/>
  </r>
  <r>
    <d v="2022-05-15T00:00:00"/>
    <d v="2022-04-14T00:00:00"/>
    <d v="2022-04-30T00:00:00"/>
    <x v="1"/>
    <x v="0"/>
    <x v="0"/>
    <s v="NF6680"/>
    <x v="47"/>
    <n v="1808"/>
    <x v="9"/>
    <n v="2022"/>
    <x v="9"/>
    <x v="0"/>
    <x v="9"/>
    <x v="0"/>
    <x v="0"/>
    <s v="Prazo"/>
    <s v="Em Dia"/>
  </r>
  <r>
    <d v="2022-05-31T04:06:26"/>
    <d v="2022-04-09T00:00:00"/>
    <d v="2022-05-31T04:06:26"/>
    <x v="0"/>
    <x v="0"/>
    <x v="2"/>
    <s v="NF6697"/>
    <x v="41"/>
    <n v="4262"/>
    <x v="9"/>
    <n v="2022"/>
    <x v="9"/>
    <x v="0"/>
    <x v="0"/>
    <x v="0"/>
    <x v="0"/>
    <s v="Prazo"/>
    <s v="Em Dia"/>
  </r>
  <r>
    <d v="2022-07-04T11:06:55"/>
    <d v="2022-05-13T00:00:00"/>
    <d v="2022-07-04T11:06:55"/>
    <x v="6"/>
    <x v="0"/>
    <x v="4"/>
    <s v="NF6700"/>
    <x v="22"/>
    <n v="1486"/>
    <x v="3"/>
    <n v="2022"/>
    <x v="0"/>
    <x v="0"/>
    <x v="6"/>
    <x v="0"/>
    <x v="0"/>
    <s v="Prazo"/>
    <s v="Em Dia"/>
  </r>
  <r>
    <d v="2022-06-10T04:12:10"/>
    <d v="2022-02-23T00:00:00"/>
    <d v="2022-03-21T08:10:09"/>
    <x v="3"/>
    <x v="0"/>
    <x v="2"/>
    <s v="NF6701"/>
    <x v="4"/>
    <n v="4322"/>
    <x v="0"/>
    <n v="2022"/>
    <x v="4"/>
    <x v="0"/>
    <x v="1"/>
    <x v="0"/>
    <x v="0"/>
    <s v="Prazo"/>
    <s v="Em Dia"/>
  </r>
  <r>
    <d v="2021-01-08T00:00:00"/>
    <d v="2020-12-08T00:00:00"/>
    <d v="2020-12-24T00:00:00"/>
    <x v="0"/>
    <x v="0"/>
    <x v="2"/>
    <s v="NF6705"/>
    <x v="15"/>
    <n v="3369"/>
    <x v="8"/>
    <n v="2021"/>
    <x v="8"/>
    <x v="3"/>
    <x v="8"/>
    <x v="3"/>
    <x v="0"/>
    <s v="Prazo"/>
    <s v="Em Dia"/>
  </r>
  <r>
    <d v="2022-08-06T00:00:00"/>
    <d v="2022-07-06T00:00:00"/>
    <d v="2022-07-22T00:00:00"/>
    <x v="6"/>
    <x v="0"/>
    <x v="1"/>
    <s v="NF6710"/>
    <x v="57"/>
    <n v="4424"/>
    <x v="6"/>
    <n v="2022"/>
    <x v="6"/>
    <x v="0"/>
    <x v="6"/>
    <x v="0"/>
    <x v="0"/>
    <s v="Prazo"/>
    <s v="Em Dia"/>
  </r>
  <r>
    <d v="2023-07-01T14:28:40"/>
    <d v="2023-06-16T00:00:00"/>
    <d v="2023-07-01T14:28:40"/>
    <x v="2"/>
    <x v="0"/>
    <x v="3"/>
    <s v="NF6729"/>
    <x v="54"/>
    <n v="555"/>
    <x v="3"/>
    <n v="2023"/>
    <x v="3"/>
    <x v="1"/>
    <x v="6"/>
    <x v="1"/>
    <x v="0"/>
    <s v="Prazo"/>
    <s v="Em Dia"/>
  </r>
  <r>
    <d v="2022-09-08T00:00:00"/>
    <d v="2022-08-08T00:00:00"/>
    <d v="2022-08-24T00:00:00"/>
    <x v="1"/>
    <x v="0"/>
    <x v="4"/>
    <s v="NF6742"/>
    <x v="47"/>
    <n v="5719"/>
    <x v="2"/>
    <n v="2022"/>
    <x v="2"/>
    <x v="0"/>
    <x v="2"/>
    <x v="0"/>
    <x v="0"/>
    <s v="Prazo"/>
    <s v="Em Dia"/>
  </r>
  <r>
    <d v="2022-02-15T00:00:00"/>
    <d v="2022-01-15T00:00:00"/>
    <d v="2022-01-31T00:00:00"/>
    <x v="2"/>
    <x v="0"/>
    <x v="0"/>
    <s v="NF6743"/>
    <x v="26"/>
    <n v="1829"/>
    <x v="7"/>
    <n v="2022"/>
    <x v="7"/>
    <x v="0"/>
    <x v="7"/>
    <x v="0"/>
    <x v="0"/>
    <s v="Prazo"/>
    <s v="Em Dia"/>
  </r>
  <r>
    <d v="2022-07-25T00:00:00"/>
    <d v="2022-06-24T00:00:00"/>
    <d v="2022-07-10T00:00:00"/>
    <x v="6"/>
    <x v="0"/>
    <x v="0"/>
    <s v="NF6747"/>
    <x v="19"/>
    <n v="2461"/>
    <x v="3"/>
    <n v="2022"/>
    <x v="3"/>
    <x v="0"/>
    <x v="6"/>
    <x v="0"/>
    <x v="0"/>
    <s v="Prazo"/>
    <s v="Em Dia"/>
  </r>
  <r>
    <d v="2021-05-23T00:00:00"/>
    <d v="2021-04-22T00:00:00"/>
    <d v="2021-05-08T00:00:00"/>
    <x v="7"/>
    <x v="0"/>
    <x v="3"/>
    <s v="NF6758"/>
    <x v="27"/>
    <n v="3397"/>
    <x v="9"/>
    <n v="2021"/>
    <x v="9"/>
    <x v="2"/>
    <x v="0"/>
    <x v="2"/>
    <x v="0"/>
    <s v="Prazo"/>
    <s v="Em Dia"/>
  </r>
  <r>
    <d v="2023-06-06T15:52:07"/>
    <d v="2023-03-27T00:00:00"/>
    <d v="2023-05-01T01:07:37"/>
    <x v="5"/>
    <x v="0"/>
    <x v="3"/>
    <s v="NF6770"/>
    <x v="9"/>
    <n v="4141"/>
    <x v="0"/>
    <n v="2023"/>
    <x v="1"/>
    <x v="1"/>
    <x v="0"/>
    <x v="1"/>
    <x v="0"/>
    <s v="Prazo"/>
    <s v="Em Dia"/>
  </r>
  <r>
    <d v="2022-05-12T00:00:00"/>
    <d v="2022-04-11T00:00:00"/>
    <d v="2022-04-27T00:00:00"/>
    <x v="6"/>
    <x v="0"/>
    <x v="3"/>
    <s v="NF6790"/>
    <x v="59"/>
    <n v="4497"/>
    <x v="9"/>
    <n v="2022"/>
    <x v="9"/>
    <x v="0"/>
    <x v="9"/>
    <x v="0"/>
    <x v="0"/>
    <s v="Prazo"/>
    <s v="Em Dia"/>
  </r>
  <r>
    <d v="2023-02-15T02:44:50"/>
    <d v="2023-01-08T00:00:00"/>
    <d v="2023-02-15T02:44:50"/>
    <x v="5"/>
    <x v="0"/>
    <x v="3"/>
    <s v="NF6806"/>
    <x v="56"/>
    <n v="900"/>
    <x v="7"/>
    <n v="2023"/>
    <x v="7"/>
    <x v="1"/>
    <x v="4"/>
    <x v="1"/>
    <x v="0"/>
    <s v="Prazo"/>
    <s v="Em Dia"/>
  </r>
  <r>
    <d v="2022-01-21T02:17:00"/>
    <d v="2021-12-04T00:00:00"/>
    <d v="2022-01-21T02:17:00"/>
    <x v="5"/>
    <x v="0"/>
    <x v="1"/>
    <s v="NF6811"/>
    <x v="9"/>
    <n v="4073"/>
    <x v="8"/>
    <n v="2022"/>
    <x v="8"/>
    <x v="2"/>
    <x v="7"/>
    <x v="0"/>
    <x v="0"/>
    <s v="Prazo"/>
    <s v="Em Dia"/>
  </r>
  <r>
    <d v="2023-12-24T00:00:00"/>
    <d v="2023-11-23T00:00:00"/>
    <d v="2023-12-09T00:00:00"/>
    <x v="6"/>
    <x v="0"/>
    <x v="4"/>
    <s v="NF6818"/>
    <x v="42"/>
    <n v="1436"/>
    <x v="10"/>
    <n v="2023"/>
    <x v="10"/>
    <x v="1"/>
    <x v="8"/>
    <x v="1"/>
    <x v="0"/>
    <s v="Prazo"/>
    <s v="Em Dia"/>
  </r>
  <r>
    <d v="2022-10-13T00:00:00"/>
    <d v="2022-09-12T00:00:00"/>
    <d v="2022-09-28T00:00:00"/>
    <x v="2"/>
    <x v="0"/>
    <x v="0"/>
    <s v="NF6833"/>
    <x v="54"/>
    <n v="5288"/>
    <x v="11"/>
    <n v="2022"/>
    <x v="11"/>
    <x v="0"/>
    <x v="11"/>
    <x v="0"/>
    <x v="0"/>
    <s v="Prazo"/>
    <s v="Em Dia"/>
  </r>
  <r>
    <d v="2023-06-06T00:00:00"/>
    <d v="2023-05-06T00:00:00"/>
    <d v="2023-05-22T00:00:00"/>
    <x v="4"/>
    <x v="0"/>
    <x v="0"/>
    <s v="NF6836"/>
    <x v="12"/>
    <n v="6753"/>
    <x v="0"/>
    <n v="2023"/>
    <x v="0"/>
    <x v="1"/>
    <x v="0"/>
    <x v="1"/>
    <x v="0"/>
    <s v="Prazo"/>
    <s v="Em Dia"/>
  </r>
  <r>
    <d v="2023-01-01T00:00:00"/>
    <d v="2022-12-01T00:00:00"/>
    <d v="2022-12-17T00:00:00"/>
    <x v="6"/>
    <x v="0"/>
    <x v="1"/>
    <s v="NF6837"/>
    <x v="19"/>
    <n v="1662"/>
    <x v="8"/>
    <n v="2023"/>
    <x v="8"/>
    <x v="0"/>
    <x v="8"/>
    <x v="0"/>
    <x v="0"/>
    <s v="Prazo"/>
    <s v="Em Dia"/>
  </r>
  <r>
    <d v="2023-09-06T00:00:00"/>
    <d v="2023-08-06T00:00:00"/>
    <d v="2023-08-22T00:00:00"/>
    <x v="0"/>
    <x v="0"/>
    <x v="1"/>
    <s v="NF6837"/>
    <x v="37"/>
    <n v="3218"/>
    <x v="2"/>
    <n v="2023"/>
    <x v="2"/>
    <x v="1"/>
    <x v="2"/>
    <x v="1"/>
    <x v="0"/>
    <s v="Prazo"/>
    <s v="Em Dia"/>
  </r>
  <r>
    <d v="2022-02-16T15:16:57"/>
    <d v="2022-01-17T00:00:00"/>
    <d v="2022-02-16T15:16:57"/>
    <x v="1"/>
    <x v="0"/>
    <x v="2"/>
    <s v="NF6851"/>
    <x v="10"/>
    <n v="1364"/>
    <x v="7"/>
    <n v="2022"/>
    <x v="7"/>
    <x v="0"/>
    <x v="4"/>
    <x v="0"/>
    <x v="0"/>
    <s v="Prazo"/>
    <s v="Em Dia"/>
  </r>
  <r>
    <d v="2023-08-26T00:00:00"/>
    <d v="2023-07-26T00:00:00"/>
    <d v="2023-08-11T00:00:00"/>
    <x v="0"/>
    <x v="0"/>
    <x v="4"/>
    <s v="NF6855"/>
    <x v="0"/>
    <n v="5220"/>
    <x v="6"/>
    <n v="2023"/>
    <x v="6"/>
    <x v="1"/>
    <x v="2"/>
    <x v="1"/>
    <x v="0"/>
    <s v="Prazo"/>
    <s v="Em Dia"/>
  </r>
  <r>
    <d v="2023-09-28T00:00:00"/>
    <d v="2023-08-28T00:00:00"/>
    <d v="2023-09-13T00:00:00"/>
    <x v="7"/>
    <x v="0"/>
    <x v="1"/>
    <s v="NF6915"/>
    <x v="52"/>
    <n v="5340"/>
    <x v="2"/>
    <n v="2023"/>
    <x v="2"/>
    <x v="1"/>
    <x v="11"/>
    <x v="1"/>
    <x v="0"/>
    <s v="Prazo"/>
    <s v="Em Dia"/>
  </r>
  <r>
    <d v="2022-10-15T11:59:23"/>
    <d v="2022-08-24T00:00:00"/>
    <d v="2022-10-15T11:59:23"/>
    <x v="0"/>
    <x v="0"/>
    <x v="3"/>
    <s v="NF6974"/>
    <x v="6"/>
    <n v="4287"/>
    <x v="11"/>
    <n v="2022"/>
    <x v="2"/>
    <x v="0"/>
    <x v="5"/>
    <x v="0"/>
    <x v="0"/>
    <s v="Prazo"/>
    <s v="Em Dia"/>
  </r>
  <r>
    <d v="2023-01-15T00:00:00"/>
    <d v="2022-12-15T00:00:00"/>
    <d v="2022-12-31T00:00:00"/>
    <x v="1"/>
    <x v="0"/>
    <x v="3"/>
    <s v="NF6982"/>
    <x v="40"/>
    <n v="2761"/>
    <x v="8"/>
    <n v="2023"/>
    <x v="8"/>
    <x v="0"/>
    <x v="8"/>
    <x v="0"/>
    <x v="0"/>
    <s v="Prazo"/>
    <s v="Em Dia"/>
  </r>
  <r>
    <d v="2021-11-29T02:08:45"/>
    <d v="2021-10-24T00:00:00"/>
    <d v="2021-11-29T02:08:45"/>
    <x v="7"/>
    <x v="0"/>
    <x v="0"/>
    <s v="NF7020"/>
    <x v="55"/>
    <n v="2023"/>
    <x v="5"/>
    <n v="2021"/>
    <x v="5"/>
    <x v="2"/>
    <x v="10"/>
    <x v="2"/>
    <x v="0"/>
    <s v="Prazo"/>
    <s v="Em Dia"/>
  </r>
  <r>
    <d v="2022-06-01T00:00:00"/>
    <d v="2022-05-01T00:00:00"/>
    <d v="2022-05-17T00:00:00"/>
    <x v="7"/>
    <x v="0"/>
    <x v="4"/>
    <s v="NF7079"/>
    <x v="45"/>
    <n v="290"/>
    <x v="0"/>
    <n v="2022"/>
    <x v="0"/>
    <x v="0"/>
    <x v="0"/>
    <x v="0"/>
    <x v="0"/>
    <s v="Prazo"/>
    <s v="Em Dia"/>
  </r>
  <r>
    <d v="2022-06-28T09:08:40"/>
    <d v="2022-05-11T00:00:00"/>
    <d v="2022-06-28T09:08:40"/>
    <x v="6"/>
    <x v="0"/>
    <x v="0"/>
    <s v="NF7104"/>
    <x v="43"/>
    <n v="611"/>
    <x v="0"/>
    <n v="2022"/>
    <x v="0"/>
    <x v="0"/>
    <x v="3"/>
    <x v="0"/>
    <x v="0"/>
    <s v="Prazo"/>
    <s v="Em Dia"/>
  </r>
  <r>
    <d v="2022-06-14T09:49:26"/>
    <d v="2022-05-30T00:00:00"/>
    <d v="2022-06-14T09:49:26"/>
    <x v="3"/>
    <x v="0"/>
    <x v="3"/>
    <s v="NF7106"/>
    <x v="16"/>
    <n v="3346"/>
    <x v="0"/>
    <n v="2022"/>
    <x v="0"/>
    <x v="0"/>
    <x v="3"/>
    <x v="0"/>
    <x v="0"/>
    <s v="Prazo"/>
    <s v="Em Dia"/>
  </r>
  <r>
    <d v="2022-04-30T19:43:46"/>
    <d v="2022-03-21T00:00:00"/>
    <d v="2022-04-30T19:43:46"/>
    <x v="0"/>
    <x v="0"/>
    <x v="2"/>
    <s v="NF7119"/>
    <x v="37"/>
    <n v="4606"/>
    <x v="1"/>
    <n v="2022"/>
    <x v="1"/>
    <x v="0"/>
    <x v="9"/>
    <x v="0"/>
    <x v="0"/>
    <s v="Prazo"/>
    <s v="Em Dia"/>
  </r>
  <r>
    <d v="2023-03-07T00:00:00"/>
    <d v="2023-02-04T00:00:00"/>
    <d v="2023-02-20T00:00:00"/>
    <x v="5"/>
    <x v="0"/>
    <x v="1"/>
    <s v="NF7156"/>
    <x v="56"/>
    <n v="7369"/>
    <x v="4"/>
    <n v="2023"/>
    <x v="4"/>
    <x v="1"/>
    <x v="4"/>
    <x v="1"/>
    <x v="0"/>
    <s v="Prazo"/>
    <s v="Em Dia"/>
  </r>
  <r>
    <d v="2021-11-14T00:00:00"/>
    <d v="2021-10-14T00:00:00"/>
    <d v="2021-10-30T00:00:00"/>
    <x v="7"/>
    <x v="0"/>
    <x v="3"/>
    <s v="NF7172"/>
    <x v="45"/>
    <n v="1009"/>
    <x v="5"/>
    <n v="2021"/>
    <x v="5"/>
    <x v="2"/>
    <x v="5"/>
    <x v="2"/>
    <x v="0"/>
    <s v="Prazo"/>
    <s v="Em Dia"/>
  </r>
  <r>
    <d v="2022-01-31T13:32:16"/>
    <d v="2021-12-11T00:00:00"/>
    <d v="2022-01-31T13:32:16"/>
    <x v="3"/>
    <x v="0"/>
    <x v="4"/>
    <s v="NF7213"/>
    <x v="21"/>
    <n v="1267"/>
    <x v="8"/>
    <n v="2022"/>
    <x v="8"/>
    <x v="2"/>
    <x v="7"/>
    <x v="0"/>
    <x v="0"/>
    <s v="Prazo"/>
    <s v="Em Dia"/>
  </r>
  <r>
    <d v="2021-06-03T00:00:00"/>
    <d v="2021-05-03T00:00:00"/>
    <d v="2021-05-19T00:00:00"/>
    <x v="7"/>
    <x v="0"/>
    <x v="1"/>
    <s v="NF7216"/>
    <x v="46"/>
    <n v="7740"/>
    <x v="0"/>
    <n v="2021"/>
    <x v="0"/>
    <x v="2"/>
    <x v="0"/>
    <x v="2"/>
    <x v="0"/>
    <s v="Prazo"/>
    <s v="Em Dia"/>
  </r>
  <r>
    <d v="2021-12-22T17:30:02"/>
    <d v="2021-10-26T00:00:00"/>
    <d v="2021-12-22T17:30:02"/>
    <x v="7"/>
    <x v="0"/>
    <x v="2"/>
    <s v="NF7221"/>
    <x v="27"/>
    <n v="3696"/>
    <x v="10"/>
    <n v="2021"/>
    <x v="5"/>
    <x v="2"/>
    <x v="8"/>
    <x v="2"/>
    <x v="0"/>
    <s v="Prazo"/>
    <s v="Em Dia"/>
  </r>
  <r>
    <d v="2023-03-16T00:00:00"/>
    <d v="2023-02-13T00:00:00"/>
    <d v="2023-03-01T00:00:00"/>
    <x v="3"/>
    <x v="0"/>
    <x v="3"/>
    <s v="NF7222"/>
    <x v="4"/>
    <n v="1813"/>
    <x v="4"/>
    <n v="2023"/>
    <x v="4"/>
    <x v="1"/>
    <x v="1"/>
    <x v="1"/>
    <x v="0"/>
    <s v="Prazo"/>
    <s v="Em Dia"/>
  </r>
  <r>
    <d v="2021-12-09T00:00:00"/>
    <d v="2021-11-08T00:00:00"/>
    <d v="2021-11-24T00:00:00"/>
    <x v="5"/>
    <x v="0"/>
    <x v="2"/>
    <s v="NF7227"/>
    <x v="56"/>
    <n v="1130"/>
    <x v="10"/>
    <n v="2021"/>
    <x v="10"/>
    <x v="2"/>
    <x v="10"/>
    <x v="2"/>
    <x v="0"/>
    <s v="Prazo"/>
    <s v="Em Dia"/>
  </r>
  <r>
    <d v="2021-01-06T00:00:00"/>
    <d v="2020-12-06T00:00:00"/>
    <d v="2020-12-22T00:00:00"/>
    <x v="7"/>
    <x v="0"/>
    <x v="3"/>
    <s v="NF7238"/>
    <x v="29"/>
    <n v="3547"/>
    <x v="8"/>
    <n v="2021"/>
    <x v="8"/>
    <x v="3"/>
    <x v="8"/>
    <x v="3"/>
    <x v="0"/>
    <s v="Prazo"/>
    <s v="Em Dia"/>
  </r>
  <r>
    <d v="2021-09-16T08:38:45"/>
    <d v="2021-08-10T00:00:00"/>
    <d v="2021-08-25T17:31:36"/>
    <x v="5"/>
    <x v="0"/>
    <x v="1"/>
    <s v="NF7238"/>
    <x v="9"/>
    <n v="1133"/>
    <x v="2"/>
    <n v="2021"/>
    <x v="2"/>
    <x v="2"/>
    <x v="2"/>
    <x v="2"/>
    <x v="0"/>
    <s v="Prazo"/>
    <s v="Em Dia"/>
  </r>
  <r>
    <d v="2022-09-14T13:40:35"/>
    <d v="2022-08-03T00:00:00"/>
    <d v="2022-09-14T13:40:35"/>
    <x v="2"/>
    <x v="0"/>
    <x v="2"/>
    <s v="NF7248"/>
    <x v="35"/>
    <n v="331"/>
    <x v="2"/>
    <n v="2022"/>
    <x v="2"/>
    <x v="0"/>
    <x v="11"/>
    <x v="0"/>
    <x v="0"/>
    <s v="Prazo"/>
    <s v="Em Dia"/>
  </r>
  <r>
    <d v="2022-10-19T00:00:00"/>
    <d v="2022-09-18T00:00:00"/>
    <d v="2022-10-04T00:00:00"/>
    <x v="3"/>
    <x v="0"/>
    <x v="0"/>
    <s v="NF7253"/>
    <x v="53"/>
    <n v="2584"/>
    <x v="11"/>
    <n v="2022"/>
    <x v="11"/>
    <x v="0"/>
    <x v="5"/>
    <x v="0"/>
    <x v="0"/>
    <s v="Prazo"/>
    <s v="Em Dia"/>
  </r>
  <r>
    <d v="2023-05-08T00:00:00"/>
    <d v="2023-04-07T00:00:00"/>
    <d v="2023-04-23T00:00:00"/>
    <x v="4"/>
    <x v="0"/>
    <x v="1"/>
    <s v="NF7309"/>
    <x v="64"/>
    <n v="3685"/>
    <x v="9"/>
    <n v="2023"/>
    <x v="9"/>
    <x v="1"/>
    <x v="9"/>
    <x v="1"/>
    <x v="0"/>
    <s v="Prazo"/>
    <s v="Em Dia"/>
  </r>
  <r>
    <d v="2021-12-17T10:22:36"/>
    <d v="2021-10-24T00:00:00"/>
    <d v="2021-11-19T14:21:29"/>
    <x v="4"/>
    <x v="0"/>
    <x v="4"/>
    <s v="NF7319"/>
    <x v="32"/>
    <n v="257"/>
    <x v="10"/>
    <n v="2021"/>
    <x v="5"/>
    <x v="2"/>
    <x v="10"/>
    <x v="2"/>
    <x v="0"/>
    <s v="Prazo"/>
    <s v="Em Dia"/>
  </r>
  <r>
    <d v="2022-07-28T00:49:39"/>
    <d v="2022-06-04T00:00:00"/>
    <d v="2022-07-28T00:49:39"/>
    <x v="1"/>
    <x v="0"/>
    <x v="0"/>
    <s v="NF7322"/>
    <x v="40"/>
    <n v="2781"/>
    <x v="3"/>
    <n v="2022"/>
    <x v="3"/>
    <x v="0"/>
    <x v="6"/>
    <x v="0"/>
    <x v="0"/>
    <s v="Prazo"/>
    <s v="Em Dia"/>
  </r>
  <r>
    <d v="2021-07-20T00:00:00"/>
    <d v="2021-06-19T00:00:00"/>
    <d v="2021-07-05T00:00:00"/>
    <x v="1"/>
    <x v="0"/>
    <x v="4"/>
    <s v="NF7343"/>
    <x v="40"/>
    <n v="3773"/>
    <x v="3"/>
    <n v="2021"/>
    <x v="3"/>
    <x v="2"/>
    <x v="6"/>
    <x v="2"/>
    <x v="0"/>
    <s v="Prazo"/>
    <s v="Em Dia"/>
  </r>
  <r>
    <d v="2022-09-04T00:00:00"/>
    <d v="2022-08-04T00:00:00"/>
    <d v="2022-08-20T00:00:00"/>
    <x v="3"/>
    <x v="0"/>
    <x v="3"/>
    <s v="NF7358"/>
    <x v="7"/>
    <n v="6952"/>
    <x v="2"/>
    <n v="2022"/>
    <x v="2"/>
    <x v="0"/>
    <x v="2"/>
    <x v="0"/>
    <x v="0"/>
    <s v="Prazo"/>
    <s v="Em Dia"/>
  </r>
  <r>
    <d v="2021-12-01T00:00:00"/>
    <d v="2021-10-31T00:00:00"/>
    <d v="2021-11-16T00:00:00"/>
    <x v="3"/>
    <x v="0"/>
    <x v="3"/>
    <s v="NF7365"/>
    <x v="4"/>
    <n v="5562"/>
    <x v="10"/>
    <n v="2021"/>
    <x v="5"/>
    <x v="2"/>
    <x v="10"/>
    <x v="2"/>
    <x v="0"/>
    <s v="Prazo"/>
    <s v="Em Dia"/>
  </r>
  <r>
    <d v="2022-04-17T19:38:15"/>
    <d v="2022-03-17T00:00:00"/>
    <d v="2022-04-17T19:38:15"/>
    <x v="4"/>
    <x v="0"/>
    <x v="3"/>
    <s v="NF7365"/>
    <x v="64"/>
    <n v="4471"/>
    <x v="1"/>
    <n v="2022"/>
    <x v="1"/>
    <x v="0"/>
    <x v="9"/>
    <x v="0"/>
    <x v="0"/>
    <s v="Prazo"/>
    <s v="Em Dia"/>
  </r>
  <r>
    <d v="2023-02-27T01:57:03"/>
    <d v="2022-11-14T00:00:00"/>
    <d v="2022-12-07T17:43:50"/>
    <x v="5"/>
    <x v="0"/>
    <x v="2"/>
    <s v="NF7423"/>
    <x v="48"/>
    <n v="4319"/>
    <x v="7"/>
    <n v="2023"/>
    <x v="10"/>
    <x v="0"/>
    <x v="8"/>
    <x v="0"/>
    <x v="0"/>
    <s v="Prazo"/>
    <s v="Em Dia"/>
  </r>
  <r>
    <d v="2021-09-15T00:00:00"/>
    <d v="2021-08-15T00:00:00"/>
    <d v="2021-08-31T00:00:00"/>
    <x v="3"/>
    <x v="0"/>
    <x v="2"/>
    <s v="NF7442"/>
    <x v="7"/>
    <n v="3516"/>
    <x v="2"/>
    <n v="2021"/>
    <x v="2"/>
    <x v="2"/>
    <x v="2"/>
    <x v="2"/>
    <x v="0"/>
    <s v="Prazo"/>
    <s v="Em Dia"/>
  </r>
  <r>
    <d v="2021-03-05T00:00:00"/>
    <d v="2021-02-02T00:00:00"/>
    <d v="2021-02-18T00:00:00"/>
    <x v="6"/>
    <x v="0"/>
    <x v="0"/>
    <s v="NF7467"/>
    <x v="57"/>
    <n v="7842"/>
    <x v="4"/>
    <n v="2021"/>
    <x v="4"/>
    <x v="2"/>
    <x v="4"/>
    <x v="2"/>
    <x v="0"/>
    <s v="Prazo"/>
    <s v="Em Dia"/>
  </r>
  <r>
    <d v="2021-12-25T00:00:00"/>
    <d v="2021-11-24T00:00:00"/>
    <d v="2021-12-10T00:00:00"/>
    <x v="1"/>
    <x v="0"/>
    <x v="4"/>
    <s v="NF7473"/>
    <x v="13"/>
    <n v="4167"/>
    <x v="10"/>
    <n v="2021"/>
    <x v="10"/>
    <x v="2"/>
    <x v="8"/>
    <x v="2"/>
    <x v="0"/>
    <s v="Prazo"/>
    <s v="Em Dia"/>
  </r>
  <r>
    <d v="2023-10-08T00:00:00"/>
    <d v="2023-09-07T00:00:00"/>
    <d v="2023-09-23T00:00:00"/>
    <x v="7"/>
    <x v="0"/>
    <x v="2"/>
    <s v="NF7492"/>
    <x v="29"/>
    <n v="7017"/>
    <x v="11"/>
    <n v="2023"/>
    <x v="11"/>
    <x v="1"/>
    <x v="11"/>
    <x v="1"/>
    <x v="0"/>
    <s v="Prazo"/>
    <s v="Em Dia"/>
  </r>
  <r>
    <d v="2022-01-20T00:00:00"/>
    <d v="2021-12-20T00:00:00"/>
    <d v="2022-01-05T00:00:00"/>
    <x v="5"/>
    <x v="0"/>
    <x v="2"/>
    <s v="NF7503"/>
    <x v="34"/>
    <n v="3645"/>
    <x v="8"/>
    <n v="2022"/>
    <x v="8"/>
    <x v="2"/>
    <x v="7"/>
    <x v="0"/>
    <x v="0"/>
    <s v="Prazo"/>
    <s v="Em Dia"/>
  </r>
  <r>
    <d v="2021-08-25T00:00:00"/>
    <d v="2021-07-25T00:00:00"/>
    <d v="2021-08-10T00:00:00"/>
    <x v="6"/>
    <x v="0"/>
    <x v="1"/>
    <s v="NF7514"/>
    <x v="22"/>
    <n v="7998"/>
    <x v="6"/>
    <n v="2021"/>
    <x v="6"/>
    <x v="2"/>
    <x v="2"/>
    <x v="2"/>
    <x v="0"/>
    <s v="Prazo"/>
    <s v="Em Dia"/>
  </r>
  <r>
    <d v="2022-10-01T12:07:20"/>
    <d v="2022-09-20T00:00:00"/>
    <d v="2022-10-01T12:07:20"/>
    <x v="5"/>
    <x v="0"/>
    <x v="0"/>
    <s v="NF7516"/>
    <x v="48"/>
    <n v="2895"/>
    <x v="11"/>
    <n v="2022"/>
    <x v="11"/>
    <x v="0"/>
    <x v="5"/>
    <x v="0"/>
    <x v="0"/>
    <s v="Prazo"/>
    <s v="Em Dia"/>
  </r>
  <r>
    <d v="2021-05-21T00:00:00"/>
    <d v="2021-04-20T00:00:00"/>
    <d v="2021-05-06T00:00:00"/>
    <x v="5"/>
    <x v="0"/>
    <x v="0"/>
    <s v="NF7520"/>
    <x v="48"/>
    <n v="7178"/>
    <x v="9"/>
    <n v="2021"/>
    <x v="9"/>
    <x v="2"/>
    <x v="0"/>
    <x v="2"/>
    <x v="0"/>
    <s v="Prazo"/>
    <s v="Em Dia"/>
  </r>
  <r>
    <d v="2022-03-05T09:39:00"/>
    <d v="2022-01-22T00:00:00"/>
    <d v="2022-02-14T22:19:33"/>
    <x v="3"/>
    <x v="0"/>
    <x v="3"/>
    <s v="NF7526"/>
    <x v="51"/>
    <n v="3928"/>
    <x v="4"/>
    <n v="2022"/>
    <x v="7"/>
    <x v="0"/>
    <x v="4"/>
    <x v="0"/>
    <x v="0"/>
    <s v="Prazo"/>
    <s v="Em Dia"/>
  </r>
  <r>
    <d v="2023-09-03T00:00:00"/>
    <d v="2023-08-03T00:00:00"/>
    <d v="2023-08-19T00:00:00"/>
    <x v="5"/>
    <x v="0"/>
    <x v="2"/>
    <s v="NF7535"/>
    <x v="48"/>
    <n v="5255"/>
    <x v="2"/>
    <n v="2023"/>
    <x v="2"/>
    <x v="1"/>
    <x v="2"/>
    <x v="1"/>
    <x v="0"/>
    <s v="Prazo"/>
    <s v="Em Dia"/>
  </r>
  <r>
    <d v="2022-02-20T06:05:43"/>
    <d v="2021-11-19T00:00:00"/>
    <d v="2021-12-21T15:01:36"/>
    <x v="2"/>
    <x v="0"/>
    <x v="3"/>
    <s v="NF7540"/>
    <x v="17"/>
    <n v="4831"/>
    <x v="7"/>
    <n v="2022"/>
    <x v="10"/>
    <x v="2"/>
    <x v="8"/>
    <x v="2"/>
    <x v="0"/>
    <s v="Prazo"/>
    <s v="Em Dia"/>
  </r>
  <r>
    <d v="2023-11-03T00:00:00"/>
    <d v="2023-10-03T00:00:00"/>
    <d v="2023-10-19T00:00:00"/>
    <x v="0"/>
    <x v="0"/>
    <x v="2"/>
    <s v="NF7557"/>
    <x v="15"/>
    <n v="4805"/>
    <x v="5"/>
    <n v="2023"/>
    <x v="5"/>
    <x v="1"/>
    <x v="5"/>
    <x v="1"/>
    <x v="0"/>
    <s v="Prazo"/>
    <s v="Em Dia"/>
  </r>
  <r>
    <d v="2022-07-07T00:00:00"/>
    <d v="2022-06-06T00:00:00"/>
    <d v="2022-06-22T00:00:00"/>
    <x v="3"/>
    <x v="0"/>
    <x v="4"/>
    <s v="NF7572"/>
    <x v="51"/>
    <n v="5226"/>
    <x v="3"/>
    <n v="2022"/>
    <x v="3"/>
    <x v="0"/>
    <x v="3"/>
    <x v="0"/>
    <x v="0"/>
    <s v="Prazo"/>
    <s v="Em Dia"/>
  </r>
  <r>
    <d v="2022-12-03T00:00:00"/>
    <d v="2022-11-02T00:00:00"/>
    <d v="2022-11-18T00:00:00"/>
    <x v="5"/>
    <x v="0"/>
    <x v="4"/>
    <s v="NF7574"/>
    <x v="9"/>
    <n v="3511"/>
    <x v="10"/>
    <n v="2022"/>
    <x v="10"/>
    <x v="0"/>
    <x v="10"/>
    <x v="0"/>
    <x v="0"/>
    <s v="Prazo"/>
    <s v="Em Dia"/>
  </r>
  <r>
    <d v="2022-05-13T00:00:00"/>
    <d v="2022-04-12T00:00:00"/>
    <d v="2022-04-28T00:00:00"/>
    <x v="6"/>
    <x v="0"/>
    <x v="0"/>
    <s v="NF7575"/>
    <x v="33"/>
    <n v="3990"/>
    <x v="9"/>
    <n v="2022"/>
    <x v="9"/>
    <x v="0"/>
    <x v="9"/>
    <x v="0"/>
    <x v="0"/>
    <s v="Prazo"/>
    <s v="Em Dia"/>
  </r>
  <r>
    <d v="2021-10-07T00:00:00"/>
    <d v="2021-09-06T00:00:00"/>
    <d v="2021-09-22T00:00:00"/>
    <x v="4"/>
    <x v="0"/>
    <x v="4"/>
    <s v="NF7577"/>
    <x v="58"/>
    <n v="5380"/>
    <x v="11"/>
    <n v="2021"/>
    <x v="11"/>
    <x v="2"/>
    <x v="11"/>
    <x v="2"/>
    <x v="0"/>
    <s v="Prazo"/>
    <s v="Em Dia"/>
  </r>
  <r>
    <d v="2022-03-21T00:00:00"/>
    <d v="2022-02-18T00:00:00"/>
    <d v="2022-03-06T00:00:00"/>
    <x v="2"/>
    <x v="0"/>
    <x v="4"/>
    <s v="NF7582"/>
    <x v="20"/>
    <n v="3931"/>
    <x v="4"/>
    <n v="2022"/>
    <x v="4"/>
    <x v="0"/>
    <x v="1"/>
    <x v="0"/>
    <x v="0"/>
    <s v="Prazo"/>
    <s v="Em Dia"/>
  </r>
  <r>
    <d v="2023-05-18T16:19:11"/>
    <d v="2023-05-08T00:00:00"/>
    <d v="2023-05-18T16:19:11"/>
    <x v="7"/>
    <x v="0"/>
    <x v="1"/>
    <s v="NF7582"/>
    <x v="27"/>
    <n v="4510"/>
    <x v="9"/>
    <n v="2023"/>
    <x v="0"/>
    <x v="1"/>
    <x v="0"/>
    <x v="1"/>
    <x v="0"/>
    <s v="Prazo"/>
    <s v="Em Dia"/>
  </r>
  <r>
    <d v="2022-01-02T00:00:00"/>
    <d v="2021-12-02T00:00:00"/>
    <d v="2021-12-18T00:00:00"/>
    <x v="4"/>
    <x v="0"/>
    <x v="3"/>
    <s v="NF7583"/>
    <x v="64"/>
    <n v="1489"/>
    <x v="8"/>
    <n v="2022"/>
    <x v="8"/>
    <x v="2"/>
    <x v="8"/>
    <x v="2"/>
    <x v="0"/>
    <s v="Prazo"/>
    <s v="Em Dia"/>
  </r>
  <r>
    <d v="2023-06-09T00:00:00"/>
    <d v="2023-05-09T00:00:00"/>
    <d v="2023-05-25T00:00:00"/>
    <x v="4"/>
    <x v="0"/>
    <x v="2"/>
    <s v="NF7596"/>
    <x v="8"/>
    <n v="678"/>
    <x v="0"/>
    <n v="2023"/>
    <x v="0"/>
    <x v="1"/>
    <x v="0"/>
    <x v="1"/>
    <x v="0"/>
    <s v="Prazo"/>
    <s v="Em Dia"/>
  </r>
  <r>
    <d v="2022-09-13T00:00:00"/>
    <d v="2022-08-13T00:00:00"/>
    <d v="2022-08-29T00:00:00"/>
    <x v="7"/>
    <x v="0"/>
    <x v="3"/>
    <s v="NF7612"/>
    <x v="46"/>
    <n v="4674"/>
    <x v="2"/>
    <n v="2022"/>
    <x v="2"/>
    <x v="0"/>
    <x v="2"/>
    <x v="0"/>
    <x v="0"/>
    <s v="Prazo"/>
    <s v="Em Dia"/>
  </r>
  <r>
    <d v="2023-04-05T00:00:00"/>
    <d v="2023-03-05T00:00:00"/>
    <d v="2023-03-21T00:00:00"/>
    <x v="1"/>
    <x v="0"/>
    <x v="4"/>
    <s v="NF7616"/>
    <x v="13"/>
    <n v="2909"/>
    <x v="1"/>
    <n v="2023"/>
    <x v="1"/>
    <x v="1"/>
    <x v="1"/>
    <x v="1"/>
    <x v="0"/>
    <s v="Prazo"/>
    <s v="Em Dia"/>
  </r>
  <r>
    <d v="2023-12-07T00:00:00"/>
    <d v="2023-11-06T00:00:00"/>
    <d v="2023-11-22T00:00:00"/>
    <x v="2"/>
    <x v="0"/>
    <x v="0"/>
    <s v="NF7617"/>
    <x v="54"/>
    <n v="1167"/>
    <x v="10"/>
    <n v="2023"/>
    <x v="10"/>
    <x v="1"/>
    <x v="10"/>
    <x v="1"/>
    <x v="0"/>
    <s v="Prazo"/>
    <s v="Em Dia"/>
  </r>
  <r>
    <d v="2022-04-17T00:00:00"/>
    <d v="2022-03-17T00:00:00"/>
    <d v="2022-04-02T00:00:00"/>
    <x v="1"/>
    <x v="0"/>
    <x v="0"/>
    <s v="NF7642"/>
    <x v="28"/>
    <n v="2395"/>
    <x v="1"/>
    <n v="2022"/>
    <x v="1"/>
    <x v="0"/>
    <x v="9"/>
    <x v="0"/>
    <x v="0"/>
    <s v="Prazo"/>
    <s v="Em Dia"/>
  </r>
  <r>
    <d v="2023-05-29T08:20:09"/>
    <d v="2023-03-21T00:00:00"/>
    <d v="2023-04-04T11:22:30"/>
    <x v="8"/>
    <x v="0"/>
    <x v="0"/>
    <s v="NF7648"/>
    <x v="60"/>
    <n v="3849"/>
    <x v="9"/>
    <n v="2023"/>
    <x v="1"/>
    <x v="1"/>
    <x v="9"/>
    <x v="1"/>
    <x v="0"/>
    <s v="Prazo"/>
    <s v="Em Dia"/>
  </r>
  <r>
    <d v="2021-10-11T00:00:00"/>
    <d v="2021-09-10T00:00:00"/>
    <d v="2021-09-26T00:00:00"/>
    <x v="0"/>
    <x v="0"/>
    <x v="4"/>
    <s v="NF7654"/>
    <x v="1"/>
    <n v="6652"/>
    <x v="11"/>
    <n v="2021"/>
    <x v="11"/>
    <x v="2"/>
    <x v="11"/>
    <x v="2"/>
    <x v="0"/>
    <s v="Prazo"/>
    <s v="Em Dia"/>
  </r>
  <r>
    <d v="2021-11-06T02:31:43"/>
    <d v="2021-10-15T00:00:00"/>
    <d v="2021-11-06T02:31:43"/>
    <x v="8"/>
    <x v="0"/>
    <x v="2"/>
    <s v="NF7663"/>
    <x v="66"/>
    <n v="3425"/>
    <x v="5"/>
    <n v="2021"/>
    <x v="5"/>
    <x v="2"/>
    <x v="10"/>
    <x v="2"/>
    <x v="0"/>
    <s v="Prazo"/>
    <s v="Em Dia"/>
  </r>
  <r>
    <d v="2022-02-03T23:03:18"/>
    <d v="2021-10-11T00:00:00"/>
    <d v="2021-11-21T21:49:29"/>
    <x v="2"/>
    <x v="0"/>
    <x v="2"/>
    <s v="NF7669"/>
    <x v="54"/>
    <n v="2587"/>
    <x v="7"/>
    <n v="2022"/>
    <x v="5"/>
    <x v="2"/>
    <x v="10"/>
    <x v="2"/>
    <x v="0"/>
    <s v="Prazo"/>
    <s v="Em Dia"/>
  </r>
  <r>
    <d v="2023-06-09T00:00:00"/>
    <d v="2023-05-09T00:00:00"/>
    <d v="2023-05-25T00:00:00"/>
    <x v="7"/>
    <x v="0"/>
    <x v="4"/>
    <s v="NF7669"/>
    <x v="46"/>
    <n v="7143"/>
    <x v="0"/>
    <n v="2023"/>
    <x v="0"/>
    <x v="1"/>
    <x v="0"/>
    <x v="1"/>
    <x v="0"/>
    <s v="Prazo"/>
    <s v="Em Dia"/>
  </r>
  <r>
    <d v="2021-09-28T00:00:00"/>
    <d v="2021-08-28T00:00:00"/>
    <d v="2021-09-13T00:00:00"/>
    <x v="1"/>
    <x v="0"/>
    <x v="2"/>
    <s v="NF7672"/>
    <x v="10"/>
    <n v="1716"/>
    <x v="2"/>
    <n v="2021"/>
    <x v="2"/>
    <x v="2"/>
    <x v="11"/>
    <x v="2"/>
    <x v="0"/>
    <s v="Prazo"/>
    <s v="Em Dia"/>
  </r>
  <r>
    <d v="2023-01-19T00:00:00"/>
    <d v="2022-12-19T00:00:00"/>
    <d v="2023-01-04T00:00:00"/>
    <x v="6"/>
    <x v="0"/>
    <x v="3"/>
    <s v="NF7681"/>
    <x v="59"/>
    <n v="6436"/>
    <x v="8"/>
    <n v="2023"/>
    <x v="8"/>
    <x v="0"/>
    <x v="7"/>
    <x v="1"/>
    <x v="0"/>
    <s v="Prazo"/>
    <s v="Em Dia"/>
  </r>
  <r>
    <d v="2023-10-22T00:00:00"/>
    <d v="2023-09-21T00:00:00"/>
    <d v="2023-10-07T00:00:00"/>
    <x v="0"/>
    <x v="0"/>
    <x v="3"/>
    <s v="NF7684"/>
    <x v="1"/>
    <n v="4394"/>
    <x v="11"/>
    <n v="2023"/>
    <x v="11"/>
    <x v="1"/>
    <x v="5"/>
    <x v="1"/>
    <x v="0"/>
    <s v="Prazo"/>
    <s v="Em Dia"/>
  </r>
  <r>
    <d v="2023-11-27T00:00:00"/>
    <d v="2023-10-27T00:00:00"/>
    <d v="2023-11-12T00:00:00"/>
    <x v="6"/>
    <x v="0"/>
    <x v="0"/>
    <s v="NF7686"/>
    <x v="33"/>
    <n v="5140"/>
    <x v="5"/>
    <n v="2023"/>
    <x v="5"/>
    <x v="1"/>
    <x v="10"/>
    <x v="1"/>
    <x v="0"/>
    <s v="Prazo"/>
    <s v="Em Dia"/>
  </r>
  <r>
    <d v="2022-08-04T02:05:08"/>
    <d v="2022-07-05T00:00:00"/>
    <d v="2022-08-04T02:05:08"/>
    <x v="2"/>
    <x v="0"/>
    <x v="0"/>
    <s v="NF7689"/>
    <x v="5"/>
    <n v="1306"/>
    <x v="6"/>
    <n v="2022"/>
    <x v="6"/>
    <x v="0"/>
    <x v="2"/>
    <x v="0"/>
    <x v="0"/>
    <s v="Prazo"/>
    <s v="Em Dia"/>
  </r>
  <r>
    <d v="2022-10-28T00:00:00"/>
    <d v="2022-09-27T00:00:00"/>
    <d v="2022-10-13T00:00:00"/>
    <x v="0"/>
    <x v="0"/>
    <x v="3"/>
    <s v="NF7698"/>
    <x v="1"/>
    <n v="7833"/>
    <x v="11"/>
    <n v="2022"/>
    <x v="11"/>
    <x v="0"/>
    <x v="5"/>
    <x v="0"/>
    <x v="0"/>
    <s v="Prazo"/>
    <s v="Em Dia"/>
  </r>
  <r>
    <d v="2022-04-24T00:00:00"/>
    <d v="2022-03-24T00:00:00"/>
    <d v="2022-04-09T00:00:00"/>
    <x v="0"/>
    <x v="0"/>
    <x v="1"/>
    <s v="NF7699"/>
    <x v="6"/>
    <n v="6942"/>
    <x v="1"/>
    <n v="2022"/>
    <x v="1"/>
    <x v="0"/>
    <x v="9"/>
    <x v="0"/>
    <x v="0"/>
    <s v="Prazo"/>
    <s v="Em Dia"/>
  </r>
  <r>
    <d v="2023-04-24T22:21:53"/>
    <d v="2023-04-18T00:00:00"/>
    <d v="2023-04-24T22:21:53"/>
    <x v="1"/>
    <x v="0"/>
    <x v="1"/>
    <s v="NF7700"/>
    <x v="28"/>
    <n v="4797"/>
    <x v="1"/>
    <n v="2023"/>
    <x v="9"/>
    <x v="1"/>
    <x v="9"/>
    <x v="1"/>
    <x v="0"/>
    <s v="Prazo"/>
    <s v="Em Dia"/>
  </r>
  <r>
    <d v="2023-05-19T01:37:55"/>
    <d v="2023-05-02T00:00:00"/>
    <d v="2023-05-19T01:37:55"/>
    <x v="8"/>
    <x v="0"/>
    <x v="3"/>
    <s v="NF7705"/>
    <x v="67"/>
    <n v="583"/>
    <x v="9"/>
    <n v="2023"/>
    <x v="0"/>
    <x v="1"/>
    <x v="0"/>
    <x v="1"/>
    <x v="0"/>
    <s v="Prazo"/>
    <s v="Em Dia"/>
  </r>
  <r>
    <d v="2022-03-22T22:36:37"/>
    <d v="2022-01-28T00:00:00"/>
    <d v="2022-03-22T22:36:37"/>
    <x v="0"/>
    <x v="0"/>
    <x v="2"/>
    <s v="NF7720"/>
    <x v="6"/>
    <n v="1184"/>
    <x v="4"/>
    <n v="2022"/>
    <x v="7"/>
    <x v="0"/>
    <x v="1"/>
    <x v="0"/>
    <x v="0"/>
    <s v="Prazo"/>
    <s v="Em Dia"/>
  </r>
  <r>
    <d v="2023-01-02T00:00:00"/>
    <d v="2022-12-02T00:00:00"/>
    <d v="2022-12-18T00:00:00"/>
    <x v="7"/>
    <x v="0"/>
    <x v="0"/>
    <s v="NF7736"/>
    <x v="52"/>
    <n v="2456"/>
    <x v="8"/>
    <n v="2023"/>
    <x v="8"/>
    <x v="0"/>
    <x v="8"/>
    <x v="0"/>
    <x v="0"/>
    <s v="Prazo"/>
    <s v="Em Dia"/>
  </r>
  <r>
    <d v="2022-03-29T01:55:16"/>
    <d v="2021-11-20T00:00:00"/>
    <d v="2022-01-05T22:36:33"/>
    <x v="6"/>
    <x v="0"/>
    <x v="2"/>
    <s v="NF7741"/>
    <x v="30"/>
    <n v="2072"/>
    <x v="4"/>
    <n v="2022"/>
    <x v="10"/>
    <x v="2"/>
    <x v="7"/>
    <x v="0"/>
    <x v="0"/>
    <s v="Prazo"/>
    <s v="Em Dia"/>
  </r>
  <r>
    <s v="N/A"/>
    <d v="2022-05-24T00:00:00"/>
    <d v="2022-06-24T10:58:45"/>
    <x v="5"/>
    <x v="0"/>
    <x v="4"/>
    <s v="NF7741"/>
    <x v="56"/>
    <n v="3878"/>
    <x v="12"/>
    <n v="0"/>
    <x v="0"/>
    <x v="0"/>
    <x v="3"/>
    <x v="0"/>
    <x v="1"/>
    <s v="Prazo"/>
    <s v="Com atraso"/>
  </r>
  <r>
    <d v="2021-07-17T00:00:00"/>
    <d v="2021-06-16T00:00:00"/>
    <d v="2021-07-02T00:00:00"/>
    <x v="2"/>
    <x v="0"/>
    <x v="1"/>
    <s v="NF7745"/>
    <x v="5"/>
    <n v="5268"/>
    <x v="3"/>
    <n v="2021"/>
    <x v="3"/>
    <x v="2"/>
    <x v="6"/>
    <x v="2"/>
    <x v="0"/>
    <s v="Prazo"/>
    <s v="Em Dia"/>
  </r>
  <r>
    <d v="2021-12-06T00:00:00"/>
    <d v="2021-11-05T00:00:00"/>
    <d v="2021-11-21T00:00:00"/>
    <x v="4"/>
    <x v="0"/>
    <x v="1"/>
    <s v="NF7752"/>
    <x v="44"/>
    <n v="5228"/>
    <x v="10"/>
    <n v="2021"/>
    <x v="10"/>
    <x v="2"/>
    <x v="10"/>
    <x v="2"/>
    <x v="0"/>
    <s v="Prazo"/>
    <s v="Em Dia"/>
  </r>
  <r>
    <d v="2023-01-04T09:42:41"/>
    <d v="2022-12-17T00:00:00"/>
    <d v="2023-01-04T09:42:41"/>
    <x v="8"/>
    <x v="0"/>
    <x v="2"/>
    <s v="NF7772"/>
    <x v="62"/>
    <n v="373"/>
    <x v="8"/>
    <n v="2023"/>
    <x v="8"/>
    <x v="0"/>
    <x v="7"/>
    <x v="1"/>
    <x v="0"/>
    <s v="Prazo"/>
    <s v="Em Dia"/>
  </r>
  <r>
    <d v="2022-07-21T00:00:00"/>
    <d v="2022-06-20T00:00:00"/>
    <d v="2022-07-06T00:00:00"/>
    <x v="0"/>
    <x v="0"/>
    <x v="2"/>
    <s v="NF7786"/>
    <x v="41"/>
    <n v="3919"/>
    <x v="3"/>
    <n v="2022"/>
    <x v="3"/>
    <x v="0"/>
    <x v="6"/>
    <x v="0"/>
    <x v="0"/>
    <s v="Prazo"/>
    <s v="Em Dia"/>
  </r>
  <r>
    <d v="2021-10-07T00:00:00"/>
    <d v="2021-09-06T00:00:00"/>
    <d v="2021-09-22T00:00:00"/>
    <x v="5"/>
    <x v="0"/>
    <x v="1"/>
    <s v="NF7802"/>
    <x v="34"/>
    <n v="6802"/>
    <x v="11"/>
    <n v="2021"/>
    <x v="11"/>
    <x v="2"/>
    <x v="11"/>
    <x v="2"/>
    <x v="0"/>
    <s v="Prazo"/>
    <s v="Em Dia"/>
  </r>
  <r>
    <d v="2022-07-15T00:00:00"/>
    <d v="2022-06-14T00:00:00"/>
    <d v="2022-06-30T00:00:00"/>
    <x v="3"/>
    <x v="0"/>
    <x v="3"/>
    <s v="NF7805"/>
    <x v="4"/>
    <n v="4336"/>
    <x v="3"/>
    <n v="2022"/>
    <x v="3"/>
    <x v="0"/>
    <x v="3"/>
    <x v="0"/>
    <x v="0"/>
    <s v="Prazo"/>
    <s v="Em Dia"/>
  </r>
  <r>
    <d v="2023-02-23T00:00:00"/>
    <d v="2023-01-23T00:00:00"/>
    <d v="2023-02-08T00:00:00"/>
    <x v="3"/>
    <x v="0"/>
    <x v="0"/>
    <s v="NF7814"/>
    <x v="16"/>
    <n v="1401"/>
    <x v="7"/>
    <n v="2023"/>
    <x v="7"/>
    <x v="1"/>
    <x v="4"/>
    <x v="1"/>
    <x v="0"/>
    <s v="Prazo"/>
    <s v="Em Dia"/>
  </r>
  <r>
    <d v="2023-05-09T10:26:18"/>
    <d v="2023-04-30T00:00:00"/>
    <d v="2023-05-09T10:26:18"/>
    <x v="8"/>
    <x v="0"/>
    <x v="2"/>
    <s v="NF7836"/>
    <x v="68"/>
    <n v="3200"/>
    <x v="9"/>
    <n v="2023"/>
    <x v="9"/>
    <x v="1"/>
    <x v="0"/>
    <x v="1"/>
    <x v="0"/>
    <s v="Prazo"/>
    <s v="Em Dia"/>
  </r>
  <r>
    <d v="2021-09-16T00:00:00"/>
    <d v="2021-08-16T00:00:00"/>
    <d v="2021-09-01T00:00:00"/>
    <x v="0"/>
    <x v="0"/>
    <x v="1"/>
    <s v="NF7839"/>
    <x v="37"/>
    <n v="4361"/>
    <x v="2"/>
    <n v="2021"/>
    <x v="2"/>
    <x v="2"/>
    <x v="11"/>
    <x v="2"/>
    <x v="0"/>
    <s v="Prazo"/>
    <s v="Em Dia"/>
  </r>
  <r>
    <d v="2023-01-19T02:05:23"/>
    <d v="2022-12-31T00:00:00"/>
    <d v="2023-01-18T02:10:28"/>
    <x v="6"/>
    <x v="0"/>
    <x v="2"/>
    <s v="NF7840"/>
    <x v="33"/>
    <n v="3201"/>
    <x v="8"/>
    <n v="2023"/>
    <x v="8"/>
    <x v="0"/>
    <x v="7"/>
    <x v="1"/>
    <x v="0"/>
    <s v="Prazo"/>
    <s v="Em Dia"/>
  </r>
  <r>
    <d v="2022-11-02T00:00:00"/>
    <d v="2022-10-02T00:00:00"/>
    <d v="2022-10-18T00:00:00"/>
    <x v="0"/>
    <x v="0"/>
    <x v="0"/>
    <s v="NF7846"/>
    <x v="0"/>
    <n v="1984"/>
    <x v="5"/>
    <n v="2022"/>
    <x v="5"/>
    <x v="0"/>
    <x v="5"/>
    <x v="0"/>
    <x v="0"/>
    <s v="Prazo"/>
    <s v="Em Dia"/>
  </r>
  <r>
    <d v="2021-12-12T05:58:37"/>
    <d v="2021-11-16T00:00:00"/>
    <d v="2021-12-12T05:58:37"/>
    <x v="6"/>
    <x v="0"/>
    <x v="2"/>
    <s v="NF7848"/>
    <x v="22"/>
    <n v="3714"/>
    <x v="10"/>
    <n v="2021"/>
    <x v="10"/>
    <x v="2"/>
    <x v="8"/>
    <x v="2"/>
    <x v="0"/>
    <s v="Prazo"/>
    <s v="Em Dia"/>
  </r>
  <r>
    <d v="2023-10-13T00:00:00"/>
    <d v="2023-09-12T00:00:00"/>
    <d v="2023-09-28T00:00:00"/>
    <x v="5"/>
    <x v="0"/>
    <x v="0"/>
    <s v="NF7854"/>
    <x v="56"/>
    <n v="1920"/>
    <x v="11"/>
    <n v="2023"/>
    <x v="11"/>
    <x v="1"/>
    <x v="11"/>
    <x v="1"/>
    <x v="0"/>
    <s v="Prazo"/>
    <s v="Em Dia"/>
  </r>
  <r>
    <d v="2022-10-19T07:03:23"/>
    <d v="2022-10-01T00:00:00"/>
    <d v="2022-10-19T07:03:23"/>
    <x v="7"/>
    <x v="0"/>
    <x v="2"/>
    <s v="NF7862"/>
    <x v="45"/>
    <n v="673"/>
    <x v="11"/>
    <n v="2022"/>
    <x v="5"/>
    <x v="0"/>
    <x v="5"/>
    <x v="0"/>
    <x v="0"/>
    <s v="Prazo"/>
    <s v="Em Dia"/>
  </r>
  <r>
    <d v="2021-06-06T00:00:00"/>
    <d v="2021-05-06T00:00:00"/>
    <d v="2021-05-22T00:00:00"/>
    <x v="6"/>
    <x v="0"/>
    <x v="4"/>
    <s v="NF7866"/>
    <x v="39"/>
    <n v="6051"/>
    <x v="0"/>
    <n v="2021"/>
    <x v="0"/>
    <x v="2"/>
    <x v="0"/>
    <x v="2"/>
    <x v="0"/>
    <s v="Prazo"/>
    <s v="Em Dia"/>
  </r>
  <r>
    <s v="N/A"/>
    <d v="2023-05-12T00:00:00"/>
    <d v="2023-05-20T09:30:20"/>
    <x v="5"/>
    <x v="0"/>
    <x v="2"/>
    <s v="NF7868"/>
    <x v="34"/>
    <n v="667"/>
    <x v="12"/>
    <n v="0"/>
    <x v="0"/>
    <x v="1"/>
    <x v="0"/>
    <x v="1"/>
    <x v="1"/>
    <s v="Prazo"/>
    <s v="Com atraso"/>
  </r>
  <r>
    <d v="2022-04-12T19:30:21"/>
    <d v="2022-03-03T00:00:00"/>
    <d v="2022-04-12T19:30:21"/>
    <x v="3"/>
    <x v="0"/>
    <x v="3"/>
    <s v="NF7869"/>
    <x v="11"/>
    <n v="1977"/>
    <x v="1"/>
    <n v="2022"/>
    <x v="1"/>
    <x v="0"/>
    <x v="9"/>
    <x v="0"/>
    <x v="0"/>
    <s v="Prazo"/>
    <s v="Em Dia"/>
  </r>
  <r>
    <d v="2023-08-25T00:00:00"/>
    <d v="2023-07-25T00:00:00"/>
    <d v="2023-08-10T00:00:00"/>
    <x v="0"/>
    <x v="0"/>
    <x v="2"/>
    <s v="NF7884"/>
    <x v="1"/>
    <n v="7614"/>
    <x v="6"/>
    <n v="2023"/>
    <x v="6"/>
    <x v="1"/>
    <x v="2"/>
    <x v="1"/>
    <x v="0"/>
    <s v="Prazo"/>
    <s v="Em Dia"/>
  </r>
  <r>
    <d v="2022-03-24T12:23:25"/>
    <d v="2022-01-25T00:00:00"/>
    <d v="2022-01-29T09:00:26"/>
    <x v="1"/>
    <x v="0"/>
    <x v="4"/>
    <s v="NF7934"/>
    <x v="47"/>
    <n v="1864"/>
    <x v="4"/>
    <n v="2022"/>
    <x v="7"/>
    <x v="0"/>
    <x v="7"/>
    <x v="0"/>
    <x v="0"/>
    <s v="Prazo"/>
    <s v="Em Dia"/>
  </r>
  <r>
    <d v="2022-07-21T16:06:50"/>
    <d v="2022-07-16T00:00:00"/>
    <d v="2022-07-21T16:06:50"/>
    <x v="4"/>
    <x v="0"/>
    <x v="2"/>
    <s v="NF7941"/>
    <x v="12"/>
    <n v="3482"/>
    <x v="3"/>
    <n v="2022"/>
    <x v="6"/>
    <x v="0"/>
    <x v="6"/>
    <x v="0"/>
    <x v="0"/>
    <s v="Prazo"/>
    <s v="Em Dia"/>
  </r>
  <r>
    <d v="2021-08-28T00:00:00"/>
    <d v="2021-07-28T00:00:00"/>
    <d v="2021-08-13T00:00:00"/>
    <x v="7"/>
    <x v="0"/>
    <x v="4"/>
    <s v="NF7942"/>
    <x v="23"/>
    <n v="1569"/>
    <x v="6"/>
    <n v="2021"/>
    <x v="6"/>
    <x v="2"/>
    <x v="2"/>
    <x v="2"/>
    <x v="0"/>
    <s v="Prazo"/>
    <s v="Em Dia"/>
  </r>
  <r>
    <d v="2021-10-06T11:45:39"/>
    <d v="2021-08-25T00:00:00"/>
    <d v="2021-10-06T11:45:39"/>
    <x v="6"/>
    <x v="0"/>
    <x v="1"/>
    <s v="NF7946"/>
    <x v="39"/>
    <n v="2612"/>
    <x v="11"/>
    <n v="2021"/>
    <x v="2"/>
    <x v="2"/>
    <x v="5"/>
    <x v="2"/>
    <x v="0"/>
    <s v="Prazo"/>
    <s v="Em Dia"/>
  </r>
  <r>
    <d v="2022-06-01T02:54:58"/>
    <d v="2022-05-21T00:00:00"/>
    <d v="2022-06-01T02:54:58"/>
    <x v="7"/>
    <x v="0"/>
    <x v="2"/>
    <s v="NF7947"/>
    <x v="27"/>
    <n v="4850"/>
    <x v="0"/>
    <n v="2022"/>
    <x v="0"/>
    <x v="0"/>
    <x v="3"/>
    <x v="0"/>
    <x v="0"/>
    <s v="Prazo"/>
    <s v="Em Dia"/>
  </r>
  <r>
    <d v="2023-11-23T00:00:00"/>
    <d v="2023-10-23T00:00:00"/>
    <d v="2023-11-08T00:00:00"/>
    <x v="5"/>
    <x v="0"/>
    <x v="2"/>
    <s v="NF7952"/>
    <x v="34"/>
    <n v="7557"/>
    <x v="5"/>
    <n v="2023"/>
    <x v="5"/>
    <x v="1"/>
    <x v="10"/>
    <x v="1"/>
    <x v="0"/>
    <s v="Prazo"/>
    <s v="Em Dia"/>
  </r>
  <r>
    <d v="2023-01-20T22:55:55"/>
    <d v="2023-01-20T00:00:00"/>
    <d v="2023-01-20T22:55:55"/>
    <x v="1"/>
    <x v="0"/>
    <x v="3"/>
    <s v="NF7979"/>
    <x v="31"/>
    <n v="1664"/>
    <x v="8"/>
    <n v="2023"/>
    <x v="7"/>
    <x v="1"/>
    <x v="7"/>
    <x v="1"/>
    <x v="0"/>
    <s v="Prazo"/>
    <s v="Em Dia"/>
  </r>
  <r>
    <d v="2021-09-29T11:56:27"/>
    <d v="2021-08-17T00:00:00"/>
    <d v="2021-09-23T02:03:29"/>
    <x v="1"/>
    <x v="0"/>
    <x v="2"/>
    <s v="NF8005"/>
    <x v="28"/>
    <n v="2937"/>
    <x v="2"/>
    <n v="2021"/>
    <x v="2"/>
    <x v="2"/>
    <x v="11"/>
    <x v="2"/>
    <x v="0"/>
    <s v="Prazo"/>
    <s v="Em Dia"/>
  </r>
  <r>
    <d v="2022-05-01T02:11:19"/>
    <d v="2022-04-06T00:00:00"/>
    <d v="2022-05-01T02:11:19"/>
    <x v="1"/>
    <x v="0"/>
    <x v="1"/>
    <s v="NF8043"/>
    <x v="40"/>
    <n v="4467"/>
    <x v="9"/>
    <n v="2022"/>
    <x v="9"/>
    <x v="0"/>
    <x v="0"/>
    <x v="0"/>
    <x v="0"/>
    <s v="Prazo"/>
    <s v="Em Dia"/>
  </r>
  <r>
    <d v="2022-07-22T08:03:46"/>
    <d v="2022-06-14T00:00:00"/>
    <d v="2022-07-22T08:03:46"/>
    <x v="8"/>
    <x v="0"/>
    <x v="2"/>
    <s v="NF8075"/>
    <x v="65"/>
    <n v="909"/>
    <x v="3"/>
    <n v="2022"/>
    <x v="3"/>
    <x v="0"/>
    <x v="6"/>
    <x v="0"/>
    <x v="0"/>
    <s v="Prazo"/>
    <s v="Em Dia"/>
  </r>
  <r>
    <d v="2021-10-07T23:30:48"/>
    <d v="2021-09-06T00:00:00"/>
    <d v="2021-10-07T23:30:48"/>
    <x v="3"/>
    <x v="0"/>
    <x v="2"/>
    <s v="NF8091"/>
    <x v="11"/>
    <n v="3761"/>
    <x v="11"/>
    <n v="2021"/>
    <x v="11"/>
    <x v="2"/>
    <x v="5"/>
    <x v="2"/>
    <x v="0"/>
    <s v="Prazo"/>
    <s v="Em Dia"/>
  </r>
  <r>
    <d v="2022-08-05T00:00:00"/>
    <d v="2022-07-05T00:00:00"/>
    <d v="2022-07-21T00:00:00"/>
    <x v="4"/>
    <x v="0"/>
    <x v="2"/>
    <s v="NF8111"/>
    <x v="18"/>
    <n v="355"/>
    <x v="6"/>
    <n v="2022"/>
    <x v="6"/>
    <x v="0"/>
    <x v="6"/>
    <x v="0"/>
    <x v="0"/>
    <s v="Prazo"/>
    <s v="Em Dia"/>
  </r>
  <r>
    <d v="2023-11-07T00:00:00"/>
    <d v="2023-10-07T00:00:00"/>
    <d v="2023-10-23T00:00:00"/>
    <x v="5"/>
    <x v="0"/>
    <x v="3"/>
    <s v="NF8121"/>
    <x v="56"/>
    <n v="387"/>
    <x v="5"/>
    <n v="2023"/>
    <x v="5"/>
    <x v="1"/>
    <x v="5"/>
    <x v="1"/>
    <x v="0"/>
    <s v="Prazo"/>
    <s v="Em Dia"/>
  </r>
  <r>
    <d v="2023-03-16T00:00:00"/>
    <d v="2023-02-13T00:00:00"/>
    <d v="2023-03-01T00:00:00"/>
    <x v="7"/>
    <x v="0"/>
    <x v="3"/>
    <s v="NF8123"/>
    <x v="55"/>
    <n v="6183"/>
    <x v="4"/>
    <n v="2023"/>
    <x v="4"/>
    <x v="1"/>
    <x v="1"/>
    <x v="1"/>
    <x v="0"/>
    <s v="Prazo"/>
    <s v="Em Dia"/>
  </r>
  <r>
    <d v="2021-08-26T00:00:00"/>
    <d v="2021-07-26T00:00:00"/>
    <d v="2021-08-11T00:00:00"/>
    <x v="3"/>
    <x v="0"/>
    <x v="1"/>
    <s v="NF8124"/>
    <x v="53"/>
    <n v="2644"/>
    <x v="6"/>
    <n v="2021"/>
    <x v="6"/>
    <x v="2"/>
    <x v="2"/>
    <x v="2"/>
    <x v="0"/>
    <s v="Prazo"/>
    <s v="Em Dia"/>
  </r>
  <r>
    <d v="2022-10-12T00:00:00"/>
    <d v="2022-09-11T00:00:00"/>
    <d v="2022-09-27T00:00:00"/>
    <x v="6"/>
    <x v="0"/>
    <x v="0"/>
    <s v="NF8148"/>
    <x v="39"/>
    <n v="114"/>
    <x v="11"/>
    <n v="2022"/>
    <x v="11"/>
    <x v="0"/>
    <x v="11"/>
    <x v="0"/>
    <x v="0"/>
    <s v="Prazo"/>
    <s v="Em Dia"/>
  </r>
  <r>
    <d v="2023-07-07T00:00:00"/>
    <d v="2023-06-06T00:00:00"/>
    <d v="2023-06-22T00:00:00"/>
    <x v="5"/>
    <x v="0"/>
    <x v="0"/>
    <s v="NF8164"/>
    <x v="48"/>
    <n v="416"/>
    <x v="3"/>
    <n v="2023"/>
    <x v="3"/>
    <x v="1"/>
    <x v="3"/>
    <x v="1"/>
    <x v="0"/>
    <s v="Prazo"/>
    <s v="Em Dia"/>
  </r>
  <r>
    <s v="N/A"/>
    <d v="2023-06-13T00:00:00"/>
    <d v="2023-07-22T22:11:49"/>
    <x v="8"/>
    <x v="0"/>
    <x v="4"/>
    <s v="NF8169"/>
    <x v="63"/>
    <n v="508"/>
    <x v="12"/>
    <n v="0"/>
    <x v="3"/>
    <x v="1"/>
    <x v="6"/>
    <x v="1"/>
    <x v="1"/>
    <s v="Prazo"/>
    <s v="Com atraso"/>
  </r>
  <r>
    <d v="2023-11-02T00:00:00"/>
    <d v="2023-10-02T00:00:00"/>
    <d v="2023-10-18T00:00:00"/>
    <x v="5"/>
    <x v="0"/>
    <x v="1"/>
    <s v="NF8176"/>
    <x v="48"/>
    <n v="3102"/>
    <x v="5"/>
    <n v="2023"/>
    <x v="5"/>
    <x v="1"/>
    <x v="5"/>
    <x v="1"/>
    <x v="0"/>
    <s v="Prazo"/>
    <s v="Em Dia"/>
  </r>
  <r>
    <d v="2021-06-27T00:00:00"/>
    <d v="2021-05-27T00:00:00"/>
    <d v="2021-06-12T00:00:00"/>
    <x v="2"/>
    <x v="0"/>
    <x v="1"/>
    <s v="NF8177"/>
    <x v="25"/>
    <n v="2080"/>
    <x v="0"/>
    <n v="2021"/>
    <x v="0"/>
    <x v="2"/>
    <x v="3"/>
    <x v="2"/>
    <x v="0"/>
    <s v="Prazo"/>
    <s v="Em Dia"/>
  </r>
  <r>
    <d v="2021-11-18T00:00:00"/>
    <d v="2021-10-18T00:00:00"/>
    <d v="2021-11-03T00:00:00"/>
    <x v="5"/>
    <x v="0"/>
    <x v="0"/>
    <s v="NF8177"/>
    <x v="36"/>
    <n v="3977"/>
    <x v="5"/>
    <n v="2021"/>
    <x v="5"/>
    <x v="2"/>
    <x v="10"/>
    <x v="2"/>
    <x v="0"/>
    <s v="Prazo"/>
    <s v="Em Dia"/>
  </r>
  <r>
    <d v="2023-04-29T00:00:00"/>
    <d v="2023-03-29T00:00:00"/>
    <d v="2023-04-14T00:00:00"/>
    <x v="5"/>
    <x v="0"/>
    <x v="3"/>
    <s v="NF8195"/>
    <x v="48"/>
    <n v="3461"/>
    <x v="1"/>
    <n v="2023"/>
    <x v="1"/>
    <x v="1"/>
    <x v="9"/>
    <x v="1"/>
    <x v="0"/>
    <s v="Prazo"/>
    <s v="Em Dia"/>
  </r>
  <r>
    <d v="2023-06-06T00:00:00"/>
    <d v="2023-05-06T00:00:00"/>
    <d v="2023-05-22T00:00:00"/>
    <x v="7"/>
    <x v="0"/>
    <x v="2"/>
    <s v="NF8223"/>
    <x v="55"/>
    <n v="5471"/>
    <x v="0"/>
    <n v="2023"/>
    <x v="0"/>
    <x v="1"/>
    <x v="0"/>
    <x v="1"/>
    <x v="0"/>
    <s v="Prazo"/>
    <s v="Em Dia"/>
  </r>
  <r>
    <d v="2021-09-29T00:00:00"/>
    <d v="2021-08-29T00:00:00"/>
    <d v="2021-09-14T00:00:00"/>
    <x v="0"/>
    <x v="0"/>
    <x v="0"/>
    <s v="NF8224"/>
    <x v="41"/>
    <n v="3566"/>
    <x v="2"/>
    <n v="2021"/>
    <x v="2"/>
    <x v="2"/>
    <x v="11"/>
    <x v="2"/>
    <x v="0"/>
    <s v="Prazo"/>
    <s v="Em Dia"/>
  </r>
  <r>
    <d v="2022-06-11T00:00:00"/>
    <d v="2022-05-11T00:00:00"/>
    <d v="2022-05-27T00:00:00"/>
    <x v="1"/>
    <x v="0"/>
    <x v="4"/>
    <s v="NF8224"/>
    <x v="10"/>
    <n v="5542"/>
    <x v="0"/>
    <n v="2022"/>
    <x v="0"/>
    <x v="0"/>
    <x v="0"/>
    <x v="0"/>
    <x v="0"/>
    <s v="Prazo"/>
    <s v="Em Dia"/>
  </r>
  <r>
    <d v="2022-10-23T00:00:00"/>
    <d v="2022-09-22T00:00:00"/>
    <d v="2022-10-08T00:00:00"/>
    <x v="3"/>
    <x v="0"/>
    <x v="1"/>
    <s v="NF8253"/>
    <x v="49"/>
    <n v="3168"/>
    <x v="11"/>
    <n v="2022"/>
    <x v="11"/>
    <x v="0"/>
    <x v="5"/>
    <x v="0"/>
    <x v="0"/>
    <s v="Prazo"/>
    <s v="Em Dia"/>
  </r>
  <r>
    <d v="2022-05-08T11:30:41"/>
    <d v="2022-03-30T00:00:00"/>
    <d v="2022-05-08T11:30:41"/>
    <x v="4"/>
    <x v="0"/>
    <x v="1"/>
    <s v="NF8254"/>
    <x v="18"/>
    <n v="3241"/>
    <x v="9"/>
    <n v="2022"/>
    <x v="1"/>
    <x v="0"/>
    <x v="0"/>
    <x v="0"/>
    <x v="0"/>
    <s v="Prazo"/>
    <s v="Em Dia"/>
  </r>
  <r>
    <d v="2023-06-14T00:00:00"/>
    <d v="2023-05-14T00:00:00"/>
    <d v="2023-05-30T00:00:00"/>
    <x v="3"/>
    <x v="0"/>
    <x v="0"/>
    <s v="NF8267"/>
    <x v="49"/>
    <n v="6068"/>
    <x v="0"/>
    <n v="2023"/>
    <x v="0"/>
    <x v="1"/>
    <x v="0"/>
    <x v="1"/>
    <x v="0"/>
    <s v="Prazo"/>
    <s v="Em Dia"/>
  </r>
  <r>
    <d v="2023-03-08T19:47:59"/>
    <d v="2023-02-06T00:00:00"/>
    <d v="2023-03-08T19:47:59"/>
    <x v="8"/>
    <x v="0"/>
    <x v="1"/>
    <s v="NF8281"/>
    <x v="66"/>
    <n v="1417"/>
    <x v="4"/>
    <n v="2023"/>
    <x v="4"/>
    <x v="1"/>
    <x v="1"/>
    <x v="1"/>
    <x v="0"/>
    <s v="Prazo"/>
    <s v="Em Dia"/>
  </r>
  <r>
    <d v="2021-02-25T00:00:00"/>
    <d v="2021-01-25T00:00:00"/>
    <d v="2021-02-10T00:00:00"/>
    <x v="4"/>
    <x v="0"/>
    <x v="0"/>
    <s v="NF8303"/>
    <x v="44"/>
    <n v="3585"/>
    <x v="7"/>
    <n v="2021"/>
    <x v="7"/>
    <x v="2"/>
    <x v="4"/>
    <x v="2"/>
    <x v="0"/>
    <s v="Prazo"/>
    <s v="Em Dia"/>
  </r>
  <r>
    <d v="2022-06-21T00:00:00"/>
    <d v="2022-05-21T00:00:00"/>
    <d v="2022-06-06T00:00:00"/>
    <x v="1"/>
    <x v="0"/>
    <x v="4"/>
    <s v="NF8316"/>
    <x v="13"/>
    <n v="4232"/>
    <x v="0"/>
    <n v="2022"/>
    <x v="0"/>
    <x v="0"/>
    <x v="3"/>
    <x v="0"/>
    <x v="0"/>
    <s v="Prazo"/>
    <s v="Em Dia"/>
  </r>
  <r>
    <d v="2023-08-03T00:00:00"/>
    <d v="2023-07-03T00:00:00"/>
    <d v="2023-07-19T00:00:00"/>
    <x v="3"/>
    <x v="0"/>
    <x v="2"/>
    <s v="NF8324"/>
    <x v="16"/>
    <n v="2236"/>
    <x v="6"/>
    <n v="2023"/>
    <x v="6"/>
    <x v="1"/>
    <x v="6"/>
    <x v="1"/>
    <x v="0"/>
    <s v="Prazo"/>
    <s v="Em Dia"/>
  </r>
  <r>
    <d v="2021-06-12T00:00:00"/>
    <d v="2021-05-12T00:00:00"/>
    <d v="2021-05-28T00:00:00"/>
    <x v="7"/>
    <x v="0"/>
    <x v="3"/>
    <s v="NF8328"/>
    <x v="52"/>
    <n v="884"/>
    <x v="0"/>
    <n v="2021"/>
    <x v="0"/>
    <x v="2"/>
    <x v="0"/>
    <x v="2"/>
    <x v="0"/>
    <s v="Prazo"/>
    <s v="Em Dia"/>
  </r>
  <r>
    <d v="2022-10-29T00:00:00"/>
    <d v="2022-09-28T00:00:00"/>
    <d v="2022-10-14T00:00:00"/>
    <x v="3"/>
    <x v="0"/>
    <x v="2"/>
    <s v="NF8357"/>
    <x v="7"/>
    <n v="4512"/>
    <x v="11"/>
    <n v="2022"/>
    <x v="11"/>
    <x v="0"/>
    <x v="5"/>
    <x v="0"/>
    <x v="0"/>
    <s v="Prazo"/>
    <s v="Em Dia"/>
  </r>
  <r>
    <d v="2023-10-06T00:00:00"/>
    <d v="2023-09-05T00:00:00"/>
    <d v="2023-09-21T00:00:00"/>
    <x v="4"/>
    <x v="0"/>
    <x v="0"/>
    <s v="NF8362"/>
    <x v="64"/>
    <n v="2898"/>
    <x v="11"/>
    <n v="2023"/>
    <x v="11"/>
    <x v="1"/>
    <x v="11"/>
    <x v="1"/>
    <x v="0"/>
    <s v="Prazo"/>
    <s v="Em Dia"/>
  </r>
  <r>
    <d v="2023-02-22T00:00:00"/>
    <d v="2023-01-22T00:00:00"/>
    <d v="2023-02-07T00:00:00"/>
    <x v="4"/>
    <x v="0"/>
    <x v="4"/>
    <s v="NF8371"/>
    <x v="32"/>
    <n v="7317"/>
    <x v="7"/>
    <n v="2023"/>
    <x v="7"/>
    <x v="1"/>
    <x v="4"/>
    <x v="1"/>
    <x v="0"/>
    <s v="Prazo"/>
    <s v="Em Dia"/>
  </r>
  <r>
    <d v="2023-01-12T23:10:46"/>
    <d v="2022-11-27T00:00:00"/>
    <d v="2023-01-12T23:10:46"/>
    <x v="0"/>
    <x v="0"/>
    <x v="2"/>
    <s v="NF8386"/>
    <x v="37"/>
    <n v="4801"/>
    <x v="8"/>
    <n v="2023"/>
    <x v="10"/>
    <x v="0"/>
    <x v="7"/>
    <x v="1"/>
    <x v="0"/>
    <s v="Prazo"/>
    <s v="Em Dia"/>
  </r>
  <r>
    <d v="2021-10-13T00:00:00"/>
    <d v="2021-09-12T00:00:00"/>
    <d v="2021-09-28T00:00:00"/>
    <x v="1"/>
    <x v="0"/>
    <x v="1"/>
    <s v="NF8387"/>
    <x v="40"/>
    <n v="2106"/>
    <x v="11"/>
    <n v="2021"/>
    <x v="11"/>
    <x v="2"/>
    <x v="11"/>
    <x v="2"/>
    <x v="0"/>
    <s v="Prazo"/>
    <s v="Em Dia"/>
  </r>
  <r>
    <d v="2022-12-28T00:00:00"/>
    <d v="2022-11-27T00:00:00"/>
    <d v="2022-12-13T00:00:00"/>
    <x v="1"/>
    <x v="0"/>
    <x v="0"/>
    <s v="NF8388"/>
    <x v="31"/>
    <n v="5290"/>
    <x v="10"/>
    <n v="2022"/>
    <x v="10"/>
    <x v="0"/>
    <x v="8"/>
    <x v="0"/>
    <x v="0"/>
    <s v="Prazo"/>
    <s v="Em Dia"/>
  </r>
  <r>
    <d v="2022-01-03T00:39:23"/>
    <d v="2021-12-13T00:00:00"/>
    <d v="2022-01-03T00:39:23"/>
    <x v="7"/>
    <x v="0"/>
    <x v="4"/>
    <s v="NF8396"/>
    <x v="29"/>
    <n v="284"/>
    <x v="8"/>
    <n v="2022"/>
    <x v="8"/>
    <x v="2"/>
    <x v="7"/>
    <x v="0"/>
    <x v="0"/>
    <s v="Prazo"/>
    <s v="Em Dia"/>
  </r>
  <r>
    <d v="2023-10-18T00:00:00"/>
    <d v="2023-09-17T00:00:00"/>
    <d v="2023-10-03T00:00:00"/>
    <x v="7"/>
    <x v="0"/>
    <x v="0"/>
    <s v="NF8428"/>
    <x v="45"/>
    <n v="3350"/>
    <x v="11"/>
    <n v="2023"/>
    <x v="11"/>
    <x v="1"/>
    <x v="5"/>
    <x v="1"/>
    <x v="0"/>
    <s v="Prazo"/>
    <s v="Em Dia"/>
  </r>
  <r>
    <d v="2023-10-28T00:00:00"/>
    <d v="2023-09-27T00:00:00"/>
    <d v="2023-10-13T00:00:00"/>
    <x v="5"/>
    <x v="0"/>
    <x v="3"/>
    <s v="NF8433"/>
    <x v="34"/>
    <n v="2538"/>
    <x v="11"/>
    <n v="2023"/>
    <x v="11"/>
    <x v="1"/>
    <x v="5"/>
    <x v="1"/>
    <x v="0"/>
    <s v="Prazo"/>
    <s v="Em Dia"/>
  </r>
  <r>
    <d v="2021-11-22T00:00:00"/>
    <d v="2021-10-22T00:00:00"/>
    <d v="2021-11-07T00:00:00"/>
    <x v="6"/>
    <x v="0"/>
    <x v="0"/>
    <s v="NF8434"/>
    <x v="42"/>
    <n v="3591"/>
    <x v="5"/>
    <n v="2021"/>
    <x v="5"/>
    <x v="2"/>
    <x v="10"/>
    <x v="2"/>
    <x v="0"/>
    <s v="Prazo"/>
    <s v="Em Dia"/>
  </r>
  <r>
    <d v="2023-01-30T00:00:00"/>
    <d v="2022-12-30T00:00:00"/>
    <d v="2023-01-15T00:00:00"/>
    <x v="3"/>
    <x v="0"/>
    <x v="1"/>
    <s v="NF8434"/>
    <x v="53"/>
    <n v="5899"/>
    <x v="8"/>
    <n v="2023"/>
    <x v="8"/>
    <x v="0"/>
    <x v="7"/>
    <x v="1"/>
    <x v="0"/>
    <s v="Prazo"/>
    <s v="Em Dia"/>
  </r>
  <r>
    <d v="2022-11-20T00:00:00"/>
    <d v="2022-10-20T00:00:00"/>
    <d v="2022-11-05T00:00:00"/>
    <x v="5"/>
    <x v="0"/>
    <x v="3"/>
    <s v="NF8457"/>
    <x v="36"/>
    <n v="2461"/>
    <x v="5"/>
    <n v="2022"/>
    <x v="5"/>
    <x v="0"/>
    <x v="10"/>
    <x v="0"/>
    <x v="0"/>
    <s v="Prazo"/>
    <s v="Em Dia"/>
  </r>
  <r>
    <d v="2022-05-02T19:49:33"/>
    <d v="2021-12-22T00:00:00"/>
    <d v="2022-02-02T19:42:39"/>
    <x v="8"/>
    <x v="0"/>
    <x v="1"/>
    <s v="NF8459"/>
    <x v="68"/>
    <n v="3114"/>
    <x v="9"/>
    <n v="2022"/>
    <x v="8"/>
    <x v="2"/>
    <x v="4"/>
    <x v="0"/>
    <x v="0"/>
    <s v="Prazo"/>
    <s v="Em Dia"/>
  </r>
  <r>
    <d v="2023-07-30T00:00:00"/>
    <d v="2023-06-29T00:00:00"/>
    <d v="2023-07-15T00:00:00"/>
    <x v="0"/>
    <x v="0"/>
    <x v="1"/>
    <s v="NF8459"/>
    <x v="50"/>
    <n v="6194"/>
    <x v="3"/>
    <n v="2023"/>
    <x v="3"/>
    <x v="1"/>
    <x v="6"/>
    <x v="1"/>
    <x v="0"/>
    <s v="Prazo"/>
    <s v="Em Dia"/>
  </r>
  <r>
    <d v="2022-08-01T00:00:00"/>
    <d v="2022-07-01T00:00:00"/>
    <d v="2022-07-17T00:00:00"/>
    <x v="0"/>
    <x v="0"/>
    <x v="2"/>
    <s v="NF8475"/>
    <x v="50"/>
    <n v="3131"/>
    <x v="6"/>
    <n v="2022"/>
    <x v="6"/>
    <x v="0"/>
    <x v="6"/>
    <x v="0"/>
    <x v="0"/>
    <s v="Prazo"/>
    <s v="Em Dia"/>
  </r>
  <r>
    <d v="2023-05-13T22:29:22"/>
    <d v="2023-04-20T00:00:00"/>
    <d v="2023-05-13T22:29:22"/>
    <x v="0"/>
    <x v="0"/>
    <x v="0"/>
    <s v="NF8475"/>
    <x v="15"/>
    <n v="1620"/>
    <x v="9"/>
    <n v="2023"/>
    <x v="9"/>
    <x v="1"/>
    <x v="0"/>
    <x v="1"/>
    <x v="0"/>
    <s v="Prazo"/>
    <s v="Em Dia"/>
  </r>
  <r>
    <d v="2022-03-05T00:00:00"/>
    <d v="2022-02-02T00:00:00"/>
    <d v="2022-02-18T00:00:00"/>
    <x v="1"/>
    <x v="0"/>
    <x v="1"/>
    <s v="NF8483"/>
    <x v="2"/>
    <n v="4970"/>
    <x v="4"/>
    <n v="2022"/>
    <x v="4"/>
    <x v="0"/>
    <x v="4"/>
    <x v="0"/>
    <x v="0"/>
    <s v="Prazo"/>
    <s v="Em Dia"/>
  </r>
  <r>
    <d v="2021-04-09T00:00:00"/>
    <d v="2021-03-09T00:00:00"/>
    <d v="2021-03-25T00:00:00"/>
    <x v="2"/>
    <x v="0"/>
    <x v="1"/>
    <s v="NF8501"/>
    <x v="20"/>
    <n v="2966"/>
    <x v="1"/>
    <n v="2021"/>
    <x v="1"/>
    <x v="2"/>
    <x v="1"/>
    <x v="2"/>
    <x v="0"/>
    <s v="Prazo"/>
    <s v="Em Dia"/>
  </r>
  <r>
    <d v="2023-12-16T00:00:00"/>
    <d v="2023-11-15T00:00:00"/>
    <d v="2023-12-01T00:00:00"/>
    <x v="2"/>
    <x v="0"/>
    <x v="2"/>
    <s v="NF8503"/>
    <x v="26"/>
    <n v="7378"/>
    <x v="10"/>
    <n v="2023"/>
    <x v="10"/>
    <x v="1"/>
    <x v="8"/>
    <x v="1"/>
    <x v="0"/>
    <s v="Prazo"/>
    <s v="Em Dia"/>
  </r>
  <r>
    <d v="2023-04-23T13:50:46"/>
    <d v="2023-03-13T00:00:00"/>
    <d v="2023-04-23T13:50:46"/>
    <x v="0"/>
    <x v="0"/>
    <x v="2"/>
    <s v="NF8525"/>
    <x v="6"/>
    <n v="3172"/>
    <x v="1"/>
    <n v="2023"/>
    <x v="1"/>
    <x v="1"/>
    <x v="9"/>
    <x v="1"/>
    <x v="0"/>
    <s v="Prazo"/>
    <s v="Em Dia"/>
  </r>
  <r>
    <d v="2023-08-12T00:00:00"/>
    <d v="2023-07-12T00:00:00"/>
    <d v="2023-07-28T00:00:00"/>
    <x v="2"/>
    <x v="0"/>
    <x v="4"/>
    <s v="NF8531"/>
    <x v="5"/>
    <n v="6613"/>
    <x v="6"/>
    <n v="2023"/>
    <x v="6"/>
    <x v="1"/>
    <x v="6"/>
    <x v="1"/>
    <x v="0"/>
    <s v="Prazo"/>
    <s v="Em Dia"/>
  </r>
  <r>
    <d v="2023-11-28T00:00:00"/>
    <d v="2023-10-28T00:00:00"/>
    <d v="2023-11-13T00:00:00"/>
    <x v="6"/>
    <x v="0"/>
    <x v="0"/>
    <s v="NF8552"/>
    <x v="14"/>
    <n v="5039"/>
    <x v="5"/>
    <n v="2023"/>
    <x v="5"/>
    <x v="1"/>
    <x v="10"/>
    <x v="1"/>
    <x v="0"/>
    <s v="Prazo"/>
    <s v="Em Dia"/>
  </r>
  <r>
    <d v="2023-10-13T00:00:00"/>
    <d v="2023-09-12T00:00:00"/>
    <d v="2023-09-28T00:00:00"/>
    <x v="6"/>
    <x v="0"/>
    <x v="4"/>
    <s v="NF8585"/>
    <x v="39"/>
    <n v="4850"/>
    <x v="11"/>
    <n v="2023"/>
    <x v="11"/>
    <x v="1"/>
    <x v="11"/>
    <x v="1"/>
    <x v="0"/>
    <s v="Prazo"/>
    <s v="Em Dia"/>
  </r>
  <r>
    <d v="2022-11-20T00:00:00"/>
    <d v="2022-10-20T00:00:00"/>
    <d v="2022-11-05T00:00:00"/>
    <x v="1"/>
    <x v="0"/>
    <x v="1"/>
    <s v="NF8586"/>
    <x v="10"/>
    <n v="5668"/>
    <x v="5"/>
    <n v="2022"/>
    <x v="5"/>
    <x v="0"/>
    <x v="10"/>
    <x v="0"/>
    <x v="0"/>
    <s v="Prazo"/>
    <s v="Em Dia"/>
  </r>
  <r>
    <d v="2021-11-15T18:06:38"/>
    <d v="2021-08-27T00:00:00"/>
    <d v="2021-10-22T14:20:12"/>
    <x v="8"/>
    <x v="0"/>
    <x v="2"/>
    <s v="NF8598"/>
    <x v="61"/>
    <n v="2483"/>
    <x v="5"/>
    <n v="2021"/>
    <x v="2"/>
    <x v="2"/>
    <x v="5"/>
    <x v="2"/>
    <x v="0"/>
    <s v="Prazo"/>
    <s v="Em Dia"/>
  </r>
  <r>
    <d v="2023-08-30T00:00:00"/>
    <d v="2023-07-30T00:00:00"/>
    <d v="2023-08-15T00:00:00"/>
    <x v="0"/>
    <x v="0"/>
    <x v="4"/>
    <s v="NF8601"/>
    <x v="15"/>
    <n v="3211"/>
    <x v="6"/>
    <n v="2023"/>
    <x v="6"/>
    <x v="1"/>
    <x v="2"/>
    <x v="1"/>
    <x v="0"/>
    <s v="Prazo"/>
    <s v="Em Dia"/>
  </r>
  <r>
    <d v="2021-04-11T00:00:00"/>
    <d v="2021-03-11T00:00:00"/>
    <d v="2021-03-27T00:00:00"/>
    <x v="7"/>
    <x v="0"/>
    <x v="0"/>
    <s v="NF8624"/>
    <x v="55"/>
    <n v="360"/>
    <x v="1"/>
    <n v="2021"/>
    <x v="1"/>
    <x v="2"/>
    <x v="1"/>
    <x v="2"/>
    <x v="0"/>
    <s v="Prazo"/>
    <s v="Em Dia"/>
  </r>
  <r>
    <d v="2023-07-21T12:07:00"/>
    <d v="2023-06-04T00:00:00"/>
    <d v="2023-06-25T14:48:17"/>
    <x v="5"/>
    <x v="0"/>
    <x v="2"/>
    <s v="NF8631"/>
    <x v="9"/>
    <n v="1848"/>
    <x v="3"/>
    <n v="2023"/>
    <x v="3"/>
    <x v="1"/>
    <x v="3"/>
    <x v="1"/>
    <x v="0"/>
    <s v="Prazo"/>
    <s v="Em Dia"/>
  </r>
  <r>
    <d v="2022-07-20T00:00:00"/>
    <d v="2022-06-19T00:00:00"/>
    <d v="2022-07-05T00:00:00"/>
    <x v="6"/>
    <x v="0"/>
    <x v="1"/>
    <s v="NF8642"/>
    <x v="38"/>
    <n v="3555"/>
    <x v="3"/>
    <n v="2022"/>
    <x v="3"/>
    <x v="0"/>
    <x v="6"/>
    <x v="0"/>
    <x v="0"/>
    <s v="Prazo"/>
    <s v="Em Dia"/>
  </r>
  <r>
    <d v="2021-06-05T00:00:00"/>
    <d v="2021-05-05T00:00:00"/>
    <d v="2021-05-21T00:00:00"/>
    <x v="6"/>
    <x v="0"/>
    <x v="0"/>
    <s v="NF8643"/>
    <x v="19"/>
    <n v="6265"/>
    <x v="0"/>
    <n v="2021"/>
    <x v="0"/>
    <x v="2"/>
    <x v="0"/>
    <x v="2"/>
    <x v="0"/>
    <s v="Prazo"/>
    <s v="Em Dia"/>
  </r>
  <r>
    <d v="2023-10-09T00:00:00"/>
    <d v="2023-09-08T00:00:00"/>
    <d v="2023-09-24T00:00:00"/>
    <x v="7"/>
    <x v="0"/>
    <x v="3"/>
    <s v="NF8651"/>
    <x v="23"/>
    <n v="4013"/>
    <x v="11"/>
    <n v="2023"/>
    <x v="11"/>
    <x v="1"/>
    <x v="11"/>
    <x v="1"/>
    <x v="0"/>
    <s v="Prazo"/>
    <s v="Em Dia"/>
  </r>
  <r>
    <d v="2022-10-15T18:58:28"/>
    <d v="2022-09-21T00:00:00"/>
    <d v="2022-10-04T04:41:37"/>
    <x v="5"/>
    <x v="0"/>
    <x v="2"/>
    <s v="NF8652"/>
    <x v="56"/>
    <n v="2106"/>
    <x v="11"/>
    <n v="2022"/>
    <x v="11"/>
    <x v="0"/>
    <x v="5"/>
    <x v="0"/>
    <x v="0"/>
    <s v="Prazo"/>
    <s v="Em Dia"/>
  </r>
  <r>
    <d v="2021-07-18T00:00:00"/>
    <d v="2021-06-17T00:00:00"/>
    <d v="2021-07-03T00:00:00"/>
    <x v="0"/>
    <x v="0"/>
    <x v="3"/>
    <s v="NF8663"/>
    <x v="6"/>
    <n v="1792"/>
    <x v="3"/>
    <n v="2021"/>
    <x v="3"/>
    <x v="2"/>
    <x v="6"/>
    <x v="2"/>
    <x v="0"/>
    <s v="Prazo"/>
    <s v="Em Dia"/>
  </r>
  <r>
    <d v="2021-09-26T15:55:15"/>
    <d v="2021-09-16T00:00:00"/>
    <d v="2021-09-24T20:33:31"/>
    <x v="6"/>
    <x v="0"/>
    <x v="2"/>
    <s v="NF8674"/>
    <x v="57"/>
    <n v="2337"/>
    <x v="2"/>
    <n v="2021"/>
    <x v="11"/>
    <x v="2"/>
    <x v="11"/>
    <x v="2"/>
    <x v="0"/>
    <s v="Prazo"/>
    <s v="Em Dia"/>
  </r>
  <r>
    <d v="2023-04-08T05:18:52"/>
    <d v="2023-03-10T00:00:00"/>
    <d v="2023-04-08T05:18:52"/>
    <x v="4"/>
    <x v="0"/>
    <x v="1"/>
    <s v="NF8682"/>
    <x v="8"/>
    <n v="3034"/>
    <x v="1"/>
    <n v="2023"/>
    <x v="1"/>
    <x v="1"/>
    <x v="9"/>
    <x v="1"/>
    <x v="0"/>
    <s v="Prazo"/>
    <s v="Em Dia"/>
  </r>
  <r>
    <d v="2021-11-18T14:20:32"/>
    <d v="2021-11-01T00:00:00"/>
    <d v="2021-11-18T14:20:32"/>
    <x v="0"/>
    <x v="0"/>
    <x v="0"/>
    <s v="NF8690"/>
    <x v="6"/>
    <n v="1445"/>
    <x v="5"/>
    <n v="2021"/>
    <x v="10"/>
    <x v="2"/>
    <x v="10"/>
    <x v="2"/>
    <x v="0"/>
    <s v="Prazo"/>
    <s v="Em Dia"/>
  </r>
  <r>
    <d v="2023-09-24T00:00:00"/>
    <d v="2023-08-24T00:00:00"/>
    <d v="2023-09-09T00:00:00"/>
    <x v="4"/>
    <x v="0"/>
    <x v="3"/>
    <s v="NF8718"/>
    <x v="44"/>
    <n v="5832"/>
    <x v="2"/>
    <n v="2023"/>
    <x v="2"/>
    <x v="1"/>
    <x v="11"/>
    <x v="1"/>
    <x v="0"/>
    <s v="Prazo"/>
    <s v="Em Dia"/>
  </r>
  <r>
    <d v="2022-04-20T00:00:00"/>
    <d v="2022-03-20T00:00:00"/>
    <d v="2022-04-05T00:00:00"/>
    <x v="1"/>
    <x v="0"/>
    <x v="2"/>
    <s v="NF8732"/>
    <x v="31"/>
    <n v="3698"/>
    <x v="1"/>
    <n v="2022"/>
    <x v="1"/>
    <x v="0"/>
    <x v="9"/>
    <x v="0"/>
    <x v="0"/>
    <s v="Prazo"/>
    <s v="Em Dia"/>
  </r>
  <r>
    <d v="2023-11-10T00:00:00"/>
    <d v="2023-10-10T00:00:00"/>
    <d v="2023-10-26T00:00:00"/>
    <x v="6"/>
    <x v="0"/>
    <x v="2"/>
    <s v="NF8734"/>
    <x v="57"/>
    <n v="6431"/>
    <x v="5"/>
    <n v="2023"/>
    <x v="5"/>
    <x v="1"/>
    <x v="5"/>
    <x v="1"/>
    <x v="0"/>
    <s v="Prazo"/>
    <s v="Em Dia"/>
  </r>
  <r>
    <d v="2023-08-19T00:00:00"/>
    <d v="2023-07-19T00:00:00"/>
    <d v="2023-08-04T00:00:00"/>
    <x v="7"/>
    <x v="0"/>
    <x v="1"/>
    <s v="NF8753"/>
    <x v="45"/>
    <n v="6254"/>
    <x v="6"/>
    <n v="2023"/>
    <x v="6"/>
    <x v="1"/>
    <x v="2"/>
    <x v="1"/>
    <x v="0"/>
    <s v="Prazo"/>
    <s v="Em Dia"/>
  </r>
  <r>
    <d v="2023-08-08T00:00:00"/>
    <d v="2023-07-08T00:00:00"/>
    <d v="2023-07-24T00:00:00"/>
    <x v="3"/>
    <x v="0"/>
    <x v="1"/>
    <s v="NF8758"/>
    <x v="49"/>
    <n v="5176"/>
    <x v="6"/>
    <n v="2023"/>
    <x v="6"/>
    <x v="1"/>
    <x v="6"/>
    <x v="1"/>
    <x v="0"/>
    <s v="Prazo"/>
    <s v="Em Dia"/>
  </r>
  <r>
    <d v="2022-05-29T00:00:00"/>
    <d v="2022-04-28T00:00:00"/>
    <d v="2022-05-14T00:00:00"/>
    <x v="3"/>
    <x v="0"/>
    <x v="1"/>
    <s v="NF8762"/>
    <x v="16"/>
    <n v="2624"/>
    <x v="9"/>
    <n v="2022"/>
    <x v="9"/>
    <x v="0"/>
    <x v="0"/>
    <x v="0"/>
    <x v="0"/>
    <s v="Prazo"/>
    <s v="Em Dia"/>
  </r>
  <r>
    <d v="2022-11-03T00:00:00"/>
    <d v="2022-10-03T00:00:00"/>
    <d v="2022-10-19T00:00:00"/>
    <x v="3"/>
    <x v="0"/>
    <x v="1"/>
    <s v="NF8784"/>
    <x v="21"/>
    <n v="4948"/>
    <x v="5"/>
    <n v="2022"/>
    <x v="5"/>
    <x v="0"/>
    <x v="5"/>
    <x v="0"/>
    <x v="0"/>
    <s v="Prazo"/>
    <s v="Em Dia"/>
  </r>
  <r>
    <d v="2023-10-08T00:00:00"/>
    <d v="2023-09-07T00:00:00"/>
    <d v="2023-09-23T00:00:00"/>
    <x v="0"/>
    <x v="0"/>
    <x v="1"/>
    <s v="NF8821"/>
    <x v="50"/>
    <n v="5999"/>
    <x v="11"/>
    <n v="2023"/>
    <x v="11"/>
    <x v="1"/>
    <x v="11"/>
    <x v="1"/>
    <x v="0"/>
    <s v="Prazo"/>
    <s v="Em Dia"/>
  </r>
  <r>
    <d v="2022-03-25T00:00:00"/>
    <d v="2022-02-22T00:00:00"/>
    <d v="2022-03-10T00:00:00"/>
    <x v="7"/>
    <x v="0"/>
    <x v="1"/>
    <s v="NF8824"/>
    <x v="27"/>
    <n v="142"/>
    <x v="4"/>
    <n v="2022"/>
    <x v="4"/>
    <x v="0"/>
    <x v="1"/>
    <x v="0"/>
    <x v="0"/>
    <s v="Prazo"/>
    <s v="Em Dia"/>
  </r>
  <r>
    <d v="2021-12-08T00:00:00"/>
    <d v="2021-11-07T00:00:00"/>
    <d v="2021-11-23T00:00:00"/>
    <x v="7"/>
    <x v="0"/>
    <x v="2"/>
    <s v="NF8835"/>
    <x v="46"/>
    <n v="7707"/>
    <x v="10"/>
    <n v="2021"/>
    <x v="10"/>
    <x v="2"/>
    <x v="10"/>
    <x v="2"/>
    <x v="0"/>
    <s v="Prazo"/>
    <s v="Em Dia"/>
  </r>
  <r>
    <d v="2022-03-10T10:39:14"/>
    <d v="2022-03-01T00:00:00"/>
    <d v="2022-03-10T10:39:14"/>
    <x v="6"/>
    <x v="0"/>
    <x v="0"/>
    <s v="NF8852"/>
    <x v="43"/>
    <n v="3701"/>
    <x v="4"/>
    <n v="2022"/>
    <x v="1"/>
    <x v="0"/>
    <x v="1"/>
    <x v="0"/>
    <x v="0"/>
    <s v="Prazo"/>
    <s v="Em Dia"/>
  </r>
  <r>
    <d v="2023-05-19T00:00:00"/>
    <d v="2023-04-18T00:00:00"/>
    <d v="2023-05-04T00:00:00"/>
    <x v="1"/>
    <x v="0"/>
    <x v="3"/>
    <s v="NF8858"/>
    <x v="2"/>
    <n v="3793"/>
    <x v="9"/>
    <n v="2023"/>
    <x v="9"/>
    <x v="1"/>
    <x v="0"/>
    <x v="1"/>
    <x v="0"/>
    <s v="Prazo"/>
    <s v="Em Dia"/>
  </r>
  <r>
    <d v="2022-09-20T00:00:00"/>
    <d v="2022-08-20T00:00:00"/>
    <d v="2022-09-05T00:00:00"/>
    <x v="4"/>
    <x v="0"/>
    <x v="3"/>
    <s v="NF8878"/>
    <x v="32"/>
    <n v="6921"/>
    <x v="2"/>
    <n v="2022"/>
    <x v="2"/>
    <x v="0"/>
    <x v="11"/>
    <x v="0"/>
    <x v="0"/>
    <s v="Prazo"/>
    <s v="Em Dia"/>
  </r>
  <r>
    <d v="2023-04-28T00:00:00"/>
    <d v="2023-03-28T00:00:00"/>
    <d v="2023-04-13T00:00:00"/>
    <x v="5"/>
    <x v="0"/>
    <x v="3"/>
    <s v="NF8878"/>
    <x v="36"/>
    <n v="3324"/>
    <x v="1"/>
    <n v="2023"/>
    <x v="1"/>
    <x v="1"/>
    <x v="9"/>
    <x v="1"/>
    <x v="0"/>
    <s v="Prazo"/>
    <s v="Em Dia"/>
  </r>
  <r>
    <d v="2023-06-09T01:55:14"/>
    <d v="2023-02-26T00:00:00"/>
    <d v="2023-04-08T19:32:27"/>
    <x v="8"/>
    <x v="0"/>
    <x v="2"/>
    <s v="NF8881"/>
    <x v="65"/>
    <n v="4741"/>
    <x v="0"/>
    <n v="2023"/>
    <x v="4"/>
    <x v="1"/>
    <x v="9"/>
    <x v="1"/>
    <x v="0"/>
    <s v="Prazo"/>
    <s v="Em Dia"/>
  </r>
  <r>
    <d v="2021-09-22T00:00:00"/>
    <d v="2021-08-22T00:00:00"/>
    <d v="2021-09-07T00:00:00"/>
    <x v="2"/>
    <x v="0"/>
    <x v="2"/>
    <s v="NF8884"/>
    <x v="20"/>
    <n v="6080"/>
    <x v="2"/>
    <n v="2021"/>
    <x v="2"/>
    <x v="2"/>
    <x v="11"/>
    <x v="2"/>
    <x v="0"/>
    <s v="Prazo"/>
    <s v="Em Dia"/>
  </r>
  <r>
    <d v="2022-06-02T17:20:12"/>
    <d v="2022-02-25T00:00:00"/>
    <d v="2022-04-15T18:04:54"/>
    <x v="0"/>
    <x v="0"/>
    <x v="1"/>
    <s v="NF8891"/>
    <x v="50"/>
    <n v="3998"/>
    <x v="0"/>
    <n v="2022"/>
    <x v="4"/>
    <x v="0"/>
    <x v="9"/>
    <x v="0"/>
    <x v="0"/>
    <s v="Prazo"/>
    <s v="Em Dia"/>
  </r>
  <r>
    <d v="2021-09-26T00:00:00"/>
    <d v="2021-08-26T00:00:00"/>
    <d v="2021-09-11T00:00:00"/>
    <x v="7"/>
    <x v="0"/>
    <x v="2"/>
    <s v="NF8893"/>
    <x v="55"/>
    <n v="2701"/>
    <x v="2"/>
    <n v="2021"/>
    <x v="2"/>
    <x v="2"/>
    <x v="11"/>
    <x v="2"/>
    <x v="0"/>
    <s v="Prazo"/>
    <s v="Em Dia"/>
  </r>
  <r>
    <d v="2022-01-01T16:21:35"/>
    <d v="2021-12-30T00:00:00"/>
    <d v="2022-01-01T16:21:35"/>
    <x v="2"/>
    <x v="0"/>
    <x v="2"/>
    <s v="NF8895"/>
    <x v="24"/>
    <n v="3192"/>
    <x v="8"/>
    <n v="2022"/>
    <x v="8"/>
    <x v="2"/>
    <x v="7"/>
    <x v="0"/>
    <x v="0"/>
    <s v="Prazo"/>
    <s v="Em Dia"/>
  </r>
  <r>
    <d v="2022-05-15T00:00:00"/>
    <d v="2022-04-14T00:00:00"/>
    <d v="2022-04-30T00:00:00"/>
    <x v="5"/>
    <x v="0"/>
    <x v="0"/>
    <s v="NF8896"/>
    <x v="36"/>
    <n v="919"/>
    <x v="9"/>
    <n v="2022"/>
    <x v="9"/>
    <x v="0"/>
    <x v="9"/>
    <x v="0"/>
    <x v="0"/>
    <s v="Prazo"/>
    <s v="Em Dia"/>
  </r>
  <r>
    <d v="2022-01-23T01:19:12"/>
    <d v="2021-12-17T00:00:00"/>
    <d v="2022-01-23T01:19:12"/>
    <x v="4"/>
    <x v="0"/>
    <x v="1"/>
    <s v="NF8944"/>
    <x v="58"/>
    <n v="3149"/>
    <x v="8"/>
    <n v="2022"/>
    <x v="8"/>
    <x v="2"/>
    <x v="7"/>
    <x v="0"/>
    <x v="0"/>
    <s v="Prazo"/>
    <s v="Em Dia"/>
  </r>
  <r>
    <d v="2023-05-29T00:00:00"/>
    <d v="2023-04-28T00:00:00"/>
    <d v="2023-05-14T00:00:00"/>
    <x v="4"/>
    <x v="0"/>
    <x v="1"/>
    <s v="NF8963"/>
    <x v="58"/>
    <n v="6846"/>
    <x v="9"/>
    <n v="2023"/>
    <x v="9"/>
    <x v="1"/>
    <x v="0"/>
    <x v="1"/>
    <x v="0"/>
    <s v="Prazo"/>
    <s v="Em Dia"/>
  </r>
  <r>
    <d v="2021-05-19T00:00:00"/>
    <d v="2021-04-18T00:00:00"/>
    <d v="2021-05-04T00:00:00"/>
    <x v="3"/>
    <x v="0"/>
    <x v="1"/>
    <s v="NF8969"/>
    <x v="21"/>
    <n v="4718"/>
    <x v="9"/>
    <n v="2021"/>
    <x v="9"/>
    <x v="2"/>
    <x v="0"/>
    <x v="2"/>
    <x v="0"/>
    <s v="Prazo"/>
    <s v="Em Dia"/>
  </r>
  <r>
    <d v="2022-12-04T03:16:57"/>
    <d v="2022-10-16T00:00:00"/>
    <d v="2022-12-04T03:16:57"/>
    <x v="0"/>
    <x v="0"/>
    <x v="3"/>
    <s v="NF9052"/>
    <x v="37"/>
    <n v="4061"/>
    <x v="10"/>
    <n v="2022"/>
    <x v="5"/>
    <x v="0"/>
    <x v="8"/>
    <x v="0"/>
    <x v="0"/>
    <s v="Prazo"/>
    <s v="Em Dia"/>
  </r>
  <r>
    <d v="2023-02-16T10:14:23"/>
    <d v="2023-02-13T00:00:00"/>
    <d v="2023-02-16T10:14:23"/>
    <x v="4"/>
    <x v="0"/>
    <x v="3"/>
    <s v="NF9056"/>
    <x v="18"/>
    <n v="2024"/>
    <x v="7"/>
    <n v="2023"/>
    <x v="4"/>
    <x v="1"/>
    <x v="4"/>
    <x v="1"/>
    <x v="0"/>
    <s v="Prazo"/>
    <s v="Em Dia"/>
  </r>
  <r>
    <d v="2022-04-10T03:31:44"/>
    <d v="2022-03-12T00:00:00"/>
    <d v="2022-04-10T03:31:44"/>
    <x v="6"/>
    <x v="0"/>
    <x v="2"/>
    <s v="NF9057"/>
    <x v="38"/>
    <n v="1838"/>
    <x v="1"/>
    <n v="2022"/>
    <x v="1"/>
    <x v="0"/>
    <x v="9"/>
    <x v="0"/>
    <x v="0"/>
    <s v="Prazo"/>
    <s v="Em Dia"/>
  </r>
  <r>
    <d v="2021-03-09T00:00:00"/>
    <d v="2021-02-06T00:00:00"/>
    <d v="2021-02-22T00:00:00"/>
    <x v="0"/>
    <x v="0"/>
    <x v="4"/>
    <s v="NF9074"/>
    <x v="50"/>
    <n v="7492"/>
    <x v="4"/>
    <n v="2021"/>
    <x v="4"/>
    <x v="2"/>
    <x v="4"/>
    <x v="2"/>
    <x v="0"/>
    <s v="Prazo"/>
    <s v="Em Dia"/>
  </r>
  <r>
    <d v="2022-10-20T21:50:28"/>
    <d v="2022-08-30T00:00:00"/>
    <d v="2022-10-20T21:50:28"/>
    <x v="8"/>
    <x v="0"/>
    <x v="2"/>
    <s v="NF9089"/>
    <x v="68"/>
    <n v="507"/>
    <x v="11"/>
    <n v="2022"/>
    <x v="2"/>
    <x v="0"/>
    <x v="5"/>
    <x v="0"/>
    <x v="0"/>
    <s v="Prazo"/>
    <s v="Em Dia"/>
  </r>
  <r>
    <d v="2023-05-31T22:15:59"/>
    <d v="2023-04-06T00:00:00"/>
    <d v="2023-05-31T22:15:59"/>
    <x v="2"/>
    <x v="0"/>
    <x v="2"/>
    <s v="NF9108"/>
    <x v="25"/>
    <n v="732"/>
    <x v="9"/>
    <n v="2023"/>
    <x v="9"/>
    <x v="1"/>
    <x v="0"/>
    <x v="1"/>
    <x v="0"/>
    <s v="Prazo"/>
    <s v="Em Dia"/>
  </r>
  <r>
    <d v="2021-01-20T00:00:00"/>
    <d v="2020-12-20T00:00:00"/>
    <d v="2021-01-05T00:00:00"/>
    <x v="2"/>
    <x v="0"/>
    <x v="2"/>
    <s v="NF9112"/>
    <x v="3"/>
    <n v="6299"/>
    <x v="8"/>
    <n v="2021"/>
    <x v="8"/>
    <x v="3"/>
    <x v="7"/>
    <x v="2"/>
    <x v="0"/>
    <s v="Prazo"/>
    <s v="Em Dia"/>
  </r>
  <r>
    <d v="2022-10-10T00:00:00"/>
    <d v="2022-09-09T00:00:00"/>
    <d v="2022-09-25T00:00:00"/>
    <x v="6"/>
    <x v="0"/>
    <x v="3"/>
    <s v="NF9112"/>
    <x v="19"/>
    <n v="7358"/>
    <x v="11"/>
    <n v="2022"/>
    <x v="11"/>
    <x v="0"/>
    <x v="11"/>
    <x v="0"/>
    <x v="0"/>
    <s v="Prazo"/>
    <s v="Em Dia"/>
  </r>
  <r>
    <d v="2021-09-07T22:06:21"/>
    <d v="2021-08-13T00:00:00"/>
    <d v="2021-09-07T01:57:59"/>
    <x v="4"/>
    <x v="0"/>
    <x v="2"/>
    <s v="NF9147"/>
    <x v="18"/>
    <n v="160"/>
    <x v="2"/>
    <n v="2021"/>
    <x v="2"/>
    <x v="2"/>
    <x v="11"/>
    <x v="2"/>
    <x v="0"/>
    <s v="Prazo"/>
    <s v="Em Dia"/>
  </r>
  <r>
    <d v="2021-01-20T00:00:00"/>
    <d v="2020-12-20T00:00:00"/>
    <d v="2021-01-05T00:00:00"/>
    <x v="7"/>
    <x v="0"/>
    <x v="1"/>
    <s v="NF9166"/>
    <x v="23"/>
    <n v="104"/>
    <x v="8"/>
    <n v="2021"/>
    <x v="8"/>
    <x v="3"/>
    <x v="7"/>
    <x v="2"/>
    <x v="0"/>
    <s v="Prazo"/>
    <s v="Em Dia"/>
  </r>
  <r>
    <d v="2021-01-16T00:00:00"/>
    <d v="2020-12-16T00:00:00"/>
    <d v="2021-01-01T00:00:00"/>
    <x v="4"/>
    <x v="0"/>
    <x v="4"/>
    <s v="NF9172"/>
    <x v="8"/>
    <n v="5764"/>
    <x v="8"/>
    <n v="2021"/>
    <x v="8"/>
    <x v="3"/>
    <x v="7"/>
    <x v="2"/>
    <x v="0"/>
    <s v="Prazo"/>
    <s v="Em Dia"/>
  </r>
  <r>
    <d v="2023-06-15T00:00:00"/>
    <d v="2023-05-15T00:00:00"/>
    <d v="2023-05-31T00:00:00"/>
    <x v="2"/>
    <x v="0"/>
    <x v="3"/>
    <s v="NF9215"/>
    <x v="20"/>
    <n v="319"/>
    <x v="0"/>
    <n v="2023"/>
    <x v="0"/>
    <x v="1"/>
    <x v="0"/>
    <x v="1"/>
    <x v="0"/>
    <s v="Prazo"/>
    <s v="Em Dia"/>
  </r>
  <r>
    <d v="2022-02-25T00:00:00"/>
    <d v="2022-01-25T00:00:00"/>
    <d v="2022-02-10T00:00:00"/>
    <x v="1"/>
    <x v="0"/>
    <x v="2"/>
    <s v="NF9227"/>
    <x v="40"/>
    <n v="1009"/>
    <x v="7"/>
    <n v="2022"/>
    <x v="7"/>
    <x v="0"/>
    <x v="4"/>
    <x v="0"/>
    <x v="0"/>
    <s v="Prazo"/>
    <s v="Em Dia"/>
  </r>
  <r>
    <d v="2021-09-02T00:00:00"/>
    <d v="2021-08-02T00:00:00"/>
    <d v="2021-08-18T00:00:00"/>
    <x v="6"/>
    <x v="0"/>
    <x v="2"/>
    <s v="NF9233"/>
    <x v="30"/>
    <n v="158"/>
    <x v="2"/>
    <n v="2021"/>
    <x v="2"/>
    <x v="2"/>
    <x v="2"/>
    <x v="2"/>
    <x v="0"/>
    <s v="Prazo"/>
    <s v="Em Dia"/>
  </r>
  <r>
    <d v="2023-08-17T00:00:00"/>
    <d v="2023-07-17T00:00:00"/>
    <d v="2023-08-02T00:00:00"/>
    <x v="7"/>
    <x v="0"/>
    <x v="4"/>
    <s v="NF9244"/>
    <x v="23"/>
    <n v="1295"/>
    <x v="6"/>
    <n v="2023"/>
    <x v="6"/>
    <x v="1"/>
    <x v="2"/>
    <x v="1"/>
    <x v="0"/>
    <s v="Prazo"/>
    <s v="Em Dia"/>
  </r>
  <r>
    <d v="2022-09-11T00:00:00"/>
    <d v="2022-08-11T00:00:00"/>
    <d v="2022-08-27T00:00:00"/>
    <x v="3"/>
    <x v="0"/>
    <x v="4"/>
    <s v="NF9252"/>
    <x v="21"/>
    <n v="5632"/>
    <x v="2"/>
    <n v="2022"/>
    <x v="2"/>
    <x v="0"/>
    <x v="2"/>
    <x v="0"/>
    <x v="0"/>
    <s v="Prazo"/>
    <s v="Em Dia"/>
  </r>
  <r>
    <d v="2021-06-08T00:00:00"/>
    <d v="2021-05-08T00:00:00"/>
    <d v="2021-05-24T00:00:00"/>
    <x v="6"/>
    <x v="0"/>
    <x v="2"/>
    <s v="NF9255"/>
    <x v="59"/>
    <n v="4123"/>
    <x v="0"/>
    <n v="2021"/>
    <x v="0"/>
    <x v="2"/>
    <x v="0"/>
    <x v="2"/>
    <x v="0"/>
    <s v="Prazo"/>
    <s v="Em Dia"/>
  </r>
  <r>
    <d v="2021-09-06T00:00:00"/>
    <d v="2021-08-06T00:00:00"/>
    <d v="2021-08-22T00:00:00"/>
    <x v="7"/>
    <x v="0"/>
    <x v="1"/>
    <s v="NF9273"/>
    <x v="45"/>
    <n v="1015"/>
    <x v="2"/>
    <n v="2021"/>
    <x v="2"/>
    <x v="2"/>
    <x v="2"/>
    <x v="2"/>
    <x v="0"/>
    <s v="Prazo"/>
    <s v="Em Dia"/>
  </r>
  <r>
    <d v="2021-06-29T00:00:00"/>
    <d v="2021-05-29T00:00:00"/>
    <d v="2021-06-14T00:00:00"/>
    <x v="3"/>
    <x v="0"/>
    <x v="0"/>
    <s v="NF9313"/>
    <x v="51"/>
    <n v="5850"/>
    <x v="0"/>
    <n v="2021"/>
    <x v="0"/>
    <x v="2"/>
    <x v="3"/>
    <x v="2"/>
    <x v="0"/>
    <s v="Prazo"/>
    <s v="Em Dia"/>
  </r>
  <r>
    <d v="2022-01-26T00:00:00"/>
    <d v="2021-12-26T00:00:00"/>
    <d v="2022-01-11T00:00:00"/>
    <x v="1"/>
    <x v="0"/>
    <x v="4"/>
    <s v="NF9318"/>
    <x v="28"/>
    <n v="7649"/>
    <x v="8"/>
    <n v="2022"/>
    <x v="8"/>
    <x v="2"/>
    <x v="7"/>
    <x v="0"/>
    <x v="0"/>
    <s v="Prazo"/>
    <s v="Em Dia"/>
  </r>
  <r>
    <d v="2022-01-13T12:51:39"/>
    <d v="2022-01-09T00:00:00"/>
    <d v="2022-01-13T12:51:39"/>
    <x v="6"/>
    <x v="0"/>
    <x v="2"/>
    <s v="NF9340"/>
    <x v="59"/>
    <n v="1573"/>
    <x v="8"/>
    <n v="2022"/>
    <x v="7"/>
    <x v="0"/>
    <x v="7"/>
    <x v="0"/>
    <x v="0"/>
    <s v="Prazo"/>
    <s v="Em Dia"/>
  </r>
  <r>
    <s v="N/A"/>
    <d v="2022-04-19T00:00:00"/>
    <d v="2022-06-15T08:09:46"/>
    <x v="0"/>
    <x v="0"/>
    <x v="2"/>
    <s v="NF9381"/>
    <x v="50"/>
    <n v="2224"/>
    <x v="12"/>
    <n v="0"/>
    <x v="9"/>
    <x v="0"/>
    <x v="3"/>
    <x v="0"/>
    <x v="1"/>
    <s v="Prazo"/>
    <s v="Com atraso"/>
  </r>
  <r>
    <d v="2022-09-24T01:20:25"/>
    <d v="2022-07-11T00:00:00"/>
    <d v="2022-08-11T15:48:56"/>
    <x v="0"/>
    <x v="0"/>
    <x v="3"/>
    <s v="NF9391"/>
    <x v="1"/>
    <n v="4090"/>
    <x v="2"/>
    <n v="2022"/>
    <x v="6"/>
    <x v="0"/>
    <x v="2"/>
    <x v="0"/>
    <x v="0"/>
    <s v="Prazo"/>
    <s v="Em Dia"/>
  </r>
  <r>
    <d v="2023-06-30T00:00:00"/>
    <d v="2023-05-30T00:00:00"/>
    <d v="2023-06-15T00:00:00"/>
    <x v="4"/>
    <x v="0"/>
    <x v="3"/>
    <s v="NF9410"/>
    <x v="44"/>
    <n v="1890"/>
    <x v="0"/>
    <n v="2023"/>
    <x v="0"/>
    <x v="1"/>
    <x v="3"/>
    <x v="1"/>
    <x v="0"/>
    <s v="Prazo"/>
    <s v="Em Dia"/>
  </r>
  <r>
    <d v="2021-03-26T00:00:00"/>
    <d v="2021-02-23T00:00:00"/>
    <d v="2021-03-11T00:00:00"/>
    <x v="6"/>
    <x v="0"/>
    <x v="0"/>
    <s v="NF9446"/>
    <x v="42"/>
    <n v="3482"/>
    <x v="4"/>
    <n v="2021"/>
    <x v="4"/>
    <x v="2"/>
    <x v="1"/>
    <x v="2"/>
    <x v="0"/>
    <s v="Prazo"/>
    <s v="Em Dia"/>
  </r>
  <r>
    <d v="2022-12-08T18:35:22"/>
    <d v="2022-10-09T00:00:00"/>
    <d v="2022-11-19T12:14:44"/>
    <x v="6"/>
    <x v="0"/>
    <x v="3"/>
    <s v="NF9537"/>
    <x v="57"/>
    <n v="979"/>
    <x v="10"/>
    <n v="2022"/>
    <x v="5"/>
    <x v="0"/>
    <x v="10"/>
    <x v="0"/>
    <x v="0"/>
    <s v="Prazo"/>
    <s v="Em Dia"/>
  </r>
  <r>
    <d v="2022-02-15T05:25:05"/>
    <d v="2022-02-11T00:00:00"/>
    <d v="2022-02-15T05:25:05"/>
    <x v="8"/>
    <x v="0"/>
    <x v="1"/>
    <s v="NF9580"/>
    <x v="67"/>
    <n v="3095"/>
    <x v="7"/>
    <n v="2022"/>
    <x v="4"/>
    <x v="0"/>
    <x v="4"/>
    <x v="0"/>
    <x v="0"/>
    <s v="Prazo"/>
    <s v="Em Dia"/>
  </r>
  <r>
    <d v="2022-08-04T00:00:00"/>
    <d v="2022-07-04T00:00:00"/>
    <d v="2022-07-20T00:00:00"/>
    <x v="7"/>
    <x v="0"/>
    <x v="1"/>
    <s v="NF9582"/>
    <x v="29"/>
    <n v="2267"/>
    <x v="6"/>
    <n v="2022"/>
    <x v="6"/>
    <x v="0"/>
    <x v="6"/>
    <x v="0"/>
    <x v="0"/>
    <s v="Prazo"/>
    <s v="Em Dia"/>
  </r>
  <r>
    <d v="2022-08-13T00:00:00"/>
    <d v="2022-07-13T00:00:00"/>
    <d v="2022-07-29T00:00:00"/>
    <x v="1"/>
    <x v="0"/>
    <x v="3"/>
    <s v="NF9585"/>
    <x v="40"/>
    <n v="6096"/>
    <x v="6"/>
    <n v="2022"/>
    <x v="6"/>
    <x v="0"/>
    <x v="6"/>
    <x v="0"/>
    <x v="0"/>
    <s v="Prazo"/>
    <s v="Em Dia"/>
  </r>
  <r>
    <d v="2022-09-11T09:18:13"/>
    <d v="2022-08-31T00:00:00"/>
    <d v="2022-09-11T09:18:13"/>
    <x v="6"/>
    <x v="0"/>
    <x v="1"/>
    <s v="NF9607"/>
    <x v="30"/>
    <n v="2467"/>
    <x v="2"/>
    <n v="2022"/>
    <x v="2"/>
    <x v="0"/>
    <x v="11"/>
    <x v="0"/>
    <x v="0"/>
    <s v="Prazo"/>
    <s v="Em Dia"/>
  </r>
  <r>
    <d v="2023-02-23T16:37:34"/>
    <d v="2022-12-28T00:00:00"/>
    <d v="2023-02-23T16:37:34"/>
    <x v="6"/>
    <x v="0"/>
    <x v="2"/>
    <s v="NF9682"/>
    <x v="57"/>
    <n v="4955"/>
    <x v="7"/>
    <n v="2023"/>
    <x v="8"/>
    <x v="0"/>
    <x v="4"/>
    <x v="1"/>
    <x v="0"/>
    <s v="Prazo"/>
    <s v="Em Dia"/>
  </r>
  <r>
    <d v="2023-06-14T06:55:19"/>
    <d v="2023-05-24T00:00:00"/>
    <d v="2023-06-14T06:55:19"/>
    <x v="7"/>
    <x v="0"/>
    <x v="0"/>
    <s v="NF9744"/>
    <x v="55"/>
    <n v="2194"/>
    <x v="0"/>
    <n v="2023"/>
    <x v="0"/>
    <x v="1"/>
    <x v="3"/>
    <x v="1"/>
    <x v="0"/>
    <s v="Prazo"/>
    <s v="Em Dia"/>
  </r>
  <r>
    <d v="2023-01-08T00:00:00"/>
    <d v="2022-12-08T00:00:00"/>
    <d v="2022-12-24T00:00:00"/>
    <x v="1"/>
    <x v="0"/>
    <x v="1"/>
    <s v="NF9754"/>
    <x v="13"/>
    <n v="4357"/>
    <x v="8"/>
    <n v="2023"/>
    <x v="8"/>
    <x v="0"/>
    <x v="8"/>
    <x v="0"/>
    <x v="0"/>
    <s v="Prazo"/>
    <s v="Em Dia"/>
  </r>
  <r>
    <d v="2022-11-27T14:09:21"/>
    <d v="2022-11-08T00:00:00"/>
    <d v="2022-11-27T14:09:21"/>
    <x v="6"/>
    <x v="0"/>
    <x v="2"/>
    <s v="NF9770"/>
    <x v="22"/>
    <n v="4135"/>
    <x v="5"/>
    <n v="2022"/>
    <x v="10"/>
    <x v="0"/>
    <x v="10"/>
    <x v="0"/>
    <x v="0"/>
    <s v="Prazo"/>
    <s v="Em Dia"/>
  </r>
  <r>
    <d v="2023-03-30T00:00:00"/>
    <d v="2023-02-27T00:00:00"/>
    <d v="2023-03-15T00:00:00"/>
    <x v="4"/>
    <x v="0"/>
    <x v="1"/>
    <s v="NF9770"/>
    <x v="12"/>
    <n v="3440"/>
    <x v="4"/>
    <n v="2023"/>
    <x v="4"/>
    <x v="1"/>
    <x v="1"/>
    <x v="1"/>
    <x v="0"/>
    <s v="Prazo"/>
    <s v="Em Dia"/>
  </r>
  <r>
    <d v="2021-09-19T13:14:44"/>
    <d v="2021-09-12T00:00:00"/>
    <d v="2021-09-19T13:14:44"/>
    <x v="6"/>
    <x v="0"/>
    <x v="4"/>
    <s v="NF9787"/>
    <x v="39"/>
    <n v="2502"/>
    <x v="2"/>
    <n v="2021"/>
    <x v="11"/>
    <x v="2"/>
    <x v="11"/>
    <x v="2"/>
    <x v="0"/>
    <s v="Prazo"/>
    <s v="Em Dia"/>
  </r>
  <r>
    <d v="2023-04-05T01:36:02"/>
    <d v="2023-02-17T00:00:00"/>
    <d v="2023-04-05T01:36:02"/>
    <x v="6"/>
    <x v="0"/>
    <x v="2"/>
    <s v="NF9792"/>
    <x v="30"/>
    <n v="3557"/>
    <x v="1"/>
    <n v="2023"/>
    <x v="4"/>
    <x v="1"/>
    <x v="9"/>
    <x v="1"/>
    <x v="0"/>
    <s v="Prazo"/>
    <s v="Em Dia"/>
  </r>
  <r>
    <d v="2023-01-28T02:30:23"/>
    <d v="2022-10-21T00:00:00"/>
    <d v="2022-12-01T19:29:45"/>
    <x v="1"/>
    <x v="0"/>
    <x v="1"/>
    <s v="NF9827"/>
    <x v="13"/>
    <n v="4404"/>
    <x v="8"/>
    <n v="2023"/>
    <x v="5"/>
    <x v="0"/>
    <x v="8"/>
    <x v="0"/>
    <x v="0"/>
    <s v="Prazo"/>
    <s v="Em Dia"/>
  </r>
  <r>
    <d v="2023-06-29T06:28:21"/>
    <d v="2023-06-25T00:00:00"/>
    <d v="2023-06-29T06:28:21"/>
    <x v="6"/>
    <x v="0"/>
    <x v="4"/>
    <s v="NF9837"/>
    <x v="38"/>
    <n v="450"/>
    <x v="0"/>
    <n v="2023"/>
    <x v="3"/>
    <x v="1"/>
    <x v="3"/>
    <x v="1"/>
    <x v="0"/>
    <s v="Prazo"/>
    <s v="Em Dia"/>
  </r>
  <r>
    <d v="2023-07-02T04:12:39"/>
    <d v="2023-05-30T00:00:00"/>
    <d v="2023-07-02T04:12:39"/>
    <x v="4"/>
    <x v="0"/>
    <x v="4"/>
    <s v="NF9904"/>
    <x v="64"/>
    <n v="4535"/>
    <x v="3"/>
    <n v="2023"/>
    <x v="0"/>
    <x v="1"/>
    <x v="6"/>
    <x v="1"/>
    <x v="0"/>
    <s v="Prazo"/>
    <s v="Em Dia"/>
  </r>
  <r>
    <d v="2022-12-18T12:03:31"/>
    <d v="2022-09-12T00:00:00"/>
    <d v="2022-10-10T05:32:48"/>
    <x v="0"/>
    <x v="0"/>
    <x v="2"/>
    <s v="NF9914"/>
    <x v="50"/>
    <n v="1207"/>
    <x v="10"/>
    <n v="2022"/>
    <x v="11"/>
    <x v="0"/>
    <x v="5"/>
    <x v="0"/>
    <x v="0"/>
    <s v="Prazo"/>
    <s v="Em Dia"/>
  </r>
  <r>
    <d v="2022-12-25T16:39:40"/>
    <d v="2022-12-20T00:00:00"/>
    <d v="2022-12-25T16:39:40"/>
    <x v="2"/>
    <x v="0"/>
    <x v="1"/>
    <s v="NF9932"/>
    <x v="54"/>
    <n v="2088"/>
    <x v="10"/>
    <n v="2022"/>
    <x v="8"/>
    <x v="0"/>
    <x v="8"/>
    <x v="0"/>
    <x v="0"/>
    <s v="Prazo"/>
    <s v="Em Dia"/>
  </r>
  <r>
    <d v="2023-12-13T00:00:00"/>
    <d v="2023-11-12T00:00:00"/>
    <d v="2023-11-28T00:00:00"/>
    <x v="7"/>
    <x v="0"/>
    <x v="4"/>
    <s v="NF9932"/>
    <x v="27"/>
    <n v="3374"/>
    <x v="10"/>
    <n v="2023"/>
    <x v="10"/>
    <x v="1"/>
    <x v="10"/>
    <x v="1"/>
    <x v="0"/>
    <s v="Prazo"/>
    <s v="Em Dia"/>
  </r>
  <r>
    <d v="2023-03-20T03:24:50"/>
    <d v="2022-12-06T00:00:00"/>
    <d v="2023-01-22T09:22:29"/>
    <x v="5"/>
    <x v="0"/>
    <x v="2"/>
    <s v="NF9970"/>
    <x v="34"/>
    <n v="1209"/>
    <x v="4"/>
    <n v="2023"/>
    <x v="8"/>
    <x v="0"/>
    <x v="7"/>
    <x v="1"/>
    <x v="0"/>
    <s v="Prazo"/>
    <s v="Em Dia"/>
  </r>
  <r>
    <d v="2023-09-20T00:00:00"/>
    <d v="2023-06-30T00:00:00"/>
    <d v="2023-07-02T00:00:00"/>
    <x v="6"/>
    <x v="0"/>
    <x v="3"/>
    <s v="NS7792"/>
    <x v="33"/>
    <n v="700"/>
    <x v="2"/>
    <n v="2023"/>
    <x v="3"/>
    <x v="1"/>
    <x v="6"/>
    <x v="1"/>
    <x v="0"/>
    <s v="Prazo"/>
    <s v="Em Di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0">
  <r>
    <d v="2021-10-07T16:32:18"/>
    <d v="2021-08-10T00:00:00"/>
    <d v="2021-10-07T16:32:18"/>
    <x v="0"/>
    <x v="0"/>
    <x v="0"/>
    <s v="NF4400"/>
    <n v="4021"/>
    <n v="2021"/>
    <x v="0"/>
    <x v="0"/>
    <x v="0"/>
    <x v="0"/>
    <x v="0"/>
  </r>
  <r>
    <d v="2022-06-09T00:00:00"/>
    <d v="2022-05-09T00:00:00"/>
    <d v="2022-05-25T00:00:00"/>
    <x v="1"/>
    <x v="0"/>
    <x v="1"/>
    <s v="NF5142"/>
    <n v="999"/>
    <n v="2022"/>
    <x v="1"/>
    <x v="1"/>
    <x v="1"/>
    <x v="1"/>
    <x v="1"/>
  </r>
  <r>
    <d v="2022-08-07T00:00:00"/>
    <d v="2022-07-07T00:00:00"/>
    <d v="2022-07-23T00:00:00"/>
    <x v="1"/>
    <x v="0"/>
    <x v="0"/>
    <s v="NF1683"/>
    <n v="2314"/>
    <n v="2022"/>
    <x v="2"/>
    <x v="2"/>
    <x v="1"/>
    <x v="2"/>
    <x v="1"/>
  </r>
  <r>
    <d v="2023-03-04T00:00:00"/>
    <d v="2023-02-01T00:00:00"/>
    <d v="2023-02-17T00:00:00"/>
    <x v="2"/>
    <x v="0"/>
    <x v="0"/>
    <s v="NF4837"/>
    <n v="950"/>
    <n v="2023"/>
    <x v="3"/>
    <x v="3"/>
    <x v="2"/>
    <x v="3"/>
    <x v="2"/>
  </r>
  <r>
    <d v="2022-10-05T00:00:00"/>
    <d v="2022-09-04T00:00:00"/>
    <d v="2022-09-20T00:00:00"/>
    <x v="0"/>
    <x v="0"/>
    <x v="2"/>
    <s v="NF0126"/>
    <n v="3948"/>
    <n v="2022"/>
    <x v="0"/>
    <x v="4"/>
    <x v="1"/>
    <x v="4"/>
    <x v="1"/>
  </r>
  <r>
    <d v="2023-08-24T00:00:00"/>
    <d v="2023-07-24T00:00:00"/>
    <d v="2023-08-09T00:00:00"/>
    <x v="0"/>
    <x v="0"/>
    <x v="0"/>
    <s v="NF0455"/>
    <n v="1920"/>
    <n v="2023"/>
    <x v="2"/>
    <x v="2"/>
    <x v="2"/>
    <x v="5"/>
    <x v="2"/>
  </r>
  <r>
    <d v="2023-03-27T00:00:00"/>
    <d v="2023-02-24T00:00:00"/>
    <d v="2023-03-12T00:00:00"/>
    <x v="0"/>
    <x v="0"/>
    <x v="2"/>
    <s v="NF5231"/>
    <n v="2461"/>
    <n v="2023"/>
    <x v="3"/>
    <x v="3"/>
    <x v="2"/>
    <x v="6"/>
    <x v="2"/>
  </r>
  <r>
    <d v="2022-09-18T00:00:00"/>
    <d v="2022-08-18T00:00:00"/>
    <d v="2022-09-03T00:00:00"/>
    <x v="3"/>
    <x v="0"/>
    <x v="1"/>
    <s v="NF2036"/>
    <n v="1528"/>
    <n v="2022"/>
    <x v="4"/>
    <x v="0"/>
    <x v="1"/>
    <x v="4"/>
    <x v="1"/>
  </r>
  <r>
    <d v="2022-08-23T00:00:00"/>
    <d v="2022-07-23T00:00:00"/>
    <d v="2022-08-08T00:00:00"/>
    <x v="4"/>
    <x v="0"/>
    <x v="3"/>
    <s v="NF6434"/>
    <n v="3541"/>
    <n v="2022"/>
    <x v="2"/>
    <x v="2"/>
    <x v="1"/>
    <x v="5"/>
    <x v="1"/>
  </r>
  <r>
    <d v="2023-09-01T00:00:00"/>
    <d v="2023-08-01T00:00:00"/>
    <d v="2023-08-17T00:00:00"/>
    <x v="5"/>
    <x v="0"/>
    <x v="1"/>
    <s v="NF3560"/>
    <n v="300"/>
    <n v="2023"/>
    <x v="4"/>
    <x v="0"/>
    <x v="2"/>
    <x v="5"/>
    <x v="2"/>
  </r>
  <r>
    <d v="2021-04-11T00:00:00"/>
    <d v="2021-03-11T00:00:00"/>
    <d v="2021-03-27T00:00:00"/>
    <x v="4"/>
    <x v="0"/>
    <x v="1"/>
    <s v="NF2771"/>
    <n v="1476"/>
    <n v="2021"/>
    <x v="5"/>
    <x v="5"/>
    <x v="0"/>
    <x v="6"/>
    <x v="0"/>
  </r>
  <r>
    <d v="2023-01-17T00:00:00"/>
    <d v="2022-12-17T00:00:00"/>
    <d v="2023-01-02T00:00:00"/>
    <x v="6"/>
    <x v="0"/>
    <x v="4"/>
    <s v="NF4389"/>
    <n v="1961"/>
    <n v="2023"/>
    <x v="6"/>
    <x v="6"/>
    <x v="1"/>
    <x v="7"/>
    <x v="2"/>
  </r>
  <r>
    <d v="2022-04-29T00:00:00"/>
    <d v="2022-03-29T00:00:00"/>
    <d v="2022-04-14T00:00:00"/>
    <x v="4"/>
    <x v="0"/>
    <x v="0"/>
    <s v="NF2512"/>
    <n v="1860"/>
    <n v="2022"/>
    <x v="5"/>
    <x v="5"/>
    <x v="1"/>
    <x v="8"/>
    <x v="1"/>
  </r>
  <r>
    <d v="2022-08-30T00:00:00"/>
    <d v="2022-07-30T00:00:00"/>
    <d v="2022-08-15T00:00:00"/>
    <x v="0"/>
    <x v="0"/>
    <x v="2"/>
    <s v="NF5458"/>
    <n v="1923"/>
    <n v="2022"/>
    <x v="2"/>
    <x v="2"/>
    <x v="1"/>
    <x v="5"/>
    <x v="1"/>
  </r>
  <r>
    <d v="2022-01-09T00:00:00"/>
    <d v="2021-12-09T00:00:00"/>
    <d v="2021-12-25T00:00:00"/>
    <x v="2"/>
    <x v="0"/>
    <x v="4"/>
    <s v="NF4534"/>
    <n v="243"/>
    <n v="2022"/>
    <x v="6"/>
    <x v="6"/>
    <x v="0"/>
    <x v="9"/>
    <x v="0"/>
  </r>
  <r>
    <d v="2023-02-22T00:00:00"/>
    <d v="2023-01-22T00:00:00"/>
    <d v="2023-02-07T00:00:00"/>
    <x v="5"/>
    <x v="0"/>
    <x v="4"/>
    <s v="NF4611"/>
    <n v="1794"/>
    <n v="2023"/>
    <x v="7"/>
    <x v="7"/>
    <x v="2"/>
    <x v="3"/>
    <x v="2"/>
  </r>
  <r>
    <d v="2021-12-04T00:00:00"/>
    <d v="2021-11-03T00:00:00"/>
    <d v="2021-11-19T00:00:00"/>
    <x v="3"/>
    <x v="0"/>
    <x v="1"/>
    <s v="NF8533"/>
    <n v="2859"/>
    <n v="2021"/>
    <x v="8"/>
    <x v="8"/>
    <x v="0"/>
    <x v="10"/>
    <x v="0"/>
  </r>
  <r>
    <d v="2021-06-24T00:00:00"/>
    <d v="2021-05-24T00:00:00"/>
    <d v="2021-06-09T00:00:00"/>
    <x v="7"/>
    <x v="0"/>
    <x v="2"/>
    <s v="NF7686"/>
    <n v="1995"/>
    <n v="2021"/>
    <x v="1"/>
    <x v="1"/>
    <x v="0"/>
    <x v="11"/>
    <x v="0"/>
  </r>
  <r>
    <d v="2022-01-18T00:00:00"/>
    <d v="2021-12-18T00:00:00"/>
    <d v="2022-01-03T00:00:00"/>
    <x v="2"/>
    <x v="0"/>
    <x v="1"/>
    <s v="NF8174"/>
    <n v="2080"/>
    <n v="2022"/>
    <x v="6"/>
    <x v="6"/>
    <x v="0"/>
    <x v="7"/>
    <x v="1"/>
  </r>
  <r>
    <d v="2021-08-29T00:00:00"/>
    <d v="2021-07-29T00:00:00"/>
    <d v="2021-08-14T00:00:00"/>
    <x v="5"/>
    <x v="0"/>
    <x v="1"/>
    <s v="NF5355"/>
    <n v="584"/>
    <n v="2021"/>
    <x v="2"/>
    <x v="2"/>
    <x v="0"/>
    <x v="5"/>
    <x v="0"/>
  </r>
  <r>
    <d v="2022-10-19T00:00:00"/>
    <d v="2022-09-18T00:00:00"/>
    <d v="2022-10-04T00:00:00"/>
    <x v="3"/>
    <x v="0"/>
    <x v="0"/>
    <s v="NF8647"/>
    <n v="3577"/>
    <n v="2022"/>
    <x v="0"/>
    <x v="4"/>
    <x v="1"/>
    <x v="0"/>
    <x v="1"/>
  </r>
  <r>
    <d v="2022-07-12T00:00:00"/>
    <d v="2022-06-11T00:00:00"/>
    <d v="2022-06-27T00:00:00"/>
    <x v="7"/>
    <x v="0"/>
    <x v="1"/>
    <s v="NF8142"/>
    <n v="3340"/>
    <n v="2022"/>
    <x v="9"/>
    <x v="9"/>
    <x v="1"/>
    <x v="11"/>
    <x v="1"/>
  </r>
  <r>
    <d v="2022-10-02T00:00:00"/>
    <d v="2022-09-01T00:00:00"/>
    <d v="2022-09-17T00:00:00"/>
    <x v="1"/>
    <x v="0"/>
    <x v="3"/>
    <s v="NF6572"/>
    <n v="2927"/>
    <n v="2022"/>
    <x v="0"/>
    <x v="4"/>
    <x v="1"/>
    <x v="4"/>
    <x v="1"/>
  </r>
  <r>
    <d v="2022-12-31T00:00:00"/>
    <d v="2022-11-30T00:00:00"/>
    <d v="2022-12-16T00:00:00"/>
    <x v="4"/>
    <x v="0"/>
    <x v="1"/>
    <s v="NF6239"/>
    <n v="368"/>
    <n v="2022"/>
    <x v="8"/>
    <x v="8"/>
    <x v="1"/>
    <x v="9"/>
    <x v="1"/>
  </r>
  <r>
    <d v="2023-10-20T00:00:00"/>
    <d v="2023-09-19T00:00:00"/>
    <d v="2023-10-05T00:00:00"/>
    <x v="3"/>
    <x v="0"/>
    <x v="0"/>
    <s v="NF2136"/>
    <n v="3799"/>
    <n v="2023"/>
    <x v="0"/>
    <x v="4"/>
    <x v="2"/>
    <x v="0"/>
    <x v="2"/>
  </r>
  <r>
    <d v="2022-07-23T00:00:00"/>
    <d v="2022-06-22T00:00:00"/>
    <d v="2022-07-08T00:00:00"/>
    <x v="5"/>
    <x v="0"/>
    <x v="3"/>
    <s v="NF7765"/>
    <n v="1673"/>
    <n v="2022"/>
    <x v="9"/>
    <x v="9"/>
    <x v="1"/>
    <x v="2"/>
    <x v="1"/>
  </r>
  <r>
    <d v="2022-09-15T00:00:00"/>
    <d v="2022-08-15T00:00:00"/>
    <d v="2022-08-31T00:00:00"/>
    <x v="2"/>
    <x v="0"/>
    <x v="4"/>
    <s v="NF7870"/>
    <n v="1276"/>
    <n v="2022"/>
    <x v="4"/>
    <x v="0"/>
    <x v="1"/>
    <x v="5"/>
    <x v="1"/>
  </r>
  <r>
    <d v="2021-04-18T00:00:00"/>
    <d v="2021-03-18T00:00:00"/>
    <d v="2021-04-03T00:00:00"/>
    <x v="1"/>
    <x v="0"/>
    <x v="2"/>
    <s v="NF4306"/>
    <n v="674"/>
    <n v="2021"/>
    <x v="5"/>
    <x v="5"/>
    <x v="0"/>
    <x v="8"/>
    <x v="0"/>
  </r>
  <r>
    <d v="2022-09-13T00:00:00"/>
    <d v="2022-08-13T00:00:00"/>
    <d v="2022-08-29T00:00:00"/>
    <x v="6"/>
    <x v="0"/>
    <x v="0"/>
    <s v="NF1271"/>
    <n v="178"/>
    <n v="2022"/>
    <x v="4"/>
    <x v="0"/>
    <x v="1"/>
    <x v="5"/>
    <x v="1"/>
  </r>
  <r>
    <d v="2022-10-27T00:00:00"/>
    <d v="2022-09-26T00:00:00"/>
    <d v="2022-10-12T00:00:00"/>
    <x v="7"/>
    <x v="0"/>
    <x v="4"/>
    <s v="NF1517"/>
    <n v="3491"/>
    <n v="2022"/>
    <x v="0"/>
    <x v="4"/>
    <x v="1"/>
    <x v="0"/>
    <x v="1"/>
  </r>
  <r>
    <d v="2021-03-16T00:00:00"/>
    <d v="2021-02-13T00:00:00"/>
    <d v="2021-03-01T00:00:00"/>
    <x v="4"/>
    <x v="0"/>
    <x v="2"/>
    <s v="NF0870"/>
    <n v="1488"/>
    <n v="2021"/>
    <x v="3"/>
    <x v="3"/>
    <x v="0"/>
    <x v="6"/>
    <x v="0"/>
  </r>
  <r>
    <d v="2023-05-26T00:00:00"/>
    <d v="2023-04-25T00:00:00"/>
    <d v="2023-05-11T00:00:00"/>
    <x v="6"/>
    <x v="0"/>
    <x v="3"/>
    <s v="NF3964"/>
    <n v="537"/>
    <n v="2023"/>
    <x v="10"/>
    <x v="10"/>
    <x v="2"/>
    <x v="1"/>
    <x v="2"/>
  </r>
  <r>
    <d v="2021-12-23T00:00:00"/>
    <d v="2021-11-22T00:00:00"/>
    <d v="2021-12-08T00:00:00"/>
    <x v="7"/>
    <x v="0"/>
    <x v="0"/>
    <s v="NF3418"/>
    <n v="1518"/>
    <n v="2021"/>
    <x v="8"/>
    <x v="8"/>
    <x v="0"/>
    <x v="9"/>
    <x v="0"/>
  </r>
  <r>
    <d v="2022-11-07T00:00:00"/>
    <d v="2022-10-07T00:00:00"/>
    <d v="2022-10-23T00:00:00"/>
    <x v="6"/>
    <x v="0"/>
    <x v="1"/>
    <s v="NF6896"/>
    <n v="769"/>
    <n v="2022"/>
    <x v="11"/>
    <x v="11"/>
    <x v="1"/>
    <x v="0"/>
    <x v="1"/>
  </r>
  <r>
    <d v="2022-06-01T00:00:00"/>
    <d v="2022-05-01T00:00:00"/>
    <d v="2022-05-17T00:00:00"/>
    <x v="2"/>
    <x v="0"/>
    <x v="0"/>
    <s v="NF4361"/>
    <n v="1374"/>
    <n v="2022"/>
    <x v="1"/>
    <x v="1"/>
    <x v="1"/>
    <x v="1"/>
    <x v="1"/>
  </r>
  <r>
    <d v="2023-04-05T00:00:00"/>
    <d v="2023-03-05T00:00:00"/>
    <d v="2023-03-21T00:00:00"/>
    <x v="5"/>
    <x v="0"/>
    <x v="0"/>
    <s v="NF6175"/>
    <n v="852"/>
    <n v="2023"/>
    <x v="5"/>
    <x v="5"/>
    <x v="2"/>
    <x v="6"/>
    <x v="2"/>
  </r>
  <r>
    <d v="2021-03-06T00:00:00"/>
    <d v="2021-02-03T00:00:00"/>
    <d v="2021-02-19T00:00:00"/>
    <x v="2"/>
    <x v="0"/>
    <x v="3"/>
    <s v="NF4460"/>
    <n v="3120"/>
    <n v="2021"/>
    <x v="3"/>
    <x v="3"/>
    <x v="0"/>
    <x v="3"/>
    <x v="0"/>
  </r>
  <r>
    <d v="2023-05-16T00:00:00"/>
    <d v="2023-04-15T00:00:00"/>
    <d v="2023-05-01T00:00:00"/>
    <x v="1"/>
    <x v="0"/>
    <x v="1"/>
    <s v="NF0354"/>
    <n v="3423"/>
    <n v="2023"/>
    <x v="10"/>
    <x v="10"/>
    <x v="2"/>
    <x v="1"/>
    <x v="2"/>
  </r>
  <r>
    <d v="2022-08-17T00:00:00"/>
    <d v="2022-07-17T00:00:00"/>
    <d v="2022-08-02T00:00:00"/>
    <x v="4"/>
    <x v="0"/>
    <x v="3"/>
    <s v="NF6768"/>
    <n v="1515"/>
    <n v="2022"/>
    <x v="2"/>
    <x v="2"/>
    <x v="1"/>
    <x v="5"/>
    <x v="1"/>
  </r>
  <r>
    <d v="2023-03-27T00:00:00"/>
    <d v="2023-02-24T00:00:00"/>
    <d v="2023-03-12T00:00:00"/>
    <x v="0"/>
    <x v="0"/>
    <x v="1"/>
    <s v="NF3765"/>
    <n v="3296"/>
    <n v="2023"/>
    <x v="3"/>
    <x v="3"/>
    <x v="2"/>
    <x v="6"/>
    <x v="2"/>
  </r>
  <r>
    <d v="2022-11-15T00:00:00"/>
    <d v="2022-10-15T00:00:00"/>
    <d v="2022-10-31T00:00:00"/>
    <x v="2"/>
    <x v="0"/>
    <x v="3"/>
    <s v="NF3568"/>
    <n v="1559"/>
    <n v="2022"/>
    <x v="11"/>
    <x v="11"/>
    <x v="1"/>
    <x v="0"/>
    <x v="1"/>
  </r>
  <r>
    <d v="2022-12-09T00:00:00"/>
    <d v="2022-11-08T00:00:00"/>
    <d v="2022-11-24T00:00:00"/>
    <x v="2"/>
    <x v="0"/>
    <x v="4"/>
    <s v="NF0434"/>
    <n v="3432"/>
    <n v="2022"/>
    <x v="8"/>
    <x v="8"/>
    <x v="1"/>
    <x v="10"/>
    <x v="1"/>
  </r>
  <r>
    <d v="2022-01-09T00:00:00"/>
    <d v="2021-12-09T00:00:00"/>
    <d v="2021-12-25T00:00:00"/>
    <x v="6"/>
    <x v="0"/>
    <x v="4"/>
    <s v="NF1362"/>
    <n v="2466"/>
    <n v="2022"/>
    <x v="6"/>
    <x v="6"/>
    <x v="0"/>
    <x v="9"/>
    <x v="0"/>
  </r>
  <r>
    <d v="2022-01-11T00:00:00"/>
    <d v="2021-12-11T00:00:00"/>
    <d v="2021-12-27T00:00:00"/>
    <x v="4"/>
    <x v="0"/>
    <x v="2"/>
    <s v="NF6274"/>
    <n v="1372"/>
    <n v="2022"/>
    <x v="6"/>
    <x v="6"/>
    <x v="0"/>
    <x v="9"/>
    <x v="0"/>
  </r>
  <r>
    <d v="2021-06-10T00:00:00"/>
    <d v="2021-05-10T00:00:00"/>
    <d v="2021-05-26T00:00:00"/>
    <x v="3"/>
    <x v="0"/>
    <x v="3"/>
    <s v="NF4312"/>
    <n v="3149"/>
    <n v="2021"/>
    <x v="1"/>
    <x v="1"/>
    <x v="0"/>
    <x v="1"/>
    <x v="0"/>
  </r>
  <r>
    <d v="2022-03-15T00:00:00"/>
    <d v="2022-02-12T00:00:00"/>
    <d v="2022-02-28T00:00:00"/>
    <x v="7"/>
    <x v="0"/>
    <x v="1"/>
    <s v="NF0018"/>
    <n v="1996"/>
    <n v="2022"/>
    <x v="3"/>
    <x v="3"/>
    <x v="1"/>
    <x v="3"/>
    <x v="1"/>
  </r>
  <r>
    <d v="2021-08-13T00:00:00"/>
    <d v="2021-07-13T00:00:00"/>
    <d v="2021-07-29T00:00:00"/>
    <x v="5"/>
    <x v="0"/>
    <x v="0"/>
    <s v="NF8473"/>
    <n v="2630"/>
    <n v="2021"/>
    <x v="2"/>
    <x v="2"/>
    <x v="0"/>
    <x v="2"/>
    <x v="0"/>
  </r>
  <r>
    <d v="2021-02-18T00:00:00"/>
    <d v="2021-01-18T00:00:00"/>
    <d v="2021-02-03T00:00:00"/>
    <x v="0"/>
    <x v="0"/>
    <x v="0"/>
    <s v="NF2331"/>
    <n v="2648"/>
    <n v="2021"/>
    <x v="7"/>
    <x v="7"/>
    <x v="0"/>
    <x v="3"/>
    <x v="0"/>
  </r>
  <r>
    <d v="2021-06-28T00:00:00"/>
    <d v="2021-05-28T00:00:00"/>
    <d v="2021-06-13T00:00:00"/>
    <x v="6"/>
    <x v="0"/>
    <x v="2"/>
    <s v="NF1189"/>
    <n v="1763"/>
    <n v="2021"/>
    <x v="1"/>
    <x v="1"/>
    <x v="0"/>
    <x v="11"/>
    <x v="0"/>
  </r>
  <r>
    <d v="2021-06-17T00:00:00"/>
    <d v="2021-05-17T00:00:00"/>
    <d v="2021-06-02T00:00:00"/>
    <x v="1"/>
    <x v="0"/>
    <x v="3"/>
    <s v="NF6643"/>
    <n v="3382"/>
    <n v="2021"/>
    <x v="1"/>
    <x v="1"/>
    <x v="0"/>
    <x v="11"/>
    <x v="0"/>
  </r>
  <r>
    <d v="2022-04-02T00:00:00"/>
    <d v="2022-03-02T00:00:00"/>
    <d v="2022-03-18T00:00:00"/>
    <x v="7"/>
    <x v="0"/>
    <x v="4"/>
    <s v="NF1458"/>
    <n v="3322"/>
    <n v="2022"/>
    <x v="5"/>
    <x v="5"/>
    <x v="1"/>
    <x v="6"/>
    <x v="1"/>
  </r>
  <r>
    <d v="2022-08-25T00:00:00"/>
    <d v="2022-07-25T00:00:00"/>
    <d v="2022-08-10T00:00:00"/>
    <x v="4"/>
    <x v="0"/>
    <x v="3"/>
    <s v="NF2233"/>
    <n v="775"/>
    <n v="2022"/>
    <x v="2"/>
    <x v="2"/>
    <x v="1"/>
    <x v="5"/>
    <x v="1"/>
  </r>
  <r>
    <d v="2023-06-26T00:00:00"/>
    <d v="2023-05-26T00:00:00"/>
    <d v="2023-06-11T00:00:00"/>
    <x v="5"/>
    <x v="0"/>
    <x v="3"/>
    <s v="NF1913"/>
    <n v="3337"/>
    <n v="2023"/>
    <x v="1"/>
    <x v="1"/>
    <x v="2"/>
    <x v="11"/>
    <x v="2"/>
  </r>
  <r>
    <d v="2021-08-27T00:00:00"/>
    <d v="2021-07-27T00:00:00"/>
    <d v="2021-08-12T00:00:00"/>
    <x v="1"/>
    <x v="0"/>
    <x v="1"/>
    <s v="NF3924"/>
    <n v="425"/>
    <n v="2021"/>
    <x v="2"/>
    <x v="2"/>
    <x v="0"/>
    <x v="5"/>
    <x v="0"/>
  </r>
  <r>
    <d v="2021-01-25T00:00:00"/>
    <d v="2020-12-25T00:00:00"/>
    <d v="2021-01-10T00:00:00"/>
    <x v="6"/>
    <x v="0"/>
    <x v="4"/>
    <s v="NF7477"/>
    <n v="2909"/>
    <n v="2021"/>
    <x v="6"/>
    <x v="6"/>
    <x v="3"/>
    <x v="7"/>
    <x v="0"/>
  </r>
  <r>
    <d v="2021-03-07T00:00:00"/>
    <d v="2021-02-04T00:00:00"/>
    <d v="2021-02-20T00:00:00"/>
    <x v="5"/>
    <x v="0"/>
    <x v="1"/>
    <s v="NF2858"/>
    <n v="615"/>
    <n v="2021"/>
    <x v="3"/>
    <x v="3"/>
    <x v="0"/>
    <x v="3"/>
    <x v="0"/>
  </r>
  <r>
    <d v="2021-04-01T00:00:00"/>
    <d v="2021-03-01T00:00:00"/>
    <d v="2021-03-17T00:00:00"/>
    <x v="6"/>
    <x v="0"/>
    <x v="2"/>
    <s v="NF6737"/>
    <n v="2672"/>
    <n v="2021"/>
    <x v="5"/>
    <x v="5"/>
    <x v="0"/>
    <x v="6"/>
    <x v="0"/>
  </r>
  <r>
    <d v="2021-02-07T00:00:00"/>
    <d v="2021-01-07T00:00:00"/>
    <d v="2021-01-23T00:00:00"/>
    <x v="2"/>
    <x v="0"/>
    <x v="1"/>
    <s v="NF7507"/>
    <n v="1100"/>
    <n v="2021"/>
    <x v="7"/>
    <x v="7"/>
    <x v="0"/>
    <x v="7"/>
    <x v="0"/>
  </r>
  <r>
    <d v="2023-06-03T00:00:00"/>
    <d v="2023-05-03T00:00:00"/>
    <d v="2023-05-19T00:00:00"/>
    <x v="0"/>
    <x v="0"/>
    <x v="3"/>
    <s v="NF1257"/>
    <n v="676"/>
    <n v="2023"/>
    <x v="1"/>
    <x v="1"/>
    <x v="2"/>
    <x v="1"/>
    <x v="2"/>
  </r>
  <r>
    <d v="2023-07-05T00:00:00"/>
    <d v="2023-06-04T00:00:00"/>
    <d v="2023-06-20T00:00:00"/>
    <x v="4"/>
    <x v="0"/>
    <x v="2"/>
    <s v="NF6845"/>
    <n v="2784"/>
    <n v="2023"/>
    <x v="9"/>
    <x v="9"/>
    <x v="2"/>
    <x v="11"/>
    <x v="2"/>
  </r>
  <r>
    <d v="2021-11-13T00:00:00"/>
    <d v="2021-10-13T00:00:00"/>
    <d v="2021-10-29T00:00:00"/>
    <x v="3"/>
    <x v="0"/>
    <x v="3"/>
    <s v="NF6533"/>
    <n v="951"/>
    <n v="2021"/>
    <x v="11"/>
    <x v="11"/>
    <x v="0"/>
    <x v="0"/>
    <x v="0"/>
  </r>
  <r>
    <d v="2021-05-18T00:00:00"/>
    <d v="2021-04-17T00:00:00"/>
    <d v="2021-05-03T00:00:00"/>
    <x v="0"/>
    <x v="0"/>
    <x v="2"/>
    <s v="NF3149"/>
    <n v="2829"/>
    <n v="2021"/>
    <x v="10"/>
    <x v="10"/>
    <x v="0"/>
    <x v="1"/>
    <x v="0"/>
  </r>
  <r>
    <d v="2021-03-29T00:00:00"/>
    <d v="2021-02-26T00:00:00"/>
    <d v="2021-03-14T00:00:00"/>
    <x v="4"/>
    <x v="0"/>
    <x v="2"/>
    <s v="NF1284"/>
    <n v="2480"/>
    <n v="2021"/>
    <x v="3"/>
    <x v="3"/>
    <x v="0"/>
    <x v="6"/>
    <x v="0"/>
  </r>
  <r>
    <d v="2022-12-07T00:00:00"/>
    <d v="2022-11-06T00:00:00"/>
    <d v="2022-11-22T00:00:00"/>
    <x v="5"/>
    <x v="0"/>
    <x v="2"/>
    <s v="NF8253"/>
    <n v="3437"/>
    <n v="2022"/>
    <x v="8"/>
    <x v="8"/>
    <x v="1"/>
    <x v="10"/>
    <x v="1"/>
  </r>
  <r>
    <d v="2022-02-21T00:00:00"/>
    <d v="2022-01-21T00:00:00"/>
    <d v="2022-02-06T00:00:00"/>
    <x v="7"/>
    <x v="0"/>
    <x v="2"/>
    <s v="NF4791"/>
    <n v="2211"/>
    <n v="2022"/>
    <x v="7"/>
    <x v="7"/>
    <x v="1"/>
    <x v="3"/>
    <x v="1"/>
  </r>
  <r>
    <d v="2023-05-29T00:00:00"/>
    <d v="2023-04-28T00:00:00"/>
    <d v="2023-05-14T00:00:00"/>
    <x v="1"/>
    <x v="0"/>
    <x v="0"/>
    <s v="NF5091"/>
    <n v="1856"/>
    <n v="2023"/>
    <x v="10"/>
    <x v="10"/>
    <x v="2"/>
    <x v="1"/>
    <x v="2"/>
  </r>
  <r>
    <d v="2023-11-05T00:00:00"/>
    <d v="2023-10-05T00:00:00"/>
    <d v="2023-10-21T00:00:00"/>
    <x v="2"/>
    <x v="0"/>
    <x v="1"/>
    <s v="NF7621"/>
    <n v="209"/>
    <n v="2023"/>
    <x v="11"/>
    <x v="11"/>
    <x v="2"/>
    <x v="0"/>
    <x v="2"/>
  </r>
  <r>
    <d v="2022-06-10T00:00:00"/>
    <d v="2022-05-10T00:00:00"/>
    <d v="2022-05-26T00:00:00"/>
    <x v="6"/>
    <x v="0"/>
    <x v="2"/>
    <s v="NF2272"/>
    <n v="3437"/>
    <n v="2022"/>
    <x v="1"/>
    <x v="1"/>
    <x v="1"/>
    <x v="1"/>
    <x v="1"/>
  </r>
  <r>
    <d v="2023-10-12T00:00:00"/>
    <d v="2023-09-11T00:00:00"/>
    <d v="2023-09-27T00:00:00"/>
    <x v="5"/>
    <x v="0"/>
    <x v="3"/>
    <s v="NF7556"/>
    <n v="2483"/>
    <n v="2023"/>
    <x v="0"/>
    <x v="4"/>
    <x v="2"/>
    <x v="4"/>
    <x v="2"/>
  </r>
  <r>
    <d v="2021-12-08T00:00:00"/>
    <d v="2021-11-07T00:00:00"/>
    <d v="2021-11-23T00:00:00"/>
    <x v="0"/>
    <x v="0"/>
    <x v="2"/>
    <s v="NF0522"/>
    <n v="238"/>
    <n v="2021"/>
    <x v="8"/>
    <x v="8"/>
    <x v="0"/>
    <x v="10"/>
    <x v="0"/>
  </r>
  <r>
    <d v="2022-03-23T00:00:00"/>
    <d v="2022-02-20T00:00:00"/>
    <d v="2022-03-08T00:00:00"/>
    <x v="0"/>
    <x v="0"/>
    <x v="1"/>
    <s v="NF4112"/>
    <n v="2832"/>
    <n v="2022"/>
    <x v="3"/>
    <x v="3"/>
    <x v="1"/>
    <x v="6"/>
    <x v="1"/>
  </r>
  <r>
    <d v="2023-01-02T00:00:00"/>
    <d v="2022-12-02T00:00:00"/>
    <d v="2022-12-18T00:00:00"/>
    <x v="6"/>
    <x v="0"/>
    <x v="2"/>
    <s v="NF6002"/>
    <n v="1173"/>
    <n v="2023"/>
    <x v="6"/>
    <x v="6"/>
    <x v="1"/>
    <x v="9"/>
    <x v="1"/>
  </r>
  <r>
    <d v="2021-04-14T00:00:00"/>
    <d v="2021-03-14T00:00:00"/>
    <d v="2021-03-30T00:00:00"/>
    <x v="7"/>
    <x v="0"/>
    <x v="4"/>
    <s v="NF8365"/>
    <n v="1438"/>
    <n v="2021"/>
    <x v="5"/>
    <x v="5"/>
    <x v="0"/>
    <x v="6"/>
    <x v="0"/>
  </r>
  <r>
    <d v="2021-12-25T00:00:00"/>
    <d v="2021-11-24T00:00:00"/>
    <d v="2021-12-10T00:00:00"/>
    <x v="0"/>
    <x v="0"/>
    <x v="1"/>
    <s v="NF0637"/>
    <n v="3877"/>
    <n v="2021"/>
    <x v="8"/>
    <x v="8"/>
    <x v="0"/>
    <x v="9"/>
    <x v="0"/>
  </r>
  <r>
    <d v="2022-06-29T00:00:00"/>
    <d v="2022-05-29T00:00:00"/>
    <d v="2022-06-14T00:00:00"/>
    <x v="0"/>
    <x v="0"/>
    <x v="0"/>
    <s v="NF3110"/>
    <n v="2115"/>
    <n v="2022"/>
    <x v="1"/>
    <x v="1"/>
    <x v="1"/>
    <x v="11"/>
    <x v="1"/>
  </r>
  <r>
    <d v="2021-08-31T00:00:00"/>
    <d v="2021-07-31T00:00:00"/>
    <d v="2021-08-16T00:00:00"/>
    <x v="2"/>
    <x v="0"/>
    <x v="1"/>
    <s v="NF3433"/>
    <n v="2427"/>
    <n v="2021"/>
    <x v="2"/>
    <x v="2"/>
    <x v="0"/>
    <x v="5"/>
    <x v="0"/>
  </r>
  <r>
    <d v="2022-09-25T00:00:00"/>
    <d v="2022-08-25T00:00:00"/>
    <d v="2022-09-10T00:00:00"/>
    <x v="6"/>
    <x v="0"/>
    <x v="3"/>
    <s v="NF2958"/>
    <n v="2097"/>
    <n v="2022"/>
    <x v="4"/>
    <x v="0"/>
    <x v="1"/>
    <x v="4"/>
    <x v="1"/>
  </r>
  <r>
    <d v="2022-04-15T00:00:00"/>
    <d v="2022-03-15T00:00:00"/>
    <d v="2022-03-31T00:00:00"/>
    <x v="2"/>
    <x v="0"/>
    <x v="3"/>
    <s v="NF2423"/>
    <n v="2379"/>
    <n v="2022"/>
    <x v="5"/>
    <x v="5"/>
    <x v="1"/>
    <x v="6"/>
    <x v="1"/>
  </r>
  <r>
    <d v="2022-10-23T00:00:00"/>
    <d v="2022-09-22T00:00:00"/>
    <d v="2022-10-08T00:00:00"/>
    <x v="2"/>
    <x v="0"/>
    <x v="4"/>
    <s v="NF6612"/>
    <n v="3966"/>
    <n v="2022"/>
    <x v="0"/>
    <x v="4"/>
    <x v="1"/>
    <x v="0"/>
    <x v="1"/>
  </r>
  <r>
    <d v="2023-05-11T00:00:00"/>
    <d v="2023-04-10T00:00:00"/>
    <d v="2023-04-26T00:00:00"/>
    <x v="0"/>
    <x v="0"/>
    <x v="3"/>
    <s v="NF4349"/>
    <n v="1239"/>
    <n v="2023"/>
    <x v="10"/>
    <x v="10"/>
    <x v="2"/>
    <x v="8"/>
    <x v="2"/>
  </r>
  <r>
    <d v="2022-03-04T00:00:00"/>
    <d v="2022-02-01T00:00:00"/>
    <d v="2022-02-17T00:00:00"/>
    <x v="1"/>
    <x v="0"/>
    <x v="1"/>
    <s v="NF8637"/>
    <n v="3446"/>
    <n v="2022"/>
    <x v="3"/>
    <x v="3"/>
    <x v="1"/>
    <x v="3"/>
    <x v="1"/>
  </r>
  <r>
    <d v="2023-07-11T00:00:00"/>
    <d v="2023-06-10T00:00:00"/>
    <d v="2023-06-26T00:00:00"/>
    <x v="3"/>
    <x v="0"/>
    <x v="4"/>
    <s v="NF6881"/>
    <n v="697"/>
    <n v="2023"/>
    <x v="9"/>
    <x v="9"/>
    <x v="2"/>
    <x v="11"/>
    <x v="2"/>
  </r>
  <r>
    <d v="2023-06-20T00:00:00"/>
    <d v="2023-05-20T00:00:00"/>
    <d v="2023-06-05T00:00:00"/>
    <x v="0"/>
    <x v="0"/>
    <x v="0"/>
    <s v="NF1030"/>
    <n v="3800"/>
    <n v="2023"/>
    <x v="1"/>
    <x v="1"/>
    <x v="2"/>
    <x v="11"/>
    <x v="2"/>
  </r>
  <r>
    <d v="2023-07-29T00:00:00"/>
    <d v="2023-06-28T00:00:00"/>
    <d v="2023-07-14T00:00:00"/>
    <x v="1"/>
    <x v="0"/>
    <x v="1"/>
    <s v="NF5563"/>
    <n v="3161"/>
    <n v="2023"/>
    <x v="9"/>
    <x v="9"/>
    <x v="2"/>
    <x v="2"/>
    <x v="2"/>
  </r>
  <r>
    <d v="2021-05-13T00:00:00"/>
    <d v="2021-04-12T00:00:00"/>
    <d v="2021-04-28T00:00:00"/>
    <x v="4"/>
    <x v="0"/>
    <x v="0"/>
    <s v="NF7082"/>
    <n v="2533"/>
    <n v="2021"/>
    <x v="10"/>
    <x v="10"/>
    <x v="0"/>
    <x v="8"/>
    <x v="0"/>
  </r>
  <r>
    <d v="2021-11-02T00:00:00"/>
    <d v="2021-10-02T00:00:00"/>
    <d v="2021-10-18T00:00:00"/>
    <x v="5"/>
    <x v="0"/>
    <x v="4"/>
    <s v="NF1392"/>
    <n v="1556"/>
    <n v="2021"/>
    <x v="11"/>
    <x v="11"/>
    <x v="0"/>
    <x v="0"/>
    <x v="0"/>
  </r>
  <r>
    <d v="2023-09-22T00:00:00"/>
    <d v="2023-08-22T00:00:00"/>
    <d v="2023-09-07T00:00:00"/>
    <x v="0"/>
    <x v="0"/>
    <x v="1"/>
    <s v="NF1237"/>
    <n v="2332"/>
    <n v="2023"/>
    <x v="4"/>
    <x v="0"/>
    <x v="2"/>
    <x v="4"/>
    <x v="2"/>
  </r>
  <r>
    <d v="2023-10-10T00:00:00"/>
    <d v="2023-09-09T00:00:00"/>
    <d v="2023-09-25T00:00:00"/>
    <x v="1"/>
    <x v="0"/>
    <x v="4"/>
    <s v="NF7398"/>
    <n v="3657"/>
    <n v="2023"/>
    <x v="0"/>
    <x v="4"/>
    <x v="2"/>
    <x v="4"/>
    <x v="2"/>
  </r>
  <r>
    <d v="2021-12-29T00:00:00"/>
    <d v="2021-11-28T00:00:00"/>
    <d v="2021-12-14T00:00:00"/>
    <x v="5"/>
    <x v="0"/>
    <x v="0"/>
    <s v="NF0824"/>
    <n v="2341"/>
    <n v="2021"/>
    <x v="8"/>
    <x v="8"/>
    <x v="0"/>
    <x v="9"/>
    <x v="0"/>
  </r>
  <r>
    <d v="2023-02-13T00:00:00"/>
    <d v="2023-01-13T00:00:00"/>
    <d v="2023-01-29T00:00:00"/>
    <x v="3"/>
    <x v="0"/>
    <x v="2"/>
    <s v="NF8632"/>
    <n v="650"/>
    <n v="2023"/>
    <x v="7"/>
    <x v="7"/>
    <x v="2"/>
    <x v="7"/>
    <x v="2"/>
  </r>
  <r>
    <d v="2022-02-19T00:00:00"/>
    <d v="2022-01-19T00:00:00"/>
    <d v="2022-02-04T00:00:00"/>
    <x v="2"/>
    <x v="0"/>
    <x v="3"/>
    <s v="NF9695"/>
    <n v="856"/>
    <n v="2022"/>
    <x v="7"/>
    <x v="7"/>
    <x v="1"/>
    <x v="3"/>
    <x v="1"/>
  </r>
  <r>
    <d v="2023-07-25T00:00:00"/>
    <d v="2023-06-24T00:00:00"/>
    <d v="2023-07-10T00:00:00"/>
    <x v="3"/>
    <x v="0"/>
    <x v="4"/>
    <s v="NF7756"/>
    <n v="1406"/>
    <n v="2023"/>
    <x v="9"/>
    <x v="9"/>
    <x v="2"/>
    <x v="2"/>
    <x v="2"/>
  </r>
  <r>
    <d v="2022-04-03T00:00:00"/>
    <d v="2022-03-03T00:00:00"/>
    <d v="2022-03-19T00:00:00"/>
    <x v="7"/>
    <x v="0"/>
    <x v="1"/>
    <s v="NF4173"/>
    <n v="3353"/>
    <n v="2022"/>
    <x v="5"/>
    <x v="5"/>
    <x v="1"/>
    <x v="6"/>
    <x v="1"/>
  </r>
  <r>
    <d v="2023-04-02T00:00:00"/>
    <d v="2023-03-02T00:00:00"/>
    <d v="2023-03-18T00:00:00"/>
    <x v="2"/>
    <x v="0"/>
    <x v="4"/>
    <s v="NF1237"/>
    <n v="420"/>
    <n v="2023"/>
    <x v="5"/>
    <x v="5"/>
    <x v="2"/>
    <x v="6"/>
    <x v="2"/>
  </r>
  <r>
    <d v="2021-03-19T00:00:00"/>
    <d v="2021-02-16T00:00:00"/>
    <d v="2021-03-04T00:00:00"/>
    <x v="3"/>
    <x v="0"/>
    <x v="2"/>
    <s v="NF4482"/>
    <n v="1138"/>
    <n v="2021"/>
    <x v="3"/>
    <x v="3"/>
    <x v="0"/>
    <x v="6"/>
    <x v="0"/>
  </r>
  <r>
    <d v="2022-01-04T00:00:00"/>
    <d v="2021-12-04T00:00:00"/>
    <d v="2021-12-20T00:00:00"/>
    <x v="2"/>
    <x v="0"/>
    <x v="3"/>
    <s v="NF4871"/>
    <n v="748"/>
    <n v="2022"/>
    <x v="6"/>
    <x v="6"/>
    <x v="0"/>
    <x v="9"/>
    <x v="0"/>
  </r>
  <r>
    <d v="2021-11-22T00:00:00"/>
    <d v="2021-10-22T00:00:00"/>
    <d v="2021-11-07T00:00:00"/>
    <x v="3"/>
    <x v="0"/>
    <x v="2"/>
    <s v="NF5010"/>
    <n v="992"/>
    <n v="2021"/>
    <x v="11"/>
    <x v="11"/>
    <x v="0"/>
    <x v="10"/>
    <x v="0"/>
  </r>
  <r>
    <d v="2021-05-24T00:00:00"/>
    <d v="2021-04-23T00:00:00"/>
    <d v="2021-05-09T00:00:00"/>
    <x v="3"/>
    <x v="0"/>
    <x v="0"/>
    <s v="NF8297"/>
    <n v="1537"/>
    <n v="2021"/>
    <x v="10"/>
    <x v="10"/>
    <x v="0"/>
    <x v="1"/>
    <x v="0"/>
  </r>
  <r>
    <d v="2021-01-21T00:00:00"/>
    <d v="2020-12-21T00:00:00"/>
    <d v="2021-01-06T00:00:00"/>
    <x v="1"/>
    <x v="0"/>
    <x v="3"/>
    <s v="NF2771"/>
    <n v="3390"/>
    <n v="2021"/>
    <x v="6"/>
    <x v="6"/>
    <x v="3"/>
    <x v="7"/>
    <x v="0"/>
  </r>
  <r>
    <d v="2023-04-17T00:00:00"/>
    <d v="2023-03-17T00:00:00"/>
    <d v="2023-04-02T00:00:00"/>
    <x v="3"/>
    <x v="0"/>
    <x v="1"/>
    <s v="NF4218"/>
    <n v="552"/>
    <n v="2023"/>
    <x v="5"/>
    <x v="5"/>
    <x v="2"/>
    <x v="8"/>
    <x v="2"/>
  </r>
  <r>
    <d v="2023-05-20T00:00:00"/>
    <d v="2023-04-19T00:00:00"/>
    <d v="2023-05-05T00:00:00"/>
    <x v="2"/>
    <x v="0"/>
    <x v="4"/>
    <s v="NF7794"/>
    <n v="2281"/>
    <n v="2023"/>
    <x v="10"/>
    <x v="10"/>
    <x v="2"/>
    <x v="1"/>
    <x v="2"/>
  </r>
  <r>
    <d v="2021-03-05T00:00:00"/>
    <d v="2021-02-02T00:00:00"/>
    <d v="2021-02-18T00:00:00"/>
    <x v="2"/>
    <x v="0"/>
    <x v="1"/>
    <s v="NF1896"/>
    <n v="2726"/>
    <n v="2021"/>
    <x v="3"/>
    <x v="3"/>
    <x v="0"/>
    <x v="3"/>
    <x v="0"/>
  </r>
  <r>
    <d v="2022-05-11T00:00:00"/>
    <d v="2022-04-10T00:00:00"/>
    <d v="2022-04-26T00:00:00"/>
    <x v="1"/>
    <x v="0"/>
    <x v="0"/>
    <s v="NF1475"/>
    <n v="3740"/>
    <n v="2022"/>
    <x v="10"/>
    <x v="10"/>
    <x v="1"/>
    <x v="8"/>
    <x v="1"/>
  </r>
  <r>
    <d v="2021-05-10T00:00:00"/>
    <d v="2021-04-09T00:00:00"/>
    <d v="2021-04-25T00:00:00"/>
    <x v="3"/>
    <x v="0"/>
    <x v="0"/>
    <s v="NF0534"/>
    <n v="3259"/>
    <n v="2021"/>
    <x v="10"/>
    <x v="10"/>
    <x v="0"/>
    <x v="8"/>
    <x v="0"/>
  </r>
  <r>
    <d v="2023-04-12T00:00:00"/>
    <d v="2023-03-12T00:00:00"/>
    <d v="2023-03-28T00:00:00"/>
    <x v="1"/>
    <x v="0"/>
    <x v="3"/>
    <s v="NF7071"/>
    <n v="3117"/>
    <n v="2023"/>
    <x v="5"/>
    <x v="5"/>
    <x v="2"/>
    <x v="6"/>
    <x v="2"/>
  </r>
  <r>
    <d v="2021-07-09T00:00:00"/>
    <d v="2021-06-08T00:00:00"/>
    <d v="2021-06-24T00:00:00"/>
    <x v="6"/>
    <x v="0"/>
    <x v="2"/>
    <s v="NF4483"/>
    <n v="493"/>
    <n v="2021"/>
    <x v="9"/>
    <x v="9"/>
    <x v="0"/>
    <x v="11"/>
    <x v="0"/>
  </r>
  <r>
    <d v="2021-10-26T00:00:00"/>
    <d v="2021-09-25T00:00:00"/>
    <d v="2021-10-11T00:00:00"/>
    <x v="0"/>
    <x v="0"/>
    <x v="3"/>
    <s v="NF4418"/>
    <n v="1178"/>
    <n v="2021"/>
    <x v="0"/>
    <x v="4"/>
    <x v="0"/>
    <x v="0"/>
    <x v="0"/>
  </r>
  <r>
    <d v="2021-01-15T00:00:00"/>
    <d v="2020-12-15T00:00:00"/>
    <d v="2020-12-31T00:00:00"/>
    <x v="7"/>
    <x v="0"/>
    <x v="2"/>
    <s v="NF0147"/>
    <n v="1166"/>
    <n v="2021"/>
    <x v="6"/>
    <x v="6"/>
    <x v="3"/>
    <x v="9"/>
    <x v="3"/>
  </r>
  <r>
    <d v="2022-01-08T00:00:00"/>
    <d v="2021-12-08T00:00:00"/>
    <d v="2021-12-24T00:00:00"/>
    <x v="7"/>
    <x v="0"/>
    <x v="1"/>
    <s v="NF9914"/>
    <n v="3669"/>
    <n v="2022"/>
    <x v="6"/>
    <x v="6"/>
    <x v="0"/>
    <x v="9"/>
    <x v="0"/>
  </r>
  <r>
    <d v="2022-06-11T00:00:00"/>
    <d v="2022-05-11T00:00:00"/>
    <d v="2022-05-27T00:00:00"/>
    <x v="6"/>
    <x v="0"/>
    <x v="4"/>
    <s v="NF0444"/>
    <n v="3225"/>
    <n v="2022"/>
    <x v="1"/>
    <x v="1"/>
    <x v="1"/>
    <x v="1"/>
    <x v="1"/>
  </r>
  <r>
    <d v="2022-09-01T00:00:00"/>
    <d v="2022-08-01T00:00:00"/>
    <d v="2022-08-17T00:00:00"/>
    <x v="3"/>
    <x v="0"/>
    <x v="2"/>
    <s v="NF2865"/>
    <n v="1966"/>
    <n v="2022"/>
    <x v="4"/>
    <x v="0"/>
    <x v="1"/>
    <x v="5"/>
    <x v="1"/>
  </r>
  <r>
    <d v="2022-07-14T00:00:00"/>
    <d v="2022-06-13T00:00:00"/>
    <d v="2022-06-29T00:00:00"/>
    <x v="7"/>
    <x v="0"/>
    <x v="3"/>
    <s v="NF2446"/>
    <n v="3588"/>
    <n v="2022"/>
    <x v="9"/>
    <x v="9"/>
    <x v="1"/>
    <x v="11"/>
    <x v="1"/>
  </r>
  <r>
    <d v="2021-08-25T00:00:00"/>
    <d v="2021-07-25T00:00:00"/>
    <d v="2021-08-10T00:00:00"/>
    <x v="2"/>
    <x v="0"/>
    <x v="3"/>
    <s v="NF3174"/>
    <n v="3390"/>
    <n v="2021"/>
    <x v="2"/>
    <x v="2"/>
    <x v="0"/>
    <x v="5"/>
    <x v="0"/>
  </r>
  <r>
    <d v="2022-03-11T00:00:00"/>
    <d v="2022-02-08T00:00:00"/>
    <d v="2022-02-24T00:00:00"/>
    <x v="5"/>
    <x v="0"/>
    <x v="1"/>
    <s v="NF8909"/>
    <n v="3127"/>
    <n v="2022"/>
    <x v="3"/>
    <x v="3"/>
    <x v="1"/>
    <x v="3"/>
    <x v="1"/>
  </r>
  <r>
    <d v="2021-07-22T00:00:00"/>
    <d v="2021-06-21T00:00:00"/>
    <d v="2021-07-07T00:00:00"/>
    <x v="4"/>
    <x v="0"/>
    <x v="2"/>
    <s v="NF8373"/>
    <n v="1554"/>
    <n v="2021"/>
    <x v="9"/>
    <x v="9"/>
    <x v="0"/>
    <x v="2"/>
    <x v="0"/>
  </r>
  <r>
    <d v="2023-11-15T00:00:00"/>
    <d v="2023-10-15T00:00:00"/>
    <d v="2023-10-31T00:00:00"/>
    <x v="7"/>
    <x v="0"/>
    <x v="1"/>
    <s v="NF8624"/>
    <n v="2944"/>
    <n v="2023"/>
    <x v="11"/>
    <x v="11"/>
    <x v="2"/>
    <x v="0"/>
    <x v="2"/>
  </r>
  <r>
    <d v="2021-12-19T00:00:00"/>
    <d v="2021-11-18T00:00:00"/>
    <d v="2021-12-04T00:00:00"/>
    <x v="5"/>
    <x v="0"/>
    <x v="1"/>
    <s v="NF3776"/>
    <n v="207"/>
    <n v="2021"/>
    <x v="8"/>
    <x v="8"/>
    <x v="0"/>
    <x v="9"/>
    <x v="0"/>
  </r>
  <r>
    <d v="2021-01-16T00:00:00"/>
    <d v="2020-12-16T00:00:00"/>
    <d v="2021-01-01T00:00:00"/>
    <x v="3"/>
    <x v="0"/>
    <x v="3"/>
    <s v="NF7532"/>
    <n v="1326"/>
    <n v="2021"/>
    <x v="6"/>
    <x v="6"/>
    <x v="3"/>
    <x v="7"/>
    <x v="0"/>
  </r>
  <r>
    <d v="2023-04-28T00:00:00"/>
    <d v="2023-03-28T00:00:00"/>
    <d v="2023-04-13T00:00:00"/>
    <x v="1"/>
    <x v="0"/>
    <x v="4"/>
    <s v="NF4923"/>
    <n v="2760"/>
    <n v="2023"/>
    <x v="5"/>
    <x v="5"/>
    <x v="2"/>
    <x v="8"/>
    <x v="2"/>
  </r>
  <r>
    <d v="2022-11-01T00:00:00"/>
    <d v="2022-10-01T00:00:00"/>
    <d v="2022-10-17T00:00:00"/>
    <x v="5"/>
    <x v="0"/>
    <x v="2"/>
    <s v="NF2269"/>
    <n v="597"/>
    <n v="2022"/>
    <x v="11"/>
    <x v="11"/>
    <x v="1"/>
    <x v="0"/>
    <x v="1"/>
  </r>
  <r>
    <d v="2022-07-14T00:00:00"/>
    <d v="2022-06-13T00:00:00"/>
    <d v="2022-06-29T00:00:00"/>
    <x v="3"/>
    <x v="0"/>
    <x v="1"/>
    <s v="NF0298"/>
    <n v="737"/>
    <n v="2022"/>
    <x v="9"/>
    <x v="9"/>
    <x v="1"/>
    <x v="11"/>
    <x v="1"/>
  </r>
  <r>
    <d v="2023-01-25T00:00:00"/>
    <d v="2022-12-25T00:00:00"/>
    <d v="2023-01-10T00:00:00"/>
    <x v="5"/>
    <x v="0"/>
    <x v="0"/>
    <s v="NF4127"/>
    <n v="701"/>
    <n v="2023"/>
    <x v="6"/>
    <x v="6"/>
    <x v="1"/>
    <x v="7"/>
    <x v="2"/>
  </r>
  <r>
    <d v="2023-12-14T00:00:00"/>
    <d v="2023-11-13T00:00:00"/>
    <d v="2023-11-29T00:00:00"/>
    <x v="3"/>
    <x v="0"/>
    <x v="4"/>
    <s v="NF4983"/>
    <n v="340"/>
    <n v="2023"/>
    <x v="8"/>
    <x v="8"/>
    <x v="2"/>
    <x v="10"/>
    <x v="2"/>
  </r>
  <r>
    <d v="2022-04-19T00:00:00"/>
    <d v="2022-03-19T00:00:00"/>
    <d v="2022-04-04T00:00:00"/>
    <x v="0"/>
    <x v="0"/>
    <x v="4"/>
    <s v="NF7334"/>
    <n v="903"/>
    <n v="2022"/>
    <x v="5"/>
    <x v="5"/>
    <x v="1"/>
    <x v="8"/>
    <x v="1"/>
  </r>
  <r>
    <d v="2022-03-06T00:00:00"/>
    <d v="2022-02-03T00:00:00"/>
    <d v="2022-02-19T00:00:00"/>
    <x v="6"/>
    <x v="0"/>
    <x v="0"/>
    <s v="NF7523"/>
    <n v="2956"/>
    <n v="2022"/>
    <x v="3"/>
    <x v="3"/>
    <x v="1"/>
    <x v="3"/>
    <x v="1"/>
  </r>
  <r>
    <d v="2022-06-21T00:00:00"/>
    <d v="2022-05-21T00:00:00"/>
    <d v="2022-06-06T00:00:00"/>
    <x v="6"/>
    <x v="0"/>
    <x v="3"/>
    <s v="NF5361"/>
    <n v="1641"/>
    <n v="2022"/>
    <x v="1"/>
    <x v="1"/>
    <x v="1"/>
    <x v="11"/>
    <x v="1"/>
  </r>
  <r>
    <d v="2022-01-06T00:00:00"/>
    <d v="2021-12-06T00:00:00"/>
    <d v="2021-12-22T00:00:00"/>
    <x v="7"/>
    <x v="0"/>
    <x v="3"/>
    <s v="NF2436"/>
    <n v="218"/>
    <n v="2022"/>
    <x v="6"/>
    <x v="6"/>
    <x v="0"/>
    <x v="9"/>
    <x v="0"/>
  </r>
  <r>
    <d v="2021-06-12T00:00:00"/>
    <d v="2021-05-12T00:00:00"/>
    <d v="2021-05-28T00:00:00"/>
    <x v="3"/>
    <x v="0"/>
    <x v="2"/>
    <s v="NF7274"/>
    <n v="2595"/>
    <n v="2021"/>
    <x v="1"/>
    <x v="1"/>
    <x v="0"/>
    <x v="1"/>
    <x v="0"/>
  </r>
  <r>
    <d v="2022-03-13T00:00:00"/>
    <d v="2022-02-10T00:00:00"/>
    <d v="2022-02-26T00:00:00"/>
    <x v="3"/>
    <x v="0"/>
    <x v="1"/>
    <s v="NF9852"/>
    <n v="3628"/>
    <n v="2022"/>
    <x v="3"/>
    <x v="3"/>
    <x v="1"/>
    <x v="3"/>
    <x v="1"/>
  </r>
  <r>
    <d v="2021-12-08T00:00:00"/>
    <d v="2021-11-07T00:00:00"/>
    <d v="2021-11-23T00:00:00"/>
    <x v="2"/>
    <x v="0"/>
    <x v="0"/>
    <s v="NF5697"/>
    <n v="2313"/>
    <n v="2021"/>
    <x v="8"/>
    <x v="8"/>
    <x v="0"/>
    <x v="10"/>
    <x v="0"/>
  </r>
  <r>
    <d v="2023-10-23T00:00:00"/>
    <d v="2023-09-22T00:00:00"/>
    <d v="2023-10-08T00:00:00"/>
    <x v="3"/>
    <x v="0"/>
    <x v="2"/>
    <s v="NF5427"/>
    <n v="2934"/>
    <n v="2023"/>
    <x v="0"/>
    <x v="4"/>
    <x v="2"/>
    <x v="0"/>
    <x v="2"/>
  </r>
  <r>
    <d v="2023-03-09T00:00:00"/>
    <d v="2023-02-06T00:00:00"/>
    <d v="2023-02-22T00:00:00"/>
    <x v="2"/>
    <x v="0"/>
    <x v="0"/>
    <s v="NF9785"/>
    <n v="576"/>
    <n v="2023"/>
    <x v="3"/>
    <x v="3"/>
    <x v="2"/>
    <x v="3"/>
    <x v="2"/>
  </r>
  <r>
    <d v="2021-03-11T00:00:00"/>
    <d v="2021-02-08T00:00:00"/>
    <d v="2021-02-24T00:00:00"/>
    <x v="0"/>
    <x v="0"/>
    <x v="1"/>
    <s v="NF8374"/>
    <n v="2741"/>
    <n v="2021"/>
    <x v="3"/>
    <x v="3"/>
    <x v="0"/>
    <x v="3"/>
    <x v="0"/>
  </r>
  <r>
    <d v="2022-12-26T00:00:00"/>
    <d v="2022-11-25T00:00:00"/>
    <d v="2022-12-11T00:00:00"/>
    <x v="0"/>
    <x v="0"/>
    <x v="0"/>
    <s v="NF5483"/>
    <n v="1015"/>
    <n v="2022"/>
    <x v="8"/>
    <x v="8"/>
    <x v="1"/>
    <x v="9"/>
    <x v="1"/>
  </r>
  <r>
    <d v="2023-12-16T00:00:00"/>
    <d v="2023-11-15T00:00:00"/>
    <d v="2023-12-01T00:00:00"/>
    <x v="4"/>
    <x v="0"/>
    <x v="3"/>
    <s v="NF3725"/>
    <n v="3601"/>
    <n v="2023"/>
    <x v="8"/>
    <x v="8"/>
    <x v="2"/>
    <x v="9"/>
    <x v="2"/>
  </r>
  <r>
    <d v="2022-07-07T00:00:00"/>
    <d v="2022-06-06T00:00:00"/>
    <d v="2022-06-22T00:00:00"/>
    <x v="6"/>
    <x v="0"/>
    <x v="1"/>
    <s v="NF0144"/>
    <n v="3097"/>
    <n v="2022"/>
    <x v="9"/>
    <x v="9"/>
    <x v="1"/>
    <x v="11"/>
    <x v="1"/>
  </r>
  <r>
    <d v="2023-09-22T00:00:00"/>
    <d v="2023-08-22T00:00:00"/>
    <d v="2023-09-07T00:00:00"/>
    <x v="3"/>
    <x v="0"/>
    <x v="0"/>
    <s v="NF4266"/>
    <n v="3309"/>
    <n v="2023"/>
    <x v="4"/>
    <x v="0"/>
    <x v="2"/>
    <x v="4"/>
    <x v="2"/>
  </r>
  <r>
    <d v="2023-12-31T00:00:00"/>
    <d v="2023-11-30T00:00:00"/>
    <d v="2023-12-16T00:00:00"/>
    <x v="2"/>
    <x v="0"/>
    <x v="4"/>
    <s v="NF2254"/>
    <n v="1446"/>
    <n v="2023"/>
    <x v="8"/>
    <x v="8"/>
    <x v="2"/>
    <x v="9"/>
    <x v="2"/>
  </r>
  <r>
    <d v="2022-03-23T00:00:00"/>
    <d v="2022-02-20T00:00:00"/>
    <d v="2022-03-08T00:00:00"/>
    <x v="6"/>
    <x v="0"/>
    <x v="4"/>
    <s v="NF1167"/>
    <n v="1500"/>
    <n v="2022"/>
    <x v="3"/>
    <x v="3"/>
    <x v="1"/>
    <x v="6"/>
    <x v="1"/>
  </r>
  <r>
    <d v="2023-01-03T00:00:00"/>
    <d v="2022-12-03T00:00:00"/>
    <d v="2022-12-19T00:00:00"/>
    <x v="3"/>
    <x v="0"/>
    <x v="1"/>
    <s v="NF5297"/>
    <n v="2594"/>
    <n v="2023"/>
    <x v="6"/>
    <x v="6"/>
    <x v="1"/>
    <x v="9"/>
    <x v="1"/>
  </r>
  <r>
    <d v="2023-05-28T00:00:00"/>
    <d v="2023-04-27T00:00:00"/>
    <d v="2023-05-13T00:00:00"/>
    <x v="3"/>
    <x v="0"/>
    <x v="3"/>
    <s v="NF2427"/>
    <n v="2974"/>
    <n v="2023"/>
    <x v="10"/>
    <x v="10"/>
    <x v="2"/>
    <x v="1"/>
    <x v="2"/>
  </r>
  <r>
    <d v="2022-09-27T00:00:00"/>
    <d v="2022-08-27T00:00:00"/>
    <d v="2022-09-12T00:00:00"/>
    <x v="6"/>
    <x v="0"/>
    <x v="2"/>
    <s v="NF9484"/>
    <n v="2977"/>
    <n v="2022"/>
    <x v="4"/>
    <x v="0"/>
    <x v="1"/>
    <x v="4"/>
    <x v="1"/>
  </r>
  <r>
    <d v="2021-10-24T00:00:00"/>
    <d v="2021-09-23T00:00:00"/>
    <d v="2021-10-09T00:00:00"/>
    <x v="4"/>
    <x v="0"/>
    <x v="3"/>
    <s v="NF0354"/>
    <n v="1326"/>
    <n v="2021"/>
    <x v="0"/>
    <x v="4"/>
    <x v="0"/>
    <x v="0"/>
    <x v="0"/>
  </r>
  <r>
    <d v="2023-10-28T00:00:00"/>
    <d v="2023-09-27T00:00:00"/>
    <d v="2023-10-13T00:00:00"/>
    <x v="0"/>
    <x v="0"/>
    <x v="1"/>
    <s v="NF4884"/>
    <n v="2924"/>
    <n v="2023"/>
    <x v="0"/>
    <x v="4"/>
    <x v="2"/>
    <x v="0"/>
    <x v="2"/>
  </r>
  <r>
    <d v="2021-07-25T00:00:00"/>
    <d v="2021-06-24T00:00:00"/>
    <d v="2021-07-10T00:00:00"/>
    <x v="0"/>
    <x v="0"/>
    <x v="0"/>
    <s v="NF6837"/>
    <n v="651"/>
    <n v="2021"/>
    <x v="9"/>
    <x v="9"/>
    <x v="0"/>
    <x v="2"/>
    <x v="0"/>
  </r>
  <r>
    <d v="2023-06-12T00:00:00"/>
    <d v="2023-05-12T00:00:00"/>
    <d v="2023-05-28T00:00:00"/>
    <x v="3"/>
    <x v="0"/>
    <x v="2"/>
    <s v="NF5012"/>
    <n v="2859"/>
    <n v="2023"/>
    <x v="1"/>
    <x v="1"/>
    <x v="2"/>
    <x v="1"/>
    <x v="2"/>
  </r>
  <r>
    <d v="2022-12-12T00:00:00"/>
    <d v="2022-11-11T00:00:00"/>
    <d v="2022-11-27T00:00:00"/>
    <x v="3"/>
    <x v="0"/>
    <x v="0"/>
    <s v="NF8618"/>
    <n v="1503"/>
    <n v="2022"/>
    <x v="8"/>
    <x v="8"/>
    <x v="1"/>
    <x v="10"/>
    <x v="1"/>
  </r>
  <r>
    <d v="2022-06-03T00:00:00"/>
    <d v="2022-05-03T00:00:00"/>
    <d v="2022-05-19T00:00:00"/>
    <x v="0"/>
    <x v="0"/>
    <x v="3"/>
    <s v="NF3042"/>
    <n v="2866"/>
    <n v="2022"/>
    <x v="1"/>
    <x v="1"/>
    <x v="1"/>
    <x v="1"/>
    <x v="1"/>
  </r>
  <r>
    <d v="2022-09-12T00:00:00"/>
    <d v="2022-08-12T00:00:00"/>
    <d v="2022-08-28T00:00:00"/>
    <x v="2"/>
    <x v="0"/>
    <x v="1"/>
    <s v="NF0048"/>
    <n v="1237"/>
    <n v="2022"/>
    <x v="4"/>
    <x v="0"/>
    <x v="1"/>
    <x v="5"/>
    <x v="1"/>
  </r>
  <r>
    <d v="2022-08-06T00:00:00"/>
    <d v="2022-07-06T00:00:00"/>
    <d v="2022-07-22T00:00:00"/>
    <x v="2"/>
    <x v="0"/>
    <x v="1"/>
    <s v="NF4728"/>
    <n v="416"/>
    <n v="2022"/>
    <x v="2"/>
    <x v="2"/>
    <x v="1"/>
    <x v="2"/>
    <x v="1"/>
  </r>
  <r>
    <d v="2021-03-28T00:00:00"/>
    <d v="2021-02-25T00:00:00"/>
    <d v="2021-03-13T00:00:00"/>
    <x v="4"/>
    <x v="0"/>
    <x v="2"/>
    <s v="NF1242"/>
    <n v="231"/>
    <n v="2021"/>
    <x v="3"/>
    <x v="3"/>
    <x v="0"/>
    <x v="6"/>
    <x v="0"/>
  </r>
  <r>
    <d v="2023-05-08T00:00:00"/>
    <d v="2023-04-07T00:00:00"/>
    <d v="2023-04-23T00:00:00"/>
    <x v="2"/>
    <x v="0"/>
    <x v="0"/>
    <s v="NF4778"/>
    <n v="604"/>
    <n v="2023"/>
    <x v="10"/>
    <x v="10"/>
    <x v="2"/>
    <x v="8"/>
    <x v="2"/>
  </r>
  <r>
    <d v="2021-11-30T00:00:00"/>
    <d v="2021-10-30T00:00:00"/>
    <d v="2021-11-15T00:00:00"/>
    <x v="6"/>
    <x v="0"/>
    <x v="4"/>
    <s v="NF3693"/>
    <n v="293"/>
    <n v="2021"/>
    <x v="11"/>
    <x v="11"/>
    <x v="0"/>
    <x v="10"/>
    <x v="0"/>
  </r>
  <r>
    <d v="2022-01-25T00:00:00"/>
    <d v="2021-12-25T00:00:00"/>
    <d v="2022-01-10T00:00:00"/>
    <x v="3"/>
    <x v="0"/>
    <x v="3"/>
    <s v="NF5178"/>
    <n v="1874"/>
    <n v="2022"/>
    <x v="6"/>
    <x v="6"/>
    <x v="0"/>
    <x v="7"/>
    <x v="1"/>
  </r>
  <r>
    <d v="2021-02-21T00:00:00"/>
    <d v="2021-01-21T00:00:00"/>
    <d v="2021-02-06T00:00:00"/>
    <x v="5"/>
    <x v="0"/>
    <x v="3"/>
    <s v="NF6811"/>
    <n v="1801"/>
    <n v="2021"/>
    <x v="7"/>
    <x v="7"/>
    <x v="0"/>
    <x v="3"/>
    <x v="0"/>
  </r>
  <r>
    <d v="2023-01-31T00:00:00"/>
    <d v="2022-12-31T00:00:00"/>
    <d v="2023-01-16T00:00:00"/>
    <x v="5"/>
    <x v="0"/>
    <x v="0"/>
    <s v="NF0279"/>
    <n v="2262"/>
    <n v="2023"/>
    <x v="6"/>
    <x v="6"/>
    <x v="1"/>
    <x v="7"/>
    <x v="2"/>
  </r>
  <r>
    <d v="2022-10-15T00:00:00"/>
    <d v="2022-09-14T00:00:00"/>
    <d v="2022-09-30T00:00:00"/>
    <x v="4"/>
    <x v="0"/>
    <x v="0"/>
    <s v="NF6119"/>
    <n v="871"/>
    <n v="2022"/>
    <x v="0"/>
    <x v="4"/>
    <x v="1"/>
    <x v="4"/>
    <x v="1"/>
  </r>
  <r>
    <d v="2023-09-16T00:00:00"/>
    <d v="2023-08-16T00:00:00"/>
    <d v="2023-09-01T00:00:00"/>
    <x v="6"/>
    <x v="0"/>
    <x v="4"/>
    <s v="NF7214"/>
    <n v="3798"/>
    <n v="2023"/>
    <x v="4"/>
    <x v="0"/>
    <x v="2"/>
    <x v="4"/>
    <x v="2"/>
  </r>
  <r>
    <d v="2022-07-31T00:00:00"/>
    <d v="2022-06-30T00:00:00"/>
    <d v="2022-07-16T00:00:00"/>
    <x v="4"/>
    <x v="0"/>
    <x v="4"/>
    <s v="NF8564"/>
    <n v="931"/>
    <n v="2022"/>
    <x v="9"/>
    <x v="9"/>
    <x v="1"/>
    <x v="2"/>
    <x v="1"/>
  </r>
  <r>
    <d v="2021-05-19T00:00:00"/>
    <d v="2021-04-18T00:00:00"/>
    <d v="2021-05-04T00:00:00"/>
    <x v="6"/>
    <x v="0"/>
    <x v="4"/>
    <s v="NF3354"/>
    <n v="741"/>
    <n v="2021"/>
    <x v="10"/>
    <x v="10"/>
    <x v="0"/>
    <x v="1"/>
    <x v="0"/>
  </r>
  <r>
    <d v="2021-11-26T00:00:00"/>
    <d v="2021-10-26T00:00:00"/>
    <d v="2021-11-11T00:00:00"/>
    <x v="7"/>
    <x v="0"/>
    <x v="1"/>
    <s v="NF4497"/>
    <n v="266"/>
    <n v="2021"/>
    <x v="11"/>
    <x v="11"/>
    <x v="0"/>
    <x v="10"/>
    <x v="0"/>
  </r>
  <r>
    <d v="2021-01-07T00:00:00"/>
    <d v="2020-12-07T00:00:00"/>
    <d v="2020-12-23T00:00:00"/>
    <x v="3"/>
    <x v="0"/>
    <x v="1"/>
    <s v="NF3318"/>
    <n v="1399"/>
    <n v="2021"/>
    <x v="6"/>
    <x v="6"/>
    <x v="3"/>
    <x v="9"/>
    <x v="3"/>
  </r>
  <r>
    <d v="2022-06-29T00:00:00"/>
    <d v="2022-05-29T00:00:00"/>
    <d v="2022-06-14T00:00:00"/>
    <x v="6"/>
    <x v="0"/>
    <x v="3"/>
    <s v="NF9212"/>
    <n v="808"/>
    <n v="2022"/>
    <x v="1"/>
    <x v="1"/>
    <x v="1"/>
    <x v="11"/>
    <x v="1"/>
  </r>
  <r>
    <d v="2022-05-08T00:00:00"/>
    <d v="2022-04-07T00:00:00"/>
    <d v="2022-04-23T00:00:00"/>
    <x v="4"/>
    <x v="0"/>
    <x v="1"/>
    <s v="NF1013"/>
    <n v="679"/>
    <n v="2022"/>
    <x v="10"/>
    <x v="10"/>
    <x v="1"/>
    <x v="8"/>
    <x v="1"/>
  </r>
  <r>
    <d v="2021-10-06T00:00:00"/>
    <d v="2021-09-05T00:00:00"/>
    <d v="2021-09-21T00:00:00"/>
    <x v="2"/>
    <x v="0"/>
    <x v="1"/>
    <s v="NF2888"/>
    <n v="3185"/>
    <n v="2021"/>
    <x v="0"/>
    <x v="4"/>
    <x v="0"/>
    <x v="4"/>
    <x v="0"/>
  </r>
  <r>
    <d v="2022-06-30T00:00:00"/>
    <d v="2022-05-30T00:00:00"/>
    <d v="2022-06-15T00:00:00"/>
    <x v="1"/>
    <x v="0"/>
    <x v="3"/>
    <s v="NF9654"/>
    <n v="2939"/>
    <n v="2022"/>
    <x v="1"/>
    <x v="1"/>
    <x v="1"/>
    <x v="11"/>
    <x v="1"/>
  </r>
  <r>
    <d v="2022-07-14T00:00:00"/>
    <d v="2022-06-13T00:00:00"/>
    <d v="2022-06-29T00:00:00"/>
    <x v="3"/>
    <x v="0"/>
    <x v="2"/>
    <s v="NF6433"/>
    <n v="2668"/>
    <n v="2022"/>
    <x v="9"/>
    <x v="9"/>
    <x v="1"/>
    <x v="11"/>
    <x v="1"/>
  </r>
  <r>
    <d v="2021-05-17T00:00:00"/>
    <d v="2021-04-16T00:00:00"/>
    <d v="2021-05-02T00:00:00"/>
    <x v="5"/>
    <x v="0"/>
    <x v="1"/>
    <s v="NF8121"/>
    <n v="3545"/>
    <n v="2021"/>
    <x v="10"/>
    <x v="10"/>
    <x v="0"/>
    <x v="1"/>
    <x v="0"/>
  </r>
  <r>
    <d v="2021-10-17T00:00:00"/>
    <d v="2021-09-16T00:00:00"/>
    <d v="2021-10-02T00:00:00"/>
    <x v="4"/>
    <x v="0"/>
    <x v="1"/>
    <s v="NF4582"/>
    <n v="3674"/>
    <n v="2021"/>
    <x v="0"/>
    <x v="4"/>
    <x v="0"/>
    <x v="0"/>
    <x v="0"/>
  </r>
  <r>
    <d v="2022-07-26T00:00:00"/>
    <d v="2022-06-25T00:00:00"/>
    <d v="2022-07-11T00:00:00"/>
    <x v="5"/>
    <x v="0"/>
    <x v="4"/>
    <s v="NF8556"/>
    <n v="2327"/>
    <n v="2022"/>
    <x v="9"/>
    <x v="9"/>
    <x v="1"/>
    <x v="2"/>
    <x v="1"/>
  </r>
  <r>
    <d v="2021-03-14T00:00:00"/>
    <d v="2021-02-11T00:00:00"/>
    <d v="2021-02-27T00:00:00"/>
    <x v="4"/>
    <x v="0"/>
    <x v="0"/>
    <s v="NF5149"/>
    <n v="2601"/>
    <n v="2021"/>
    <x v="3"/>
    <x v="3"/>
    <x v="0"/>
    <x v="3"/>
    <x v="0"/>
  </r>
  <r>
    <d v="2021-08-01T00:00:00"/>
    <d v="2021-07-01T00:00:00"/>
    <d v="2021-07-17T00:00:00"/>
    <x v="4"/>
    <x v="0"/>
    <x v="4"/>
    <s v="NF5642"/>
    <n v="2262"/>
    <n v="2021"/>
    <x v="2"/>
    <x v="2"/>
    <x v="0"/>
    <x v="2"/>
    <x v="0"/>
  </r>
  <r>
    <d v="2023-10-22T00:00:00"/>
    <d v="2023-09-21T00:00:00"/>
    <d v="2023-10-07T00:00:00"/>
    <x v="7"/>
    <x v="0"/>
    <x v="1"/>
    <s v="NF2488"/>
    <n v="2465"/>
    <n v="2023"/>
    <x v="0"/>
    <x v="4"/>
    <x v="2"/>
    <x v="0"/>
    <x v="2"/>
  </r>
  <r>
    <d v="2022-07-05T00:00:00"/>
    <d v="2022-06-04T00:00:00"/>
    <d v="2022-06-20T00:00:00"/>
    <x v="1"/>
    <x v="0"/>
    <x v="3"/>
    <s v="NF8823"/>
    <n v="512"/>
    <n v="2022"/>
    <x v="9"/>
    <x v="9"/>
    <x v="1"/>
    <x v="11"/>
    <x v="1"/>
  </r>
  <r>
    <d v="2023-04-12T00:00:00"/>
    <d v="2023-03-12T00:00:00"/>
    <d v="2023-03-28T00:00:00"/>
    <x v="7"/>
    <x v="0"/>
    <x v="1"/>
    <s v="NF1631"/>
    <n v="1816"/>
    <n v="2023"/>
    <x v="5"/>
    <x v="5"/>
    <x v="2"/>
    <x v="6"/>
    <x v="2"/>
  </r>
  <r>
    <d v="2021-08-24T00:00:00"/>
    <d v="2021-07-24T00:00:00"/>
    <d v="2021-08-09T00:00:00"/>
    <x v="0"/>
    <x v="0"/>
    <x v="4"/>
    <s v="NF3627"/>
    <n v="1654"/>
    <n v="2021"/>
    <x v="2"/>
    <x v="2"/>
    <x v="0"/>
    <x v="5"/>
    <x v="0"/>
  </r>
  <r>
    <d v="2021-09-10T00:00:00"/>
    <d v="2021-08-10T00:00:00"/>
    <d v="2021-08-26T00:00:00"/>
    <x v="2"/>
    <x v="0"/>
    <x v="0"/>
    <s v="NF8823"/>
    <n v="3431"/>
    <n v="2021"/>
    <x v="4"/>
    <x v="0"/>
    <x v="0"/>
    <x v="5"/>
    <x v="0"/>
  </r>
  <r>
    <d v="2022-05-02T00:00:00"/>
    <d v="2022-04-01T00:00:00"/>
    <d v="2022-04-17T00:00:00"/>
    <x v="0"/>
    <x v="0"/>
    <x v="1"/>
    <s v="NF9772"/>
    <n v="1712"/>
    <n v="2022"/>
    <x v="10"/>
    <x v="10"/>
    <x v="1"/>
    <x v="8"/>
    <x v="1"/>
  </r>
  <r>
    <d v="2021-10-23T00:00:00"/>
    <d v="2021-09-22T00:00:00"/>
    <d v="2021-10-08T00:00:00"/>
    <x v="7"/>
    <x v="0"/>
    <x v="4"/>
    <s v="NF1539"/>
    <n v="1610"/>
    <n v="2021"/>
    <x v="0"/>
    <x v="4"/>
    <x v="0"/>
    <x v="0"/>
    <x v="0"/>
  </r>
  <r>
    <d v="2022-11-18T00:00:00"/>
    <d v="2022-10-18T00:00:00"/>
    <d v="2022-11-03T00:00:00"/>
    <x v="3"/>
    <x v="0"/>
    <x v="3"/>
    <s v="NF7488"/>
    <n v="3707"/>
    <n v="2022"/>
    <x v="11"/>
    <x v="11"/>
    <x v="1"/>
    <x v="10"/>
    <x v="1"/>
  </r>
  <r>
    <d v="2023-03-26T00:00:00"/>
    <d v="2023-02-23T00:00:00"/>
    <d v="2023-03-11T00:00:00"/>
    <x v="4"/>
    <x v="0"/>
    <x v="3"/>
    <s v="NF3685"/>
    <n v="2955"/>
    <n v="2023"/>
    <x v="3"/>
    <x v="3"/>
    <x v="2"/>
    <x v="6"/>
    <x v="2"/>
  </r>
  <r>
    <d v="2023-05-26T00:00:00"/>
    <d v="2023-04-25T00:00:00"/>
    <d v="2023-05-11T00:00:00"/>
    <x v="2"/>
    <x v="0"/>
    <x v="4"/>
    <s v="NF8832"/>
    <n v="3564"/>
    <n v="2023"/>
    <x v="10"/>
    <x v="10"/>
    <x v="2"/>
    <x v="1"/>
    <x v="2"/>
  </r>
  <r>
    <d v="2021-06-18T00:00:00"/>
    <d v="2021-05-18T00:00:00"/>
    <d v="2021-06-03T00:00:00"/>
    <x v="3"/>
    <x v="0"/>
    <x v="0"/>
    <s v="NF3313"/>
    <n v="1967"/>
    <n v="2021"/>
    <x v="1"/>
    <x v="1"/>
    <x v="0"/>
    <x v="11"/>
    <x v="0"/>
  </r>
  <r>
    <d v="2022-03-10T00:00:00"/>
    <d v="2022-02-07T00:00:00"/>
    <d v="2022-02-23T00:00:00"/>
    <x v="0"/>
    <x v="0"/>
    <x v="2"/>
    <s v="NF0538"/>
    <n v="1458"/>
    <n v="2022"/>
    <x v="3"/>
    <x v="3"/>
    <x v="1"/>
    <x v="3"/>
    <x v="1"/>
  </r>
  <r>
    <d v="2022-12-03T00:00:00"/>
    <d v="2022-11-02T00:00:00"/>
    <d v="2022-11-18T00:00:00"/>
    <x v="7"/>
    <x v="0"/>
    <x v="2"/>
    <s v="NF0424"/>
    <n v="733"/>
    <n v="2022"/>
    <x v="8"/>
    <x v="8"/>
    <x v="1"/>
    <x v="10"/>
    <x v="1"/>
  </r>
  <r>
    <d v="2022-12-21T00:00:00"/>
    <d v="2022-11-20T00:00:00"/>
    <d v="2022-12-06T00:00:00"/>
    <x v="0"/>
    <x v="0"/>
    <x v="4"/>
    <s v="NF1007"/>
    <n v="3607"/>
    <n v="2022"/>
    <x v="8"/>
    <x v="8"/>
    <x v="1"/>
    <x v="9"/>
    <x v="1"/>
  </r>
  <r>
    <d v="2023-05-21T00:00:00"/>
    <d v="2023-04-20T00:00:00"/>
    <d v="2023-05-06T00:00:00"/>
    <x v="5"/>
    <x v="0"/>
    <x v="0"/>
    <s v="NF4786"/>
    <n v="1703"/>
    <n v="2023"/>
    <x v="10"/>
    <x v="10"/>
    <x v="2"/>
    <x v="1"/>
    <x v="2"/>
  </r>
  <r>
    <d v="2021-03-02T00:00:00"/>
    <d v="2021-01-30T00:00:00"/>
    <d v="2021-02-15T00:00:00"/>
    <x v="0"/>
    <x v="0"/>
    <x v="1"/>
    <s v="NF0572"/>
    <n v="3429"/>
    <n v="2021"/>
    <x v="3"/>
    <x v="7"/>
    <x v="0"/>
    <x v="3"/>
    <x v="0"/>
  </r>
  <r>
    <d v="2021-01-13T00:00:00"/>
    <d v="2020-12-13T00:00:00"/>
    <d v="2020-12-29T00:00:00"/>
    <x v="4"/>
    <x v="0"/>
    <x v="0"/>
    <s v="NF5582"/>
    <n v="1127"/>
    <n v="2021"/>
    <x v="6"/>
    <x v="6"/>
    <x v="3"/>
    <x v="9"/>
    <x v="3"/>
  </r>
  <r>
    <d v="2022-02-23T00:00:00"/>
    <d v="2022-01-23T00:00:00"/>
    <d v="2022-02-08T00:00:00"/>
    <x v="5"/>
    <x v="0"/>
    <x v="0"/>
    <s v="NF1345"/>
    <n v="2571"/>
    <n v="2022"/>
    <x v="7"/>
    <x v="7"/>
    <x v="1"/>
    <x v="3"/>
    <x v="1"/>
  </r>
  <r>
    <d v="2023-07-03T00:00:00"/>
    <d v="2023-06-02T00:00:00"/>
    <d v="2023-06-18T00:00:00"/>
    <x v="2"/>
    <x v="0"/>
    <x v="4"/>
    <s v="NF4721"/>
    <n v="2500"/>
    <n v="2023"/>
    <x v="9"/>
    <x v="9"/>
    <x v="2"/>
    <x v="11"/>
    <x v="2"/>
  </r>
  <r>
    <d v="2023-03-07T00:00:00"/>
    <d v="2023-02-04T00:00:00"/>
    <d v="2023-02-20T00:00:00"/>
    <x v="2"/>
    <x v="0"/>
    <x v="0"/>
    <s v="NF0579"/>
    <n v="576"/>
    <n v="2023"/>
    <x v="3"/>
    <x v="3"/>
    <x v="2"/>
    <x v="3"/>
    <x v="2"/>
  </r>
  <r>
    <d v="2022-04-25T00:00:00"/>
    <d v="2022-03-25T00:00:00"/>
    <d v="2022-04-10T00:00:00"/>
    <x v="4"/>
    <x v="0"/>
    <x v="2"/>
    <s v="NF9813"/>
    <n v="1078"/>
    <n v="2022"/>
    <x v="5"/>
    <x v="5"/>
    <x v="1"/>
    <x v="8"/>
    <x v="1"/>
  </r>
  <r>
    <d v="2022-09-15T00:00:00"/>
    <d v="2022-08-15T00:00:00"/>
    <d v="2022-08-31T00:00:00"/>
    <x v="5"/>
    <x v="0"/>
    <x v="3"/>
    <s v="NF5448"/>
    <n v="1733"/>
    <n v="2022"/>
    <x v="4"/>
    <x v="0"/>
    <x v="1"/>
    <x v="5"/>
    <x v="1"/>
  </r>
  <r>
    <d v="2022-08-17T00:00:00"/>
    <d v="2022-07-17T00:00:00"/>
    <d v="2022-08-02T00:00:00"/>
    <x v="4"/>
    <x v="0"/>
    <x v="2"/>
    <s v="NF1725"/>
    <n v="2208"/>
    <n v="2022"/>
    <x v="2"/>
    <x v="2"/>
    <x v="1"/>
    <x v="5"/>
    <x v="1"/>
  </r>
  <r>
    <d v="2021-02-26T00:00:00"/>
    <d v="2021-01-26T00:00:00"/>
    <d v="2021-02-11T00:00:00"/>
    <x v="1"/>
    <x v="0"/>
    <x v="1"/>
    <s v="NF1442"/>
    <n v="3556"/>
    <n v="2021"/>
    <x v="7"/>
    <x v="7"/>
    <x v="0"/>
    <x v="3"/>
    <x v="0"/>
  </r>
  <r>
    <d v="2022-09-25T00:00:00"/>
    <d v="2022-08-25T00:00:00"/>
    <d v="2022-09-10T00:00:00"/>
    <x v="6"/>
    <x v="0"/>
    <x v="3"/>
    <s v="NF4144"/>
    <n v="1354"/>
    <n v="2022"/>
    <x v="4"/>
    <x v="0"/>
    <x v="1"/>
    <x v="4"/>
    <x v="1"/>
  </r>
  <r>
    <d v="2023-09-26T00:00:00"/>
    <d v="2023-08-26T00:00:00"/>
    <d v="2023-09-11T00:00:00"/>
    <x v="4"/>
    <x v="0"/>
    <x v="1"/>
    <s v="NF5124"/>
    <n v="2483"/>
    <n v="2023"/>
    <x v="4"/>
    <x v="0"/>
    <x v="2"/>
    <x v="4"/>
    <x v="2"/>
  </r>
  <r>
    <d v="2022-05-29T00:00:00"/>
    <d v="2022-04-28T00:00:00"/>
    <d v="2022-05-14T00:00:00"/>
    <x v="2"/>
    <x v="0"/>
    <x v="1"/>
    <s v="NF6236"/>
    <n v="930"/>
    <n v="2022"/>
    <x v="10"/>
    <x v="10"/>
    <x v="1"/>
    <x v="1"/>
    <x v="1"/>
  </r>
  <r>
    <d v="2023-10-13T00:00:00"/>
    <d v="2023-09-12T00:00:00"/>
    <d v="2023-09-28T00:00:00"/>
    <x v="3"/>
    <x v="0"/>
    <x v="1"/>
    <s v="NF4550"/>
    <n v="3689"/>
    <n v="2023"/>
    <x v="0"/>
    <x v="4"/>
    <x v="2"/>
    <x v="4"/>
    <x v="2"/>
  </r>
  <r>
    <d v="2022-06-01T00:00:00"/>
    <d v="2022-05-01T00:00:00"/>
    <d v="2022-05-17T00:00:00"/>
    <x v="7"/>
    <x v="0"/>
    <x v="0"/>
    <s v="NF6711"/>
    <n v="1635"/>
    <n v="2022"/>
    <x v="1"/>
    <x v="1"/>
    <x v="1"/>
    <x v="1"/>
    <x v="1"/>
  </r>
  <r>
    <d v="2023-08-17T00:00:00"/>
    <d v="2023-07-17T00:00:00"/>
    <d v="2023-08-02T00:00:00"/>
    <x v="3"/>
    <x v="0"/>
    <x v="0"/>
    <s v="NF8760"/>
    <n v="2915"/>
    <n v="2023"/>
    <x v="2"/>
    <x v="2"/>
    <x v="2"/>
    <x v="5"/>
    <x v="2"/>
  </r>
  <r>
    <d v="2021-11-01T00:00:00"/>
    <d v="2021-10-01T00:00:00"/>
    <d v="2021-10-17T00:00:00"/>
    <x v="5"/>
    <x v="0"/>
    <x v="1"/>
    <s v="NF2738"/>
    <n v="3401"/>
    <n v="2021"/>
    <x v="11"/>
    <x v="11"/>
    <x v="0"/>
    <x v="0"/>
    <x v="0"/>
  </r>
  <r>
    <d v="2021-05-14T00:00:00"/>
    <d v="2021-04-13T00:00:00"/>
    <d v="2021-04-29T00:00:00"/>
    <x v="5"/>
    <x v="0"/>
    <x v="1"/>
    <s v="NF1412"/>
    <n v="3727"/>
    <n v="2021"/>
    <x v="10"/>
    <x v="10"/>
    <x v="0"/>
    <x v="8"/>
    <x v="0"/>
  </r>
  <r>
    <d v="2022-06-19T00:00:00"/>
    <d v="2022-05-19T00:00:00"/>
    <d v="2022-06-04T00:00:00"/>
    <x v="0"/>
    <x v="0"/>
    <x v="0"/>
    <s v="NF6872"/>
    <n v="2686"/>
    <n v="2022"/>
    <x v="1"/>
    <x v="1"/>
    <x v="1"/>
    <x v="11"/>
    <x v="1"/>
  </r>
  <r>
    <d v="2023-03-20T00:00:00"/>
    <d v="2023-02-17T00:00:00"/>
    <d v="2023-03-05T00:00:00"/>
    <x v="7"/>
    <x v="0"/>
    <x v="2"/>
    <s v="NF2542"/>
    <n v="1066"/>
    <n v="2023"/>
    <x v="3"/>
    <x v="3"/>
    <x v="2"/>
    <x v="6"/>
    <x v="2"/>
  </r>
  <r>
    <d v="2023-10-26T00:00:00"/>
    <d v="2023-09-25T00:00:00"/>
    <d v="2023-10-11T00:00:00"/>
    <x v="2"/>
    <x v="0"/>
    <x v="0"/>
    <s v="NF8012"/>
    <n v="695"/>
    <n v="2023"/>
    <x v="0"/>
    <x v="4"/>
    <x v="2"/>
    <x v="0"/>
    <x v="2"/>
  </r>
  <r>
    <d v="2021-12-26T00:00:00"/>
    <d v="2021-11-25T00:00:00"/>
    <d v="2021-12-11T00:00:00"/>
    <x v="0"/>
    <x v="0"/>
    <x v="4"/>
    <s v="NF1046"/>
    <n v="3778"/>
    <n v="2021"/>
    <x v="8"/>
    <x v="8"/>
    <x v="0"/>
    <x v="9"/>
    <x v="0"/>
  </r>
  <r>
    <d v="2022-03-20T00:00:00"/>
    <d v="2022-02-17T00:00:00"/>
    <d v="2022-03-05T00:00:00"/>
    <x v="0"/>
    <x v="0"/>
    <x v="0"/>
    <s v="NF1977"/>
    <n v="3859"/>
    <n v="2022"/>
    <x v="3"/>
    <x v="3"/>
    <x v="1"/>
    <x v="6"/>
    <x v="1"/>
  </r>
  <r>
    <d v="2023-12-04T00:00:00"/>
    <d v="2023-11-03T00:00:00"/>
    <d v="2023-11-19T00:00:00"/>
    <x v="0"/>
    <x v="0"/>
    <x v="3"/>
    <s v="NF5438"/>
    <n v="191"/>
    <n v="2023"/>
    <x v="8"/>
    <x v="8"/>
    <x v="2"/>
    <x v="10"/>
    <x v="2"/>
  </r>
  <r>
    <d v="2022-12-05T00:00:00"/>
    <d v="2022-11-04T00:00:00"/>
    <d v="2022-11-20T00:00:00"/>
    <x v="5"/>
    <x v="0"/>
    <x v="1"/>
    <s v="NF6827"/>
    <n v="879"/>
    <n v="2022"/>
    <x v="8"/>
    <x v="8"/>
    <x v="1"/>
    <x v="10"/>
    <x v="1"/>
  </r>
  <r>
    <d v="2021-03-07T00:00:00"/>
    <d v="2021-02-04T00:00:00"/>
    <d v="2021-02-20T00:00:00"/>
    <x v="3"/>
    <x v="0"/>
    <x v="4"/>
    <s v="NF4461"/>
    <n v="1715"/>
    <n v="2021"/>
    <x v="3"/>
    <x v="3"/>
    <x v="0"/>
    <x v="3"/>
    <x v="0"/>
  </r>
  <r>
    <d v="2021-09-07T00:00:00"/>
    <d v="2021-08-07T00:00:00"/>
    <d v="2021-08-23T00:00:00"/>
    <x v="0"/>
    <x v="0"/>
    <x v="1"/>
    <s v="NF9821"/>
    <n v="1132"/>
    <n v="2021"/>
    <x v="4"/>
    <x v="0"/>
    <x v="0"/>
    <x v="5"/>
    <x v="0"/>
  </r>
  <r>
    <d v="2023-01-31T00:00:00"/>
    <d v="2022-12-31T00:00:00"/>
    <d v="2023-01-16T00:00:00"/>
    <x v="4"/>
    <x v="0"/>
    <x v="3"/>
    <s v="NF8568"/>
    <n v="3823"/>
    <n v="2023"/>
    <x v="6"/>
    <x v="6"/>
    <x v="1"/>
    <x v="7"/>
    <x v="2"/>
  </r>
  <r>
    <d v="2022-06-14T00:00:00"/>
    <d v="2022-05-14T00:00:00"/>
    <d v="2022-05-30T00:00:00"/>
    <x v="6"/>
    <x v="0"/>
    <x v="3"/>
    <s v="NF9506"/>
    <n v="2804"/>
    <n v="2022"/>
    <x v="1"/>
    <x v="1"/>
    <x v="1"/>
    <x v="1"/>
    <x v="1"/>
  </r>
  <r>
    <d v="2023-05-25T00:00:00"/>
    <d v="2023-04-24T00:00:00"/>
    <d v="2023-05-10T00:00:00"/>
    <x v="1"/>
    <x v="0"/>
    <x v="2"/>
    <s v="NF8886"/>
    <n v="2143"/>
    <n v="2023"/>
    <x v="10"/>
    <x v="10"/>
    <x v="2"/>
    <x v="1"/>
    <x v="2"/>
  </r>
  <r>
    <d v="2023-01-03T00:00:00"/>
    <d v="2022-12-03T00:00:00"/>
    <d v="2022-12-19T00:00:00"/>
    <x v="4"/>
    <x v="0"/>
    <x v="1"/>
    <s v="NF2145"/>
    <n v="1703"/>
    <n v="2023"/>
    <x v="6"/>
    <x v="6"/>
    <x v="1"/>
    <x v="9"/>
    <x v="1"/>
  </r>
  <r>
    <d v="2023-09-07T00:00:00"/>
    <d v="2023-08-07T00:00:00"/>
    <d v="2023-08-23T00:00:00"/>
    <x v="4"/>
    <x v="0"/>
    <x v="2"/>
    <s v="NF5267"/>
    <n v="3479"/>
    <n v="2023"/>
    <x v="4"/>
    <x v="0"/>
    <x v="2"/>
    <x v="5"/>
    <x v="2"/>
  </r>
  <r>
    <d v="2021-06-03T00:00:00"/>
    <d v="2021-05-03T00:00:00"/>
    <d v="2021-05-19T00:00:00"/>
    <x v="0"/>
    <x v="0"/>
    <x v="2"/>
    <s v="NF4443"/>
    <n v="1377"/>
    <n v="2021"/>
    <x v="1"/>
    <x v="1"/>
    <x v="0"/>
    <x v="1"/>
    <x v="0"/>
  </r>
  <r>
    <d v="2022-04-11T00:00:00"/>
    <d v="2022-03-11T00:00:00"/>
    <d v="2022-03-27T00:00:00"/>
    <x v="4"/>
    <x v="0"/>
    <x v="0"/>
    <s v="NF5148"/>
    <n v="2806"/>
    <n v="2022"/>
    <x v="5"/>
    <x v="5"/>
    <x v="1"/>
    <x v="6"/>
    <x v="1"/>
  </r>
  <r>
    <d v="2022-07-10T00:00:00"/>
    <d v="2022-06-09T00:00:00"/>
    <d v="2022-06-25T00:00:00"/>
    <x v="2"/>
    <x v="0"/>
    <x v="2"/>
    <s v="NF7257"/>
    <n v="1592"/>
    <n v="2022"/>
    <x v="9"/>
    <x v="9"/>
    <x v="1"/>
    <x v="11"/>
    <x v="1"/>
  </r>
  <r>
    <d v="2023-02-05T00:00:00"/>
    <d v="2023-01-05T00:00:00"/>
    <d v="2023-01-21T00:00:00"/>
    <x v="2"/>
    <x v="0"/>
    <x v="2"/>
    <s v="NF1923"/>
    <n v="1624"/>
    <n v="2023"/>
    <x v="7"/>
    <x v="7"/>
    <x v="2"/>
    <x v="7"/>
    <x v="2"/>
  </r>
  <r>
    <d v="2023-01-14T00:00:00"/>
    <d v="2022-12-14T00:00:00"/>
    <d v="2022-12-30T00:00:00"/>
    <x v="4"/>
    <x v="0"/>
    <x v="3"/>
    <s v="NF6816"/>
    <n v="1976"/>
    <n v="2023"/>
    <x v="6"/>
    <x v="6"/>
    <x v="1"/>
    <x v="9"/>
    <x v="1"/>
  </r>
  <r>
    <d v="2021-12-05T00:00:00"/>
    <d v="2021-11-04T00:00:00"/>
    <d v="2021-11-20T00:00:00"/>
    <x v="5"/>
    <x v="0"/>
    <x v="1"/>
    <s v="NF2886"/>
    <n v="800"/>
    <n v="2021"/>
    <x v="8"/>
    <x v="8"/>
    <x v="0"/>
    <x v="10"/>
    <x v="0"/>
  </r>
  <r>
    <d v="2021-02-04T00:00:00"/>
    <d v="2021-01-04T00:00:00"/>
    <d v="2021-01-20T00:00:00"/>
    <x v="6"/>
    <x v="0"/>
    <x v="3"/>
    <s v="NF9728"/>
    <n v="3834"/>
    <n v="2021"/>
    <x v="7"/>
    <x v="7"/>
    <x v="0"/>
    <x v="7"/>
    <x v="0"/>
  </r>
  <r>
    <d v="2023-08-09T00:00:00"/>
    <d v="2023-07-09T00:00:00"/>
    <d v="2023-07-25T00:00:00"/>
    <x v="4"/>
    <x v="0"/>
    <x v="3"/>
    <s v="NF2053"/>
    <n v="3895"/>
    <n v="2023"/>
    <x v="2"/>
    <x v="2"/>
    <x v="2"/>
    <x v="2"/>
    <x v="2"/>
  </r>
  <r>
    <d v="2022-09-07T00:00:00"/>
    <d v="2022-08-07T00:00:00"/>
    <d v="2022-08-23T00:00:00"/>
    <x v="6"/>
    <x v="0"/>
    <x v="3"/>
    <s v="NF5573"/>
    <n v="1885"/>
    <n v="2022"/>
    <x v="4"/>
    <x v="0"/>
    <x v="1"/>
    <x v="5"/>
    <x v="1"/>
  </r>
  <r>
    <d v="2021-11-14T00:00:00"/>
    <d v="2021-10-14T00:00:00"/>
    <d v="2021-10-30T00:00:00"/>
    <x v="5"/>
    <x v="0"/>
    <x v="0"/>
    <s v="NF0305"/>
    <n v="2836"/>
    <n v="2021"/>
    <x v="11"/>
    <x v="11"/>
    <x v="0"/>
    <x v="0"/>
    <x v="0"/>
  </r>
  <r>
    <d v="2021-03-20T00:00:00"/>
    <d v="2021-02-17T00:00:00"/>
    <d v="2021-03-05T00:00:00"/>
    <x v="7"/>
    <x v="0"/>
    <x v="3"/>
    <s v="NF1439"/>
    <n v="916"/>
    <n v="2021"/>
    <x v="3"/>
    <x v="3"/>
    <x v="0"/>
    <x v="6"/>
    <x v="0"/>
  </r>
  <r>
    <d v="2023-01-04T00:00:00"/>
    <d v="2022-12-04T00:00:00"/>
    <d v="2022-12-20T00:00:00"/>
    <x v="1"/>
    <x v="0"/>
    <x v="0"/>
    <s v="NF6520"/>
    <n v="519"/>
    <n v="2023"/>
    <x v="6"/>
    <x v="6"/>
    <x v="1"/>
    <x v="9"/>
    <x v="1"/>
  </r>
  <r>
    <d v="2021-02-25T00:00:00"/>
    <d v="2021-01-25T00:00:00"/>
    <d v="2021-02-10T00:00:00"/>
    <x v="5"/>
    <x v="0"/>
    <x v="2"/>
    <s v="NF1124"/>
    <n v="1478"/>
    <n v="2021"/>
    <x v="7"/>
    <x v="7"/>
    <x v="0"/>
    <x v="3"/>
    <x v="0"/>
  </r>
  <r>
    <d v="2022-09-10T00:00:00"/>
    <d v="2022-08-10T00:00:00"/>
    <d v="2022-08-26T00:00:00"/>
    <x v="6"/>
    <x v="0"/>
    <x v="3"/>
    <s v="NF0522"/>
    <n v="2187"/>
    <n v="2022"/>
    <x v="4"/>
    <x v="0"/>
    <x v="1"/>
    <x v="5"/>
    <x v="1"/>
  </r>
  <r>
    <d v="2023-09-09T00:00:00"/>
    <d v="2023-08-09T00:00:00"/>
    <d v="2023-08-25T00:00:00"/>
    <x v="7"/>
    <x v="0"/>
    <x v="1"/>
    <s v="NF0409"/>
    <n v="3636"/>
    <n v="2023"/>
    <x v="4"/>
    <x v="0"/>
    <x v="2"/>
    <x v="5"/>
    <x v="2"/>
  </r>
  <r>
    <d v="2021-08-06T00:00:00"/>
    <d v="2021-07-06T00:00:00"/>
    <d v="2021-07-22T00:00:00"/>
    <x v="7"/>
    <x v="0"/>
    <x v="2"/>
    <s v="NF0248"/>
    <n v="525"/>
    <n v="2021"/>
    <x v="2"/>
    <x v="2"/>
    <x v="0"/>
    <x v="2"/>
    <x v="0"/>
  </r>
  <r>
    <d v="2023-04-01T00:00:00"/>
    <d v="2023-03-01T00:00:00"/>
    <d v="2023-03-17T00:00:00"/>
    <x v="2"/>
    <x v="0"/>
    <x v="1"/>
    <s v="NF9682"/>
    <n v="2945"/>
    <n v="2023"/>
    <x v="5"/>
    <x v="5"/>
    <x v="2"/>
    <x v="6"/>
    <x v="2"/>
  </r>
  <r>
    <d v="2023-12-18T00:00:00"/>
    <d v="2023-11-17T00:00:00"/>
    <d v="2023-12-03T00:00:00"/>
    <x v="0"/>
    <x v="0"/>
    <x v="4"/>
    <s v="NF4867"/>
    <n v="947"/>
    <n v="2023"/>
    <x v="8"/>
    <x v="8"/>
    <x v="2"/>
    <x v="9"/>
    <x v="2"/>
  </r>
  <r>
    <d v="2021-05-16T00:00:00"/>
    <d v="2021-04-15T00:00:00"/>
    <d v="2021-05-01T00:00:00"/>
    <x v="3"/>
    <x v="0"/>
    <x v="2"/>
    <s v="NF7656"/>
    <n v="2452"/>
    <n v="2021"/>
    <x v="10"/>
    <x v="10"/>
    <x v="0"/>
    <x v="1"/>
    <x v="0"/>
  </r>
  <r>
    <d v="2021-11-11T00:00:00"/>
    <d v="2021-10-11T00:00:00"/>
    <d v="2021-10-27T00:00:00"/>
    <x v="1"/>
    <x v="0"/>
    <x v="2"/>
    <s v="NF3644"/>
    <n v="2108"/>
    <n v="2021"/>
    <x v="11"/>
    <x v="11"/>
    <x v="0"/>
    <x v="0"/>
    <x v="0"/>
  </r>
  <r>
    <d v="2023-06-14T00:00:00"/>
    <d v="2023-05-14T00:00:00"/>
    <d v="2023-05-30T00:00:00"/>
    <x v="4"/>
    <x v="0"/>
    <x v="2"/>
    <s v="NF4832"/>
    <n v="431"/>
    <n v="2023"/>
    <x v="1"/>
    <x v="1"/>
    <x v="2"/>
    <x v="1"/>
    <x v="2"/>
  </r>
  <r>
    <d v="2022-12-05T00:00:00"/>
    <d v="2022-11-04T00:00:00"/>
    <d v="2022-11-20T00:00:00"/>
    <x v="4"/>
    <x v="0"/>
    <x v="1"/>
    <s v="NF7934"/>
    <n v="1096"/>
    <n v="2022"/>
    <x v="8"/>
    <x v="8"/>
    <x v="1"/>
    <x v="10"/>
    <x v="1"/>
  </r>
  <r>
    <d v="2023-12-19T00:00:00"/>
    <d v="2023-11-18T00:00:00"/>
    <d v="2023-12-04T00:00:00"/>
    <x v="2"/>
    <x v="0"/>
    <x v="1"/>
    <s v="NF1743"/>
    <n v="854"/>
    <n v="2023"/>
    <x v="8"/>
    <x v="8"/>
    <x v="2"/>
    <x v="9"/>
    <x v="2"/>
  </r>
  <r>
    <d v="2022-08-09T00:00:00"/>
    <d v="2022-07-09T00:00:00"/>
    <d v="2022-07-25T00:00:00"/>
    <x v="4"/>
    <x v="0"/>
    <x v="3"/>
    <s v="NF2081"/>
    <n v="2585"/>
    <n v="2022"/>
    <x v="2"/>
    <x v="2"/>
    <x v="1"/>
    <x v="2"/>
    <x v="1"/>
  </r>
  <r>
    <d v="2022-01-26T00:00:00"/>
    <d v="2021-12-26T00:00:00"/>
    <d v="2022-01-11T00:00:00"/>
    <x v="0"/>
    <x v="0"/>
    <x v="4"/>
    <s v="NF7778"/>
    <n v="1939"/>
    <n v="2022"/>
    <x v="6"/>
    <x v="6"/>
    <x v="0"/>
    <x v="7"/>
    <x v="1"/>
  </r>
  <r>
    <d v="2023-10-02T00:00:00"/>
    <d v="2023-09-01T00:00:00"/>
    <d v="2023-09-17T00:00:00"/>
    <x v="2"/>
    <x v="0"/>
    <x v="0"/>
    <s v="NF1659"/>
    <n v="2172"/>
    <n v="2023"/>
    <x v="0"/>
    <x v="4"/>
    <x v="2"/>
    <x v="4"/>
    <x v="2"/>
  </r>
  <r>
    <d v="2021-03-06T00:00:00"/>
    <d v="2021-02-03T00:00:00"/>
    <d v="2021-02-19T00:00:00"/>
    <x v="5"/>
    <x v="0"/>
    <x v="3"/>
    <s v="NF4844"/>
    <n v="658"/>
    <n v="2021"/>
    <x v="3"/>
    <x v="3"/>
    <x v="0"/>
    <x v="3"/>
    <x v="0"/>
  </r>
  <r>
    <d v="2021-01-23T00:00:00"/>
    <d v="2020-12-23T00:00:00"/>
    <d v="2021-01-08T00:00:00"/>
    <x v="0"/>
    <x v="0"/>
    <x v="1"/>
    <s v="NF4838"/>
    <n v="2556"/>
    <n v="2021"/>
    <x v="6"/>
    <x v="6"/>
    <x v="3"/>
    <x v="7"/>
    <x v="0"/>
  </r>
  <r>
    <d v="2021-11-13T00:00:00"/>
    <d v="2021-10-13T00:00:00"/>
    <d v="2021-10-29T00:00:00"/>
    <x v="5"/>
    <x v="0"/>
    <x v="0"/>
    <s v="NF9436"/>
    <n v="669"/>
    <n v="2021"/>
    <x v="11"/>
    <x v="11"/>
    <x v="0"/>
    <x v="0"/>
    <x v="0"/>
  </r>
  <r>
    <d v="2021-02-03T00:00:00"/>
    <d v="2021-01-03T00:00:00"/>
    <d v="2021-01-19T00:00:00"/>
    <x v="2"/>
    <x v="0"/>
    <x v="1"/>
    <s v="NF6662"/>
    <n v="2665"/>
    <n v="2021"/>
    <x v="7"/>
    <x v="7"/>
    <x v="0"/>
    <x v="7"/>
    <x v="0"/>
  </r>
  <r>
    <d v="2023-08-11T00:00:00"/>
    <d v="2023-07-11T00:00:00"/>
    <d v="2023-07-27T00:00:00"/>
    <x v="2"/>
    <x v="0"/>
    <x v="3"/>
    <s v="NF7615"/>
    <n v="3147"/>
    <n v="2023"/>
    <x v="2"/>
    <x v="2"/>
    <x v="2"/>
    <x v="2"/>
    <x v="2"/>
  </r>
  <r>
    <d v="2023-10-27T00:00:00"/>
    <d v="2023-09-26T00:00:00"/>
    <d v="2023-10-12T00:00:00"/>
    <x v="0"/>
    <x v="0"/>
    <x v="0"/>
    <s v="NF8561"/>
    <n v="3860"/>
    <n v="2023"/>
    <x v="0"/>
    <x v="4"/>
    <x v="2"/>
    <x v="0"/>
    <x v="2"/>
  </r>
  <r>
    <d v="2021-05-07T00:00:00"/>
    <d v="2021-04-06T00:00:00"/>
    <d v="2021-04-22T00:00:00"/>
    <x v="0"/>
    <x v="0"/>
    <x v="4"/>
    <s v="NF1377"/>
    <n v="3822"/>
    <n v="2021"/>
    <x v="10"/>
    <x v="10"/>
    <x v="0"/>
    <x v="8"/>
    <x v="0"/>
  </r>
  <r>
    <d v="2022-01-13T00:00:00"/>
    <d v="2021-12-13T00:00:00"/>
    <d v="2021-12-29T00:00:00"/>
    <x v="3"/>
    <x v="0"/>
    <x v="0"/>
    <s v="NF3411"/>
    <n v="3216"/>
    <n v="2022"/>
    <x v="6"/>
    <x v="6"/>
    <x v="0"/>
    <x v="9"/>
    <x v="0"/>
  </r>
  <r>
    <d v="2021-03-04T00:00:00"/>
    <d v="2021-02-01T00:00:00"/>
    <d v="2021-02-17T00:00:00"/>
    <x v="1"/>
    <x v="0"/>
    <x v="2"/>
    <s v="NF1658"/>
    <n v="2776"/>
    <n v="2021"/>
    <x v="3"/>
    <x v="3"/>
    <x v="0"/>
    <x v="3"/>
    <x v="0"/>
  </r>
  <r>
    <d v="2023-11-11T00:00:00"/>
    <d v="2023-10-11T00:00:00"/>
    <d v="2023-10-27T00:00:00"/>
    <x v="3"/>
    <x v="0"/>
    <x v="0"/>
    <s v="NF5626"/>
    <n v="2602"/>
    <n v="2023"/>
    <x v="11"/>
    <x v="11"/>
    <x v="2"/>
    <x v="0"/>
    <x v="2"/>
  </r>
  <r>
    <d v="2022-04-28T00:00:00"/>
    <d v="2022-03-28T00:00:00"/>
    <d v="2022-04-13T00:00:00"/>
    <x v="6"/>
    <x v="0"/>
    <x v="4"/>
    <s v="NF5552"/>
    <n v="3716"/>
    <n v="2022"/>
    <x v="5"/>
    <x v="5"/>
    <x v="1"/>
    <x v="8"/>
    <x v="1"/>
  </r>
  <r>
    <d v="2023-03-30T00:00:00"/>
    <d v="2023-02-27T00:00:00"/>
    <d v="2023-03-15T00:00:00"/>
    <x v="7"/>
    <x v="0"/>
    <x v="0"/>
    <s v="NF9972"/>
    <n v="2687"/>
    <n v="2023"/>
    <x v="3"/>
    <x v="3"/>
    <x v="2"/>
    <x v="6"/>
    <x v="2"/>
  </r>
  <r>
    <d v="2021-01-26T00:00:00"/>
    <d v="2020-12-26T00:00:00"/>
    <d v="2021-01-11T00:00:00"/>
    <x v="4"/>
    <x v="0"/>
    <x v="0"/>
    <s v="NF1016"/>
    <n v="882"/>
    <n v="2021"/>
    <x v="6"/>
    <x v="6"/>
    <x v="3"/>
    <x v="7"/>
    <x v="0"/>
  </r>
  <r>
    <d v="2021-06-28T00:00:00"/>
    <d v="2021-05-28T00:00:00"/>
    <d v="2021-06-13T00:00:00"/>
    <x v="3"/>
    <x v="0"/>
    <x v="3"/>
    <s v="NF8423"/>
    <n v="706"/>
    <n v="2021"/>
    <x v="1"/>
    <x v="1"/>
    <x v="0"/>
    <x v="11"/>
    <x v="0"/>
  </r>
  <r>
    <d v="2023-02-27T00:00:00"/>
    <d v="2023-01-27T00:00:00"/>
    <d v="2023-02-12T00:00:00"/>
    <x v="1"/>
    <x v="0"/>
    <x v="0"/>
    <s v="NF5265"/>
    <n v="581"/>
    <n v="2023"/>
    <x v="7"/>
    <x v="7"/>
    <x v="2"/>
    <x v="3"/>
    <x v="2"/>
  </r>
  <r>
    <d v="2023-12-08T00:00:00"/>
    <d v="2023-11-07T00:00:00"/>
    <d v="2023-11-23T00:00:00"/>
    <x v="6"/>
    <x v="0"/>
    <x v="0"/>
    <s v="NF7777"/>
    <n v="1078"/>
    <n v="2023"/>
    <x v="8"/>
    <x v="8"/>
    <x v="2"/>
    <x v="10"/>
    <x v="2"/>
  </r>
  <r>
    <d v="2023-11-12T00:00:00"/>
    <d v="2023-10-12T00:00:00"/>
    <d v="2023-10-28T00:00:00"/>
    <x v="0"/>
    <x v="0"/>
    <x v="4"/>
    <s v="NF8549"/>
    <n v="283"/>
    <n v="2023"/>
    <x v="11"/>
    <x v="11"/>
    <x v="2"/>
    <x v="0"/>
    <x v="2"/>
  </r>
  <r>
    <d v="2023-02-11T00:00:00"/>
    <d v="2023-01-11T00:00:00"/>
    <d v="2023-01-27T00:00:00"/>
    <x v="1"/>
    <x v="0"/>
    <x v="4"/>
    <s v="NF0287"/>
    <n v="1970"/>
    <n v="2023"/>
    <x v="7"/>
    <x v="7"/>
    <x v="2"/>
    <x v="7"/>
    <x v="2"/>
  </r>
  <r>
    <d v="2023-12-02T00:00:00"/>
    <d v="2023-11-01T00:00:00"/>
    <d v="2023-11-17T00:00:00"/>
    <x v="7"/>
    <x v="0"/>
    <x v="3"/>
    <s v="NF8624"/>
    <n v="2972"/>
    <n v="2023"/>
    <x v="8"/>
    <x v="8"/>
    <x v="2"/>
    <x v="10"/>
    <x v="2"/>
  </r>
  <r>
    <d v="2021-10-01T00:00:00"/>
    <d v="2021-08-31T00:00:00"/>
    <d v="2021-09-16T00:00:00"/>
    <x v="6"/>
    <x v="0"/>
    <x v="4"/>
    <s v="NF2244"/>
    <n v="1957"/>
    <n v="2021"/>
    <x v="0"/>
    <x v="0"/>
    <x v="0"/>
    <x v="4"/>
    <x v="0"/>
  </r>
  <r>
    <d v="2022-06-29T00:00:00"/>
    <d v="2022-05-29T00:00:00"/>
    <d v="2022-06-14T00:00:00"/>
    <x v="4"/>
    <x v="0"/>
    <x v="4"/>
    <s v="NF2663"/>
    <n v="3037"/>
    <n v="2022"/>
    <x v="1"/>
    <x v="1"/>
    <x v="1"/>
    <x v="11"/>
    <x v="1"/>
  </r>
  <r>
    <d v="2023-12-19T00:00:00"/>
    <d v="2023-11-18T00:00:00"/>
    <d v="2023-12-04T00:00:00"/>
    <x v="7"/>
    <x v="0"/>
    <x v="2"/>
    <s v="NF2188"/>
    <n v="2213"/>
    <n v="2023"/>
    <x v="8"/>
    <x v="8"/>
    <x v="2"/>
    <x v="9"/>
    <x v="2"/>
  </r>
  <r>
    <d v="2021-05-29T00:00:00"/>
    <d v="2021-04-28T00:00:00"/>
    <d v="2021-05-14T00:00:00"/>
    <x v="1"/>
    <x v="0"/>
    <x v="0"/>
    <s v="NF9103"/>
    <n v="2667"/>
    <n v="2021"/>
    <x v="10"/>
    <x v="10"/>
    <x v="0"/>
    <x v="1"/>
    <x v="0"/>
  </r>
  <r>
    <d v="2022-02-26T00:00:00"/>
    <d v="2022-01-26T00:00:00"/>
    <d v="2022-02-11T00:00:00"/>
    <x v="7"/>
    <x v="0"/>
    <x v="3"/>
    <s v="NF4572"/>
    <n v="112"/>
    <n v="2022"/>
    <x v="7"/>
    <x v="7"/>
    <x v="1"/>
    <x v="3"/>
    <x v="1"/>
  </r>
  <r>
    <d v="2021-05-30T00:00:00"/>
    <d v="2021-04-29T00:00:00"/>
    <d v="2021-05-15T00:00:00"/>
    <x v="6"/>
    <x v="0"/>
    <x v="3"/>
    <s v="NF2637"/>
    <n v="382"/>
    <n v="2021"/>
    <x v="10"/>
    <x v="10"/>
    <x v="0"/>
    <x v="1"/>
    <x v="0"/>
  </r>
  <r>
    <d v="2022-04-05T00:00:00"/>
    <d v="2022-03-05T00:00:00"/>
    <d v="2022-03-21T00:00:00"/>
    <x v="0"/>
    <x v="0"/>
    <x v="4"/>
    <s v="NF6268"/>
    <n v="1590"/>
    <n v="2022"/>
    <x v="5"/>
    <x v="5"/>
    <x v="1"/>
    <x v="6"/>
    <x v="1"/>
  </r>
  <r>
    <d v="2022-04-16T00:00:00"/>
    <d v="2022-03-16T00:00:00"/>
    <d v="2022-04-01T00:00:00"/>
    <x v="0"/>
    <x v="0"/>
    <x v="4"/>
    <s v="NF3162"/>
    <n v="606"/>
    <n v="2022"/>
    <x v="5"/>
    <x v="5"/>
    <x v="1"/>
    <x v="8"/>
    <x v="1"/>
  </r>
  <r>
    <d v="2021-11-25T00:00:00"/>
    <d v="2021-10-25T00:00:00"/>
    <d v="2021-11-10T00:00:00"/>
    <x v="0"/>
    <x v="0"/>
    <x v="0"/>
    <s v="NF1245"/>
    <n v="1725"/>
    <n v="2021"/>
    <x v="11"/>
    <x v="11"/>
    <x v="0"/>
    <x v="10"/>
    <x v="0"/>
  </r>
  <r>
    <d v="2022-06-04T00:00:00"/>
    <d v="2022-05-04T00:00:00"/>
    <d v="2022-05-20T00:00:00"/>
    <x v="0"/>
    <x v="0"/>
    <x v="0"/>
    <s v="NF5505"/>
    <n v="3601"/>
    <n v="2022"/>
    <x v="1"/>
    <x v="1"/>
    <x v="1"/>
    <x v="1"/>
    <x v="1"/>
  </r>
  <r>
    <d v="2023-01-01T00:00:00"/>
    <d v="2022-12-01T00:00:00"/>
    <d v="2022-12-17T00:00:00"/>
    <x v="7"/>
    <x v="0"/>
    <x v="0"/>
    <s v="NF4122"/>
    <n v="2984"/>
    <n v="2023"/>
    <x v="6"/>
    <x v="6"/>
    <x v="1"/>
    <x v="9"/>
    <x v="1"/>
  </r>
  <r>
    <d v="2021-03-29T00:00:00"/>
    <d v="2021-02-26T00:00:00"/>
    <d v="2021-03-14T00:00:00"/>
    <x v="7"/>
    <x v="0"/>
    <x v="4"/>
    <s v="NF3661"/>
    <n v="2952"/>
    <n v="2021"/>
    <x v="3"/>
    <x v="3"/>
    <x v="0"/>
    <x v="6"/>
    <x v="0"/>
  </r>
  <r>
    <d v="2023-02-24T00:00:00"/>
    <d v="2023-01-24T00:00:00"/>
    <d v="2023-02-09T00:00:00"/>
    <x v="1"/>
    <x v="0"/>
    <x v="1"/>
    <s v="NF5663"/>
    <n v="3377"/>
    <n v="2023"/>
    <x v="7"/>
    <x v="7"/>
    <x v="2"/>
    <x v="3"/>
    <x v="2"/>
  </r>
  <r>
    <d v="2022-06-30T00:00:00"/>
    <d v="2022-05-30T00:00:00"/>
    <d v="2022-06-15T00:00:00"/>
    <x v="7"/>
    <x v="0"/>
    <x v="4"/>
    <s v="NF4910"/>
    <n v="1740"/>
    <n v="2022"/>
    <x v="1"/>
    <x v="1"/>
    <x v="1"/>
    <x v="11"/>
    <x v="1"/>
  </r>
  <r>
    <d v="2022-09-03T00:00:00"/>
    <d v="2022-08-03T00:00:00"/>
    <d v="2022-08-19T00:00:00"/>
    <x v="7"/>
    <x v="0"/>
    <x v="3"/>
    <s v="NF6289"/>
    <n v="2184"/>
    <n v="2022"/>
    <x v="4"/>
    <x v="0"/>
    <x v="1"/>
    <x v="5"/>
    <x v="1"/>
  </r>
  <r>
    <d v="2022-10-21T00:00:00"/>
    <d v="2022-09-20T00:00:00"/>
    <d v="2022-10-06T00:00:00"/>
    <x v="3"/>
    <x v="0"/>
    <x v="4"/>
    <s v="NF2537"/>
    <n v="3944"/>
    <n v="2022"/>
    <x v="0"/>
    <x v="4"/>
    <x v="1"/>
    <x v="0"/>
    <x v="1"/>
  </r>
  <r>
    <d v="2021-06-06T00:00:00"/>
    <d v="2021-05-06T00:00:00"/>
    <d v="2021-05-22T00:00:00"/>
    <x v="7"/>
    <x v="0"/>
    <x v="3"/>
    <s v="NF7158"/>
    <n v="2045"/>
    <n v="2021"/>
    <x v="1"/>
    <x v="1"/>
    <x v="0"/>
    <x v="1"/>
    <x v="0"/>
  </r>
  <r>
    <d v="2022-08-31T00:00:00"/>
    <d v="2022-07-31T00:00:00"/>
    <d v="2022-08-16T00:00:00"/>
    <x v="7"/>
    <x v="0"/>
    <x v="2"/>
    <s v="NF2543"/>
    <n v="147"/>
    <n v="2022"/>
    <x v="2"/>
    <x v="2"/>
    <x v="1"/>
    <x v="5"/>
    <x v="1"/>
  </r>
  <r>
    <d v="2021-02-09T00:00:00"/>
    <d v="2021-01-09T00:00:00"/>
    <d v="2021-01-25T00:00:00"/>
    <x v="0"/>
    <x v="0"/>
    <x v="0"/>
    <s v="NF5593"/>
    <n v="3121"/>
    <n v="2021"/>
    <x v="7"/>
    <x v="7"/>
    <x v="0"/>
    <x v="7"/>
    <x v="0"/>
  </r>
  <r>
    <d v="2021-07-03T00:00:00"/>
    <d v="2021-06-02T00:00:00"/>
    <d v="2021-06-18T00:00:00"/>
    <x v="7"/>
    <x v="0"/>
    <x v="3"/>
    <s v="NF8534"/>
    <n v="2728"/>
    <n v="2021"/>
    <x v="9"/>
    <x v="9"/>
    <x v="0"/>
    <x v="11"/>
    <x v="0"/>
  </r>
  <r>
    <d v="2023-08-23T00:00:00"/>
    <d v="2023-07-23T00:00:00"/>
    <d v="2023-08-08T00:00:00"/>
    <x v="0"/>
    <x v="0"/>
    <x v="3"/>
    <s v="NF8500"/>
    <n v="1164"/>
    <n v="2023"/>
    <x v="2"/>
    <x v="2"/>
    <x v="2"/>
    <x v="5"/>
    <x v="2"/>
  </r>
  <r>
    <d v="2022-03-22T00:00:00"/>
    <d v="2022-02-19T00:00:00"/>
    <d v="2022-03-07T00:00:00"/>
    <x v="5"/>
    <x v="0"/>
    <x v="4"/>
    <s v="NF8662"/>
    <n v="2780"/>
    <n v="2022"/>
    <x v="3"/>
    <x v="3"/>
    <x v="1"/>
    <x v="6"/>
    <x v="1"/>
  </r>
  <r>
    <d v="2022-05-31T00:00:00"/>
    <d v="2022-04-30T00:00:00"/>
    <d v="2022-05-16T00:00:00"/>
    <x v="1"/>
    <x v="0"/>
    <x v="1"/>
    <s v="NF9787"/>
    <n v="1136"/>
    <n v="2022"/>
    <x v="10"/>
    <x v="10"/>
    <x v="1"/>
    <x v="1"/>
    <x v="1"/>
  </r>
  <r>
    <d v="2022-06-27T00:00:00"/>
    <d v="2022-05-27T00:00:00"/>
    <d v="2022-06-12T00:00:00"/>
    <x v="6"/>
    <x v="0"/>
    <x v="2"/>
    <s v="NF8068"/>
    <n v="1394"/>
    <n v="2022"/>
    <x v="1"/>
    <x v="1"/>
    <x v="1"/>
    <x v="11"/>
    <x v="1"/>
  </r>
  <r>
    <d v="2022-10-21T00:00:00"/>
    <d v="2022-09-20T00:00:00"/>
    <d v="2022-10-06T00:00:00"/>
    <x v="3"/>
    <x v="0"/>
    <x v="3"/>
    <s v="NF6252"/>
    <n v="1906"/>
    <n v="2022"/>
    <x v="0"/>
    <x v="4"/>
    <x v="1"/>
    <x v="0"/>
    <x v="1"/>
  </r>
  <r>
    <d v="2021-05-19T00:00:00"/>
    <d v="2021-04-18T00:00:00"/>
    <d v="2021-05-04T00:00:00"/>
    <x v="7"/>
    <x v="0"/>
    <x v="2"/>
    <s v="NF4284"/>
    <n v="2375"/>
    <n v="2021"/>
    <x v="10"/>
    <x v="10"/>
    <x v="0"/>
    <x v="1"/>
    <x v="0"/>
  </r>
  <r>
    <d v="2022-07-25T00:00:00"/>
    <d v="2022-06-24T00:00:00"/>
    <d v="2022-07-10T00:00:00"/>
    <x v="0"/>
    <x v="0"/>
    <x v="3"/>
    <s v="NF6789"/>
    <n v="1924"/>
    <n v="2022"/>
    <x v="9"/>
    <x v="9"/>
    <x v="1"/>
    <x v="2"/>
    <x v="1"/>
  </r>
  <r>
    <d v="2022-05-14T00:00:00"/>
    <d v="2022-04-13T00:00:00"/>
    <d v="2022-04-29T00:00:00"/>
    <x v="7"/>
    <x v="0"/>
    <x v="0"/>
    <s v="NF6101"/>
    <n v="2872"/>
    <n v="2022"/>
    <x v="10"/>
    <x v="10"/>
    <x v="1"/>
    <x v="8"/>
    <x v="1"/>
  </r>
  <r>
    <d v="2023-05-20T00:00:00"/>
    <d v="2023-04-19T00:00:00"/>
    <d v="2023-05-05T00:00:00"/>
    <x v="4"/>
    <x v="0"/>
    <x v="1"/>
    <s v="NF7652"/>
    <n v="2519"/>
    <n v="2023"/>
    <x v="10"/>
    <x v="10"/>
    <x v="2"/>
    <x v="1"/>
    <x v="2"/>
  </r>
  <r>
    <d v="2021-04-20T00:00:00"/>
    <d v="2021-03-20T00:00:00"/>
    <d v="2021-04-05T00:00:00"/>
    <x v="2"/>
    <x v="0"/>
    <x v="1"/>
    <s v="NF1987"/>
    <n v="2226"/>
    <n v="2021"/>
    <x v="5"/>
    <x v="5"/>
    <x v="0"/>
    <x v="8"/>
    <x v="0"/>
  </r>
  <r>
    <d v="2022-10-13T00:00:00"/>
    <d v="2022-09-12T00:00:00"/>
    <d v="2022-09-28T00:00:00"/>
    <x v="0"/>
    <x v="0"/>
    <x v="1"/>
    <s v="NF3699"/>
    <n v="159"/>
    <n v="2022"/>
    <x v="0"/>
    <x v="4"/>
    <x v="1"/>
    <x v="4"/>
    <x v="1"/>
  </r>
  <r>
    <d v="2021-10-20T00:00:00"/>
    <d v="2021-09-19T00:00:00"/>
    <d v="2021-10-05T00:00:00"/>
    <x v="2"/>
    <x v="0"/>
    <x v="4"/>
    <s v="NF1474"/>
    <n v="2471"/>
    <n v="2021"/>
    <x v="0"/>
    <x v="4"/>
    <x v="0"/>
    <x v="0"/>
    <x v="0"/>
  </r>
  <r>
    <d v="2022-05-04T00:00:00"/>
    <d v="2022-04-03T00:00:00"/>
    <d v="2022-04-19T00:00:00"/>
    <x v="1"/>
    <x v="0"/>
    <x v="4"/>
    <s v="NF9040"/>
    <n v="2593"/>
    <n v="2022"/>
    <x v="10"/>
    <x v="10"/>
    <x v="1"/>
    <x v="8"/>
    <x v="1"/>
  </r>
  <r>
    <d v="2021-03-22T00:00:00"/>
    <d v="2021-02-19T00:00:00"/>
    <d v="2021-03-07T00:00:00"/>
    <x v="0"/>
    <x v="0"/>
    <x v="4"/>
    <s v="NF3815"/>
    <n v="1676"/>
    <n v="2021"/>
    <x v="3"/>
    <x v="3"/>
    <x v="0"/>
    <x v="6"/>
    <x v="0"/>
  </r>
  <r>
    <d v="2021-04-23T00:00:00"/>
    <d v="2021-03-23T00:00:00"/>
    <d v="2021-04-08T00:00:00"/>
    <x v="3"/>
    <x v="0"/>
    <x v="3"/>
    <s v="NF6375"/>
    <n v="2059"/>
    <n v="2021"/>
    <x v="5"/>
    <x v="5"/>
    <x v="0"/>
    <x v="8"/>
    <x v="0"/>
  </r>
  <r>
    <d v="2021-04-25T00:00:00"/>
    <d v="2021-03-25T00:00:00"/>
    <d v="2021-04-10T00:00:00"/>
    <x v="2"/>
    <x v="0"/>
    <x v="1"/>
    <s v="NF5655"/>
    <n v="1945"/>
    <n v="2021"/>
    <x v="5"/>
    <x v="5"/>
    <x v="0"/>
    <x v="8"/>
    <x v="0"/>
  </r>
  <r>
    <d v="2021-01-15T00:00:00"/>
    <d v="2020-12-15T00:00:00"/>
    <d v="2020-12-31T00:00:00"/>
    <x v="1"/>
    <x v="0"/>
    <x v="0"/>
    <s v="NF4824"/>
    <n v="2064"/>
    <n v="2021"/>
    <x v="6"/>
    <x v="6"/>
    <x v="3"/>
    <x v="9"/>
    <x v="3"/>
  </r>
  <r>
    <d v="2022-08-05T00:00:00"/>
    <d v="2022-07-05T00:00:00"/>
    <d v="2022-07-21T00:00:00"/>
    <x v="0"/>
    <x v="0"/>
    <x v="0"/>
    <s v="NF0416"/>
    <n v="537"/>
    <n v="2022"/>
    <x v="2"/>
    <x v="2"/>
    <x v="1"/>
    <x v="2"/>
    <x v="1"/>
  </r>
  <r>
    <d v="2021-10-24T00:00:00"/>
    <d v="2021-09-23T00:00:00"/>
    <d v="2021-10-09T00:00:00"/>
    <x v="3"/>
    <x v="0"/>
    <x v="1"/>
    <s v="NF6572"/>
    <n v="3282"/>
    <n v="2021"/>
    <x v="0"/>
    <x v="4"/>
    <x v="0"/>
    <x v="0"/>
    <x v="0"/>
  </r>
  <r>
    <d v="2021-03-24T00:00:00"/>
    <d v="2021-02-21T00:00:00"/>
    <d v="2021-03-09T00:00:00"/>
    <x v="5"/>
    <x v="0"/>
    <x v="1"/>
    <s v="NF7886"/>
    <n v="2834"/>
    <n v="2021"/>
    <x v="3"/>
    <x v="3"/>
    <x v="0"/>
    <x v="6"/>
    <x v="0"/>
  </r>
  <r>
    <d v="2022-01-13T00:00:00"/>
    <d v="2021-12-13T00:00:00"/>
    <d v="2021-12-29T00:00:00"/>
    <x v="7"/>
    <x v="0"/>
    <x v="3"/>
    <s v="NF8627"/>
    <n v="748"/>
    <n v="2022"/>
    <x v="6"/>
    <x v="6"/>
    <x v="0"/>
    <x v="9"/>
    <x v="0"/>
  </r>
  <r>
    <d v="2023-11-06T00:00:00"/>
    <d v="2023-10-06T00:00:00"/>
    <d v="2023-10-22T00:00:00"/>
    <x v="5"/>
    <x v="0"/>
    <x v="2"/>
    <s v="NF7526"/>
    <n v="1567"/>
    <n v="2023"/>
    <x v="11"/>
    <x v="11"/>
    <x v="2"/>
    <x v="0"/>
    <x v="2"/>
  </r>
  <r>
    <d v="2022-11-16T00:00:00"/>
    <d v="2022-10-16T00:00:00"/>
    <d v="2022-11-01T00:00:00"/>
    <x v="2"/>
    <x v="0"/>
    <x v="3"/>
    <s v="NF2223"/>
    <n v="2986"/>
    <n v="2022"/>
    <x v="11"/>
    <x v="11"/>
    <x v="1"/>
    <x v="10"/>
    <x v="1"/>
  </r>
  <r>
    <d v="2021-03-24T00:00:00"/>
    <d v="2021-02-21T00:00:00"/>
    <d v="2021-03-09T00:00:00"/>
    <x v="4"/>
    <x v="0"/>
    <x v="4"/>
    <s v="NF8915"/>
    <n v="126"/>
    <n v="2021"/>
    <x v="3"/>
    <x v="3"/>
    <x v="0"/>
    <x v="6"/>
    <x v="0"/>
  </r>
  <r>
    <d v="2021-03-29T00:00:00"/>
    <d v="2021-02-26T00:00:00"/>
    <d v="2021-03-14T00:00:00"/>
    <x v="6"/>
    <x v="0"/>
    <x v="1"/>
    <s v="NF8892"/>
    <n v="3967"/>
    <n v="2021"/>
    <x v="3"/>
    <x v="3"/>
    <x v="0"/>
    <x v="6"/>
    <x v="0"/>
  </r>
  <r>
    <d v="2021-01-20T00:00:00"/>
    <d v="2020-12-20T00:00:00"/>
    <d v="2021-01-05T00:00:00"/>
    <x v="1"/>
    <x v="0"/>
    <x v="2"/>
    <s v="NF2465"/>
    <n v="3783"/>
    <n v="2021"/>
    <x v="6"/>
    <x v="6"/>
    <x v="3"/>
    <x v="7"/>
    <x v="0"/>
  </r>
  <r>
    <d v="2022-03-25T00:00:00"/>
    <d v="2022-02-22T00:00:00"/>
    <d v="2022-03-10T00:00:00"/>
    <x v="1"/>
    <x v="0"/>
    <x v="2"/>
    <s v="NF2539"/>
    <n v="3013"/>
    <n v="2022"/>
    <x v="3"/>
    <x v="3"/>
    <x v="1"/>
    <x v="6"/>
    <x v="1"/>
  </r>
  <r>
    <d v="2022-10-14T00:00:00"/>
    <d v="2022-09-13T00:00:00"/>
    <d v="2022-09-29T00:00:00"/>
    <x v="6"/>
    <x v="0"/>
    <x v="2"/>
    <s v="NF4708"/>
    <n v="1501"/>
    <n v="2022"/>
    <x v="0"/>
    <x v="4"/>
    <x v="1"/>
    <x v="4"/>
    <x v="1"/>
  </r>
  <r>
    <d v="2022-11-15T00:00:00"/>
    <d v="2022-10-15T00:00:00"/>
    <d v="2022-10-31T00:00:00"/>
    <x v="4"/>
    <x v="0"/>
    <x v="3"/>
    <s v="NF3456"/>
    <n v="3752"/>
    <n v="2022"/>
    <x v="11"/>
    <x v="11"/>
    <x v="1"/>
    <x v="0"/>
    <x v="1"/>
  </r>
  <r>
    <d v="2021-04-29T00:00:00"/>
    <d v="2021-03-29T00:00:00"/>
    <d v="2021-04-14T00:00:00"/>
    <x v="5"/>
    <x v="0"/>
    <x v="2"/>
    <s v="NF1743"/>
    <n v="265"/>
    <n v="2021"/>
    <x v="5"/>
    <x v="5"/>
    <x v="0"/>
    <x v="8"/>
    <x v="0"/>
  </r>
  <r>
    <d v="2022-09-25T00:00:00"/>
    <d v="2022-08-25T00:00:00"/>
    <d v="2022-09-10T00:00:00"/>
    <x v="3"/>
    <x v="0"/>
    <x v="2"/>
    <s v="NF2487"/>
    <n v="2350"/>
    <n v="2022"/>
    <x v="4"/>
    <x v="0"/>
    <x v="1"/>
    <x v="4"/>
    <x v="1"/>
  </r>
  <r>
    <d v="2023-07-03T00:00:00"/>
    <d v="2023-06-02T00:00:00"/>
    <d v="2023-06-18T00:00:00"/>
    <x v="2"/>
    <x v="0"/>
    <x v="3"/>
    <s v="NF7819"/>
    <n v="2830"/>
    <n v="2023"/>
    <x v="9"/>
    <x v="9"/>
    <x v="2"/>
    <x v="11"/>
    <x v="2"/>
  </r>
  <r>
    <d v="2021-07-28T00:00:00"/>
    <d v="2021-06-27T00:00:00"/>
    <d v="2021-07-13T00:00:00"/>
    <x v="2"/>
    <x v="0"/>
    <x v="0"/>
    <s v="NF4542"/>
    <n v="2355"/>
    <n v="2021"/>
    <x v="9"/>
    <x v="9"/>
    <x v="0"/>
    <x v="2"/>
    <x v="0"/>
  </r>
  <r>
    <d v="2023-03-20T00:00:00"/>
    <d v="2023-02-17T00:00:00"/>
    <d v="2023-03-05T00:00:00"/>
    <x v="2"/>
    <x v="0"/>
    <x v="4"/>
    <s v="NF5462"/>
    <n v="617"/>
    <n v="2023"/>
    <x v="3"/>
    <x v="3"/>
    <x v="2"/>
    <x v="6"/>
    <x v="2"/>
  </r>
  <r>
    <d v="2021-01-09T00:00:00"/>
    <d v="2020-12-09T00:00:00"/>
    <d v="2020-12-25T00:00:00"/>
    <x v="5"/>
    <x v="0"/>
    <x v="3"/>
    <s v="NF5031"/>
    <n v="3672"/>
    <n v="2021"/>
    <x v="6"/>
    <x v="6"/>
    <x v="3"/>
    <x v="9"/>
    <x v="3"/>
  </r>
  <r>
    <d v="2022-09-18T00:00:00"/>
    <d v="2022-08-18T00:00:00"/>
    <d v="2022-09-03T00:00:00"/>
    <x v="2"/>
    <x v="0"/>
    <x v="3"/>
    <s v="NF3287"/>
    <n v="386"/>
    <n v="2022"/>
    <x v="4"/>
    <x v="0"/>
    <x v="1"/>
    <x v="4"/>
    <x v="1"/>
  </r>
  <r>
    <d v="2022-10-04T00:00:00"/>
    <d v="2022-09-03T00:00:00"/>
    <d v="2022-09-19T00:00:00"/>
    <x v="7"/>
    <x v="0"/>
    <x v="4"/>
    <s v="NF5855"/>
    <n v="3827"/>
    <n v="2022"/>
    <x v="0"/>
    <x v="4"/>
    <x v="1"/>
    <x v="4"/>
    <x v="1"/>
  </r>
  <r>
    <d v="2022-06-24T00:00:00"/>
    <d v="2022-05-24T00:00:00"/>
    <d v="2022-06-09T00:00:00"/>
    <x v="5"/>
    <x v="0"/>
    <x v="4"/>
    <s v="NF0257"/>
    <n v="356"/>
    <n v="2022"/>
    <x v="1"/>
    <x v="1"/>
    <x v="1"/>
    <x v="11"/>
    <x v="1"/>
  </r>
  <r>
    <d v="2023-08-26T00:00:00"/>
    <d v="2023-07-26T00:00:00"/>
    <d v="2023-08-11T00:00:00"/>
    <x v="0"/>
    <x v="0"/>
    <x v="3"/>
    <s v="NF5254"/>
    <n v="3367"/>
    <n v="2023"/>
    <x v="2"/>
    <x v="2"/>
    <x v="2"/>
    <x v="5"/>
    <x v="2"/>
  </r>
  <r>
    <d v="2022-03-05T00:00:00"/>
    <d v="2022-02-02T00:00:00"/>
    <d v="2022-02-18T00:00:00"/>
    <x v="3"/>
    <x v="0"/>
    <x v="4"/>
    <s v="NF5373"/>
    <n v="798"/>
    <n v="2022"/>
    <x v="3"/>
    <x v="3"/>
    <x v="1"/>
    <x v="3"/>
    <x v="1"/>
  </r>
  <r>
    <d v="2022-11-11T00:00:00"/>
    <d v="2022-10-11T00:00:00"/>
    <d v="2022-10-27T00:00:00"/>
    <x v="2"/>
    <x v="0"/>
    <x v="3"/>
    <s v="NF9188"/>
    <n v="558"/>
    <n v="2022"/>
    <x v="11"/>
    <x v="11"/>
    <x v="1"/>
    <x v="0"/>
    <x v="1"/>
  </r>
  <r>
    <d v="2023-07-28T00:00:00"/>
    <d v="2023-06-27T00:00:00"/>
    <d v="2023-07-13T00:00:00"/>
    <x v="5"/>
    <x v="0"/>
    <x v="4"/>
    <s v="NF0607"/>
    <n v="406"/>
    <n v="2023"/>
    <x v="9"/>
    <x v="9"/>
    <x v="2"/>
    <x v="2"/>
    <x v="2"/>
  </r>
  <r>
    <d v="2021-06-12T00:00:00"/>
    <d v="2021-05-12T00:00:00"/>
    <d v="2021-05-28T00:00:00"/>
    <x v="5"/>
    <x v="0"/>
    <x v="0"/>
    <s v="NF5517"/>
    <n v="3414"/>
    <n v="2021"/>
    <x v="1"/>
    <x v="1"/>
    <x v="0"/>
    <x v="1"/>
    <x v="0"/>
  </r>
  <r>
    <d v="2023-03-26T00:00:00"/>
    <d v="2023-02-23T00:00:00"/>
    <d v="2023-03-11T00:00:00"/>
    <x v="7"/>
    <x v="0"/>
    <x v="3"/>
    <s v="NF7574"/>
    <n v="2675"/>
    <n v="2023"/>
    <x v="3"/>
    <x v="3"/>
    <x v="2"/>
    <x v="6"/>
    <x v="2"/>
  </r>
  <r>
    <d v="2022-03-25T00:00:00"/>
    <d v="2022-02-22T00:00:00"/>
    <d v="2022-03-10T00:00:00"/>
    <x v="4"/>
    <x v="0"/>
    <x v="2"/>
    <s v="NF2161"/>
    <n v="1629"/>
    <n v="2022"/>
    <x v="3"/>
    <x v="3"/>
    <x v="1"/>
    <x v="6"/>
    <x v="1"/>
  </r>
  <r>
    <d v="2022-04-05T00:00:00"/>
    <d v="2022-03-05T00:00:00"/>
    <d v="2022-03-21T00:00:00"/>
    <x v="0"/>
    <x v="0"/>
    <x v="0"/>
    <s v="NF4355"/>
    <n v="809"/>
    <n v="2022"/>
    <x v="5"/>
    <x v="5"/>
    <x v="1"/>
    <x v="6"/>
    <x v="1"/>
  </r>
  <r>
    <d v="2021-06-09T00:00:00"/>
    <d v="2021-05-09T00:00:00"/>
    <d v="2021-05-25T00:00:00"/>
    <x v="3"/>
    <x v="0"/>
    <x v="1"/>
    <s v="NF7874"/>
    <n v="3583"/>
    <n v="2021"/>
    <x v="1"/>
    <x v="1"/>
    <x v="0"/>
    <x v="1"/>
    <x v="0"/>
  </r>
  <r>
    <d v="2023-08-09T00:00:00"/>
    <d v="2023-07-09T00:00:00"/>
    <d v="2023-07-25T00:00:00"/>
    <x v="7"/>
    <x v="0"/>
    <x v="4"/>
    <s v="NF3858"/>
    <n v="116"/>
    <n v="2023"/>
    <x v="2"/>
    <x v="2"/>
    <x v="2"/>
    <x v="2"/>
    <x v="2"/>
  </r>
  <r>
    <d v="2023-09-27T00:00:00"/>
    <d v="2023-08-27T00:00:00"/>
    <d v="2023-09-12T00:00:00"/>
    <x v="0"/>
    <x v="0"/>
    <x v="0"/>
    <s v="NF8881"/>
    <n v="1391"/>
    <n v="2023"/>
    <x v="4"/>
    <x v="0"/>
    <x v="2"/>
    <x v="4"/>
    <x v="2"/>
  </r>
  <r>
    <d v="2021-01-09T00:00:00"/>
    <d v="2020-12-09T00:00:00"/>
    <d v="2020-12-25T00:00:00"/>
    <x v="4"/>
    <x v="0"/>
    <x v="4"/>
    <s v="NF2573"/>
    <n v="1778"/>
    <n v="2021"/>
    <x v="6"/>
    <x v="6"/>
    <x v="3"/>
    <x v="9"/>
    <x v="3"/>
  </r>
  <r>
    <d v="2022-11-02T00:00:00"/>
    <d v="2022-10-02T00:00:00"/>
    <d v="2022-10-18T00:00:00"/>
    <x v="4"/>
    <x v="0"/>
    <x v="3"/>
    <s v="NF9449"/>
    <n v="2502"/>
    <n v="2022"/>
    <x v="11"/>
    <x v="11"/>
    <x v="1"/>
    <x v="0"/>
    <x v="1"/>
  </r>
  <r>
    <d v="2022-10-07T00:00:00"/>
    <d v="2022-09-06T00:00:00"/>
    <d v="2022-09-22T00:00:00"/>
    <x v="5"/>
    <x v="0"/>
    <x v="1"/>
    <s v="NF7942"/>
    <n v="2197"/>
    <n v="2022"/>
    <x v="0"/>
    <x v="4"/>
    <x v="1"/>
    <x v="4"/>
    <x v="1"/>
  </r>
  <r>
    <d v="2021-05-15T00:00:00"/>
    <d v="2021-04-14T00:00:00"/>
    <d v="2021-04-30T00:00:00"/>
    <x v="3"/>
    <x v="0"/>
    <x v="1"/>
    <s v="NF3203"/>
    <n v="1580"/>
    <n v="2021"/>
    <x v="10"/>
    <x v="10"/>
    <x v="0"/>
    <x v="8"/>
    <x v="0"/>
  </r>
  <r>
    <d v="2022-11-10T00:00:00"/>
    <d v="2022-10-10T00:00:00"/>
    <d v="2022-10-26T00:00:00"/>
    <x v="4"/>
    <x v="0"/>
    <x v="4"/>
    <s v="NF2552"/>
    <n v="311"/>
    <n v="2022"/>
    <x v="11"/>
    <x v="11"/>
    <x v="1"/>
    <x v="0"/>
    <x v="1"/>
  </r>
  <r>
    <d v="2023-12-05T00:00:00"/>
    <d v="2023-11-04T00:00:00"/>
    <d v="2023-11-20T00:00:00"/>
    <x v="4"/>
    <x v="0"/>
    <x v="1"/>
    <s v="NF7357"/>
    <n v="2239"/>
    <n v="2023"/>
    <x v="8"/>
    <x v="8"/>
    <x v="2"/>
    <x v="10"/>
    <x v="2"/>
  </r>
  <r>
    <d v="2022-11-18T00:00:00"/>
    <d v="2022-10-18T00:00:00"/>
    <d v="2022-11-03T00:00:00"/>
    <x v="1"/>
    <x v="0"/>
    <x v="2"/>
    <s v="NF0173"/>
    <n v="3968"/>
    <n v="2022"/>
    <x v="11"/>
    <x v="11"/>
    <x v="1"/>
    <x v="10"/>
    <x v="1"/>
  </r>
  <r>
    <d v="2021-06-23T00:00:00"/>
    <d v="2021-05-23T00:00:00"/>
    <d v="2021-06-08T00:00:00"/>
    <x v="4"/>
    <x v="0"/>
    <x v="4"/>
    <s v="NF2912"/>
    <n v="3140"/>
    <n v="2021"/>
    <x v="1"/>
    <x v="1"/>
    <x v="0"/>
    <x v="11"/>
    <x v="0"/>
  </r>
  <r>
    <d v="2021-06-12T00:00:00"/>
    <d v="2021-05-12T00:00:00"/>
    <d v="2021-05-28T00:00:00"/>
    <x v="4"/>
    <x v="0"/>
    <x v="4"/>
    <s v="NF3800"/>
    <n v="2174"/>
    <n v="2021"/>
    <x v="1"/>
    <x v="1"/>
    <x v="0"/>
    <x v="1"/>
    <x v="0"/>
  </r>
  <r>
    <d v="2023-08-21T00:00:00"/>
    <d v="2023-07-21T00:00:00"/>
    <d v="2023-08-06T00:00:00"/>
    <x v="0"/>
    <x v="0"/>
    <x v="3"/>
    <s v="NF7290"/>
    <n v="2033"/>
    <n v="2023"/>
    <x v="2"/>
    <x v="2"/>
    <x v="2"/>
    <x v="5"/>
    <x v="2"/>
  </r>
  <r>
    <d v="2022-05-25T00:00:00"/>
    <d v="2022-04-24T00:00:00"/>
    <d v="2022-05-10T00:00:00"/>
    <x v="0"/>
    <x v="0"/>
    <x v="2"/>
    <s v="NF2861"/>
    <n v="3516"/>
    <n v="2022"/>
    <x v="10"/>
    <x v="10"/>
    <x v="1"/>
    <x v="1"/>
    <x v="1"/>
  </r>
  <r>
    <d v="2021-01-09T00:00:00"/>
    <d v="2020-12-09T00:00:00"/>
    <d v="2020-12-25T00:00:00"/>
    <x v="2"/>
    <x v="0"/>
    <x v="2"/>
    <s v="NF5804"/>
    <n v="2440"/>
    <n v="2021"/>
    <x v="6"/>
    <x v="6"/>
    <x v="3"/>
    <x v="9"/>
    <x v="3"/>
  </r>
  <r>
    <d v="2022-09-20T00:00:00"/>
    <d v="2022-08-20T00:00:00"/>
    <d v="2022-09-05T00:00:00"/>
    <x v="4"/>
    <x v="0"/>
    <x v="2"/>
    <s v="NF6852"/>
    <n v="2986"/>
    <n v="2022"/>
    <x v="4"/>
    <x v="0"/>
    <x v="1"/>
    <x v="4"/>
    <x v="1"/>
  </r>
  <r>
    <d v="2022-06-19T00:00:00"/>
    <d v="2022-05-19T00:00:00"/>
    <d v="2022-06-04T00:00:00"/>
    <x v="7"/>
    <x v="0"/>
    <x v="0"/>
    <s v="NF5148"/>
    <n v="150"/>
    <n v="2022"/>
    <x v="1"/>
    <x v="1"/>
    <x v="1"/>
    <x v="11"/>
    <x v="1"/>
  </r>
  <r>
    <d v="2023-02-13T00:00:00"/>
    <d v="2023-01-13T00:00:00"/>
    <d v="2023-01-29T00:00:00"/>
    <x v="4"/>
    <x v="0"/>
    <x v="3"/>
    <s v="NF6557"/>
    <n v="845"/>
    <n v="2023"/>
    <x v="7"/>
    <x v="7"/>
    <x v="2"/>
    <x v="7"/>
    <x v="2"/>
  </r>
  <r>
    <d v="2023-03-13T00:00:00"/>
    <d v="2023-02-10T00:00:00"/>
    <d v="2023-02-26T00:00:00"/>
    <x v="5"/>
    <x v="0"/>
    <x v="1"/>
    <s v="NF3956"/>
    <n v="2521"/>
    <n v="2023"/>
    <x v="3"/>
    <x v="3"/>
    <x v="2"/>
    <x v="3"/>
    <x v="2"/>
  </r>
  <r>
    <d v="2023-03-01T00:00:00"/>
    <d v="2023-01-29T00:00:00"/>
    <d v="2023-02-14T00:00:00"/>
    <x v="0"/>
    <x v="0"/>
    <x v="1"/>
    <s v="NF8587"/>
    <n v="1509"/>
    <n v="2023"/>
    <x v="3"/>
    <x v="7"/>
    <x v="2"/>
    <x v="3"/>
    <x v="2"/>
  </r>
  <r>
    <d v="2023-02-28T00:00:00"/>
    <d v="2023-01-28T00:00:00"/>
    <d v="2023-02-13T00:00:00"/>
    <x v="2"/>
    <x v="0"/>
    <x v="0"/>
    <s v="NF2763"/>
    <n v="2767"/>
    <n v="2023"/>
    <x v="7"/>
    <x v="7"/>
    <x v="2"/>
    <x v="3"/>
    <x v="2"/>
  </r>
  <r>
    <d v="2023-09-19T00:00:00"/>
    <d v="2023-08-19T00:00:00"/>
    <d v="2023-09-04T00:00:00"/>
    <x v="7"/>
    <x v="0"/>
    <x v="4"/>
    <s v="NF1423"/>
    <n v="592"/>
    <n v="2023"/>
    <x v="4"/>
    <x v="0"/>
    <x v="2"/>
    <x v="4"/>
    <x v="2"/>
  </r>
  <r>
    <d v="2023-12-15T00:00:00"/>
    <d v="2023-11-14T00:00:00"/>
    <d v="2023-11-30T00:00:00"/>
    <x v="3"/>
    <x v="0"/>
    <x v="3"/>
    <s v="NF2642"/>
    <n v="239"/>
    <n v="2023"/>
    <x v="8"/>
    <x v="8"/>
    <x v="2"/>
    <x v="10"/>
    <x v="2"/>
  </r>
  <r>
    <d v="2021-02-27T00:00:00"/>
    <d v="2021-01-27T00:00:00"/>
    <d v="2021-02-12T00:00:00"/>
    <x v="2"/>
    <x v="0"/>
    <x v="4"/>
    <s v="NF1756"/>
    <n v="1230"/>
    <n v="2021"/>
    <x v="7"/>
    <x v="7"/>
    <x v="0"/>
    <x v="3"/>
    <x v="0"/>
  </r>
  <r>
    <d v="2023-10-05T00:00:00"/>
    <d v="2023-09-04T00:00:00"/>
    <d v="2023-09-20T00:00:00"/>
    <x v="4"/>
    <x v="0"/>
    <x v="0"/>
    <s v="NF7302"/>
    <n v="3400"/>
    <n v="2023"/>
    <x v="0"/>
    <x v="4"/>
    <x v="2"/>
    <x v="4"/>
    <x v="2"/>
  </r>
  <r>
    <d v="2021-06-16T00:00:00"/>
    <d v="2021-05-16T00:00:00"/>
    <d v="2021-06-01T00:00:00"/>
    <x v="2"/>
    <x v="0"/>
    <x v="0"/>
    <s v="NF5768"/>
    <n v="657"/>
    <n v="2021"/>
    <x v="1"/>
    <x v="1"/>
    <x v="0"/>
    <x v="11"/>
    <x v="0"/>
  </r>
  <r>
    <d v="2022-09-11T00:00:00"/>
    <d v="2022-08-11T00:00:00"/>
    <d v="2022-08-27T00:00:00"/>
    <x v="1"/>
    <x v="0"/>
    <x v="0"/>
    <s v="NF2184"/>
    <n v="801"/>
    <n v="2022"/>
    <x v="4"/>
    <x v="0"/>
    <x v="1"/>
    <x v="5"/>
    <x v="1"/>
  </r>
  <r>
    <d v="2021-03-25T00:00:00"/>
    <d v="2021-02-22T00:00:00"/>
    <d v="2021-03-10T00:00:00"/>
    <x v="2"/>
    <x v="0"/>
    <x v="1"/>
    <s v="NF8795"/>
    <n v="3571"/>
    <n v="2021"/>
    <x v="3"/>
    <x v="3"/>
    <x v="0"/>
    <x v="6"/>
    <x v="0"/>
  </r>
  <r>
    <d v="2021-01-10T00:00:00"/>
    <d v="2020-12-10T00:00:00"/>
    <d v="2020-12-26T00:00:00"/>
    <x v="2"/>
    <x v="0"/>
    <x v="3"/>
    <s v="NF1858"/>
    <n v="3691"/>
    <n v="2021"/>
    <x v="6"/>
    <x v="6"/>
    <x v="3"/>
    <x v="9"/>
    <x v="3"/>
  </r>
  <r>
    <d v="2021-06-27T00:00:00"/>
    <d v="2021-05-27T00:00:00"/>
    <d v="2021-06-12T00:00:00"/>
    <x v="2"/>
    <x v="0"/>
    <x v="4"/>
    <s v="NF6550"/>
    <n v="1140"/>
    <n v="2021"/>
    <x v="1"/>
    <x v="1"/>
    <x v="0"/>
    <x v="11"/>
    <x v="0"/>
  </r>
  <r>
    <d v="2021-12-15T00:00:00"/>
    <d v="2021-11-14T00:00:00"/>
    <d v="2021-11-30T00:00:00"/>
    <x v="1"/>
    <x v="0"/>
    <x v="1"/>
    <s v="NF1344"/>
    <n v="433"/>
    <n v="2021"/>
    <x v="8"/>
    <x v="8"/>
    <x v="0"/>
    <x v="10"/>
    <x v="0"/>
  </r>
  <r>
    <d v="2023-11-23T00:00:00"/>
    <d v="2023-10-23T00:00:00"/>
    <d v="2023-11-08T00:00:00"/>
    <x v="0"/>
    <x v="0"/>
    <x v="0"/>
    <s v="NF6359"/>
    <n v="597"/>
    <n v="2023"/>
    <x v="11"/>
    <x v="11"/>
    <x v="2"/>
    <x v="10"/>
    <x v="2"/>
  </r>
  <r>
    <d v="2021-06-07T00:00:00"/>
    <d v="2021-05-07T00:00:00"/>
    <d v="2021-05-23T00:00:00"/>
    <x v="1"/>
    <x v="0"/>
    <x v="4"/>
    <s v="NF1449"/>
    <n v="1991"/>
    <n v="2021"/>
    <x v="1"/>
    <x v="1"/>
    <x v="0"/>
    <x v="1"/>
    <x v="0"/>
  </r>
  <r>
    <d v="2022-10-07T00:00:00"/>
    <d v="2022-09-06T00:00:00"/>
    <d v="2022-09-22T00:00:00"/>
    <x v="6"/>
    <x v="0"/>
    <x v="4"/>
    <s v="NF7739"/>
    <n v="3076"/>
    <n v="2022"/>
    <x v="0"/>
    <x v="4"/>
    <x v="1"/>
    <x v="4"/>
    <x v="1"/>
  </r>
  <r>
    <d v="2023-02-04T00:00:00"/>
    <d v="2023-01-04T00:00:00"/>
    <d v="2023-01-20T00:00:00"/>
    <x v="7"/>
    <x v="0"/>
    <x v="0"/>
    <s v="NF1748"/>
    <n v="3088"/>
    <n v="2023"/>
    <x v="7"/>
    <x v="7"/>
    <x v="2"/>
    <x v="7"/>
    <x v="2"/>
  </r>
  <r>
    <d v="2021-02-03T00:00:00"/>
    <d v="2021-01-03T00:00:00"/>
    <d v="2021-01-19T00:00:00"/>
    <x v="7"/>
    <x v="0"/>
    <x v="1"/>
    <s v="NF5220"/>
    <n v="1958"/>
    <n v="2021"/>
    <x v="7"/>
    <x v="7"/>
    <x v="0"/>
    <x v="7"/>
    <x v="0"/>
  </r>
  <r>
    <d v="2023-03-16T00:00:00"/>
    <d v="2023-02-13T00:00:00"/>
    <d v="2023-03-01T00:00:00"/>
    <x v="3"/>
    <x v="0"/>
    <x v="2"/>
    <s v="NF4766"/>
    <n v="3170"/>
    <n v="2023"/>
    <x v="3"/>
    <x v="3"/>
    <x v="2"/>
    <x v="6"/>
    <x v="2"/>
  </r>
  <r>
    <d v="2023-01-20T00:00:00"/>
    <d v="2022-12-20T00:00:00"/>
    <d v="2023-01-05T00:00:00"/>
    <x v="1"/>
    <x v="0"/>
    <x v="4"/>
    <s v="NF6468"/>
    <n v="1174"/>
    <n v="2023"/>
    <x v="6"/>
    <x v="6"/>
    <x v="1"/>
    <x v="7"/>
    <x v="2"/>
  </r>
  <r>
    <d v="2022-11-19T00:00:00"/>
    <d v="2022-10-19T00:00:00"/>
    <d v="2022-11-04T00:00:00"/>
    <x v="4"/>
    <x v="0"/>
    <x v="2"/>
    <s v="NF7701"/>
    <n v="2505"/>
    <n v="2022"/>
    <x v="11"/>
    <x v="11"/>
    <x v="1"/>
    <x v="10"/>
    <x v="1"/>
  </r>
  <r>
    <d v="2023-10-16T00:00:00"/>
    <d v="2023-09-15T00:00:00"/>
    <d v="2023-10-01T00:00:00"/>
    <x v="2"/>
    <x v="0"/>
    <x v="1"/>
    <s v="NF1945"/>
    <n v="3843"/>
    <n v="2023"/>
    <x v="0"/>
    <x v="4"/>
    <x v="2"/>
    <x v="0"/>
    <x v="2"/>
  </r>
  <r>
    <d v="2023-12-24T00:00:00"/>
    <d v="2023-11-23T00:00:00"/>
    <d v="2023-12-09T00:00:00"/>
    <x v="5"/>
    <x v="0"/>
    <x v="4"/>
    <s v="NF4665"/>
    <n v="2389"/>
    <n v="2023"/>
    <x v="8"/>
    <x v="8"/>
    <x v="2"/>
    <x v="9"/>
    <x v="2"/>
  </r>
  <r>
    <d v="2021-11-24T00:00:00"/>
    <d v="2021-10-24T00:00:00"/>
    <d v="2021-11-09T00:00:00"/>
    <x v="5"/>
    <x v="0"/>
    <x v="4"/>
    <s v="NF9623"/>
    <n v="547"/>
    <n v="2021"/>
    <x v="11"/>
    <x v="11"/>
    <x v="0"/>
    <x v="10"/>
    <x v="0"/>
  </r>
  <r>
    <d v="2021-11-24T00:00:00"/>
    <d v="2021-10-24T00:00:00"/>
    <d v="2021-11-09T00:00:00"/>
    <x v="4"/>
    <x v="0"/>
    <x v="1"/>
    <s v="NF5728"/>
    <n v="3398"/>
    <n v="2021"/>
    <x v="11"/>
    <x v="11"/>
    <x v="0"/>
    <x v="10"/>
    <x v="0"/>
  </r>
  <r>
    <d v="2022-02-19T00:00:00"/>
    <d v="2022-01-19T00:00:00"/>
    <d v="2022-02-04T00:00:00"/>
    <x v="4"/>
    <x v="0"/>
    <x v="4"/>
    <s v="NF3860"/>
    <n v="220"/>
    <n v="2022"/>
    <x v="7"/>
    <x v="7"/>
    <x v="1"/>
    <x v="3"/>
    <x v="1"/>
  </r>
  <r>
    <d v="2023-01-23T00:00:00"/>
    <d v="2022-12-23T00:00:00"/>
    <d v="2023-01-08T00:00:00"/>
    <x v="6"/>
    <x v="0"/>
    <x v="4"/>
    <s v="NF3208"/>
    <n v="525"/>
    <n v="2023"/>
    <x v="6"/>
    <x v="6"/>
    <x v="1"/>
    <x v="7"/>
    <x v="2"/>
  </r>
  <r>
    <d v="2021-02-14T00:00:00"/>
    <d v="2021-01-14T00:00:00"/>
    <d v="2021-01-30T00:00:00"/>
    <x v="6"/>
    <x v="0"/>
    <x v="3"/>
    <s v="NF9847"/>
    <n v="1880"/>
    <n v="2021"/>
    <x v="7"/>
    <x v="7"/>
    <x v="0"/>
    <x v="7"/>
    <x v="0"/>
  </r>
  <r>
    <d v="2023-10-30T00:00:00"/>
    <d v="2023-09-29T00:00:00"/>
    <d v="2023-10-15T00:00:00"/>
    <x v="1"/>
    <x v="0"/>
    <x v="0"/>
    <s v="NF8988"/>
    <n v="1014"/>
    <n v="2023"/>
    <x v="0"/>
    <x v="4"/>
    <x v="2"/>
    <x v="0"/>
    <x v="2"/>
  </r>
  <r>
    <d v="2021-06-15T00:00:00"/>
    <d v="2021-05-15T00:00:00"/>
    <d v="2021-05-31T00:00:00"/>
    <x v="2"/>
    <x v="0"/>
    <x v="3"/>
    <s v="NF0217"/>
    <n v="1906"/>
    <n v="2021"/>
    <x v="1"/>
    <x v="1"/>
    <x v="0"/>
    <x v="1"/>
    <x v="0"/>
  </r>
  <r>
    <d v="2022-03-21T00:00:00"/>
    <d v="2022-02-18T00:00:00"/>
    <d v="2022-03-06T00:00:00"/>
    <x v="7"/>
    <x v="0"/>
    <x v="4"/>
    <s v="NF7655"/>
    <n v="1165"/>
    <n v="2022"/>
    <x v="3"/>
    <x v="3"/>
    <x v="1"/>
    <x v="6"/>
    <x v="1"/>
  </r>
  <r>
    <d v="2021-08-11T00:00:00"/>
    <d v="2021-07-11T00:00:00"/>
    <d v="2021-07-27T00:00:00"/>
    <x v="4"/>
    <x v="0"/>
    <x v="2"/>
    <s v="NF6451"/>
    <n v="2120"/>
    <n v="2021"/>
    <x v="2"/>
    <x v="2"/>
    <x v="0"/>
    <x v="2"/>
    <x v="0"/>
  </r>
  <r>
    <d v="2023-01-11T00:00:00"/>
    <d v="2022-12-11T00:00:00"/>
    <d v="2022-12-27T00:00:00"/>
    <x v="3"/>
    <x v="0"/>
    <x v="4"/>
    <s v="NF7432"/>
    <n v="2571"/>
    <n v="2023"/>
    <x v="6"/>
    <x v="6"/>
    <x v="1"/>
    <x v="9"/>
    <x v="1"/>
  </r>
  <r>
    <d v="2021-06-20T00:00:00"/>
    <d v="2021-05-20T00:00:00"/>
    <d v="2021-06-05T00:00:00"/>
    <x v="1"/>
    <x v="0"/>
    <x v="4"/>
    <s v="NF3016"/>
    <n v="1651"/>
    <n v="2021"/>
    <x v="1"/>
    <x v="1"/>
    <x v="0"/>
    <x v="11"/>
    <x v="0"/>
  </r>
  <r>
    <d v="2022-06-08T00:00:00"/>
    <d v="2022-05-08T00:00:00"/>
    <d v="2022-05-24T00:00:00"/>
    <x v="5"/>
    <x v="0"/>
    <x v="2"/>
    <s v="NF5612"/>
    <n v="1620"/>
    <n v="2022"/>
    <x v="1"/>
    <x v="1"/>
    <x v="1"/>
    <x v="1"/>
    <x v="1"/>
  </r>
  <r>
    <d v="2023-02-16T00:00:00"/>
    <d v="2023-01-16T00:00:00"/>
    <d v="2023-02-01T00:00:00"/>
    <x v="6"/>
    <x v="0"/>
    <x v="4"/>
    <s v="NF3075"/>
    <n v="3864"/>
    <n v="2023"/>
    <x v="7"/>
    <x v="7"/>
    <x v="2"/>
    <x v="3"/>
    <x v="2"/>
  </r>
  <r>
    <d v="2022-02-09T00:00:00"/>
    <d v="2022-01-09T00:00:00"/>
    <d v="2022-01-25T00:00:00"/>
    <x v="5"/>
    <x v="0"/>
    <x v="4"/>
    <s v="NF3123"/>
    <n v="3724"/>
    <n v="2022"/>
    <x v="7"/>
    <x v="7"/>
    <x v="1"/>
    <x v="7"/>
    <x v="1"/>
  </r>
  <r>
    <d v="2022-04-10T00:00:00"/>
    <d v="2022-03-10T00:00:00"/>
    <d v="2022-03-26T00:00:00"/>
    <x v="6"/>
    <x v="0"/>
    <x v="2"/>
    <s v="NF7330"/>
    <n v="2608"/>
    <n v="2022"/>
    <x v="5"/>
    <x v="5"/>
    <x v="1"/>
    <x v="6"/>
    <x v="1"/>
  </r>
  <r>
    <d v="2023-08-08T00:00:00"/>
    <d v="2023-07-08T00:00:00"/>
    <d v="2023-07-24T00:00:00"/>
    <x v="4"/>
    <x v="0"/>
    <x v="0"/>
    <s v="NF2283"/>
    <n v="226"/>
    <n v="2023"/>
    <x v="2"/>
    <x v="2"/>
    <x v="2"/>
    <x v="2"/>
    <x v="2"/>
  </r>
  <r>
    <d v="2023-11-17T00:00:00"/>
    <d v="2023-10-17T00:00:00"/>
    <d v="2023-11-02T00:00:00"/>
    <x v="2"/>
    <x v="0"/>
    <x v="4"/>
    <s v="NF2917"/>
    <n v="2039"/>
    <n v="2023"/>
    <x v="11"/>
    <x v="11"/>
    <x v="2"/>
    <x v="10"/>
    <x v="2"/>
  </r>
  <r>
    <d v="2023-10-18T00:00:00"/>
    <d v="2023-09-17T00:00:00"/>
    <d v="2023-10-03T00:00:00"/>
    <x v="7"/>
    <x v="0"/>
    <x v="0"/>
    <s v="NF5333"/>
    <n v="3601"/>
    <n v="2023"/>
    <x v="0"/>
    <x v="4"/>
    <x v="2"/>
    <x v="0"/>
    <x v="2"/>
  </r>
  <r>
    <d v="2023-06-12T00:00:00"/>
    <d v="2023-05-12T00:00:00"/>
    <d v="2023-05-28T00:00:00"/>
    <x v="3"/>
    <x v="0"/>
    <x v="1"/>
    <s v="NF1253"/>
    <n v="2554"/>
    <n v="2023"/>
    <x v="1"/>
    <x v="1"/>
    <x v="2"/>
    <x v="1"/>
    <x v="2"/>
  </r>
  <r>
    <d v="2022-12-22T00:00:00"/>
    <d v="2022-11-21T00:00:00"/>
    <d v="2022-12-07T00:00:00"/>
    <x v="4"/>
    <x v="0"/>
    <x v="0"/>
    <s v="NF4317"/>
    <n v="2079"/>
    <n v="2022"/>
    <x v="8"/>
    <x v="8"/>
    <x v="1"/>
    <x v="9"/>
    <x v="1"/>
  </r>
  <r>
    <d v="2021-02-14T00:00:00"/>
    <d v="2021-01-14T00:00:00"/>
    <d v="2021-01-30T00:00:00"/>
    <x v="6"/>
    <x v="0"/>
    <x v="0"/>
    <s v="NF5594"/>
    <n v="2113"/>
    <n v="2021"/>
    <x v="7"/>
    <x v="7"/>
    <x v="0"/>
    <x v="7"/>
    <x v="0"/>
  </r>
  <r>
    <d v="2022-12-23T00:00:00"/>
    <d v="2022-11-22T00:00:00"/>
    <d v="2022-12-08T00:00:00"/>
    <x v="2"/>
    <x v="0"/>
    <x v="1"/>
    <s v="NF6467"/>
    <n v="2175"/>
    <n v="2022"/>
    <x v="8"/>
    <x v="8"/>
    <x v="1"/>
    <x v="9"/>
    <x v="1"/>
  </r>
  <r>
    <d v="2021-05-24T00:00:00"/>
    <d v="2021-04-23T00:00:00"/>
    <d v="2021-05-09T00:00:00"/>
    <x v="6"/>
    <x v="0"/>
    <x v="0"/>
    <s v="NF4522"/>
    <n v="714"/>
    <n v="2021"/>
    <x v="10"/>
    <x v="10"/>
    <x v="0"/>
    <x v="1"/>
    <x v="0"/>
  </r>
  <r>
    <d v="2022-10-01T00:00:00"/>
    <d v="2022-08-31T00:00:00"/>
    <d v="2022-09-16T00:00:00"/>
    <x v="0"/>
    <x v="0"/>
    <x v="2"/>
    <s v="NF7236"/>
    <n v="3419"/>
    <n v="2022"/>
    <x v="0"/>
    <x v="0"/>
    <x v="1"/>
    <x v="4"/>
    <x v="1"/>
  </r>
  <r>
    <d v="2023-03-15T00:00:00"/>
    <d v="2023-02-12T00:00:00"/>
    <d v="2023-02-28T00:00:00"/>
    <x v="4"/>
    <x v="0"/>
    <x v="2"/>
    <s v="NF9541"/>
    <n v="1591"/>
    <n v="2023"/>
    <x v="3"/>
    <x v="3"/>
    <x v="2"/>
    <x v="3"/>
    <x v="2"/>
  </r>
  <r>
    <d v="2022-06-24T00:00:00"/>
    <d v="2022-05-24T00:00:00"/>
    <d v="2022-06-09T00:00:00"/>
    <x v="5"/>
    <x v="0"/>
    <x v="0"/>
    <s v="NF1987"/>
    <n v="1597"/>
    <n v="2022"/>
    <x v="1"/>
    <x v="1"/>
    <x v="1"/>
    <x v="11"/>
    <x v="1"/>
  </r>
  <r>
    <d v="2021-11-11T00:00:00"/>
    <d v="2021-10-11T00:00:00"/>
    <d v="2021-10-27T00:00:00"/>
    <x v="0"/>
    <x v="0"/>
    <x v="2"/>
    <s v="NF8227"/>
    <n v="3042"/>
    <n v="2021"/>
    <x v="11"/>
    <x v="11"/>
    <x v="0"/>
    <x v="0"/>
    <x v="0"/>
  </r>
  <r>
    <d v="2021-09-24T00:00:00"/>
    <d v="2021-08-24T00:00:00"/>
    <d v="2021-09-09T00:00:00"/>
    <x v="0"/>
    <x v="0"/>
    <x v="4"/>
    <s v="NF5647"/>
    <n v="3720"/>
    <n v="2021"/>
    <x v="4"/>
    <x v="0"/>
    <x v="0"/>
    <x v="4"/>
    <x v="0"/>
  </r>
  <r>
    <d v="2023-02-20T00:00:00"/>
    <d v="2023-01-20T00:00:00"/>
    <d v="2023-02-05T00:00:00"/>
    <x v="0"/>
    <x v="0"/>
    <x v="0"/>
    <s v="NF3734"/>
    <n v="3300"/>
    <n v="2023"/>
    <x v="7"/>
    <x v="7"/>
    <x v="2"/>
    <x v="3"/>
    <x v="2"/>
  </r>
  <r>
    <d v="2023-12-17T00:00:00"/>
    <d v="2023-11-16T00:00:00"/>
    <d v="2023-12-02T00:00:00"/>
    <x v="4"/>
    <x v="0"/>
    <x v="0"/>
    <s v="NF5911"/>
    <n v="2975"/>
    <n v="2023"/>
    <x v="8"/>
    <x v="8"/>
    <x v="2"/>
    <x v="9"/>
    <x v="2"/>
  </r>
  <r>
    <d v="2022-04-26T00:00:00"/>
    <d v="2022-03-26T00:00:00"/>
    <d v="2022-04-11T00:00:00"/>
    <x v="1"/>
    <x v="0"/>
    <x v="0"/>
    <s v="NF9749"/>
    <n v="2085"/>
    <n v="2022"/>
    <x v="5"/>
    <x v="5"/>
    <x v="1"/>
    <x v="8"/>
    <x v="1"/>
  </r>
  <r>
    <d v="2021-12-08T00:00:00"/>
    <d v="2021-11-07T00:00:00"/>
    <d v="2021-11-23T00:00:00"/>
    <x v="3"/>
    <x v="0"/>
    <x v="1"/>
    <s v="NF2197"/>
    <n v="2702"/>
    <n v="2021"/>
    <x v="8"/>
    <x v="8"/>
    <x v="0"/>
    <x v="10"/>
    <x v="0"/>
  </r>
  <r>
    <d v="2022-11-02T00:00:00"/>
    <d v="2022-10-02T00:00:00"/>
    <d v="2022-10-18T00:00:00"/>
    <x v="0"/>
    <x v="0"/>
    <x v="4"/>
    <s v="NF5573"/>
    <n v="2451"/>
    <n v="2022"/>
    <x v="11"/>
    <x v="11"/>
    <x v="1"/>
    <x v="0"/>
    <x v="1"/>
  </r>
  <r>
    <d v="2022-03-11T00:00:00"/>
    <d v="2022-02-08T00:00:00"/>
    <d v="2022-02-24T00:00:00"/>
    <x v="2"/>
    <x v="0"/>
    <x v="3"/>
    <s v="NF1814"/>
    <n v="2520"/>
    <n v="2022"/>
    <x v="3"/>
    <x v="3"/>
    <x v="1"/>
    <x v="3"/>
    <x v="1"/>
  </r>
  <r>
    <d v="2023-08-08T00:00:00"/>
    <d v="2023-07-08T00:00:00"/>
    <d v="2023-07-24T00:00:00"/>
    <x v="0"/>
    <x v="0"/>
    <x v="4"/>
    <s v="NF5467"/>
    <n v="2364"/>
    <n v="2023"/>
    <x v="2"/>
    <x v="2"/>
    <x v="2"/>
    <x v="2"/>
    <x v="2"/>
  </r>
  <r>
    <d v="2022-06-03T00:00:00"/>
    <d v="2022-05-03T00:00:00"/>
    <d v="2022-05-19T00:00:00"/>
    <x v="3"/>
    <x v="0"/>
    <x v="1"/>
    <s v="NF5002"/>
    <n v="3975"/>
    <n v="2022"/>
    <x v="1"/>
    <x v="1"/>
    <x v="1"/>
    <x v="1"/>
    <x v="1"/>
  </r>
  <r>
    <d v="2021-08-10T00:00:00"/>
    <d v="2021-07-10T00:00:00"/>
    <d v="2021-07-26T00:00:00"/>
    <x v="2"/>
    <x v="0"/>
    <x v="3"/>
    <s v="NF8231"/>
    <n v="2510"/>
    <n v="2021"/>
    <x v="2"/>
    <x v="2"/>
    <x v="0"/>
    <x v="2"/>
    <x v="0"/>
  </r>
  <r>
    <d v="2022-10-11T00:00:00"/>
    <d v="2022-09-10T00:00:00"/>
    <d v="2022-09-26T00:00:00"/>
    <x v="4"/>
    <x v="0"/>
    <x v="4"/>
    <s v="NF8314"/>
    <n v="1995"/>
    <n v="2022"/>
    <x v="0"/>
    <x v="4"/>
    <x v="1"/>
    <x v="4"/>
    <x v="1"/>
  </r>
  <r>
    <d v="2022-11-09T00:00:00"/>
    <d v="2022-10-09T00:00:00"/>
    <d v="2022-10-25T00:00:00"/>
    <x v="1"/>
    <x v="0"/>
    <x v="3"/>
    <s v="NF2971"/>
    <n v="3183"/>
    <n v="2022"/>
    <x v="11"/>
    <x v="11"/>
    <x v="1"/>
    <x v="0"/>
    <x v="1"/>
  </r>
  <r>
    <d v="2023-09-26T00:00:00"/>
    <d v="2023-08-26T00:00:00"/>
    <d v="2023-09-11T00:00:00"/>
    <x v="5"/>
    <x v="0"/>
    <x v="0"/>
    <s v="NF3430"/>
    <n v="1671"/>
    <n v="2023"/>
    <x v="4"/>
    <x v="0"/>
    <x v="2"/>
    <x v="4"/>
    <x v="2"/>
  </r>
  <r>
    <d v="2021-01-22T00:00:00"/>
    <d v="2020-12-22T00:00:00"/>
    <d v="2021-01-07T00:00:00"/>
    <x v="4"/>
    <x v="0"/>
    <x v="2"/>
    <s v="NF3456"/>
    <n v="1546"/>
    <n v="2021"/>
    <x v="6"/>
    <x v="6"/>
    <x v="3"/>
    <x v="7"/>
    <x v="0"/>
  </r>
  <r>
    <d v="2021-07-18T00:00:00"/>
    <d v="2021-06-17T00:00:00"/>
    <d v="2021-07-03T00:00:00"/>
    <x v="5"/>
    <x v="0"/>
    <x v="2"/>
    <s v="NF7545"/>
    <n v="2491"/>
    <n v="2021"/>
    <x v="9"/>
    <x v="9"/>
    <x v="0"/>
    <x v="2"/>
    <x v="0"/>
  </r>
  <r>
    <d v="2022-04-28T00:00:00"/>
    <d v="2022-03-28T00:00:00"/>
    <d v="2022-04-13T00:00:00"/>
    <x v="4"/>
    <x v="0"/>
    <x v="1"/>
    <s v="NF3181"/>
    <n v="1084"/>
    <n v="2022"/>
    <x v="5"/>
    <x v="5"/>
    <x v="1"/>
    <x v="8"/>
    <x v="1"/>
  </r>
  <r>
    <d v="2022-08-08T00:00:00"/>
    <d v="2022-07-08T00:00:00"/>
    <d v="2022-07-24T00:00:00"/>
    <x v="5"/>
    <x v="0"/>
    <x v="4"/>
    <s v="NF3277"/>
    <n v="1605"/>
    <n v="2022"/>
    <x v="2"/>
    <x v="2"/>
    <x v="1"/>
    <x v="2"/>
    <x v="1"/>
  </r>
  <r>
    <d v="2022-02-08T00:00:00"/>
    <d v="2022-01-08T00:00:00"/>
    <d v="2022-01-24T00:00:00"/>
    <x v="3"/>
    <x v="0"/>
    <x v="3"/>
    <s v="NF9776"/>
    <n v="2097"/>
    <n v="2022"/>
    <x v="7"/>
    <x v="7"/>
    <x v="1"/>
    <x v="7"/>
    <x v="1"/>
  </r>
  <r>
    <d v="2021-12-15T00:00:00"/>
    <d v="2021-11-14T00:00:00"/>
    <d v="2021-11-30T00:00:00"/>
    <x v="7"/>
    <x v="0"/>
    <x v="1"/>
    <s v="NF7071"/>
    <n v="1195"/>
    <n v="2021"/>
    <x v="8"/>
    <x v="8"/>
    <x v="0"/>
    <x v="10"/>
    <x v="0"/>
  </r>
  <r>
    <d v="2021-06-27T00:00:00"/>
    <d v="2021-05-27T00:00:00"/>
    <d v="2021-06-12T00:00:00"/>
    <x v="4"/>
    <x v="0"/>
    <x v="1"/>
    <s v="NF2922"/>
    <n v="1477"/>
    <n v="2021"/>
    <x v="1"/>
    <x v="1"/>
    <x v="0"/>
    <x v="11"/>
    <x v="0"/>
  </r>
  <r>
    <d v="2023-09-18T00:00:00"/>
    <d v="2023-08-18T00:00:00"/>
    <d v="2023-09-03T00:00:00"/>
    <x v="5"/>
    <x v="0"/>
    <x v="0"/>
    <s v="NF7856"/>
    <n v="749"/>
    <n v="2023"/>
    <x v="4"/>
    <x v="0"/>
    <x v="2"/>
    <x v="4"/>
    <x v="2"/>
  </r>
  <r>
    <d v="2022-03-28T00:00:00"/>
    <d v="2022-02-25T00:00:00"/>
    <d v="2022-03-13T00:00:00"/>
    <x v="5"/>
    <x v="0"/>
    <x v="2"/>
    <s v="NF7615"/>
    <n v="315"/>
    <n v="2022"/>
    <x v="3"/>
    <x v="3"/>
    <x v="1"/>
    <x v="6"/>
    <x v="1"/>
  </r>
  <r>
    <d v="2022-04-18T00:00:00"/>
    <d v="2022-03-18T00:00:00"/>
    <d v="2022-04-03T00:00:00"/>
    <x v="1"/>
    <x v="0"/>
    <x v="0"/>
    <s v="NF8784"/>
    <n v="449"/>
    <n v="2022"/>
    <x v="5"/>
    <x v="5"/>
    <x v="1"/>
    <x v="8"/>
    <x v="1"/>
  </r>
  <r>
    <d v="2022-04-28T00:00:00"/>
    <d v="2022-03-28T00:00:00"/>
    <d v="2022-04-13T00:00:00"/>
    <x v="0"/>
    <x v="0"/>
    <x v="3"/>
    <s v="NF7342"/>
    <n v="3694"/>
    <n v="2022"/>
    <x v="5"/>
    <x v="5"/>
    <x v="1"/>
    <x v="8"/>
    <x v="1"/>
  </r>
  <r>
    <d v="2023-09-29T00:00:00"/>
    <d v="2023-08-29T00:00:00"/>
    <d v="2023-09-14T00:00:00"/>
    <x v="1"/>
    <x v="0"/>
    <x v="2"/>
    <s v="NF9475"/>
    <n v="3424"/>
    <n v="2023"/>
    <x v="4"/>
    <x v="0"/>
    <x v="2"/>
    <x v="4"/>
    <x v="2"/>
  </r>
  <r>
    <d v="2021-12-17T00:00:00"/>
    <d v="2021-11-16T00:00:00"/>
    <d v="2021-12-02T00:00:00"/>
    <x v="2"/>
    <x v="0"/>
    <x v="4"/>
    <s v="NF6621"/>
    <n v="1537"/>
    <n v="2021"/>
    <x v="8"/>
    <x v="8"/>
    <x v="0"/>
    <x v="9"/>
    <x v="0"/>
  </r>
  <r>
    <d v="2023-12-21T00:00:00"/>
    <d v="2023-11-20T00:00:00"/>
    <d v="2023-12-06T00:00:00"/>
    <x v="0"/>
    <x v="0"/>
    <x v="0"/>
    <s v="NF1633"/>
    <n v="2795"/>
    <n v="2023"/>
    <x v="8"/>
    <x v="8"/>
    <x v="2"/>
    <x v="9"/>
    <x v="2"/>
  </r>
  <r>
    <d v="2022-06-29T00:00:00"/>
    <d v="2022-05-29T00:00:00"/>
    <d v="2022-06-14T00:00:00"/>
    <x v="3"/>
    <x v="0"/>
    <x v="2"/>
    <s v="NF9378"/>
    <n v="3596"/>
    <n v="2022"/>
    <x v="1"/>
    <x v="1"/>
    <x v="1"/>
    <x v="11"/>
    <x v="1"/>
  </r>
  <r>
    <d v="2021-05-16T00:00:00"/>
    <d v="2021-04-15T00:00:00"/>
    <d v="2021-05-01T00:00:00"/>
    <x v="7"/>
    <x v="0"/>
    <x v="4"/>
    <s v="NF2718"/>
    <n v="312"/>
    <n v="2021"/>
    <x v="10"/>
    <x v="10"/>
    <x v="0"/>
    <x v="1"/>
    <x v="0"/>
  </r>
  <r>
    <d v="2023-12-04T00:00:00"/>
    <d v="2023-11-03T00:00:00"/>
    <d v="2023-11-19T00:00:00"/>
    <x v="4"/>
    <x v="0"/>
    <x v="0"/>
    <s v="NF2589"/>
    <n v="1250"/>
    <n v="2023"/>
    <x v="8"/>
    <x v="8"/>
    <x v="2"/>
    <x v="10"/>
    <x v="2"/>
  </r>
  <r>
    <d v="2022-05-07T00:00:00"/>
    <d v="2022-04-06T00:00:00"/>
    <d v="2022-04-22T00:00:00"/>
    <x v="4"/>
    <x v="0"/>
    <x v="3"/>
    <s v="NF9242"/>
    <n v="3599"/>
    <n v="2022"/>
    <x v="10"/>
    <x v="10"/>
    <x v="1"/>
    <x v="8"/>
    <x v="1"/>
  </r>
  <r>
    <d v="2021-06-25T00:00:00"/>
    <d v="2021-05-25T00:00:00"/>
    <d v="2021-06-10T00:00:00"/>
    <x v="0"/>
    <x v="0"/>
    <x v="1"/>
    <s v="NF8178"/>
    <n v="1877"/>
    <n v="2021"/>
    <x v="1"/>
    <x v="1"/>
    <x v="0"/>
    <x v="11"/>
    <x v="0"/>
  </r>
  <r>
    <d v="2023-12-18T00:00:00"/>
    <d v="2023-11-17T00:00:00"/>
    <d v="2023-12-03T00:00:00"/>
    <x v="1"/>
    <x v="0"/>
    <x v="2"/>
    <s v="NF2065"/>
    <n v="162"/>
    <n v="2023"/>
    <x v="8"/>
    <x v="8"/>
    <x v="2"/>
    <x v="9"/>
    <x v="2"/>
  </r>
  <r>
    <d v="2021-08-02T00:00:00"/>
    <d v="2021-07-02T00:00:00"/>
    <d v="2021-07-18T00:00:00"/>
    <x v="1"/>
    <x v="0"/>
    <x v="0"/>
    <s v="NF1117"/>
    <n v="486"/>
    <n v="2021"/>
    <x v="2"/>
    <x v="2"/>
    <x v="0"/>
    <x v="2"/>
    <x v="0"/>
  </r>
  <r>
    <d v="2021-12-31T00:00:00"/>
    <d v="2021-11-30T00:00:00"/>
    <d v="2021-12-16T00:00:00"/>
    <x v="4"/>
    <x v="0"/>
    <x v="2"/>
    <s v="NF4145"/>
    <n v="1406"/>
    <n v="2021"/>
    <x v="8"/>
    <x v="8"/>
    <x v="0"/>
    <x v="9"/>
    <x v="0"/>
  </r>
  <r>
    <d v="2022-04-08T00:00:00"/>
    <d v="2022-03-08T00:00:00"/>
    <d v="2022-03-24T00:00:00"/>
    <x v="1"/>
    <x v="0"/>
    <x v="3"/>
    <s v="NF1736"/>
    <n v="3316"/>
    <n v="2022"/>
    <x v="5"/>
    <x v="5"/>
    <x v="1"/>
    <x v="6"/>
    <x v="1"/>
  </r>
  <r>
    <d v="2022-06-03T00:00:00"/>
    <d v="2022-05-03T00:00:00"/>
    <d v="2022-05-19T00:00:00"/>
    <x v="5"/>
    <x v="0"/>
    <x v="0"/>
    <s v="NF1283"/>
    <n v="2462"/>
    <n v="2022"/>
    <x v="1"/>
    <x v="1"/>
    <x v="1"/>
    <x v="1"/>
    <x v="1"/>
  </r>
  <r>
    <d v="2021-01-05T00:00:00"/>
    <d v="2020-12-05T00:00:00"/>
    <d v="2020-12-21T00:00:00"/>
    <x v="0"/>
    <x v="0"/>
    <x v="4"/>
    <s v="NF0438"/>
    <n v="1090"/>
    <n v="2021"/>
    <x v="6"/>
    <x v="6"/>
    <x v="3"/>
    <x v="9"/>
    <x v="3"/>
  </r>
  <r>
    <d v="2021-12-21T00:00:00"/>
    <d v="2021-11-20T00:00:00"/>
    <d v="2021-12-06T00:00:00"/>
    <x v="7"/>
    <x v="0"/>
    <x v="3"/>
    <s v="NF6763"/>
    <n v="1364"/>
    <n v="2021"/>
    <x v="8"/>
    <x v="8"/>
    <x v="0"/>
    <x v="9"/>
    <x v="0"/>
  </r>
  <r>
    <d v="2021-07-18T00:00:00"/>
    <d v="2021-06-17T00:00:00"/>
    <d v="2021-07-03T00:00:00"/>
    <x v="4"/>
    <x v="0"/>
    <x v="2"/>
    <s v="NF1747"/>
    <n v="2880"/>
    <n v="2021"/>
    <x v="9"/>
    <x v="9"/>
    <x v="0"/>
    <x v="2"/>
    <x v="0"/>
  </r>
  <r>
    <d v="2021-12-08T00:00:00"/>
    <d v="2021-11-07T00:00:00"/>
    <d v="2021-11-23T00:00:00"/>
    <x v="3"/>
    <x v="0"/>
    <x v="0"/>
    <s v="NF6653"/>
    <n v="436"/>
    <n v="2021"/>
    <x v="8"/>
    <x v="8"/>
    <x v="0"/>
    <x v="10"/>
    <x v="0"/>
  </r>
  <r>
    <d v="2022-03-10T00:00:00"/>
    <d v="2022-02-07T00:00:00"/>
    <d v="2022-02-23T00:00:00"/>
    <x v="4"/>
    <x v="0"/>
    <x v="4"/>
    <s v="NF0471"/>
    <n v="1362"/>
    <n v="2022"/>
    <x v="3"/>
    <x v="3"/>
    <x v="1"/>
    <x v="3"/>
    <x v="1"/>
  </r>
  <r>
    <d v="2022-04-07T00:00:00"/>
    <d v="2022-03-07T00:00:00"/>
    <d v="2022-03-23T00:00:00"/>
    <x v="4"/>
    <x v="0"/>
    <x v="3"/>
    <s v="NF3453"/>
    <n v="1694"/>
    <n v="2022"/>
    <x v="5"/>
    <x v="5"/>
    <x v="1"/>
    <x v="6"/>
    <x v="1"/>
  </r>
  <r>
    <d v="2021-01-05T00:00:00"/>
    <d v="2020-12-05T00:00:00"/>
    <d v="2020-12-21T00:00:00"/>
    <x v="3"/>
    <x v="0"/>
    <x v="3"/>
    <s v="NF3695"/>
    <n v="2839"/>
    <n v="2021"/>
    <x v="6"/>
    <x v="6"/>
    <x v="3"/>
    <x v="9"/>
    <x v="3"/>
  </r>
  <r>
    <d v="2022-05-11T00:00:00"/>
    <d v="2022-04-10T00:00:00"/>
    <d v="2022-04-26T00:00:00"/>
    <x v="1"/>
    <x v="0"/>
    <x v="3"/>
    <s v="NF5670"/>
    <n v="682"/>
    <n v="2022"/>
    <x v="10"/>
    <x v="10"/>
    <x v="1"/>
    <x v="8"/>
    <x v="1"/>
  </r>
  <r>
    <d v="2022-05-11T00:00:00"/>
    <d v="2022-04-10T00:00:00"/>
    <d v="2022-04-26T00:00:00"/>
    <x v="7"/>
    <x v="0"/>
    <x v="4"/>
    <s v="NF9348"/>
    <n v="1248"/>
    <n v="2022"/>
    <x v="10"/>
    <x v="10"/>
    <x v="1"/>
    <x v="8"/>
    <x v="1"/>
  </r>
  <r>
    <d v="2021-12-11T00:00:00"/>
    <d v="2021-11-10T00:00:00"/>
    <d v="2021-11-26T00:00:00"/>
    <x v="1"/>
    <x v="0"/>
    <x v="1"/>
    <s v="NF2504"/>
    <n v="3989"/>
    <n v="2021"/>
    <x v="8"/>
    <x v="8"/>
    <x v="0"/>
    <x v="10"/>
    <x v="0"/>
  </r>
  <r>
    <d v="2021-01-12T00:00:00"/>
    <d v="2020-12-12T00:00:00"/>
    <d v="2020-12-28T00:00:00"/>
    <x v="3"/>
    <x v="0"/>
    <x v="1"/>
    <s v="NF4386"/>
    <n v="2417"/>
    <n v="2021"/>
    <x v="6"/>
    <x v="6"/>
    <x v="3"/>
    <x v="9"/>
    <x v="3"/>
  </r>
  <r>
    <d v="2021-06-20T00:00:00"/>
    <d v="2021-05-20T00:00:00"/>
    <d v="2021-06-05T00:00:00"/>
    <x v="2"/>
    <x v="0"/>
    <x v="3"/>
    <s v="NF5665"/>
    <n v="3467"/>
    <n v="2021"/>
    <x v="1"/>
    <x v="1"/>
    <x v="0"/>
    <x v="11"/>
    <x v="0"/>
  </r>
  <r>
    <d v="2022-05-07T00:00:00"/>
    <d v="2022-04-06T00:00:00"/>
    <d v="2022-04-22T00:00:00"/>
    <x v="7"/>
    <x v="0"/>
    <x v="4"/>
    <s v="NF8206"/>
    <n v="1592"/>
    <n v="2022"/>
    <x v="10"/>
    <x v="10"/>
    <x v="1"/>
    <x v="8"/>
    <x v="1"/>
  </r>
  <r>
    <d v="2022-05-08T00:00:00"/>
    <d v="2022-04-07T00:00:00"/>
    <d v="2022-04-23T00:00:00"/>
    <x v="1"/>
    <x v="0"/>
    <x v="2"/>
    <s v="NF5106"/>
    <n v="1264"/>
    <n v="2022"/>
    <x v="10"/>
    <x v="10"/>
    <x v="1"/>
    <x v="8"/>
    <x v="1"/>
  </r>
  <r>
    <d v="2023-11-12T00:00:00"/>
    <d v="2023-10-12T00:00:00"/>
    <d v="2023-10-28T00:00:00"/>
    <x v="2"/>
    <x v="0"/>
    <x v="2"/>
    <s v="NF1670"/>
    <n v="204"/>
    <n v="2023"/>
    <x v="11"/>
    <x v="11"/>
    <x v="2"/>
    <x v="0"/>
    <x v="2"/>
  </r>
  <r>
    <d v="2021-02-06T00:00:00"/>
    <d v="2021-01-06T00:00:00"/>
    <d v="2021-01-22T00:00:00"/>
    <x v="2"/>
    <x v="0"/>
    <x v="3"/>
    <s v="NF8736"/>
    <n v="962"/>
    <n v="2021"/>
    <x v="7"/>
    <x v="7"/>
    <x v="0"/>
    <x v="7"/>
    <x v="0"/>
  </r>
  <r>
    <d v="2023-05-06T00:00:00"/>
    <d v="2023-04-05T00:00:00"/>
    <d v="2023-04-21T00:00:00"/>
    <x v="6"/>
    <x v="0"/>
    <x v="2"/>
    <s v="NF8128"/>
    <n v="1942"/>
    <n v="2023"/>
    <x v="10"/>
    <x v="10"/>
    <x v="2"/>
    <x v="8"/>
    <x v="2"/>
  </r>
  <r>
    <d v="2023-06-14T00:00:00"/>
    <d v="2023-05-14T00:00:00"/>
    <d v="2023-05-30T00:00:00"/>
    <x v="2"/>
    <x v="0"/>
    <x v="1"/>
    <s v="NF0560"/>
    <n v="338"/>
    <n v="2023"/>
    <x v="1"/>
    <x v="1"/>
    <x v="2"/>
    <x v="1"/>
    <x v="2"/>
  </r>
  <r>
    <d v="2023-01-07T00:00:00"/>
    <d v="2022-12-07T00:00:00"/>
    <d v="2022-12-23T00:00:00"/>
    <x v="1"/>
    <x v="0"/>
    <x v="3"/>
    <s v="NF8038"/>
    <n v="2464"/>
    <n v="2023"/>
    <x v="6"/>
    <x v="6"/>
    <x v="1"/>
    <x v="9"/>
    <x v="1"/>
  </r>
  <r>
    <d v="2021-05-24T00:00:00"/>
    <d v="2021-04-23T00:00:00"/>
    <d v="2021-05-09T00:00:00"/>
    <x v="6"/>
    <x v="0"/>
    <x v="1"/>
    <s v="NF3221"/>
    <n v="744"/>
    <n v="2021"/>
    <x v="10"/>
    <x v="10"/>
    <x v="0"/>
    <x v="1"/>
    <x v="0"/>
  </r>
  <r>
    <d v="2023-10-04T00:00:00"/>
    <d v="2023-09-03T00:00:00"/>
    <d v="2023-09-19T00:00:00"/>
    <x v="6"/>
    <x v="0"/>
    <x v="3"/>
    <s v="NF2045"/>
    <n v="3239"/>
    <n v="2023"/>
    <x v="0"/>
    <x v="4"/>
    <x v="2"/>
    <x v="4"/>
    <x v="2"/>
  </r>
  <r>
    <d v="2021-02-21T00:00:00"/>
    <d v="2021-01-21T00:00:00"/>
    <d v="2021-02-06T00:00:00"/>
    <x v="0"/>
    <x v="0"/>
    <x v="1"/>
    <s v="NF4752"/>
    <n v="2457"/>
    <n v="2021"/>
    <x v="7"/>
    <x v="7"/>
    <x v="0"/>
    <x v="3"/>
    <x v="0"/>
  </r>
  <r>
    <d v="2021-05-24T00:00:00"/>
    <d v="2021-04-23T00:00:00"/>
    <d v="2021-05-09T00:00:00"/>
    <x v="0"/>
    <x v="0"/>
    <x v="4"/>
    <s v="NF3348"/>
    <n v="3305"/>
    <n v="2021"/>
    <x v="10"/>
    <x v="10"/>
    <x v="0"/>
    <x v="1"/>
    <x v="0"/>
  </r>
  <r>
    <d v="2023-08-25T00:00:00"/>
    <d v="2023-07-25T00:00:00"/>
    <d v="2023-08-10T00:00:00"/>
    <x v="5"/>
    <x v="0"/>
    <x v="3"/>
    <s v="NF0424"/>
    <n v="936"/>
    <n v="2023"/>
    <x v="2"/>
    <x v="2"/>
    <x v="2"/>
    <x v="5"/>
    <x v="2"/>
  </r>
  <r>
    <d v="2021-05-02T00:00:00"/>
    <d v="2021-04-01T00:00:00"/>
    <d v="2021-04-17T00:00:00"/>
    <x v="4"/>
    <x v="0"/>
    <x v="3"/>
    <s v="NF2019"/>
    <n v="2517"/>
    <n v="2021"/>
    <x v="10"/>
    <x v="10"/>
    <x v="0"/>
    <x v="8"/>
    <x v="0"/>
  </r>
  <r>
    <d v="2023-01-20T00:00:00"/>
    <d v="2022-12-20T00:00:00"/>
    <d v="2023-01-05T00:00:00"/>
    <x v="7"/>
    <x v="0"/>
    <x v="2"/>
    <s v="NF9881"/>
    <n v="609"/>
    <n v="2023"/>
    <x v="6"/>
    <x v="6"/>
    <x v="1"/>
    <x v="7"/>
    <x v="2"/>
  </r>
  <r>
    <d v="2023-03-07T00:00:00"/>
    <d v="2023-02-04T00:00:00"/>
    <d v="2023-02-20T00:00:00"/>
    <x v="6"/>
    <x v="0"/>
    <x v="1"/>
    <s v="NF3352"/>
    <n v="3432"/>
    <n v="2023"/>
    <x v="3"/>
    <x v="3"/>
    <x v="2"/>
    <x v="3"/>
    <x v="2"/>
  </r>
  <r>
    <d v="2022-04-06T00:00:00"/>
    <d v="2022-03-06T00:00:00"/>
    <d v="2022-03-22T00:00:00"/>
    <x v="2"/>
    <x v="0"/>
    <x v="4"/>
    <s v="NF4127"/>
    <n v="2798"/>
    <n v="2022"/>
    <x v="5"/>
    <x v="5"/>
    <x v="1"/>
    <x v="6"/>
    <x v="1"/>
  </r>
  <r>
    <d v="2023-04-16T00:00:00"/>
    <d v="2023-03-16T00:00:00"/>
    <d v="2023-04-01T00:00:00"/>
    <x v="4"/>
    <x v="0"/>
    <x v="3"/>
    <s v="NF6271"/>
    <n v="3926"/>
    <n v="2023"/>
    <x v="5"/>
    <x v="5"/>
    <x v="2"/>
    <x v="8"/>
    <x v="2"/>
  </r>
  <r>
    <d v="2022-09-21T00:00:00"/>
    <d v="2022-08-21T00:00:00"/>
    <d v="2022-09-06T00:00:00"/>
    <x v="4"/>
    <x v="0"/>
    <x v="0"/>
    <s v="NF2110"/>
    <n v="1213"/>
    <n v="2022"/>
    <x v="4"/>
    <x v="0"/>
    <x v="1"/>
    <x v="4"/>
    <x v="1"/>
  </r>
  <r>
    <d v="2022-03-29T00:00:00"/>
    <d v="2022-02-26T00:00:00"/>
    <d v="2022-03-14T00:00:00"/>
    <x v="1"/>
    <x v="0"/>
    <x v="3"/>
    <s v="NF8637"/>
    <n v="2234"/>
    <n v="2022"/>
    <x v="3"/>
    <x v="3"/>
    <x v="1"/>
    <x v="6"/>
    <x v="1"/>
  </r>
  <r>
    <d v="2021-04-14T00:00:00"/>
    <d v="2021-03-14T00:00:00"/>
    <d v="2021-03-30T00:00:00"/>
    <x v="0"/>
    <x v="0"/>
    <x v="3"/>
    <s v="NF6061"/>
    <n v="3623"/>
    <n v="2021"/>
    <x v="5"/>
    <x v="5"/>
    <x v="0"/>
    <x v="6"/>
    <x v="0"/>
  </r>
  <r>
    <d v="2021-01-23T00:00:00"/>
    <d v="2020-12-23T00:00:00"/>
    <d v="2021-01-08T00:00:00"/>
    <x v="3"/>
    <x v="0"/>
    <x v="1"/>
    <s v="NF0719"/>
    <n v="1914"/>
    <n v="2021"/>
    <x v="6"/>
    <x v="6"/>
    <x v="3"/>
    <x v="7"/>
    <x v="0"/>
  </r>
  <r>
    <d v="2021-12-14T00:00:00"/>
    <d v="2021-11-13T00:00:00"/>
    <d v="2021-11-29T00:00:00"/>
    <x v="2"/>
    <x v="0"/>
    <x v="4"/>
    <s v="NF4614"/>
    <n v="1548"/>
    <n v="2021"/>
    <x v="8"/>
    <x v="8"/>
    <x v="0"/>
    <x v="10"/>
    <x v="0"/>
  </r>
  <r>
    <d v="2023-02-20T00:00:00"/>
    <d v="2023-01-20T00:00:00"/>
    <d v="2023-02-05T00:00:00"/>
    <x v="0"/>
    <x v="0"/>
    <x v="2"/>
    <s v="NF8066"/>
    <n v="3834"/>
    <n v="2023"/>
    <x v="7"/>
    <x v="7"/>
    <x v="2"/>
    <x v="3"/>
    <x v="2"/>
  </r>
  <r>
    <d v="2023-09-06T00:00:00"/>
    <d v="2023-08-06T00:00:00"/>
    <d v="2023-08-22T00:00:00"/>
    <x v="5"/>
    <x v="0"/>
    <x v="0"/>
    <s v="NF0510"/>
    <n v="3339"/>
    <n v="2023"/>
    <x v="4"/>
    <x v="0"/>
    <x v="2"/>
    <x v="5"/>
    <x v="2"/>
  </r>
  <r>
    <d v="2022-12-15T00:00:00"/>
    <d v="2022-11-14T00:00:00"/>
    <d v="2022-11-30T00:00:00"/>
    <x v="1"/>
    <x v="0"/>
    <x v="3"/>
    <s v="NF1481"/>
    <n v="165"/>
    <n v="2022"/>
    <x v="8"/>
    <x v="8"/>
    <x v="1"/>
    <x v="10"/>
    <x v="1"/>
  </r>
  <r>
    <d v="2022-06-02T00:00:00"/>
    <d v="2022-05-02T00:00:00"/>
    <d v="2022-05-18T00:00:00"/>
    <x v="3"/>
    <x v="0"/>
    <x v="1"/>
    <s v="NF1870"/>
    <n v="2049"/>
    <n v="2022"/>
    <x v="1"/>
    <x v="1"/>
    <x v="1"/>
    <x v="1"/>
    <x v="1"/>
  </r>
  <r>
    <d v="2022-09-01T00:00:00"/>
    <d v="2022-08-01T00:00:00"/>
    <d v="2022-08-17T00:00:00"/>
    <x v="2"/>
    <x v="0"/>
    <x v="2"/>
    <s v="NF7607"/>
    <n v="3047"/>
    <n v="2022"/>
    <x v="4"/>
    <x v="0"/>
    <x v="1"/>
    <x v="5"/>
    <x v="1"/>
  </r>
  <r>
    <d v="2023-12-03T00:00:00"/>
    <d v="2023-11-02T00:00:00"/>
    <d v="2023-11-18T00:00:00"/>
    <x v="1"/>
    <x v="0"/>
    <x v="4"/>
    <s v="NF3537"/>
    <n v="1102"/>
    <n v="2023"/>
    <x v="8"/>
    <x v="8"/>
    <x v="2"/>
    <x v="10"/>
    <x v="2"/>
  </r>
  <r>
    <d v="2021-08-21T00:00:00"/>
    <d v="2021-07-21T00:00:00"/>
    <d v="2021-08-06T00:00:00"/>
    <x v="1"/>
    <x v="0"/>
    <x v="0"/>
    <s v="NF0685"/>
    <n v="3820"/>
    <n v="2021"/>
    <x v="2"/>
    <x v="2"/>
    <x v="0"/>
    <x v="5"/>
    <x v="0"/>
  </r>
  <r>
    <d v="2022-05-23T00:00:00"/>
    <d v="2022-04-22T00:00:00"/>
    <d v="2022-05-08T00:00:00"/>
    <x v="3"/>
    <x v="0"/>
    <x v="2"/>
    <s v="NF8574"/>
    <n v="758"/>
    <n v="2022"/>
    <x v="10"/>
    <x v="10"/>
    <x v="1"/>
    <x v="1"/>
    <x v="1"/>
  </r>
  <r>
    <d v="2023-11-22T00:00:00"/>
    <d v="2023-10-22T00:00:00"/>
    <d v="2023-11-07T00:00:00"/>
    <x v="2"/>
    <x v="0"/>
    <x v="4"/>
    <s v="NF8393"/>
    <n v="2942"/>
    <n v="2023"/>
    <x v="11"/>
    <x v="11"/>
    <x v="2"/>
    <x v="10"/>
    <x v="2"/>
  </r>
  <r>
    <d v="2021-11-17T00:00:00"/>
    <d v="2021-10-17T00:00:00"/>
    <d v="2021-11-02T00:00:00"/>
    <x v="3"/>
    <x v="0"/>
    <x v="4"/>
    <s v="NF6639"/>
    <n v="2195"/>
    <n v="2021"/>
    <x v="11"/>
    <x v="11"/>
    <x v="0"/>
    <x v="10"/>
    <x v="0"/>
  </r>
  <r>
    <d v="2021-12-15T00:00:00"/>
    <d v="2021-11-14T00:00:00"/>
    <d v="2021-11-30T00:00:00"/>
    <x v="2"/>
    <x v="0"/>
    <x v="4"/>
    <s v="NF6513"/>
    <n v="1904"/>
    <n v="2021"/>
    <x v="8"/>
    <x v="8"/>
    <x v="0"/>
    <x v="10"/>
    <x v="0"/>
  </r>
  <r>
    <d v="2023-08-20T00:00:00"/>
    <d v="2023-07-20T00:00:00"/>
    <d v="2023-08-05T00:00:00"/>
    <x v="6"/>
    <x v="0"/>
    <x v="3"/>
    <s v="NF3162"/>
    <n v="3341"/>
    <n v="2023"/>
    <x v="2"/>
    <x v="2"/>
    <x v="2"/>
    <x v="5"/>
    <x v="2"/>
  </r>
  <r>
    <d v="2022-11-30T00:00:00"/>
    <d v="2022-10-30T00:00:00"/>
    <d v="2022-11-15T00:00:00"/>
    <x v="0"/>
    <x v="0"/>
    <x v="1"/>
    <s v="NF8724"/>
    <n v="619"/>
    <n v="2022"/>
    <x v="11"/>
    <x v="11"/>
    <x v="1"/>
    <x v="10"/>
    <x v="1"/>
  </r>
  <r>
    <d v="2022-03-01T00:00:00"/>
    <d v="2022-01-29T00:00:00"/>
    <d v="2022-02-14T00:00:00"/>
    <x v="3"/>
    <x v="0"/>
    <x v="4"/>
    <s v="NF3485"/>
    <n v="1510"/>
    <n v="2022"/>
    <x v="3"/>
    <x v="7"/>
    <x v="1"/>
    <x v="3"/>
    <x v="1"/>
  </r>
  <r>
    <d v="2022-06-02T00:00:00"/>
    <d v="2022-05-02T00:00:00"/>
    <d v="2022-05-18T00:00:00"/>
    <x v="2"/>
    <x v="0"/>
    <x v="0"/>
    <s v="NF2417"/>
    <n v="154"/>
    <n v="2022"/>
    <x v="1"/>
    <x v="1"/>
    <x v="1"/>
    <x v="1"/>
    <x v="1"/>
  </r>
  <r>
    <d v="2023-02-21T00:00:00"/>
    <d v="2023-01-21T00:00:00"/>
    <d v="2023-02-06T00:00:00"/>
    <x v="3"/>
    <x v="0"/>
    <x v="3"/>
    <s v="NF8874"/>
    <n v="2967"/>
    <n v="2023"/>
    <x v="7"/>
    <x v="7"/>
    <x v="2"/>
    <x v="3"/>
    <x v="2"/>
  </r>
  <r>
    <d v="2021-06-14T00:00:00"/>
    <d v="2021-05-14T00:00:00"/>
    <d v="2021-05-30T00:00:00"/>
    <x v="5"/>
    <x v="0"/>
    <x v="3"/>
    <s v="NF3372"/>
    <n v="2518"/>
    <n v="2021"/>
    <x v="1"/>
    <x v="1"/>
    <x v="0"/>
    <x v="1"/>
    <x v="0"/>
  </r>
  <r>
    <d v="2022-06-20T00:00:00"/>
    <d v="2022-05-20T00:00:00"/>
    <d v="2022-06-05T00:00:00"/>
    <x v="2"/>
    <x v="0"/>
    <x v="2"/>
    <s v="NF8737"/>
    <n v="1195"/>
    <n v="2022"/>
    <x v="1"/>
    <x v="1"/>
    <x v="1"/>
    <x v="11"/>
    <x v="1"/>
  </r>
  <r>
    <d v="2021-05-15T00:00:00"/>
    <d v="2021-04-14T00:00:00"/>
    <d v="2021-04-30T00:00:00"/>
    <x v="4"/>
    <x v="0"/>
    <x v="1"/>
    <s v="NF1915"/>
    <n v="1802"/>
    <n v="2021"/>
    <x v="10"/>
    <x v="10"/>
    <x v="0"/>
    <x v="8"/>
    <x v="0"/>
  </r>
  <r>
    <d v="2021-06-16T00:00:00"/>
    <d v="2021-05-16T00:00:00"/>
    <d v="2021-06-01T00:00:00"/>
    <x v="5"/>
    <x v="0"/>
    <x v="4"/>
    <s v="NF8664"/>
    <n v="2099"/>
    <n v="2021"/>
    <x v="1"/>
    <x v="1"/>
    <x v="0"/>
    <x v="11"/>
    <x v="0"/>
  </r>
  <r>
    <d v="2022-09-15T00:00:00"/>
    <d v="2022-08-15T00:00:00"/>
    <d v="2022-08-31T00:00:00"/>
    <x v="6"/>
    <x v="0"/>
    <x v="2"/>
    <s v="NF4032"/>
    <n v="3630"/>
    <n v="2022"/>
    <x v="4"/>
    <x v="0"/>
    <x v="1"/>
    <x v="5"/>
    <x v="1"/>
  </r>
  <r>
    <d v="2023-02-27T00:00:00"/>
    <d v="2023-01-27T00:00:00"/>
    <d v="2023-02-12T00:00:00"/>
    <x v="0"/>
    <x v="0"/>
    <x v="4"/>
    <s v="NF6068"/>
    <n v="285"/>
    <n v="2023"/>
    <x v="7"/>
    <x v="7"/>
    <x v="2"/>
    <x v="3"/>
    <x v="2"/>
  </r>
  <r>
    <d v="2022-09-05T00:00:00"/>
    <d v="2022-08-05T00:00:00"/>
    <d v="2022-08-21T00:00:00"/>
    <x v="2"/>
    <x v="0"/>
    <x v="1"/>
    <s v="NF5792"/>
    <n v="1802"/>
    <n v="2022"/>
    <x v="4"/>
    <x v="0"/>
    <x v="1"/>
    <x v="5"/>
    <x v="1"/>
  </r>
  <r>
    <d v="2023-07-30T00:00:00"/>
    <d v="2023-06-29T00:00:00"/>
    <d v="2023-07-15T00:00:00"/>
    <x v="3"/>
    <x v="0"/>
    <x v="3"/>
    <s v="NF3757"/>
    <n v="984"/>
    <n v="2023"/>
    <x v="9"/>
    <x v="9"/>
    <x v="2"/>
    <x v="2"/>
    <x v="2"/>
  </r>
  <r>
    <d v="2021-01-25T00:00:00"/>
    <d v="2020-12-25T00:00:00"/>
    <d v="2021-01-10T00:00:00"/>
    <x v="0"/>
    <x v="0"/>
    <x v="1"/>
    <s v="NF6688"/>
    <n v="2070"/>
    <n v="2021"/>
    <x v="6"/>
    <x v="6"/>
    <x v="3"/>
    <x v="7"/>
    <x v="0"/>
  </r>
  <r>
    <d v="2022-03-28T00:00:00"/>
    <d v="2022-02-25T00:00:00"/>
    <d v="2022-03-13T00:00:00"/>
    <x v="6"/>
    <x v="0"/>
    <x v="4"/>
    <s v="NF1215"/>
    <n v="1565"/>
    <n v="2022"/>
    <x v="3"/>
    <x v="3"/>
    <x v="1"/>
    <x v="6"/>
    <x v="1"/>
  </r>
  <r>
    <d v="2021-02-25T00:00:00"/>
    <d v="2021-01-25T00:00:00"/>
    <d v="2021-02-10T00:00:00"/>
    <x v="3"/>
    <x v="0"/>
    <x v="0"/>
    <s v="NF3702"/>
    <n v="720"/>
    <n v="2021"/>
    <x v="7"/>
    <x v="7"/>
    <x v="0"/>
    <x v="3"/>
    <x v="0"/>
  </r>
  <r>
    <d v="2023-12-21T00:00:00"/>
    <d v="2023-11-20T00:00:00"/>
    <d v="2023-12-06T00:00:00"/>
    <x v="3"/>
    <x v="0"/>
    <x v="4"/>
    <s v="NF1754"/>
    <n v="1007"/>
    <n v="2023"/>
    <x v="8"/>
    <x v="8"/>
    <x v="2"/>
    <x v="9"/>
    <x v="2"/>
  </r>
  <r>
    <d v="2023-05-17T00:00:00"/>
    <d v="2023-04-16T00:00:00"/>
    <d v="2023-05-02T00:00:00"/>
    <x v="6"/>
    <x v="0"/>
    <x v="0"/>
    <s v="NF7818"/>
    <n v="3238"/>
    <n v="2023"/>
    <x v="10"/>
    <x v="10"/>
    <x v="2"/>
    <x v="1"/>
    <x v="2"/>
  </r>
  <r>
    <d v="2022-07-19T00:00:00"/>
    <d v="2022-06-18T00:00:00"/>
    <d v="2022-07-04T00:00:00"/>
    <x v="7"/>
    <x v="0"/>
    <x v="0"/>
    <s v="NF9876"/>
    <n v="1402"/>
    <n v="2022"/>
    <x v="9"/>
    <x v="9"/>
    <x v="1"/>
    <x v="2"/>
    <x v="1"/>
  </r>
  <r>
    <d v="2022-05-04T00:00:00"/>
    <d v="2022-04-03T00:00:00"/>
    <d v="2022-04-19T00:00:00"/>
    <x v="6"/>
    <x v="0"/>
    <x v="1"/>
    <s v="NF9371"/>
    <n v="2027"/>
    <n v="2022"/>
    <x v="10"/>
    <x v="10"/>
    <x v="1"/>
    <x v="8"/>
    <x v="1"/>
  </r>
  <r>
    <d v="2023-03-31T00:00:00"/>
    <d v="2023-02-28T00:00:00"/>
    <d v="2023-03-16T00:00:00"/>
    <x v="2"/>
    <x v="0"/>
    <x v="4"/>
    <s v="NF5621"/>
    <n v="1644"/>
    <n v="2023"/>
    <x v="3"/>
    <x v="3"/>
    <x v="2"/>
    <x v="6"/>
    <x v="2"/>
  </r>
  <r>
    <d v="2023-06-12T00:00:00"/>
    <d v="2023-05-12T00:00:00"/>
    <d v="2023-05-28T00:00:00"/>
    <x v="7"/>
    <x v="0"/>
    <x v="2"/>
    <s v="NF0843"/>
    <n v="1379"/>
    <n v="2023"/>
    <x v="1"/>
    <x v="1"/>
    <x v="2"/>
    <x v="1"/>
    <x v="2"/>
  </r>
  <r>
    <d v="2021-09-17T19:57:23"/>
    <d v="2021-08-13T00:00:00"/>
    <d v="2021-09-17T19:57:23"/>
    <x v="2"/>
    <x v="0"/>
    <x v="5"/>
    <s v="NF5356"/>
    <n v="651"/>
    <n v="2021"/>
    <x v="4"/>
    <x v="0"/>
    <x v="0"/>
    <x v="4"/>
    <x v="0"/>
  </r>
  <r>
    <d v="2021-09-05T19:43:29"/>
    <d v="2021-08-18T00:00:00"/>
    <d v="2021-09-05T19:43:29"/>
    <x v="0"/>
    <x v="0"/>
    <x v="0"/>
    <s v="NF1847"/>
    <n v="131"/>
    <n v="2021"/>
    <x v="4"/>
    <x v="0"/>
    <x v="0"/>
    <x v="4"/>
    <x v="0"/>
  </r>
  <r>
    <d v="2021-09-26T09:36:33"/>
    <d v="2021-08-23T00:00:00"/>
    <d v="2021-09-26T09:36:33"/>
    <x v="3"/>
    <x v="0"/>
    <x v="0"/>
    <s v="NF7011"/>
    <n v="803"/>
    <n v="2021"/>
    <x v="4"/>
    <x v="0"/>
    <x v="0"/>
    <x v="4"/>
    <x v="0"/>
  </r>
  <r>
    <d v="2021-09-24T01:23:44"/>
    <d v="2021-08-24T00:00:00"/>
    <d v="2021-09-24T01:23:44"/>
    <x v="3"/>
    <x v="0"/>
    <x v="5"/>
    <s v="NF7746"/>
    <n v="4460"/>
    <n v="2021"/>
    <x v="4"/>
    <x v="0"/>
    <x v="0"/>
    <x v="4"/>
    <x v="0"/>
  </r>
  <r>
    <d v="2021-09-02T08:36:39"/>
    <d v="2021-08-25T00:00:00"/>
    <d v="2021-09-02T08:36:39"/>
    <x v="8"/>
    <x v="0"/>
    <x v="2"/>
    <s v="NF1507"/>
    <n v="299"/>
    <n v="2021"/>
    <x v="4"/>
    <x v="0"/>
    <x v="0"/>
    <x v="4"/>
    <x v="0"/>
  </r>
  <r>
    <d v="2021-10-06T14:20:21"/>
    <d v="2021-08-29T00:00:00"/>
    <d v="2021-10-06T14:20:21"/>
    <x v="1"/>
    <x v="0"/>
    <x v="5"/>
    <s v="NF5445"/>
    <n v="618"/>
    <n v="2021"/>
    <x v="0"/>
    <x v="0"/>
    <x v="0"/>
    <x v="0"/>
    <x v="0"/>
  </r>
  <r>
    <d v="2021-09-12T02:40:54"/>
    <d v="2021-09-01T00:00:00"/>
    <d v="2021-09-02T13:21:31"/>
    <x v="1"/>
    <x v="0"/>
    <x v="5"/>
    <s v="NF7526"/>
    <n v="2505"/>
    <n v="2021"/>
    <x v="4"/>
    <x v="4"/>
    <x v="0"/>
    <x v="4"/>
    <x v="0"/>
  </r>
  <r>
    <d v="2021-09-09T10:01:19"/>
    <d v="2021-09-04T00:00:00"/>
    <d v="2021-09-09T10:01:19"/>
    <x v="6"/>
    <x v="0"/>
    <x v="0"/>
    <s v="NF7559"/>
    <n v="817"/>
    <n v="2021"/>
    <x v="4"/>
    <x v="4"/>
    <x v="0"/>
    <x v="4"/>
    <x v="0"/>
  </r>
  <r>
    <s v="N/A"/>
    <d v="2021-09-06T00:00:00"/>
    <d v="2021-09-06T16:52:20"/>
    <x v="2"/>
    <x v="0"/>
    <x v="2"/>
    <s v="NF9357"/>
    <n v="1565"/>
    <n v="0"/>
    <x v="12"/>
    <x v="4"/>
    <x v="0"/>
    <x v="4"/>
    <x v="0"/>
  </r>
  <r>
    <s v="N/A"/>
    <d v="2021-09-12T00:00:00"/>
    <d v="2021-10-12T05:36:22"/>
    <x v="3"/>
    <x v="0"/>
    <x v="3"/>
    <s v="NF3898"/>
    <n v="1357"/>
    <n v="0"/>
    <x v="12"/>
    <x v="4"/>
    <x v="0"/>
    <x v="0"/>
    <x v="0"/>
  </r>
  <r>
    <d v="2021-10-17T07:52:04"/>
    <d v="2021-09-13T00:00:00"/>
    <d v="2021-10-17T07:52:04"/>
    <x v="3"/>
    <x v="0"/>
    <x v="3"/>
    <s v="NF7275"/>
    <n v="4739"/>
    <n v="2021"/>
    <x v="0"/>
    <x v="4"/>
    <x v="0"/>
    <x v="0"/>
    <x v="0"/>
  </r>
  <r>
    <d v="2021-09-30T14:22:47"/>
    <d v="2021-09-14T00:00:00"/>
    <d v="2021-09-30T14:22:47"/>
    <x v="6"/>
    <x v="0"/>
    <x v="0"/>
    <s v="NF9591"/>
    <n v="4675"/>
    <n v="2021"/>
    <x v="4"/>
    <x v="4"/>
    <x v="0"/>
    <x v="4"/>
    <x v="0"/>
  </r>
  <r>
    <d v="2021-09-26T03:10:09"/>
    <d v="2021-09-19T00:00:00"/>
    <d v="2021-09-26T03:10:09"/>
    <x v="6"/>
    <x v="0"/>
    <x v="5"/>
    <s v="NF3104"/>
    <n v="1797"/>
    <n v="2021"/>
    <x v="4"/>
    <x v="4"/>
    <x v="0"/>
    <x v="4"/>
    <x v="0"/>
  </r>
  <r>
    <d v="2021-11-04T23:27:43"/>
    <d v="2021-09-24T00:00:00"/>
    <d v="2021-11-04T23:27:43"/>
    <x v="8"/>
    <x v="0"/>
    <x v="3"/>
    <s v="NF3440"/>
    <n v="888"/>
    <n v="2021"/>
    <x v="11"/>
    <x v="4"/>
    <x v="0"/>
    <x v="10"/>
    <x v="0"/>
  </r>
  <r>
    <d v="2021-10-07T21:33:11"/>
    <d v="2021-09-25T00:00:00"/>
    <d v="2021-10-07T21:33:11"/>
    <x v="3"/>
    <x v="0"/>
    <x v="5"/>
    <s v="NF9195"/>
    <n v="2784"/>
    <n v="2021"/>
    <x v="0"/>
    <x v="4"/>
    <x v="0"/>
    <x v="0"/>
    <x v="0"/>
  </r>
  <r>
    <d v="2021-10-02T22:40:07"/>
    <d v="2021-09-25T00:00:00"/>
    <d v="2021-10-02T22:40:07"/>
    <x v="3"/>
    <x v="0"/>
    <x v="2"/>
    <s v="NF1821"/>
    <n v="707"/>
    <n v="2021"/>
    <x v="0"/>
    <x v="4"/>
    <x v="0"/>
    <x v="0"/>
    <x v="0"/>
  </r>
  <r>
    <d v="2022-01-18T20:49:17"/>
    <d v="2021-09-28T00:00:00"/>
    <d v="2021-11-03T14:25:06"/>
    <x v="2"/>
    <x v="0"/>
    <x v="2"/>
    <s v="NF5625"/>
    <n v="229"/>
    <n v="2022"/>
    <x v="6"/>
    <x v="4"/>
    <x v="0"/>
    <x v="10"/>
    <x v="0"/>
  </r>
  <r>
    <d v="2021-11-20T07:27:14"/>
    <d v="2021-10-01T00:00:00"/>
    <d v="2021-11-20T07:27:14"/>
    <x v="5"/>
    <x v="0"/>
    <x v="5"/>
    <s v="NF7471"/>
    <n v="2894"/>
    <n v="2021"/>
    <x v="11"/>
    <x v="11"/>
    <x v="0"/>
    <x v="10"/>
    <x v="0"/>
  </r>
  <r>
    <s v="N/A"/>
    <d v="2021-10-04T00:00:00"/>
    <d v="2021-10-22T07:03:06"/>
    <x v="5"/>
    <x v="0"/>
    <x v="3"/>
    <s v="NF9225"/>
    <n v="4516"/>
    <n v="0"/>
    <x v="12"/>
    <x v="11"/>
    <x v="0"/>
    <x v="0"/>
    <x v="0"/>
  </r>
  <r>
    <d v="2021-10-23T01:23:23"/>
    <d v="2021-10-06T00:00:00"/>
    <d v="2021-10-23T01:23:23"/>
    <x v="8"/>
    <x v="0"/>
    <x v="3"/>
    <s v="NF3883"/>
    <n v="885"/>
    <n v="2021"/>
    <x v="0"/>
    <x v="11"/>
    <x v="0"/>
    <x v="0"/>
    <x v="0"/>
  </r>
  <r>
    <d v="2021-11-12T13:56:26"/>
    <d v="2021-10-09T00:00:00"/>
    <d v="2021-11-07T23:41:34"/>
    <x v="0"/>
    <x v="0"/>
    <x v="4"/>
    <s v="NF9408"/>
    <n v="1509"/>
    <n v="2021"/>
    <x v="11"/>
    <x v="11"/>
    <x v="0"/>
    <x v="10"/>
    <x v="0"/>
  </r>
  <r>
    <d v="2022-02-03T05:45:33"/>
    <d v="2021-10-14T00:00:00"/>
    <d v="2021-11-06T01:00:26"/>
    <x v="0"/>
    <x v="0"/>
    <x v="5"/>
    <s v="NF1517"/>
    <n v="145"/>
    <n v="2022"/>
    <x v="7"/>
    <x v="11"/>
    <x v="0"/>
    <x v="10"/>
    <x v="0"/>
  </r>
  <r>
    <d v="2021-11-12T07:13:39"/>
    <d v="2021-10-16T00:00:00"/>
    <d v="2021-10-23T05:53:31"/>
    <x v="7"/>
    <x v="0"/>
    <x v="5"/>
    <s v="NF8626"/>
    <n v="1311"/>
    <n v="2021"/>
    <x v="11"/>
    <x v="11"/>
    <x v="0"/>
    <x v="0"/>
    <x v="0"/>
  </r>
  <r>
    <d v="2021-11-20T08:40:45"/>
    <d v="2021-10-18T00:00:00"/>
    <d v="2021-11-20T08:40:45"/>
    <x v="2"/>
    <x v="0"/>
    <x v="5"/>
    <s v="NF4936"/>
    <n v="4182"/>
    <n v="2021"/>
    <x v="11"/>
    <x v="11"/>
    <x v="0"/>
    <x v="10"/>
    <x v="0"/>
  </r>
  <r>
    <d v="2021-10-29T09:31:32"/>
    <d v="2021-10-24T00:00:00"/>
    <d v="2021-10-29T09:31:32"/>
    <x v="7"/>
    <x v="0"/>
    <x v="2"/>
    <s v="NF7062"/>
    <n v="339"/>
    <n v="2021"/>
    <x v="0"/>
    <x v="11"/>
    <x v="0"/>
    <x v="0"/>
    <x v="0"/>
  </r>
  <r>
    <d v="2022-01-30T23:32:10"/>
    <d v="2021-10-29T00:00:00"/>
    <d v="2021-11-29T04:12:14"/>
    <x v="4"/>
    <x v="0"/>
    <x v="4"/>
    <s v="NF3172"/>
    <n v="1788"/>
    <n v="2022"/>
    <x v="6"/>
    <x v="11"/>
    <x v="0"/>
    <x v="10"/>
    <x v="0"/>
  </r>
  <r>
    <d v="2021-12-20T01:06:12"/>
    <d v="2021-11-03T00:00:00"/>
    <d v="2021-12-20T01:06:12"/>
    <x v="5"/>
    <x v="0"/>
    <x v="3"/>
    <s v="NF5821"/>
    <n v="1171"/>
    <n v="2021"/>
    <x v="8"/>
    <x v="8"/>
    <x v="0"/>
    <x v="9"/>
    <x v="0"/>
  </r>
  <r>
    <d v="2021-11-14T19:11:45"/>
    <d v="2021-11-05T00:00:00"/>
    <d v="2021-11-14T19:11:45"/>
    <x v="3"/>
    <x v="0"/>
    <x v="5"/>
    <s v="NF8137"/>
    <n v="4059"/>
    <n v="2021"/>
    <x v="11"/>
    <x v="8"/>
    <x v="0"/>
    <x v="10"/>
    <x v="0"/>
  </r>
  <r>
    <d v="2021-12-11T01:38:17"/>
    <d v="2021-11-08T00:00:00"/>
    <d v="2021-12-11T01:38:17"/>
    <x v="4"/>
    <x v="0"/>
    <x v="0"/>
    <s v="NF8083"/>
    <n v="4919"/>
    <n v="2021"/>
    <x v="8"/>
    <x v="8"/>
    <x v="0"/>
    <x v="9"/>
    <x v="0"/>
  </r>
  <r>
    <d v="2021-12-28T10:48:36"/>
    <d v="2021-11-12T00:00:00"/>
    <d v="2021-12-18T12:17:45"/>
    <x v="5"/>
    <x v="0"/>
    <x v="5"/>
    <s v="NF9597"/>
    <n v="3224"/>
    <n v="2021"/>
    <x v="8"/>
    <x v="8"/>
    <x v="0"/>
    <x v="9"/>
    <x v="0"/>
  </r>
  <r>
    <d v="2021-12-26T03:29:57"/>
    <d v="2021-11-15T00:00:00"/>
    <d v="2021-12-26T03:29:57"/>
    <x v="4"/>
    <x v="0"/>
    <x v="3"/>
    <s v="NF2065"/>
    <n v="3725"/>
    <n v="2021"/>
    <x v="8"/>
    <x v="8"/>
    <x v="0"/>
    <x v="9"/>
    <x v="0"/>
  </r>
  <r>
    <d v="2021-12-16T06:54:15"/>
    <d v="2021-11-17T00:00:00"/>
    <d v="2021-12-16T06:54:15"/>
    <x v="3"/>
    <x v="0"/>
    <x v="3"/>
    <s v="NF3192"/>
    <n v="312"/>
    <n v="2021"/>
    <x v="8"/>
    <x v="8"/>
    <x v="0"/>
    <x v="9"/>
    <x v="0"/>
  </r>
  <r>
    <d v="2022-01-12T16:03:24"/>
    <d v="2021-11-18T00:00:00"/>
    <d v="2022-01-12T16:03:24"/>
    <x v="8"/>
    <x v="0"/>
    <x v="5"/>
    <s v="NF1977"/>
    <n v="4773"/>
    <n v="2022"/>
    <x v="6"/>
    <x v="8"/>
    <x v="0"/>
    <x v="7"/>
    <x v="1"/>
  </r>
  <r>
    <d v="2021-12-07T15:16:42"/>
    <d v="2021-11-19T00:00:00"/>
    <d v="2021-12-07T15:16:42"/>
    <x v="8"/>
    <x v="0"/>
    <x v="0"/>
    <s v="NF3208"/>
    <n v="228"/>
    <n v="2021"/>
    <x v="8"/>
    <x v="8"/>
    <x v="0"/>
    <x v="9"/>
    <x v="0"/>
  </r>
  <r>
    <d v="2021-12-28T18:38:36"/>
    <d v="2021-11-22T00:00:00"/>
    <d v="2021-12-28T18:38:36"/>
    <x v="3"/>
    <x v="0"/>
    <x v="5"/>
    <s v="NF9545"/>
    <n v="450"/>
    <n v="2021"/>
    <x v="8"/>
    <x v="8"/>
    <x v="0"/>
    <x v="9"/>
    <x v="0"/>
  </r>
  <r>
    <s v="N/A"/>
    <d v="2021-11-23T00:00:00"/>
    <d v="2022-01-03T09:48:25"/>
    <x v="3"/>
    <x v="0"/>
    <x v="5"/>
    <s v="NF3100"/>
    <n v="1155"/>
    <n v="0"/>
    <x v="12"/>
    <x v="8"/>
    <x v="0"/>
    <x v="7"/>
    <x v="1"/>
  </r>
  <r>
    <s v="N/A"/>
    <d v="2021-11-30T00:00:00"/>
    <d v="2021-12-01T00:35:34"/>
    <x v="7"/>
    <x v="0"/>
    <x v="5"/>
    <s v="NF7746"/>
    <n v="1967"/>
    <n v="0"/>
    <x v="12"/>
    <x v="8"/>
    <x v="0"/>
    <x v="9"/>
    <x v="0"/>
  </r>
  <r>
    <d v="2022-02-28T22:08:26"/>
    <d v="2021-12-01T00:00:00"/>
    <d v="2021-12-27T02:18:23"/>
    <x v="6"/>
    <x v="0"/>
    <x v="4"/>
    <s v="NF1179"/>
    <n v="2741"/>
    <n v="2022"/>
    <x v="7"/>
    <x v="6"/>
    <x v="0"/>
    <x v="9"/>
    <x v="0"/>
  </r>
  <r>
    <d v="2022-01-25T08:17:33"/>
    <d v="2021-12-02T00:00:00"/>
    <d v="2022-01-25T08:17:33"/>
    <x v="0"/>
    <x v="0"/>
    <x v="2"/>
    <s v="NF3829"/>
    <n v="1130"/>
    <n v="2022"/>
    <x v="6"/>
    <x v="6"/>
    <x v="0"/>
    <x v="7"/>
    <x v="1"/>
  </r>
  <r>
    <d v="2022-01-18T12:48:48"/>
    <d v="2021-12-06T00:00:00"/>
    <d v="2022-01-18T12:48:48"/>
    <x v="6"/>
    <x v="0"/>
    <x v="3"/>
    <s v="NF6865"/>
    <n v="4835"/>
    <n v="2022"/>
    <x v="6"/>
    <x v="6"/>
    <x v="0"/>
    <x v="7"/>
    <x v="1"/>
  </r>
  <r>
    <d v="2022-01-29T01:49:50"/>
    <d v="2021-12-08T00:00:00"/>
    <d v="2022-01-29T01:49:50"/>
    <x v="7"/>
    <x v="0"/>
    <x v="4"/>
    <s v="NF4400"/>
    <n v="1411"/>
    <n v="2022"/>
    <x v="6"/>
    <x v="6"/>
    <x v="0"/>
    <x v="7"/>
    <x v="1"/>
  </r>
  <r>
    <d v="2021-12-30T15:10:06"/>
    <d v="2021-12-10T00:00:00"/>
    <d v="2021-12-30T15:10:06"/>
    <x v="4"/>
    <x v="0"/>
    <x v="5"/>
    <s v="NF9617"/>
    <n v="457"/>
    <n v="2021"/>
    <x v="8"/>
    <x v="6"/>
    <x v="0"/>
    <x v="9"/>
    <x v="0"/>
  </r>
  <r>
    <d v="2022-02-11T14:39:25"/>
    <d v="2021-12-15T00:00:00"/>
    <d v="2022-02-11T14:39:25"/>
    <x v="5"/>
    <x v="0"/>
    <x v="2"/>
    <s v="NF5659"/>
    <n v="2623"/>
    <n v="2022"/>
    <x v="7"/>
    <x v="6"/>
    <x v="0"/>
    <x v="3"/>
    <x v="1"/>
  </r>
  <r>
    <d v="2021-12-29T04:49:13"/>
    <d v="2021-12-17T00:00:00"/>
    <d v="2021-12-29T04:49:13"/>
    <x v="2"/>
    <x v="0"/>
    <x v="4"/>
    <s v="NF6102"/>
    <n v="3440"/>
    <n v="2021"/>
    <x v="8"/>
    <x v="6"/>
    <x v="0"/>
    <x v="9"/>
    <x v="0"/>
  </r>
  <r>
    <d v="2022-01-11T01:07:19"/>
    <d v="2021-12-20T00:00:00"/>
    <d v="2022-01-11T01:07:19"/>
    <x v="0"/>
    <x v="0"/>
    <x v="5"/>
    <s v="NF8162"/>
    <n v="3993"/>
    <n v="2022"/>
    <x v="6"/>
    <x v="6"/>
    <x v="0"/>
    <x v="7"/>
    <x v="1"/>
  </r>
  <r>
    <d v="2022-02-17T01:10:28"/>
    <d v="2021-12-21T00:00:00"/>
    <d v="2022-02-17T01:10:28"/>
    <x v="0"/>
    <x v="0"/>
    <x v="5"/>
    <s v="NF4573"/>
    <n v="3273"/>
    <n v="2022"/>
    <x v="7"/>
    <x v="6"/>
    <x v="0"/>
    <x v="3"/>
    <x v="1"/>
  </r>
  <r>
    <d v="2022-02-04T06:22:55"/>
    <d v="2021-12-25T00:00:00"/>
    <d v="2022-02-04T06:22:55"/>
    <x v="8"/>
    <x v="0"/>
    <x v="4"/>
    <s v="NF8503"/>
    <n v="4494"/>
    <n v="2022"/>
    <x v="7"/>
    <x v="6"/>
    <x v="0"/>
    <x v="3"/>
    <x v="1"/>
  </r>
  <r>
    <d v="2022-01-24T22:12:42"/>
    <d v="2021-12-27T00:00:00"/>
    <d v="2022-01-24T22:12:42"/>
    <x v="1"/>
    <x v="0"/>
    <x v="0"/>
    <s v="NF3380"/>
    <n v="2511"/>
    <n v="2022"/>
    <x v="6"/>
    <x v="6"/>
    <x v="0"/>
    <x v="7"/>
    <x v="1"/>
  </r>
  <r>
    <d v="2022-02-12T23:45:29"/>
    <d v="2021-12-29T00:00:00"/>
    <d v="2022-02-12T23:45:29"/>
    <x v="1"/>
    <x v="0"/>
    <x v="2"/>
    <s v="NF6566"/>
    <n v="2015"/>
    <n v="2022"/>
    <x v="7"/>
    <x v="6"/>
    <x v="0"/>
    <x v="3"/>
    <x v="1"/>
  </r>
  <r>
    <d v="2022-03-21T07:29:39"/>
    <d v="2021-12-31T00:00:00"/>
    <d v="2022-02-20T08:29:43"/>
    <x v="1"/>
    <x v="0"/>
    <x v="3"/>
    <s v="NF5838"/>
    <n v="3413"/>
    <n v="2022"/>
    <x v="3"/>
    <x v="6"/>
    <x v="0"/>
    <x v="3"/>
    <x v="1"/>
  </r>
  <r>
    <d v="2022-02-13T19:04:58"/>
    <d v="2022-01-03T00:00:00"/>
    <d v="2022-01-08T20:21:58"/>
    <x v="3"/>
    <x v="0"/>
    <x v="0"/>
    <s v="NF1174"/>
    <n v="4087"/>
    <n v="2022"/>
    <x v="7"/>
    <x v="7"/>
    <x v="1"/>
    <x v="7"/>
    <x v="1"/>
  </r>
  <r>
    <d v="2022-01-17T08:55:33"/>
    <d v="2022-01-06T00:00:00"/>
    <d v="2022-01-17T08:55:33"/>
    <x v="3"/>
    <x v="0"/>
    <x v="5"/>
    <s v="NF2942"/>
    <n v="2441"/>
    <n v="2022"/>
    <x v="6"/>
    <x v="7"/>
    <x v="1"/>
    <x v="7"/>
    <x v="1"/>
  </r>
  <r>
    <d v="2022-01-27T17:25:05"/>
    <d v="2022-01-09T00:00:00"/>
    <d v="2022-01-27T17:25:05"/>
    <x v="4"/>
    <x v="0"/>
    <x v="2"/>
    <s v="NF8563"/>
    <n v="3598"/>
    <n v="2022"/>
    <x v="6"/>
    <x v="7"/>
    <x v="1"/>
    <x v="7"/>
    <x v="1"/>
  </r>
  <r>
    <d v="2022-01-18T19:45:35"/>
    <d v="2022-01-10T00:00:00"/>
    <d v="2022-01-18T19:45:35"/>
    <x v="0"/>
    <x v="0"/>
    <x v="5"/>
    <s v="NF8237"/>
    <n v="4895"/>
    <n v="2022"/>
    <x v="6"/>
    <x v="7"/>
    <x v="1"/>
    <x v="7"/>
    <x v="1"/>
  </r>
  <r>
    <d v="2022-03-08T13:03:51"/>
    <d v="2022-01-12T00:00:00"/>
    <d v="2022-03-08T13:03:51"/>
    <x v="6"/>
    <x v="0"/>
    <x v="5"/>
    <s v="NF4859"/>
    <n v="971"/>
    <n v="2022"/>
    <x v="3"/>
    <x v="7"/>
    <x v="1"/>
    <x v="6"/>
    <x v="1"/>
  </r>
  <r>
    <d v="2022-02-06T01:03:18"/>
    <d v="2022-01-13T00:00:00"/>
    <d v="2022-02-06T01:03:18"/>
    <x v="1"/>
    <x v="0"/>
    <x v="0"/>
    <s v="NF1529"/>
    <n v="556"/>
    <n v="2022"/>
    <x v="7"/>
    <x v="7"/>
    <x v="1"/>
    <x v="3"/>
    <x v="1"/>
  </r>
  <r>
    <d v="2022-02-13T21:09:50"/>
    <d v="2022-01-14T00:00:00"/>
    <d v="2022-02-13T21:09:50"/>
    <x v="4"/>
    <x v="0"/>
    <x v="0"/>
    <s v="NF6931"/>
    <n v="1977"/>
    <n v="2022"/>
    <x v="7"/>
    <x v="7"/>
    <x v="1"/>
    <x v="3"/>
    <x v="1"/>
  </r>
  <r>
    <d v="2022-01-27T08:34:59"/>
    <d v="2022-01-16T00:00:00"/>
    <d v="2022-01-27T08:34:59"/>
    <x v="5"/>
    <x v="0"/>
    <x v="5"/>
    <s v="NF7559"/>
    <n v="2951"/>
    <n v="2022"/>
    <x v="6"/>
    <x v="7"/>
    <x v="1"/>
    <x v="7"/>
    <x v="1"/>
  </r>
  <r>
    <d v="2022-03-05T09:47:40"/>
    <d v="2022-01-20T00:00:00"/>
    <d v="2022-03-05T09:47:40"/>
    <x v="0"/>
    <x v="0"/>
    <x v="5"/>
    <s v="NF9620"/>
    <n v="2535"/>
    <n v="2022"/>
    <x v="3"/>
    <x v="7"/>
    <x v="1"/>
    <x v="6"/>
    <x v="1"/>
  </r>
  <r>
    <d v="2022-02-10T13:54:37"/>
    <d v="2022-01-21T00:00:00"/>
    <d v="2022-02-10T13:54:37"/>
    <x v="2"/>
    <x v="0"/>
    <x v="4"/>
    <s v="NF4547"/>
    <n v="3057"/>
    <n v="2022"/>
    <x v="7"/>
    <x v="7"/>
    <x v="1"/>
    <x v="3"/>
    <x v="1"/>
  </r>
  <r>
    <d v="2022-02-09T12:37:33"/>
    <d v="2022-01-23T00:00:00"/>
    <d v="2022-02-09T12:37:33"/>
    <x v="0"/>
    <x v="0"/>
    <x v="0"/>
    <s v="NF6004"/>
    <n v="3152"/>
    <n v="2022"/>
    <x v="7"/>
    <x v="7"/>
    <x v="1"/>
    <x v="3"/>
    <x v="1"/>
  </r>
  <r>
    <d v="2022-03-08T03:16:39"/>
    <d v="2022-01-25T00:00:00"/>
    <d v="2022-03-08T03:16:39"/>
    <x v="3"/>
    <x v="0"/>
    <x v="3"/>
    <s v="NF3415"/>
    <n v="2247"/>
    <n v="2022"/>
    <x v="3"/>
    <x v="7"/>
    <x v="1"/>
    <x v="6"/>
    <x v="1"/>
  </r>
  <r>
    <d v="2022-03-21T01:55:31"/>
    <d v="2022-01-27T00:00:00"/>
    <d v="2022-03-21T01:55:31"/>
    <x v="3"/>
    <x v="0"/>
    <x v="2"/>
    <s v="NF1603"/>
    <n v="2456"/>
    <n v="2022"/>
    <x v="3"/>
    <x v="7"/>
    <x v="1"/>
    <x v="6"/>
    <x v="1"/>
  </r>
  <r>
    <d v="2022-02-22T13:23:19"/>
    <d v="2022-01-29T00:00:00"/>
    <d v="2022-02-11T14:14:40"/>
    <x v="8"/>
    <x v="0"/>
    <x v="5"/>
    <s v="NF8784"/>
    <n v="3801"/>
    <n v="2022"/>
    <x v="7"/>
    <x v="7"/>
    <x v="1"/>
    <x v="3"/>
    <x v="1"/>
  </r>
  <r>
    <d v="2022-02-13T09:01:19"/>
    <d v="2022-01-31T00:00:00"/>
    <d v="2022-02-13T09:01:19"/>
    <x v="1"/>
    <x v="0"/>
    <x v="0"/>
    <s v="NF1826"/>
    <n v="3049"/>
    <n v="2022"/>
    <x v="7"/>
    <x v="7"/>
    <x v="1"/>
    <x v="3"/>
    <x v="1"/>
  </r>
  <r>
    <d v="2022-03-29T23:53:02"/>
    <d v="2022-02-04T00:00:00"/>
    <d v="2022-03-11T03:08:27"/>
    <x v="1"/>
    <x v="0"/>
    <x v="4"/>
    <s v="NF7390"/>
    <n v="3255"/>
    <n v="2022"/>
    <x v="3"/>
    <x v="3"/>
    <x v="1"/>
    <x v="6"/>
    <x v="1"/>
  </r>
  <r>
    <d v="2022-03-20T14:43:41"/>
    <d v="2022-02-05T00:00:00"/>
    <d v="2022-03-17T04:59:05"/>
    <x v="6"/>
    <x v="0"/>
    <x v="5"/>
    <s v="NF7009"/>
    <n v="2074"/>
    <n v="2022"/>
    <x v="3"/>
    <x v="3"/>
    <x v="1"/>
    <x v="6"/>
    <x v="1"/>
  </r>
  <r>
    <d v="2022-03-16T07:02:49"/>
    <d v="2022-02-06T00:00:00"/>
    <d v="2022-03-16T07:02:49"/>
    <x v="2"/>
    <x v="0"/>
    <x v="5"/>
    <s v="NF7629"/>
    <n v="3606"/>
    <n v="2022"/>
    <x v="3"/>
    <x v="3"/>
    <x v="1"/>
    <x v="6"/>
    <x v="1"/>
  </r>
  <r>
    <d v="2022-03-18T07:54:53"/>
    <d v="2022-02-07T00:00:00"/>
    <d v="2022-03-18T07:54:53"/>
    <x v="3"/>
    <x v="0"/>
    <x v="2"/>
    <s v="NF2748"/>
    <n v="4867"/>
    <n v="2022"/>
    <x v="3"/>
    <x v="3"/>
    <x v="1"/>
    <x v="6"/>
    <x v="1"/>
  </r>
  <r>
    <d v="2022-03-16T00:06:55"/>
    <d v="2022-02-09T00:00:00"/>
    <d v="2022-03-16T00:06:55"/>
    <x v="3"/>
    <x v="0"/>
    <x v="3"/>
    <s v="NF5961"/>
    <n v="702"/>
    <n v="2022"/>
    <x v="3"/>
    <x v="3"/>
    <x v="1"/>
    <x v="6"/>
    <x v="1"/>
  </r>
  <r>
    <d v="2022-05-18T00:10:35"/>
    <d v="2022-02-14T00:00:00"/>
    <d v="2022-02-19T10:57:20"/>
    <x v="6"/>
    <x v="0"/>
    <x v="3"/>
    <s v="NF7680"/>
    <n v="2801"/>
    <n v="2022"/>
    <x v="10"/>
    <x v="3"/>
    <x v="1"/>
    <x v="3"/>
    <x v="1"/>
  </r>
  <r>
    <s v="N/A"/>
    <d v="2022-02-15T00:00:00"/>
    <d v="2022-03-10T18:40:49"/>
    <x v="6"/>
    <x v="0"/>
    <x v="5"/>
    <s v="NF9629"/>
    <n v="4438"/>
    <n v="0"/>
    <x v="12"/>
    <x v="3"/>
    <x v="1"/>
    <x v="6"/>
    <x v="1"/>
  </r>
  <r>
    <d v="2022-04-08T05:09:48"/>
    <d v="2022-02-20T00:00:00"/>
    <d v="2022-04-08T05:09:48"/>
    <x v="8"/>
    <x v="0"/>
    <x v="2"/>
    <s v="NF5978"/>
    <n v="3835"/>
    <n v="2022"/>
    <x v="5"/>
    <x v="3"/>
    <x v="1"/>
    <x v="8"/>
    <x v="1"/>
  </r>
  <r>
    <d v="2022-04-09T09:13:30"/>
    <d v="2022-03-01T00:00:00"/>
    <d v="2022-04-09T09:13:30"/>
    <x v="3"/>
    <x v="0"/>
    <x v="5"/>
    <s v="NF5651"/>
    <n v="3893"/>
    <n v="2022"/>
    <x v="5"/>
    <x v="5"/>
    <x v="1"/>
    <x v="8"/>
    <x v="1"/>
  </r>
  <r>
    <d v="2022-03-25T08:28:33"/>
    <d v="2022-03-04T00:00:00"/>
    <d v="2022-03-25T08:28:33"/>
    <x v="3"/>
    <x v="0"/>
    <x v="5"/>
    <s v="NF7772"/>
    <n v="1970"/>
    <n v="2022"/>
    <x v="3"/>
    <x v="5"/>
    <x v="1"/>
    <x v="6"/>
    <x v="1"/>
  </r>
  <r>
    <d v="2022-04-29T08:19:53"/>
    <d v="2022-03-05T00:00:00"/>
    <d v="2022-04-29T08:19:53"/>
    <x v="2"/>
    <x v="0"/>
    <x v="3"/>
    <s v="NF5401"/>
    <n v="729"/>
    <n v="2022"/>
    <x v="5"/>
    <x v="5"/>
    <x v="1"/>
    <x v="8"/>
    <x v="1"/>
  </r>
  <r>
    <d v="2022-03-29T23:02:23"/>
    <d v="2022-03-07T00:00:00"/>
    <d v="2022-03-29T23:02:23"/>
    <x v="5"/>
    <x v="0"/>
    <x v="2"/>
    <s v="NF9115"/>
    <n v="474"/>
    <n v="2022"/>
    <x v="3"/>
    <x v="5"/>
    <x v="1"/>
    <x v="6"/>
    <x v="1"/>
  </r>
  <r>
    <d v="2022-04-07T20:13:31"/>
    <d v="2022-03-09T00:00:00"/>
    <d v="2022-04-07T20:13:31"/>
    <x v="5"/>
    <x v="0"/>
    <x v="3"/>
    <s v="NF4115"/>
    <n v="3164"/>
    <n v="2022"/>
    <x v="5"/>
    <x v="5"/>
    <x v="1"/>
    <x v="8"/>
    <x v="1"/>
  </r>
  <r>
    <d v="2022-05-08T17:13:02"/>
    <d v="2022-03-14T00:00:00"/>
    <d v="2022-05-08T17:13:02"/>
    <x v="8"/>
    <x v="0"/>
    <x v="5"/>
    <s v="NF5683"/>
    <n v="3113"/>
    <n v="2022"/>
    <x v="10"/>
    <x v="5"/>
    <x v="1"/>
    <x v="1"/>
    <x v="1"/>
  </r>
  <r>
    <d v="2022-07-07T06:27:25"/>
    <d v="2022-03-17T00:00:00"/>
    <d v="2022-04-11T13:42:41"/>
    <x v="0"/>
    <x v="0"/>
    <x v="4"/>
    <s v="NF7027"/>
    <n v="789"/>
    <n v="2022"/>
    <x v="9"/>
    <x v="5"/>
    <x v="1"/>
    <x v="8"/>
    <x v="1"/>
  </r>
  <r>
    <d v="2022-04-01T13:26:12"/>
    <d v="2022-03-21T00:00:00"/>
    <d v="2022-04-01T13:26:12"/>
    <x v="0"/>
    <x v="0"/>
    <x v="4"/>
    <s v="NF7168"/>
    <n v="3521"/>
    <n v="2022"/>
    <x v="5"/>
    <x v="5"/>
    <x v="1"/>
    <x v="8"/>
    <x v="1"/>
  </r>
  <r>
    <d v="2022-03-28T17:37:56"/>
    <d v="2022-03-24T00:00:00"/>
    <d v="2022-03-28T17:37:56"/>
    <x v="2"/>
    <x v="0"/>
    <x v="5"/>
    <s v="NF4972"/>
    <n v="4947"/>
    <n v="2022"/>
    <x v="3"/>
    <x v="5"/>
    <x v="1"/>
    <x v="6"/>
    <x v="1"/>
  </r>
  <r>
    <d v="2022-05-03T14:57:10"/>
    <d v="2022-03-25T00:00:00"/>
    <d v="2022-05-03T14:57:10"/>
    <x v="7"/>
    <x v="0"/>
    <x v="4"/>
    <s v="NF7283"/>
    <n v="1527"/>
    <n v="2022"/>
    <x v="10"/>
    <x v="5"/>
    <x v="1"/>
    <x v="1"/>
    <x v="1"/>
  </r>
  <r>
    <d v="2022-05-14T12:32:29"/>
    <d v="2022-04-01T00:00:00"/>
    <d v="2022-05-14T12:32:29"/>
    <x v="7"/>
    <x v="0"/>
    <x v="4"/>
    <s v="NF6320"/>
    <n v="764"/>
    <n v="2022"/>
    <x v="10"/>
    <x v="10"/>
    <x v="1"/>
    <x v="1"/>
    <x v="1"/>
  </r>
  <r>
    <d v="2022-04-12T02:48:23"/>
    <d v="2022-04-03T00:00:00"/>
    <d v="2022-04-12T02:48:23"/>
    <x v="4"/>
    <x v="0"/>
    <x v="2"/>
    <s v="NF7850"/>
    <n v="2463"/>
    <n v="2022"/>
    <x v="5"/>
    <x v="10"/>
    <x v="1"/>
    <x v="8"/>
    <x v="1"/>
  </r>
  <r>
    <d v="2022-04-30T01:56:26"/>
    <d v="2022-04-05T00:00:00"/>
    <d v="2022-04-25T16:44:12"/>
    <x v="5"/>
    <x v="0"/>
    <x v="3"/>
    <s v="NF2420"/>
    <n v="2111"/>
    <n v="2022"/>
    <x v="5"/>
    <x v="10"/>
    <x v="1"/>
    <x v="8"/>
    <x v="1"/>
  </r>
  <r>
    <d v="2022-05-01T13:42:29"/>
    <d v="2022-04-06T00:00:00"/>
    <d v="2022-05-01T13:42:29"/>
    <x v="3"/>
    <x v="0"/>
    <x v="5"/>
    <s v="NF6764"/>
    <n v="1144"/>
    <n v="2022"/>
    <x v="10"/>
    <x v="10"/>
    <x v="1"/>
    <x v="1"/>
    <x v="1"/>
  </r>
  <r>
    <d v="2022-05-20T16:28:59"/>
    <d v="2022-04-10T00:00:00"/>
    <d v="2022-05-20T16:28:59"/>
    <x v="4"/>
    <x v="0"/>
    <x v="3"/>
    <s v="NF6382"/>
    <n v="597"/>
    <n v="2022"/>
    <x v="10"/>
    <x v="10"/>
    <x v="1"/>
    <x v="1"/>
    <x v="1"/>
  </r>
  <r>
    <d v="2022-07-09T07:24:13"/>
    <d v="2022-04-16T00:00:00"/>
    <d v="2022-04-19T02:53:39"/>
    <x v="5"/>
    <x v="0"/>
    <x v="5"/>
    <s v="NF8079"/>
    <n v="3445"/>
    <n v="2022"/>
    <x v="9"/>
    <x v="10"/>
    <x v="1"/>
    <x v="8"/>
    <x v="1"/>
  </r>
  <r>
    <d v="2022-05-02T07:19:37"/>
    <d v="2022-04-22T00:00:00"/>
    <d v="2022-05-02T07:19:37"/>
    <x v="4"/>
    <x v="0"/>
    <x v="4"/>
    <s v="NF2434"/>
    <n v="1996"/>
    <n v="2022"/>
    <x v="10"/>
    <x v="10"/>
    <x v="1"/>
    <x v="1"/>
    <x v="1"/>
  </r>
  <r>
    <d v="2022-05-12T18:26:56"/>
    <d v="2022-04-28T00:00:00"/>
    <d v="2022-05-12T18:26:56"/>
    <x v="3"/>
    <x v="0"/>
    <x v="3"/>
    <s v="NF3230"/>
    <n v="1254"/>
    <n v="2022"/>
    <x v="10"/>
    <x v="10"/>
    <x v="1"/>
    <x v="1"/>
    <x v="1"/>
  </r>
  <r>
    <d v="2022-05-21T03:30:05"/>
    <d v="2022-04-29T00:00:00"/>
    <d v="2022-05-03T19:21:01"/>
    <x v="8"/>
    <x v="0"/>
    <x v="3"/>
    <s v="NF8847"/>
    <n v="905"/>
    <n v="2022"/>
    <x v="10"/>
    <x v="10"/>
    <x v="1"/>
    <x v="1"/>
    <x v="1"/>
  </r>
  <r>
    <d v="2022-05-31T14:47:54"/>
    <d v="2022-05-02T00:00:00"/>
    <d v="2022-05-31T14:47:54"/>
    <x v="8"/>
    <x v="0"/>
    <x v="2"/>
    <s v="NF8053"/>
    <n v="2975"/>
    <n v="2022"/>
    <x v="10"/>
    <x v="1"/>
    <x v="1"/>
    <x v="1"/>
    <x v="1"/>
  </r>
  <r>
    <d v="2022-05-08T16:17:57"/>
    <d v="2022-05-03T00:00:00"/>
    <d v="2022-05-08T16:17:57"/>
    <x v="3"/>
    <x v="0"/>
    <x v="5"/>
    <s v="NF2454"/>
    <n v="4807"/>
    <n v="2022"/>
    <x v="10"/>
    <x v="1"/>
    <x v="1"/>
    <x v="1"/>
    <x v="1"/>
  </r>
  <r>
    <d v="2022-06-13T07:07:36"/>
    <d v="2022-05-10T00:00:00"/>
    <d v="2022-06-13T07:07:36"/>
    <x v="3"/>
    <x v="0"/>
    <x v="4"/>
    <s v="NF8252"/>
    <n v="1882"/>
    <n v="2022"/>
    <x v="1"/>
    <x v="1"/>
    <x v="1"/>
    <x v="11"/>
    <x v="1"/>
  </r>
  <r>
    <d v="2022-06-27T19:00:08"/>
    <d v="2022-05-15T00:00:00"/>
    <d v="2022-06-27T19:00:08"/>
    <x v="7"/>
    <x v="0"/>
    <x v="0"/>
    <s v="NF6573"/>
    <n v="3932"/>
    <n v="2022"/>
    <x v="1"/>
    <x v="1"/>
    <x v="1"/>
    <x v="11"/>
    <x v="1"/>
  </r>
  <r>
    <s v="N/A"/>
    <d v="2022-05-18T00:00:00"/>
    <d v="2022-06-02T02:25:53"/>
    <x v="0"/>
    <x v="0"/>
    <x v="5"/>
    <s v="NF8780"/>
    <n v="701"/>
    <n v="0"/>
    <x v="12"/>
    <x v="1"/>
    <x v="1"/>
    <x v="11"/>
    <x v="1"/>
  </r>
  <r>
    <d v="2022-06-27T06:00:26"/>
    <d v="2022-05-19T00:00:00"/>
    <d v="2022-06-27T06:00:26"/>
    <x v="6"/>
    <x v="0"/>
    <x v="5"/>
    <s v="NF6166"/>
    <n v="2651"/>
    <n v="2022"/>
    <x v="1"/>
    <x v="1"/>
    <x v="1"/>
    <x v="11"/>
    <x v="1"/>
  </r>
  <r>
    <d v="2022-09-07T07:57:31"/>
    <d v="2022-05-26T00:00:00"/>
    <d v="2022-07-01T19:37:16"/>
    <x v="6"/>
    <x v="0"/>
    <x v="5"/>
    <s v="NF8437"/>
    <n v="3792"/>
    <n v="2022"/>
    <x v="4"/>
    <x v="1"/>
    <x v="1"/>
    <x v="2"/>
    <x v="1"/>
  </r>
  <r>
    <d v="2022-08-22T00:57:34"/>
    <d v="2022-05-28T00:00:00"/>
    <d v="2022-07-25T13:16:52"/>
    <x v="7"/>
    <x v="0"/>
    <x v="0"/>
    <s v="NF6635"/>
    <n v="611"/>
    <n v="2022"/>
    <x v="2"/>
    <x v="1"/>
    <x v="1"/>
    <x v="2"/>
    <x v="1"/>
  </r>
  <r>
    <d v="2022-07-11T14:55:40"/>
    <d v="2022-05-31T00:00:00"/>
    <d v="2022-07-11T14:55:40"/>
    <x v="4"/>
    <x v="0"/>
    <x v="2"/>
    <s v="NF8734"/>
    <n v="3431"/>
    <n v="2022"/>
    <x v="9"/>
    <x v="1"/>
    <x v="1"/>
    <x v="2"/>
    <x v="1"/>
  </r>
  <r>
    <d v="2022-06-28T01:37:59"/>
    <d v="2022-06-02T00:00:00"/>
    <d v="2022-06-28T01:37:59"/>
    <x v="5"/>
    <x v="0"/>
    <x v="5"/>
    <s v="NF4208"/>
    <n v="3670"/>
    <n v="2022"/>
    <x v="1"/>
    <x v="9"/>
    <x v="1"/>
    <x v="11"/>
    <x v="1"/>
  </r>
  <r>
    <d v="2022-06-08T16:00:01"/>
    <d v="2022-06-04T00:00:00"/>
    <d v="2022-06-08T16:00:01"/>
    <x v="2"/>
    <x v="0"/>
    <x v="5"/>
    <s v="NF4923"/>
    <n v="4320"/>
    <n v="2022"/>
    <x v="1"/>
    <x v="9"/>
    <x v="1"/>
    <x v="11"/>
    <x v="1"/>
  </r>
  <r>
    <d v="2022-07-01T16:18:26"/>
    <d v="2022-06-05T00:00:00"/>
    <d v="2022-07-01T16:18:26"/>
    <x v="0"/>
    <x v="0"/>
    <x v="2"/>
    <s v="NF6782"/>
    <n v="1809"/>
    <n v="2022"/>
    <x v="9"/>
    <x v="9"/>
    <x v="1"/>
    <x v="2"/>
    <x v="1"/>
  </r>
  <r>
    <d v="2022-07-25T19:28:19"/>
    <d v="2022-06-07T00:00:00"/>
    <d v="2022-07-25T19:28:19"/>
    <x v="0"/>
    <x v="0"/>
    <x v="5"/>
    <s v="NF6280"/>
    <n v="667"/>
    <n v="2022"/>
    <x v="9"/>
    <x v="9"/>
    <x v="1"/>
    <x v="2"/>
    <x v="1"/>
  </r>
  <r>
    <d v="2022-06-18T19:00:08"/>
    <d v="2022-06-11T00:00:00"/>
    <d v="2022-06-18T19:00:08"/>
    <x v="8"/>
    <x v="0"/>
    <x v="4"/>
    <s v="NF7827"/>
    <n v="1613"/>
    <n v="2022"/>
    <x v="1"/>
    <x v="9"/>
    <x v="1"/>
    <x v="11"/>
    <x v="1"/>
  </r>
  <r>
    <d v="2022-07-28T05:48:11"/>
    <d v="2022-06-17T00:00:00"/>
    <d v="2022-07-28T05:48:11"/>
    <x v="1"/>
    <x v="0"/>
    <x v="0"/>
    <s v="NF5357"/>
    <n v="3756"/>
    <n v="2022"/>
    <x v="9"/>
    <x v="9"/>
    <x v="1"/>
    <x v="2"/>
    <x v="1"/>
  </r>
  <r>
    <d v="2022-08-16T00:14:52"/>
    <d v="2022-06-20T00:00:00"/>
    <d v="2022-08-16T00:14:52"/>
    <x v="1"/>
    <x v="0"/>
    <x v="2"/>
    <s v="NF8188"/>
    <n v="3672"/>
    <n v="2022"/>
    <x v="2"/>
    <x v="9"/>
    <x v="1"/>
    <x v="5"/>
    <x v="1"/>
  </r>
  <r>
    <d v="2022-08-17T02:37:59"/>
    <d v="2022-06-26T00:00:00"/>
    <d v="2022-07-07T00:58:52"/>
    <x v="1"/>
    <x v="0"/>
    <x v="5"/>
    <s v="NF4640"/>
    <n v="658"/>
    <n v="2022"/>
    <x v="2"/>
    <x v="9"/>
    <x v="1"/>
    <x v="2"/>
    <x v="1"/>
  </r>
  <r>
    <d v="2022-08-24T10:23:22"/>
    <d v="2022-06-29T00:00:00"/>
    <d v="2022-08-24T10:23:22"/>
    <x v="3"/>
    <x v="0"/>
    <x v="2"/>
    <s v="NF2293"/>
    <n v="4762"/>
    <n v="2022"/>
    <x v="2"/>
    <x v="9"/>
    <x v="1"/>
    <x v="5"/>
    <x v="1"/>
  </r>
  <r>
    <d v="2022-07-09T16:48:23"/>
    <d v="2022-07-02T00:00:00"/>
    <d v="2022-07-09T16:48:23"/>
    <x v="3"/>
    <x v="0"/>
    <x v="0"/>
    <s v="NF2933"/>
    <n v="2186"/>
    <n v="2022"/>
    <x v="9"/>
    <x v="2"/>
    <x v="1"/>
    <x v="2"/>
    <x v="1"/>
  </r>
  <r>
    <d v="2022-07-24T04:31:40"/>
    <d v="2022-07-03T00:00:00"/>
    <d v="2022-07-24T04:31:40"/>
    <x v="4"/>
    <x v="0"/>
    <x v="2"/>
    <s v="NF4384"/>
    <n v="3411"/>
    <n v="2022"/>
    <x v="9"/>
    <x v="2"/>
    <x v="1"/>
    <x v="2"/>
    <x v="1"/>
  </r>
  <r>
    <d v="2022-07-24T10:25:52"/>
    <d v="2022-07-08T00:00:00"/>
    <d v="2022-07-24T10:25:52"/>
    <x v="0"/>
    <x v="0"/>
    <x v="2"/>
    <s v="NF8316"/>
    <n v="2524"/>
    <n v="2022"/>
    <x v="9"/>
    <x v="2"/>
    <x v="1"/>
    <x v="2"/>
    <x v="1"/>
  </r>
  <r>
    <d v="2022-08-01T04:14:27"/>
    <d v="2022-07-10T00:00:00"/>
    <d v="2022-08-01T04:14:27"/>
    <x v="6"/>
    <x v="0"/>
    <x v="0"/>
    <s v="NF1506"/>
    <n v="1709"/>
    <n v="2022"/>
    <x v="2"/>
    <x v="2"/>
    <x v="1"/>
    <x v="5"/>
    <x v="1"/>
  </r>
  <r>
    <d v="2022-08-28T08:22:59"/>
    <d v="2022-07-15T00:00:00"/>
    <d v="2022-08-28T08:22:59"/>
    <x v="1"/>
    <x v="0"/>
    <x v="5"/>
    <s v="NF4913"/>
    <n v="3181"/>
    <n v="2022"/>
    <x v="2"/>
    <x v="2"/>
    <x v="1"/>
    <x v="5"/>
    <x v="1"/>
  </r>
  <r>
    <d v="2022-08-09T16:53:42"/>
    <d v="2022-07-16T00:00:00"/>
    <d v="2022-08-09T16:53:42"/>
    <x v="4"/>
    <x v="0"/>
    <x v="3"/>
    <s v="NF8526"/>
    <n v="1108"/>
    <n v="2022"/>
    <x v="2"/>
    <x v="2"/>
    <x v="1"/>
    <x v="5"/>
    <x v="1"/>
  </r>
  <r>
    <d v="2022-08-18T00:15:22"/>
    <d v="2022-07-17T00:00:00"/>
    <d v="2022-08-18T00:15:22"/>
    <x v="5"/>
    <x v="0"/>
    <x v="5"/>
    <s v="NF9873"/>
    <n v="2777"/>
    <n v="2022"/>
    <x v="2"/>
    <x v="2"/>
    <x v="1"/>
    <x v="5"/>
    <x v="1"/>
  </r>
  <r>
    <d v="2022-09-14T00:58:53"/>
    <d v="2022-07-19T00:00:00"/>
    <d v="2022-09-14T00:58:53"/>
    <x v="0"/>
    <x v="0"/>
    <x v="0"/>
    <s v="NF9870"/>
    <n v="3793"/>
    <n v="2022"/>
    <x v="4"/>
    <x v="2"/>
    <x v="1"/>
    <x v="4"/>
    <x v="1"/>
  </r>
  <r>
    <s v="N/A"/>
    <d v="2022-07-21T00:00:00"/>
    <d v="2022-08-12T21:19:56"/>
    <x v="2"/>
    <x v="0"/>
    <x v="2"/>
    <s v="NF5563"/>
    <n v="4217"/>
    <n v="0"/>
    <x v="12"/>
    <x v="2"/>
    <x v="1"/>
    <x v="5"/>
    <x v="1"/>
  </r>
  <r>
    <d v="2022-08-30T14:57:50"/>
    <d v="2022-07-28T00:00:00"/>
    <d v="2022-08-30T14:57:50"/>
    <x v="0"/>
    <x v="0"/>
    <x v="5"/>
    <s v="NF5510"/>
    <n v="4850"/>
    <n v="2022"/>
    <x v="2"/>
    <x v="2"/>
    <x v="1"/>
    <x v="5"/>
    <x v="1"/>
  </r>
  <r>
    <d v="2022-09-11T23:14:03"/>
    <d v="2022-07-30T00:00:00"/>
    <d v="2022-08-19T07:55:56"/>
    <x v="3"/>
    <x v="0"/>
    <x v="2"/>
    <s v="NF1440"/>
    <n v="4309"/>
    <n v="2022"/>
    <x v="4"/>
    <x v="2"/>
    <x v="1"/>
    <x v="5"/>
    <x v="1"/>
  </r>
  <r>
    <d v="2022-10-01T14:46:44"/>
    <d v="2022-08-01T00:00:00"/>
    <d v="2022-08-02T13:49:34"/>
    <x v="3"/>
    <x v="0"/>
    <x v="3"/>
    <s v="NF2709"/>
    <n v="4462"/>
    <n v="2022"/>
    <x v="0"/>
    <x v="0"/>
    <x v="1"/>
    <x v="5"/>
    <x v="1"/>
  </r>
  <r>
    <d v="2022-10-02T11:47:41"/>
    <d v="2022-08-07T00:00:00"/>
    <d v="2022-10-02T11:47:41"/>
    <x v="8"/>
    <x v="0"/>
    <x v="4"/>
    <s v="NF9886"/>
    <n v="4947"/>
    <n v="2022"/>
    <x v="0"/>
    <x v="0"/>
    <x v="1"/>
    <x v="0"/>
    <x v="1"/>
  </r>
  <r>
    <d v="2022-09-25T16:55:00"/>
    <d v="2022-08-10T00:00:00"/>
    <d v="2022-09-25T16:55:00"/>
    <x v="1"/>
    <x v="0"/>
    <x v="0"/>
    <s v="NF6993"/>
    <n v="902"/>
    <n v="2022"/>
    <x v="4"/>
    <x v="0"/>
    <x v="1"/>
    <x v="4"/>
    <x v="1"/>
  </r>
  <r>
    <d v="2022-09-23T20:55:42"/>
    <d v="2022-08-12T00:00:00"/>
    <d v="2022-09-23T20:55:42"/>
    <x v="1"/>
    <x v="0"/>
    <x v="4"/>
    <s v="NF9126"/>
    <n v="432"/>
    <n v="2022"/>
    <x v="4"/>
    <x v="0"/>
    <x v="1"/>
    <x v="4"/>
    <x v="1"/>
  </r>
  <r>
    <d v="2022-09-13T22:56:48"/>
    <d v="2022-08-15T00:00:00"/>
    <d v="2022-09-13T22:56:48"/>
    <x v="6"/>
    <x v="0"/>
    <x v="2"/>
    <s v="NF3531"/>
    <n v="4084"/>
    <n v="2022"/>
    <x v="4"/>
    <x v="0"/>
    <x v="1"/>
    <x v="4"/>
    <x v="1"/>
  </r>
  <r>
    <d v="2022-11-29T00:17:37"/>
    <d v="2022-08-22T00:00:00"/>
    <d v="2022-09-16T00:23:57"/>
    <x v="2"/>
    <x v="0"/>
    <x v="5"/>
    <s v="NF6599"/>
    <n v="1054"/>
    <n v="2022"/>
    <x v="11"/>
    <x v="0"/>
    <x v="1"/>
    <x v="4"/>
    <x v="1"/>
  </r>
  <r>
    <d v="2022-09-09T01:51:27"/>
    <d v="2022-08-23T00:00:00"/>
    <d v="2022-09-09T01:51:27"/>
    <x v="3"/>
    <x v="0"/>
    <x v="4"/>
    <s v="NF9323"/>
    <n v="4608"/>
    <n v="2022"/>
    <x v="4"/>
    <x v="0"/>
    <x v="1"/>
    <x v="4"/>
    <x v="1"/>
  </r>
  <r>
    <d v="2022-09-20T03:35:31"/>
    <d v="2022-08-28T00:00:00"/>
    <d v="2022-09-20T03:35:31"/>
    <x v="3"/>
    <x v="0"/>
    <x v="0"/>
    <s v="NF3529"/>
    <n v="1238"/>
    <n v="2022"/>
    <x v="4"/>
    <x v="0"/>
    <x v="1"/>
    <x v="4"/>
    <x v="1"/>
  </r>
  <r>
    <d v="2022-09-27T17:31:08"/>
    <d v="2022-09-03T00:00:00"/>
    <d v="2022-09-27T17:31:08"/>
    <x v="6"/>
    <x v="0"/>
    <x v="5"/>
    <s v="NF5824"/>
    <n v="1342"/>
    <n v="2022"/>
    <x v="4"/>
    <x v="4"/>
    <x v="1"/>
    <x v="4"/>
    <x v="1"/>
  </r>
  <r>
    <d v="2022-12-04T20:10:31"/>
    <d v="2022-09-07T00:00:00"/>
    <d v="2022-10-29T18:42:30"/>
    <x v="6"/>
    <x v="0"/>
    <x v="4"/>
    <s v="NF3860"/>
    <n v="2936"/>
    <n v="2022"/>
    <x v="8"/>
    <x v="4"/>
    <x v="1"/>
    <x v="0"/>
    <x v="1"/>
  </r>
  <r>
    <d v="2022-10-08T03:24:37"/>
    <d v="2022-09-08T00:00:00"/>
    <d v="2022-10-08T03:24:37"/>
    <x v="8"/>
    <x v="0"/>
    <x v="5"/>
    <s v="NF7260"/>
    <n v="875"/>
    <n v="2022"/>
    <x v="0"/>
    <x v="4"/>
    <x v="1"/>
    <x v="0"/>
    <x v="1"/>
  </r>
  <r>
    <d v="2022-09-12T00:31:15"/>
    <d v="2022-09-10T00:00:00"/>
    <d v="2022-09-12T00:31:15"/>
    <x v="3"/>
    <x v="0"/>
    <x v="3"/>
    <s v="NF2238"/>
    <n v="159"/>
    <n v="2022"/>
    <x v="4"/>
    <x v="4"/>
    <x v="1"/>
    <x v="4"/>
    <x v="1"/>
  </r>
  <r>
    <d v="2022-10-09T15:23:27"/>
    <d v="2022-09-15T00:00:00"/>
    <d v="2022-10-09T15:23:27"/>
    <x v="3"/>
    <x v="0"/>
    <x v="5"/>
    <s v="NF7342"/>
    <n v="2933"/>
    <n v="2022"/>
    <x v="0"/>
    <x v="4"/>
    <x v="1"/>
    <x v="0"/>
    <x v="1"/>
  </r>
  <r>
    <d v="2022-11-01T03:06:41"/>
    <d v="2022-09-15T00:00:00"/>
    <d v="2022-11-01T03:06:41"/>
    <x v="2"/>
    <x v="0"/>
    <x v="5"/>
    <s v="NF8517"/>
    <n v="4944"/>
    <n v="2022"/>
    <x v="11"/>
    <x v="4"/>
    <x v="1"/>
    <x v="10"/>
    <x v="1"/>
  </r>
  <r>
    <d v="2022-10-04T15:50:23"/>
    <d v="2022-09-19T00:00:00"/>
    <d v="2022-10-04T15:50:23"/>
    <x v="5"/>
    <x v="0"/>
    <x v="0"/>
    <s v="NF9366"/>
    <n v="4173"/>
    <n v="2022"/>
    <x v="0"/>
    <x v="4"/>
    <x v="1"/>
    <x v="0"/>
    <x v="1"/>
  </r>
  <r>
    <d v="2022-10-02T04:27:54"/>
    <d v="2022-09-24T00:00:00"/>
    <d v="2022-10-02T04:27:54"/>
    <x v="5"/>
    <x v="0"/>
    <x v="4"/>
    <s v="NF4973"/>
    <n v="2065"/>
    <n v="2022"/>
    <x v="0"/>
    <x v="4"/>
    <x v="1"/>
    <x v="0"/>
    <x v="1"/>
  </r>
  <r>
    <d v="2022-11-18T11:16:55"/>
    <d v="2022-09-28T00:00:00"/>
    <d v="2022-11-18T11:16:55"/>
    <x v="8"/>
    <x v="0"/>
    <x v="2"/>
    <s v="NF1111"/>
    <n v="521"/>
    <n v="2022"/>
    <x v="11"/>
    <x v="4"/>
    <x v="1"/>
    <x v="10"/>
    <x v="1"/>
  </r>
  <r>
    <d v="2022-11-13T19:50:37"/>
    <d v="2022-10-01T00:00:00"/>
    <d v="2022-11-13T19:50:37"/>
    <x v="0"/>
    <x v="0"/>
    <x v="2"/>
    <s v="NF8344"/>
    <n v="819"/>
    <n v="2022"/>
    <x v="11"/>
    <x v="11"/>
    <x v="1"/>
    <x v="10"/>
    <x v="1"/>
  </r>
  <r>
    <d v="2022-11-29T03:48:33"/>
    <d v="2022-10-04T00:00:00"/>
    <d v="2022-11-29T03:48:33"/>
    <x v="0"/>
    <x v="0"/>
    <x v="0"/>
    <s v="NF8750"/>
    <n v="1260"/>
    <n v="2022"/>
    <x v="11"/>
    <x v="11"/>
    <x v="1"/>
    <x v="10"/>
    <x v="1"/>
  </r>
  <r>
    <d v="2022-10-16T21:21:41"/>
    <d v="2022-10-10T00:00:00"/>
    <d v="2022-10-16T21:21:41"/>
    <x v="2"/>
    <x v="0"/>
    <x v="4"/>
    <s v="NF7616"/>
    <n v="2998"/>
    <n v="2022"/>
    <x v="0"/>
    <x v="11"/>
    <x v="1"/>
    <x v="0"/>
    <x v="1"/>
  </r>
  <r>
    <d v="2022-10-31T01:07:14"/>
    <d v="2022-10-12T00:00:00"/>
    <d v="2022-10-31T01:07:14"/>
    <x v="7"/>
    <x v="0"/>
    <x v="4"/>
    <s v="NF3536"/>
    <n v="4287"/>
    <n v="2022"/>
    <x v="0"/>
    <x v="11"/>
    <x v="1"/>
    <x v="0"/>
    <x v="1"/>
  </r>
  <r>
    <d v="2023-02-11T18:08:36"/>
    <d v="2022-10-14T00:00:00"/>
    <d v="2022-11-24T03:33:56"/>
    <x v="7"/>
    <x v="0"/>
    <x v="3"/>
    <s v="NF9376"/>
    <n v="2015"/>
    <n v="2023"/>
    <x v="7"/>
    <x v="11"/>
    <x v="1"/>
    <x v="10"/>
    <x v="1"/>
  </r>
  <r>
    <d v="2022-12-15T05:05:06"/>
    <d v="2022-10-20T00:00:00"/>
    <d v="2022-12-15T05:05:06"/>
    <x v="4"/>
    <x v="0"/>
    <x v="3"/>
    <s v="NF1222"/>
    <n v="3369"/>
    <n v="2022"/>
    <x v="8"/>
    <x v="11"/>
    <x v="1"/>
    <x v="9"/>
    <x v="1"/>
  </r>
  <r>
    <d v="2022-10-31T19:28:19"/>
    <d v="2022-10-21T00:00:00"/>
    <d v="2022-10-31T19:28:19"/>
    <x v="5"/>
    <x v="0"/>
    <x v="5"/>
    <s v="NF3914"/>
    <n v="4851"/>
    <n v="2022"/>
    <x v="0"/>
    <x v="11"/>
    <x v="1"/>
    <x v="0"/>
    <x v="1"/>
  </r>
  <r>
    <d v="2022-12-22T00:45:32"/>
    <d v="2022-10-25T00:00:00"/>
    <d v="2022-12-15T00:19:24"/>
    <x v="3"/>
    <x v="0"/>
    <x v="5"/>
    <s v="NF7447"/>
    <n v="2178"/>
    <n v="2022"/>
    <x v="8"/>
    <x v="11"/>
    <x v="1"/>
    <x v="9"/>
    <x v="1"/>
  </r>
  <r>
    <d v="2022-11-20T01:29:21"/>
    <d v="2022-10-27T00:00:00"/>
    <d v="2022-11-20T01:29:21"/>
    <x v="4"/>
    <x v="0"/>
    <x v="3"/>
    <s v="NF5088"/>
    <n v="4052"/>
    <n v="2022"/>
    <x v="11"/>
    <x v="11"/>
    <x v="1"/>
    <x v="10"/>
    <x v="1"/>
  </r>
  <r>
    <d v="2022-11-16T14:05:40"/>
    <d v="2022-10-30T00:00:00"/>
    <d v="2022-11-16T14:05:40"/>
    <x v="5"/>
    <x v="0"/>
    <x v="4"/>
    <s v="NF7858"/>
    <n v="2864"/>
    <n v="2022"/>
    <x v="11"/>
    <x v="11"/>
    <x v="1"/>
    <x v="10"/>
    <x v="1"/>
  </r>
  <r>
    <d v="2022-12-27T21:24:18"/>
    <d v="2022-11-01T00:00:00"/>
    <d v="2022-12-27T21:24:18"/>
    <x v="4"/>
    <x v="0"/>
    <x v="5"/>
    <s v="NF7692"/>
    <n v="2425"/>
    <n v="2022"/>
    <x v="8"/>
    <x v="8"/>
    <x v="1"/>
    <x v="9"/>
    <x v="1"/>
  </r>
  <r>
    <d v="2023-01-26T03:09:35"/>
    <d v="2022-11-03T00:00:00"/>
    <d v="2023-01-01T13:15:07"/>
    <x v="8"/>
    <x v="0"/>
    <x v="4"/>
    <s v="NF7390"/>
    <n v="1542"/>
    <n v="2023"/>
    <x v="6"/>
    <x v="8"/>
    <x v="1"/>
    <x v="7"/>
    <x v="2"/>
  </r>
  <r>
    <d v="2022-12-12T17:38:41"/>
    <d v="2022-11-08T00:00:00"/>
    <d v="2022-12-12T17:38:41"/>
    <x v="3"/>
    <x v="0"/>
    <x v="5"/>
    <s v="NF6262"/>
    <n v="1736"/>
    <n v="2022"/>
    <x v="8"/>
    <x v="8"/>
    <x v="1"/>
    <x v="9"/>
    <x v="1"/>
  </r>
  <r>
    <d v="2023-01-09T16:18:40"/>
    <d v="2022-11-11T00:00:00"/>
    <d v="2023-01-09T16:18:40"/>
    <x v="8"/>
    <x v="0"/>
    <x v="2"/>
    <s v="NF9573"/>
    <n v="1628"/>
    <n v="2023"/>
    <x v="6"/>
    <x v="8"/>
    <x v="1"/>
    <x v="7"/>
    <x v="2"/>
  </r>
  <r>
    <d v="2022-11-16T02:35:10"/>
    <d v="2022-11-13T00:00:00"/>
    <d v="2022-11-16T02:35:10"/>
    <x v="3"/>
    <x v="0"/>
    <x v="5"/>
    <s v="NF8087"/>
    <n v="3853"/>
    <n v="2022"/>
    <x v="11"/>
    <x v="8"/>
    <x v="1"/>
    <x v="10"/>
    <x v="1"/>
  </r>
  <r>
    <d v="2022-12-17T04:53:47"/>
    <d v="2022-11-17T00:00:00"/>
    <d v="2022-12-17T04:53:47"/>
    <x v="3"/>
    <x v="0"/>
    <x v="2"/>
    <s v="NF5909"/>
    <n v="883"/>
    <n v="2022"/>
    <x v="8"/>
    <x v="8"/>
    <x v="1"/>
    <x v="9"/>
    <x v="1"/>
  </r>
  <r>
    <d v="2022-12-07T18:17:32"/>
    <d v="2022-11-17T00:00:00"/>
    <d v="2022-12-07T18:17:32"/>
    <x v="7"/>
    <x v="0"/>
    <x v="5"/>
    <s v="NF4172"/>
    <n v="976"/>
    <n v="2022"/>
    <x v="8"/>
    <x v="8"/>
    <x v="1"/>
    <x v="9"/>
    <x v="1"/>
  </r>
  <r>
    <d v="2022-12-31T22:37:03"/>
    <d v="2022-11-20T00:00:00"/>
    <d v="2022-12-31T22:37:03"/>
    <x v="0"/>
    <x v="0"/>
    <x v="2"/>
    <s v="NF8957"/>
    <n v="2663"/>
    <n v="2022"/>
    <x v="8"/>
    <x v="8"/>
    <x v="1"/>
    <x v="9"/>
    <x v="1"/>
  </r>
  <r>
    <d v="2022-11-26T22:53:14"/>
    <d v="2022-11-26T00:00:00"/>
    <d v="2022-11-26T22:53:14"/>
    <x v="6"/>
    <x v="0"/>
    <x v="5"/>
    <s v="NF2981"/>
    <n v="4888"/>
    <n v="2022"/>
    <x v="11"/>
    <x v="8"/>
    <x v="1"/>
    <x v="10"/>
    <x v="1"/>
  </r>
  <r>
    <d v="2023-02-21T18:19:59"/>
    <d v="2022-11-29T00:00:00"/>
    <d v="2023-01-13T19:18:14"/>
    <x v="6"/>
    <x v="0"/>
    <x v="2"/>
    <s v="NF5104"/>
    <n v="2030"/>
    <n v="2023"/>
    <x v="7"/>
    <x v="8"/>
    <x v="1"/>
    <x v="7"/>
    <x v="2"/>
  </r>
  <r>
    <s v="N/A"/>
    <d v="2022-12-02T00:00:00"/>
    <d v="2023-01-20T19:42:08"/>
    <x v="7"/>
    <x v="0"/>
    <x v="5"/>
    <s v="NF3942"/>
    <n v="2117"/>
    <n v="0"/>
    <x v="12"/>
    <x v="6"/>
    <x v="1"/>
    <x v="7"/>
    <x v="2"/>
  </r>
  <r>
    <d v="2023-04-21T08:25:53"/>
    <d v="2022-12-04T00:00:00"/>
    <d v="2023-01-29T18:00:06"/>
    <x v="4"/>
    <x v="0"/>
    <x v="5"/>
    <s v="NF6376"/>
    <n v="1236"/>
    <n v="2023"/>
    <x v="5"/>
    <x v="6"/>
    <x v="1"/>
    <x v="7"/>
    <x v="2"/>
  </r>
  <r>
    <d v="2022-12-31T17:55:32"/>
    <d v="2022-12-09T00:00:00"/>
    <d v="2022-12-31T17:55:32"/>
    <x v="5"/>
    <x v="0"/>
    <x v="5"/>
    <s v="NF7518"/>
    <n v="426"/>
    <n v="2022"/>
    <x v="8"/>
    <x v="6"/>
    <x v="1"/>
    <x v="9"/>
    <x v="1"/>
  </r>
  <r>
    <d v="2022-12-31T02:34:29"/>
    <d v="2022-12-10T00:00:00"/>
    <d v="2022-12-24T03:51:14"/>
    <x v="2"/>
    <x v="0"/>
    <x v="4"/>
    <s v="NF5359"/>
    <n v="3956"/>
    <n v="2022"/>
    <x v="8"/>
    <x v="6"/>
    <x v="1"/>
    <x v="9"/>
    <x v="1"/>
  </r>
  <r>
    <s v="N/A"/>
    <d v="2022-12-14T00:00:00"/>
    <d v="2023-01-15T17:55:39"/>
    <x v="0"/>
    <x v="0"/>
    <x v="5"/>
    <s v="NF5153"/>
    <n v="3042"/>
    <n v="0"/>
    <x v="12"/>
    <x v="6"/>
    <x v="1"/>
    <x v="7"/>
    <x v="2"/>
  </r>
  <r>
    <d v="2023-02-10T06:21:01"/>
    <d v="2022-12-15T00:00:00"/>
    <d v="2023-01-24T08:03:45"/>
    <x v="0"/>
    <x v="0"/>
    <x v="5"/>
    <s v="NF3127"/>
    <n v="1434"/>
    <n v="2023"/>
    <x v="7"/>
    <x v="6"/>
    <x v="1"/>
    <x v="7"/>
    <x v="2"/>
  </r>
  <r>
    <d v="2023-01-22T04:31:20"/>
    <d v="2022-12-18T00:00:00"/>
    <d v="2023-01-22T04:31:20"/>
    <x v="8"/>
    <x v="0"/>
    <x v="0"/>
    <s v="NF7641"/>
    <n v="1782"/>
    <n v="2023"/>
    <x v="6"/>
    <x v="6"/>
    <x v="1"/>
    <x v="7"/>
    <x v="2"/>
  </r>
  <r>
    <d v="2023-02-18T09:40:35"/>
    <d v="2022-12-25T00:00:00"/>
    <d v="2023-02-18T09:40:35"/>
    <x v="1"/>
    <x v="0"/>
    <x v="5"/>
    <s v="NF2758"/>
    <n v="365"/>
    <n v="2023"/>
    <x v="7"/>
    <x v="6"/>
    <x v="1"/>
    <x v="3"/>
    <x v="2"/>
  </r>
  <r>
    <d v="2023-01-26T16:18:05"/>
    <d v="2022-12-27T00:00:00"/>
    <d v="2023-01-26T16:18:05"/>
    <x v="1"/>
    <x v="0"/>
    <x v="5"/>
    <s v="NF9279"/>
    <n v="2757"/>
    <n v="2023"/>
    <x v="6"/>
    <x v="6"/>
    <x v="1"/>
    <x v="7"/>
    <x v="2"/>
  </r>
  <r>
    <d v="2023-02-19T04:57:57"/>
    <d v="2022-12-30T00:00:00"/>
    <d v="2023-02-19T04:57:57"/>
    <x v="1"/>
    <x v="0"/>
    <x v="0"/>
    <s v="NF2386"/>
    <n v="2112"/>
    <n v="2023"/>
    <x v="7"/>
    <x v="6"/>
    <x v="1"/>
    <x v="3"/>
    <x v="2"/>
  </r>
  <r>
    <d v="2023-04-18T04:58:30"/>
    <d v="2023-01-02T00:00:00"/>
    <d v="2023-01-18T13:55:07"/>
    <x v="3"/>
    <x v="0"/>
    <x v="0"/>
    <s v="NF6751"/>
    <n v="2190"/>
    <n v="2023"/>
    <x v="5"/>
    <x v="7"/>
    <x v="2"/>
    <x v="7"/>
    <x v="2"/>
  </r>
  <r>
    <d v="2023-01-20T15:24:57"/>
    <d v="2023-01-04T00:00:00"/>
    <d v="2023-01-20T15:24:57"/>
    <x v="3"/>
    <x v="0"/>
    <x v="5"/>
    <s v="NF9460"/>
    <n v="2998"/>
    <n v="2023"/>
    <x v="6"/>
    <x v="7"/>
    <x v="2"/>
    <x v="7"/>
    <x v="2"/>
  </r>
  <r>
    <d v="2023-02-05T00:47:03"/>
    <d v="2023-01-11T00:00:00"/>
    <d v="2023-02-05T00:47:03"/>
    <x v="4"/>
    <x v="0"/>
    <x v="5"/>
    <s v="NF5556"/>
    <n v="3808"/>
    <n v="2023"/>
    <x v="7"/>
    <x v="7"/>
    <x v="2"/>
    <x v="3"/>
    <x v="2"/>
  </r>
  <r>
    <d v="2023-01-30T11:29:38"/>
    <d v="2023-01-14T00:00:00"/>
    <d v="2023-01-30T11:29:38"/>
    <x v="0"/>
    <x v="0"/>
    <x v="5"/>
    <s v="NF4918"/>
    <n v="4928"/>
    <n v="2023"/>
    <x v="6"/>
    <x v="7"/>
    <x v="2"/>
    <x v="7"/>
    <x v="2"/>
  </r>
  <r>
    <d v="2023-03-12T00:36:53"/>
    <d v="2023-01-17T00:00:00"/>
    <d v="2023-03-12T00:36:53"/>
    <x v="6"/>
    <x v="0"/>
    <x v="0"/>
    <s v="NF1763"/>
    <n v="4179"/>
    <n v="2023"/>
    <x v="3"/>
    <x v="7"/>
    <x v="2"/>
    <x v="6"/>
    <x v="2"/>
  </r>
  <r>
    <d v="2023-02-03T23:50:40"/>
    <d v="2023-01-19T00:00:00"/>
    <d v="2023-02-03T23:50:40"/>
    <x v="1"/>
    <x v="0"/>
    <x v="4"/>
    <s v="NF2024"/>
    <n v="4896"/>
    <n v="2023"/>
    <x v="7"/>
    <x v="7"/>
    <x v="2"/>
    <x v="3"/>
    <x v="2"/>
  </r>
  <r>
    <d v="2023-02-02T03:08:46"/>
    <d v="2023-01-22T00:00:00"/>
    <d v="2023-02-02T03:08:46"/>
    <x v="4"/>
    <x v="0"/>
    <x v="0"/>
    <s v="NF8079"/>
    <n v="4092"/>
    <n v="2023"/>
    <x v="7"/>
    <x v="7"/>
    <x v="2"/>
    <x v="3"/>
    <x v="2"/>
  </r>
  <r>
    <d v="2023-01-31T22:24:29"/>
    <d v="2023-01-27T00:00:00"/>
    <d v="2023-01-31T22:24:29"/>
    <x v="5"/>
    <x v="0"/>
    <x v="5"/>
    <s v="NF6383"/>
    <n v="2956"/>
    <n v="2023"/>
    <x v="6"/>
    <x v="7"/>
    <x v="2"/>
    <x v="7"/>
    <x v="2"/>
  </r>
  <r>
    <d v="2023-02-13T18:40:14"/>
    <d v="2023-01-31T00:00:00"/>
    <d v="2023-02-13T18:40:14"/>
    <x v="0"/>
    <x v="0"/>
    <x v="0"/>
    <s v="NF3919"/>
    <n v="533"/>
    <n v="2023"/>
    <x v="7"/>
    <x v="7"/>
    <x v="2"/>
    <x v="3"/>
    <x v="2"/>
  </r>
  <r>
    <d v="2023-02-24T17:32:07"/>
    <d v="2023-02-01T00:00:00"/>
    <d v="2023-02-24T17:32:07"/>
    <x v="2"/>
    <x v="0"/>
    <x v="2"/>
    <s v="NF1390"/>
    <n v="3519"/>
    <n v="2023"/>
    <x v="7"/>
    <x v="3"/>
    <x v="2"/>
    <x v="3"/>
    <x v="2"/>
  </r>
  <r>
    <d v="2023-03-24T18:54:41"/>
    <d v="2023-02-03T00:00:00"/>
    <d v="2023-03-24T18:54:41"/>
    <x v="0"/>
    <x v="0"/>
    <x v="4"/>
    <s v="NF2500"/>
    <n v="757"/>
    <n v="2023"/>
    <x v="3"/>
    <x v="3"/>
    <x v="2"/>
    <x v="6"/>
    <x v="2"/>
  </r>
  <r>
    <d v="2023-03-28T05:56:28"/>
    <d v="2023-02-07T00:00:00"/>
    <d v="2023-03-28T05:56:28"/>
    <x v="3"/>
    <x v="0"/>
    <x v="5"/>
    <s v="NF2427"/>
    <n v="2688"/>
    <n v="2023"/>
    <x v="3"/>
    <x v="3"/>
    <x v="2"/>
    <x v="6"/>
    <x v="2"/>
  </r>
  <r>
    <d v="2023-03-30T10:37:26"/>
    <d v="2023-02-09T00:00:00"/>
    <d v="2023-03-30T10:37:26"/>
    <x v="3"/>
    <x v="0"/>
    <x v="3"/>
    <s v="NF4680"/>
    <n v="340"/>
    <n v="2023"/>
    <x v="3"/>
    <x v="3"/>
    <x v="2"/>
    <x v="6"/>
    <x v="2"/>
  </r>
  <r>
    <d v="2023-02-12T14:13:18"/>
    <d v="2023-02-10T00:00:00"/>
    <d v="2023-02-12T14:13:18"/>
    <x v="8"/>
    <x v="0"/>
    <x v="3"/>
    <s v="NF7019"/>
    <n v="4204"/>
    <n v="2023"/>
    <x v="7"/>
    <x v="3"/>
    <x v="2"/>
    <x v="3"/>
    <x v="2"/>
  </r>
  <r>
    <d v="2023-03-31T06:50:37"/>
    <d v="2023-02-12T00:00:00"/>
    <d v="2023-03-31T06:50:37"/>
    <x v="1"/>
    <x v="0"/>
    <x v="2"/>
    <s v="NF4961"/>
    <n v="3695"/>
    <n v="2023"/>
    <x v="3"/>
    <x v="3"/>
    <x v="2"/>
    <x v="6"/>
    <x v="2"/>
  </r>
  <r>
    <d v="2023-06-03T21:03:17"/>
    <d v="2023-02-21T00:00:00"/>
    <d v="2023-03-24T00:09:11"/>
    <x v="1"/>
    <x v="0"/>
    <x v="0"/>
    <s v="NF4608"/>
    <n v="4148"/>
    <n v="2023"/>
    <x v="1"/>
    <x v="3"/>
    <x v="2"/>
    <x v="6"/>
    <x v="2"/>
  </r>
  <r>
    <d v="2023-04-11T11:34:45"/>
    <d v="2023-02-25T00:00:00"/>
    <d v="2023-03-29T22:04:56"/>
    <x v="6"/>
    <x v="0"/>
    <x v="5"/>
    <s v="NF1913"/>
    <n v="4303"/>
    <n v="2023"/>
    <x v="5"/>
    <x v="3"/>
    <x v="2"/>
    <x v="6"/>
    <x v="2"/>
  </r>
  <r>
    <d v="2023-03-07T17:42:59"/>
    <d v="2023-02-27T00:00:00"/>
    <d v="2023-03-07T17:42:59"/>
    <x v="2"/>
    <x v="0"/>
    <x v="3"/>
    <s v="NF5844"/>
    <n v="2674"/>
    <n v="2023"/>
    <x v="3"/>
    <x v="3"/>
    <x v="2"/>
    <x v="6"/>
    <x v="2"/>
  </r>
  <r>
    <d v="2023-04-14T20:03:15"/>
    <d v="2023-03-02T00:00:00"/>
    <d v="2023-04-14T20:03:15"/>
    <x v="3"/>
    <x v="0"/>
    <x v="4"/>
    <s v="NF7813"/>
    <n v="1720"/>
    <n v="2023"/>
    <x v="5"/>
    <x v="5"/>
    <x v="2"/>
    <x v="8"/>
    <x v="2"/>
  </r>
  <r>
    <d v="2023-04-12T18:11:29"/>
    <d v="2023-03-06T00:00:00"/>
    <d v="2023-04-12T18:11:29"/>
    <x v="3"/>
    <x v="0"/>
    <x v="4"/>
    <s v="NF6780"/>
    <n v="1854"/>
    <n v="2023"/>
    <x v="5"/>
    <x v="5"/>
    <x v="2"/>
    <x v="8"/>
    <x v="2"/>
  </r>
  <r>
    <d v="2023-03-11T01:54:11"/>
    <d v="2023-03-08T00:00:00"/>
    <d v="2023-03-11T01:54:11"/>
    <x v="6"/>
    <x v="0"/>
    <x v="5"/>
    <s v="NF9599"/>
    <n v="2568"/>
    <n v="2023"/>
    <x v="3"/>
    <x v="5"/>
    <x v="2"/>
    <x v="6"/>
    <x v="2"/>
  </r>
  <r>
    <d v="2023-04-17T14:18:26"/>
    <d v="2023-03-08T00:00:00"/>
    <d v="2023-04-17T14:18:26"/>
    <x v="6"/>
    <x v="0"/>
    <x v="5"/>
    <s v="NF8659"/>
    <n v="3690"/>
    <n v="2023"/>
    <x v="5"/>
    <x v="5"/>
    <x v="2"/>
    <x v="8"/>
    <x v="2"/>
  </r>
  <r>
    <d v="2023-06-05T12:21:59"/>
    <d v="2023-03-10T00:00:00"/>
    <d v="2023-04-15T12:56:12"/>
    <x v="8"/>
    <x v="0"/>
    <x v="0"/>
    <s v="NF4652"/>
    <n v="3746"/>
    <n v="2023"/>
    <x v="1"/>
    <x v="5"/>
    <x v="2"/>
    <x v="8"/>
    <x v="2"/>
  </r>
  <r>
    <d v="2023-04-16T17:46:42"/>
    <d v="2023-03-12T00:00:00"/>
    <d v="2023-04-16T17:46:42"/>
    <x v="3"/>
    <x v="0"/>
    <x v="4"/>
    <s v="NF3068"/>
    <n v="4360"/>
    <n v="2023"/>
    <x v="5"/>
    <x v="5"/>
    <x v="2"/>
    <x v="8"/>
    <x v="2"/>
  </r>
  <r>
    <s v="N/A"/>
    <d v="2023-03-13T00:00:00"/>
    <d v="2023-04-21T09:02:46"/>
    <x v="3"/>
    <x v="0"/>
    <x v="0"/>
    <s v="NF7141"/>
    <n v="1753"/>
    <n v="0"/>
    <x v="12"/>
    <x v="5"/>
    <x v="2"/>
    <x v="8"/>
    <x v="2"/>
  </r>
  <r>
    <d v="2023-03-19T15:46:35"/>
    <d v="2023-03-16T00:00:00"/>
    <d v="2023-03-19T15:46:35"/>
    <x v="2"/>
    <x v="0"/>
    <x v="4"/>
    <s v="NF3366"/>
    <n v="1421"/>
    <n v="2023"/>
    <x v="3"/>
    <x v="5"/>
    <x v="2"/>
    <x v="6"/>
    <x v="2"/>
  </r>
  <r>
    <d v="2023-04-11T07:59:33"/>
    <d v="2023-03-19T00:00:00"/>
    <d v="2023-04-11T07:59:33"/>
    <x v="5"/>
    <x v="0"/>
    <x v="0"/>
    <s v="NF8853"/>
    <n v="3565"/>
    <n v="2023"/>
    <x v="5"/>
    <x v="5"/>
    <x v="2"/>
    <x v="8"/>
    <x v="2"/>
  </r>
  <r>
    <d v="2023-07-17T09:11:04"/>
    <d v="2023-03-22T00:00:00"/>
    <d v="2023-05-01T11:33:58"/>
    <x v="5"/>
    <x v="0"/>
    <x v="5"/>
    <s v="NF7681"/>
    <n v="1961"/>
    <n v="2023"/>
    <x v="9"/>
    <x v="5"/>
    <x v="2"/>
    <x v="1"/>
    <x v="2"/>
  </r>
  <r>
    <d v="2023-04-15T02:20:04"/>
    <d v="2023-03-27T00:00:00"/>
    <d v="2023-04-02T02:00:21"/>
    <x v="8"/>
    <x v="0"/>
    <x v="3"/>
    <s v="NF1441"/>
    <n v="4854"/>
    <n v="2023"/>
    <x v="5"/>
    <x v="5"/>
    <x v="2"/>
    <x v="8"/>
    <x v="2"/>
  </r>
  <r>
    <d v="2023-04-23T17:40:18"/>
    <d v="2023-04-02T00:00:00"/>
    <d v="2023-04-23T17:40:18"/>
    <x v="0"/>
    <x v="0"/>
    <x v="4"/>
    <s v="NF9964"/>
    <n v="3453"/>
    <n v="2023"/>
    <x v="5"/>
    <x v="10"/>
    <x v="2"/>
    <x v="8"/>
    <x v="2"/>
  </r>
  <r>
    <d v="2023-04-20T02:38:51"/>
    <d v="2023-04-03T00:00:00"/>
    <d v="2023-04-05T19:38:36"/>
    <x v="0"/>
    <x v="0"/>
    <x v="5"/>
    <s v="NF9101"/>
    <n v="3341"/>
    <n v="2023"/>
    <x v="5"/>
    <x v="10"/>
    <x v="2"/>
    <x v="8"/>
    <x v="2"/>
  </r>
  <r>
    <d v="2023-05-20T20:46:13"/>
    <d v="2023-04-06T00:00:00"/>
    <d v="2023-05-20T20:46:13"/>
    <x v="2"/>
    <x v="0"/>
    <x v="3"/>
    <s v="NF3185"/>
    <n v="2707"/>
    <n v="2023"/>
    <x v="10"/>
    <x v="10"/>
    <x v="2"/>
    <x v="1"/>
    <x v="2"/>
  </r>
  <r>
    <d v="2023-05-18T16:24:37"/>
    <d v="2023-04-08T00:00:00"/>
    <d v="2023-05-18T16:24:37"/>
    <x v="7"/>
    <x v="0"/>
    <x v="5"/>
    <s v="NF2836"/>
    <n v="1582"/>
    <n v="2023"/>
    <x v="10"/>
    <x v="10"/>
    <x v="2"/>
    <x v="1"/>
    <x v="2"/>
  </r>
  <r>
    <d v="2023-05-14T12:12:29"/>
    <d v="2023-04-10T00:00:00"/>
    <d v="2023-05-14T12:12:29"/>
    <x v="7"/>
    <x v="0"/>
    <x v="5"/>
    <s v="NF7779"/>
    <n v="3889"/>
    <n v="2023"/>
    <x v="10"/>
    <x v="10"/>
    <x v="2"/>
    <x v="1"/>
    <x v="2"/>
  </r>
  <r>
    <d v="2023-04-29T13:39:41"/>
    <d v="2023-04-14T00:00:00"/>
    <d v="2023-04-29T13:39:41"/>
    <x v="4"/>
    <x v="0"/>
    <x v="5"/>
    <s v="NF5919"/>
    <n v="2303"/>
    <n v="2023"/>
    <x v="5"/>
    <x v="10"/>
    <x v="2"/>
    <x v="8"/>
    <x v="2"/>
  </r>
  <r>
    <d v="2023-05-19T15:44:01"/>
    <d v="2023-04-17T00:00:00"/>
    <d v="2023-05-19T15:44:01"/>
    <x v="5"/>
    <x v="0"/>
    <x v="2"/>
    <s v="NF1620"/>
    <n v="802"/>
    <n v="2023"/>
    <x v="10"/>
    <x v="10"/>
    <x v="2"/>
    <x v="1"/>
    <x v="2"/>
  </r>
  <r>
    <d v="2023-05-04T05:35:47"/>
    <d v="2023-04-19T00:00:00"/>
    <d v="2023-05-04T05:35:47"/>
    <x v="3"/>
    <x v="0"/>
    <x v="5"/>
    <s v="NF3801"/>
    <n v="4513"/>
    <n v="2023"/>
    <x v="10"/>
    <x v="10"/>
    <x v="2"/>
    <x v="1"/>
    <x v="2"/>
  </r>
  <r>
    <d v="2023-05-01T20:46:57"/>
    <d v="2023-04-21T00:00:00"/>
    <d v="2023-05-01T20:46:57"/>
    <x v="4"/>
    <x v="0"/>
    <x v="5"/>
    <s v="NF8086"/>
    <n v="3908"/>
    <n v="2023"/>
    <x v="10"/>
    <x v="10"/>
    <x v="2"/>
    <x v="1"/>
    <x v="2"/>
  </r>
  <r>
    <d v="2023-06-25T21:22:36"/>
    <d v="2023-04-25T00:00:00"/>
    <d v="2023-06-19T00:39:03"/>
    <x v="5"/>
    <x v="0"/>
    <x v="5"/>
    <s v="NF4964"/>
    <n v="156"/>
    <n v="2023"/>
    <x v="1"/>
    <x v="10"/>
    <x v="2"/>
    <x v="11"/>
    <x v="2"/>
  </r>
  <r>
    <d v="2023-06-06T02:43:25"/>
    <d v="2023-04-27T00:00:00"/>
    <d v="2023-06-06T02:43:25"/>
    <x v="4"/>
    <x v="0"/>
    <x v="2"/>
    <s v="NF6112"/>
    <n v="457"/>
    <n v="2023"/>
    <x v="1"/>
    <x v="10"/>
    <x v="2"/>
    <x v="11"/>
    <x v="2"/>
  </r>
  <r>
    <d v="2023-06-08T00:38:19"/>
    <d v="2023-05-03T00:00:00"/>
    <d v="2023-06-08T00:38:19"/>
    <x v="3"/>
    <x v="0"/>
    <x v="5"/>
    <s v="NF2333"/>
    <n v="3536"/>
    <n v="2023"/>
    <x v="1"/>
    <x v="1"/>
    <x v="2"/>
    <x v="11"/>
    <x v="2"/>
  </r>
  <r>
    <d v="2023-05-10T16:48:12"/>
    <d v="2023-05-05T00:00:00"/>
    <d v="2023-05-10T16:48:12"/>
    <x v="8"/>
    <x v="0"/>
    <x v="5"/>
    <s v="NF7121"/>
    <n v="1809"/>
    <n v="2023"/>
    <x v="10"/>
    <x v="1"/>
    <x v="2"/>
    <x v="1"/>
    <x v="2"/>
  </r>
  <r>
    <d v="2023-05-28T17:06:40"/>
    <d v="2023-05-06T00:00:00"/>
    <d v="2023-05-28T17:06:40"/>
    <x v="8"/>
    <x v="0"/>
    <x v="2"/>
    <s v="NF8208"/>
    <n v="4172"/>
    <n v="2023"/>
    <x v="10"/>
    <x v="1"/>
    <x v="2"/>
    <x v="1"/>
    <x v="2"/>
  </r>
  <r>
    <d v="2023-06-07T11:58:12"/>
    <d v="2023-05-07T00:00:00"/>
    <d v="2023-06-07T11:58:12"/>
    <x v="3"/>
    <x v="0"/>
    <x v="2"/>
    <s v="NF1320"/>
    <n v="3827"/>
    <n v="2023"/>
    <x v="1"/>
    <x v="1"/>
    <x v="2"/>
    <x v="11"/>
    <x v="2"/>
  </r>
  <r>
    <d v="2023-09-24T08:30:28"/>
    <d v="2023-05-09T00:00:00"/>
    <d v="2023-06-29T04:30:50"/>
    <x v="3"/>
    <x v="0"/>
    <x v="2"/>
    <s v="NF9162"/>
    <n v="1700"/>
    <n v="2023"/>
    <x v="4"/>
    <x v="1"/>
    <x v="2"/>
    <x v="11"/>
    <x v="2"/>
  </r>
  <r>
    <d v="2023-05-29T18:19:47"/>
    <d v="2023-05-10T00:00:00"/>
    <d v="2023-05-29T18:19:47"/>
    <x v="7"/>
    <x v="0"/>
    <x v="2"/>
    <s v="NF1497"/>
    <n v="2090"/>
    <n v="2023"/>
    <x v="10"/>
    <x v="1"/>
    <x v="2"/>
    <x v="1"/>
    <x v="2"/>
  </r>
  <r>
    <d v="2023-05-17T03:13:40"/>
    <d v="2023-05-13T00:00:00"/>
    <d v="2023-05-17T03:13:40"/>
    <x v="0"/>
    <x v="0"/>
    <x v="0"/>
    <s v="NF8398"/>
    <n v="3230"/>
    <n v="2023"/>
    <x v="10"/>
    <x v="1"/>
    <x v="2"/>
    <x v="1"/>
    <x v="2"/>
  </r>
  <r>
    <d v="2023-06-02T22:38:24"/>
    <d v="2023-05-16T00:00:00"/>
    <d v="2023-06-02T22:38:24"/>
    <x v="6"/>
    <x v="0"/>
    <x v="5"/>
    <s v="NF1274"/>
    <n v="4030"/>
    <n v="2023"/>
    <x v="1"/>
    <x v="1"/>
    <x v="2"/>
    <x v="11"/>
    <x v="2"/>
  </r>
  <r>
    <d v="2023-08-26T21:29:55"/>
    <d v="2023-05-19T00:00:00"/>
    <d v="2023-05-30T23:16:35"/>
    <x v="6"/>
    <x v="0"/>
    <x v="0"/>
    <s v="NF1599"/>
    <n v="1367"/>
    <n v="2023"/>
    <x v="2"/>
    <x v="1"/>
    <x v="2"/>
    <x v="1"/>
    <x v="2"/>
  </r>
  <r>
    <d v="2023-06-10T05:29:09"/>
    <d v="2023-05-22T00:00:00"/>
    <d v="2023-06-10T05:29:09"/>
    <x v="7"/>
    <x v="0"/>
    <x v="5"/>
    <s v="NF6880"/>
    <n v="3945"/>
    <n v="2023"/>
    <x v="1"/>
    <x v="1"/>
    <x v="2"/>
    <x v="11"/>
    <x v="2"/>
  </r>
  <r>
    <d v="2023-06-27T18:32:22"/>
    <d v="2023-05-25T00:00:00"/>
    <d v="2023-06-25T17:46:27"/>
    <x v="4"/>
    <x v="0"/>
    <x v="4"/>
    <s v="NF3246"/>
    <n v="4518"/>
    <n v="2023"/>
    <x v="1"/>
    <x v="1"/>
    <x v="2"/>
    <x v="11"/>
    <x v="2"/>
  </r>
  <r>
    <d v="2023-07-27T22:26:22"/>
    <d v="2023-05-29T00:00:00"/>
    <d v="2023-06-29T12:11:45"/>
    <x v="5"/>
    <x v="0"/>
    <x v="5"/>
    <s v="NF4547"/>
    <n v="3086"/>
    <n v="2023"/>
    <x v="9"/>
    <x v="1"/>
    <x v="2"/>
    <x v="11"/>
    <x v="2"/>
  </r>
  <r>
    <d v="2023-06-12T23:15:53"/>
    <d v="2023-06-03T00:00:00"/>
    <d v="2023-06-12T23:15:53"/>
    <x v="2"/>
    <x v="0"/>
    <x v="2"/>
    <s v="NF5900"/>
    <n v="297"/>
    <n v="2023"/>
    <x v="1"/>
    <x v="9"/>
    <x v="2"/>
    <x v="11"/>
    <x v="2"/>
  </r>
  <r>
    <d v="2023-06-23T04:37:25"/>
    <d v="2023-06-07T00:00:00"/>
    <d v="2023-06-23T04:37:25"/>
    <x v="0"/>
    <x v="0"/>
    <x v="0"/>
    <s v="NF2566"/>
    <n v="3226"/>
    <n v="2023"/>
    <x v="1"/>
    <x v="9"/>
    <x v="2"/>
    <x v="11"/>
    <x v="2"/>
  </r>
  <r>
    <s v="N/A"/>
    <d v="2023-06-09T00:00:00"/>
    <d v="2023-07-26T16:06:04"/>
    <x v="0"/>
    <x v="0"/>
    <x v="5"/>
    <s v="NF1823"/>
    <n v="2338"/>
    <n v="0"/>
    <x v="12"/>
    <x v="9"/>
    <x v="2"/>
    <x v="2"/>
    <x v="2"/>
  </r>
  <r>
    <d v="2023-10-03T12:11:49"/>
    <d v="2023-06-16T00:00:00"/>
    <d v="2023-07-18T15:53:56"/>
    <x v="8"/>
    <x v="0"/>
    <x v="0"/>
    <s v="NF9109"/>
    <n v="3773"/>
    <n v="2023"/>
    <x v="0"/>
    <x v="9"/>
    <x v="2"/>
    <x v="2"/>
    <x v="2"/>
  </r>
  <r>
    <s v="N/A"/>
    <d v="2023-06-19T00:00:00"/>
    <d v="2023-08-09T02:03:08"/>
    <x v="1"/>
    <x v="0"/>
    <x v="0"/>
    <s v="NF4812"/>
    <n v="2759"/>
    <n v="0"/>
    <x v="12"/>
    <x v="9"/>
    <x v="2"/>
    <x v="5"/>
    <x v="2"/>
  </r>
  <r>
    <d v="2023-08-05T12:28:50"/>
    <d v="2023-06-21T00:00:00"/>
    <d v="2023-08-05T12:28:50"/>
    <x v="1"/>
    <x v="0"/>
    <x v="0"/>
    <s v="NF9082"/>
    <n v="1425"/>
    <n v="2023"/>
    <x v="2"/>
    <x v="9"/>
    <x v="2"/>
    <x v="5"/>
    <x v="2"/>
  </r>
  <r>
    <d v="2023-08-20T22:17:49"/>
    <d v="2023-06-23T00:00:00"/>
    <d v="2023-08-20T22:17:49"/>
    <x v="1"/>
    <x v="0"/>
    <x v="0"/>
    <s v="NF3611"/>
    <n v="332"/>
    <n v="2023"/>
    <x v="2"/>
    <x v="9"/>
    <x v="2"/>
    <x v="5"/>
    <x v="2"/>
  </r>
  <r>
    <d v="2023-07-07T04:41:45"/>
    <d v="2023-06-30T00:00:00"/>
    <d v="2023-07-07T04:41:45"/>
    <x v="3"/>
    <x v="0"/>
    <x v="5"/>
    <s v="NF4931"/>
    <n v="2819"/>
    <n v="2023"/>
    <x v="9"/>
    <x v="9"/>
    <x v="2"/>
    <x v="2"/>
    <x v="2"/>
  </r>
  <r>
    <d v="2023-10-16T00:00:00"/>
    <d v="2023-10-16T00:00:00"/>
    <d v="2023-10-16T00:00:00"/>
    <x v="2"/>
    <x v="0"/>
    <x v="3"/>
    <s v="NF7789"/>
    <n v="500"/>
    <m/>
    <x v="0"/>
    <x v="11"/>
    <x v="2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dDetalhaReceita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B9:O17" firstHeaderRow="1" firstDataRow="2" firstDataCol="1"/>
  <pivotFields count="18">
    <pivotField showAll="0"/>
    <pivotField numFmtId="14" showAll="0"/>
    <pivotField numFmtId="14" showAll="0"/>
    <pivotField showAll="0"/>
    <pivotField axis="axisRow" showAll="0">
      <items count="4">
        <item x="0"/>
        <item m="1" x="2"/>
        <item sd="0" m="1" x="1"/>
        <item t="default"/>
      </items>
    </pivotField>
    <pivotField axis="axisRow" showAll="0">
      <items count="7">
        <item x="4"/>
        <item x="1"/>
        <item x="0"/>
        <item x="2"/>
        <item x="3"/>
        <item m="1" x="5"/>
        <item t="default"/>
      </items>
    </pivotField>
    <pivotField showAll="0"/>
    <pivotField showAll="0"/>
    <pivotField dataField="1" numFmtId="166" showAll="0"/>
    <pivotField showAll="0"/>
    <pivotField showAll="0"/>
    <pivotField axis="axisCol" showAll="0">
      <items count="14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4"/>
    <field x="5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8" baseField="5" baseItem="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bdDetalhaDespesa" cacheId="1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B9:O18" firstHeaderRow="1" firstDataRow="2" firstDataCol="1"/>
  <pivotFields count="14">
    <pivotField showAll="0"/>
    <pivotField numFmtId="14" showAll="0"/>
    <pivotField numFmtId="14" showAll="0"/>
    <pivotField showAll="0"/>
    <pivotField axis="axisRow" showAll="0">
      <items count="3">
        <item x="0"/>
        <item m="1" x="1"/>
        <item t="default"/>
      </items>
    </pivotField>
    <pivotField axis="axisRow" showAll="0">
      <items count="7">
        <item x="4"/>
        <item x="2"/>
        <item x="3"/>
        <item x="0"/>
        <item x="5"/>
        <item x="1"/>
        <item t="default"/>
      </items>
    </pivotField>
    <pivotField showAll="0"/>
    <pivotField dataField="1" numFmtId="166" showAll="0"/>
    <pivotField showAll="0"/>
    <pivotField showAll="0"/>
    <pivotField axis="axisCol" showAll="0">
      <items count="13">
        <item x="7"/>
        <item x="3"/>
        <item x="5"/>
        <item x="10"/>
        <item x="1"/>
        <item x="9"/>
        <item x="2"/>
        <item x="0"/>
        <item x="4"/>
        <item x="11"/>
        <item x="8"/>
        <item x="6"/>
        <item t="default"/>
      </items>
    </pivotField>
    <pivotField showAll="0">
      <items count="5">
        <item x="3"/>
        <item x="0"/>
        <item x="1"/>
        <item x="2"/>
        <item t="default"/>
      </items>
    </pivotField>
    <pivotField showAll="0" defaultSubtotal="0"/>
    <pivotField showAll="0" defaultSubtotal="0"/>
  </pivotFields>
  <rowFields count="2">
    <field x="4"/>
    <field x="5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1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7" baseField="5" baseItem="4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bdDetalhaEBases" cacheId="0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27" firstHeaderRow="1" firstDataRow="2" firstDataCol="1"/>
  <pivotFields count="18">
    <pivotField showAll="0" defaultSubtotal="0"/>
    <pivotField numFmtId="14" showAll="0" defaultSubtotal="0"/>
    <pivotField numFmtId="14" showAll="0" defaultSubtotal="0"/>
    <pivotField axis="axisRow" showAll="0" defaultSubtotal="0">
      <items count="10">
        <item x="1"/>
        <item x="7"/>
        <item x="3"/>
        <item x="8"/>
        <item x="4"/>
        <item x="0"/>
        <item x="2"/>
        <item x="5"/>
        <item x="6"/>
        <item m="1" x="9"/>
      </items>
    </pivotField>
    <pivotField axis="axisRow" showAll="0" defaultSubtotal="0">
      <items count="3">
        <item x="0"/>
        <item m="1" x="2"/>
        <item m="1" x="1"/>
      </items>
    </pivotField>
    <pivotField showAll="0" defaultSubtotal="0"/>
    <pivotField showAll="0" defaultSubtotal="0"/>
    <pivotField showAll="0" defaultSubtotal="0"/>
    <pivotField dataField="1" numFmtId="166" showAll="0" defaultSubtotal="0"/>
    <pivotField showAll="0" defaultSubtotal="0"/>
    <pivotField showAll="0" defaultSubtotal="0"/>
    <pivotField axis="axisCol" showAll="0" defaultSubtotal="0">
      <items count="13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</items>
    </pivotField>
    <pivotField showAll="0" defaultSubtotal="0">
      <items count="4">
        <item x="3"/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4"/>
  </rowFields>
  <rowItems count="18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8" baseField="4" baseItem="0" numFmtId="3"/>
  </dataFields>
  <formats count="5">
    <format dxfId="9">
      <pivotArea field="4" grandCol="1" collapsedLevelsAreSubtotals="1" axis="axisRow" fieldPosition="1">
        <references count="2">
          <reference field="3" count="1" selected="0">
            <x v="2"/>
          </reference>
          <reference field="4" count="0"/>
        </references>
      </pivotArea>
    </format>
    <format dxfId="8">
      <pivotArea field="4" grandCol="1" collapsedLevelsAreSubtotals="1" axis="axisRow" fieldPosition="1">
        <references count="2">
          <reference field="3" count="1" selected="0">
            <x v="2"/>
          </reference>
          <reference field="4" count="0"/>
        </references>
      </pivotArea>
    </format>
    <format dxfId="7">
      <pivotArea dataOnly="0" labelOnly="1" grandCol="1" outline="0" fieldPosition="0"/>
    </format>
    <format dxfId="6">
      <pivotArea dataOnly="0" labelOnly="1" grandCol="1" outline="0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DetalhaSBases" cacheId="1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27" firstHeaderRow="1" firstDataRow="2" firstDataCol="1"/>
  <pivotFields count="14">
    <pivotField showAll="0" defaultSubtotal="0"/>
    <pivotField numFmtId="14" showAll="0" defaultSubtotal="0"/>
    <pivotField numFmtId="14" showAll="0" defaultSubtotal="0"/>
    <pivotField axis="axisRow" showAll="0" defaultSubtotal="0">
      <items count="9">
        <item x="4"/>
        <item x="7"/>
        <item x="6"/>
        <item x="8"/>
        <item x="2"/>
        <item x="5"/>
        <item x="1"/>
        <item x="0"/>
        <item x="3"/>
      </items>
    </pivotField>
    <pivotField axis="axisRow" showAll="0" defaultSubtotal="0">
      <items count="2">
        <item x="0"/>
        <item m="1" x="1"/>
      </items>
    </pivotField>
    <pivotField showAll="0" defaultSubtotal="0"/>
    <pivotField showAll="0" defaultSubtotal="0"/>
    <pivotField dataField="1" numFmtId="166" showAll="0" defaultSubtotal="0"/>
    <pivotField showAll="0" defaultSubtotal="0"/>
    <pivotField showAll="0" defaultSubtotal="0"/>
    <pivotField axis="axisCol" showAll="0" defaultSubtotal="0">
      <items count="12">
        <item x="7"/>
        <item x="3"/>
        <item x="5"/>
        <item x="10"/>
        <item x="1"/>
        <item x="9"/>
        <item x="2"/>
        <item x="0"/>
        <item x="4"/>
        <item x="11"/>
        <item x="8"/>
        <item x="6"/>
      </items>
    </pivotField>
    <pivotField showAll="0" defaultSubtotal="0">
      <items count="4">
        <item x="3"/>
        <item x="0"/>
        <item x="1"/>
        <item x="2"/>
      </items>
    </pivotField>
    <pivotField showAll="0" defaultSubtotal="0"/>
    <pivotField showAll="0" defaultSubtotal="0"/>
  </pivotFields>
  <rowFields count="2">
    <field x="3"/>
    <field x="4"/>
  </rowFields>
  <rowItems count="18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</rowItems>
  <colFields count="1">
    <field x="1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7" baseField="4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bdVendedores" cacheId="0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17" firstHeaderRow="1" firstDataRow="2" firstDataCol="1"/>
  <pivotFields count="18">
    <pivotField showAll="0" defaultSubtotal="0"/>
    <pivotField numFmtId="14" showAll="0" defaultSubtotal="0"/>
    <pivotField numFmtId="14" showAll="0" defaultSubtotal="0"/>
    <pivotField axis="axisRow" showAll="0" defaultSubtotal="0">
      <items count="10">
        <item x="1"/>
        <item h="1" x="7"/>
        <item h="1" x="3"/>
        <item h="1" x="8"/>
        <item h="1" x="4"/>
        <item h="1" x="0"/>
        <item h="1" x="2"/>
        <item h="1" x="5"/>
        <item h="1" x="6"/>
        <item h="1" m="1" x="9"/>
      </items>
    </pivotField>
    <pivotField showAll="0" defaultSubtotal="0"/>
    <pivotField showAll="0" defaultSubtotal="0"/>
    <pivotField showAll="0" defaultSubtotal="0"/>
    <pivotField axis="axisRow" showAll="0" defaultSubtotal="0">
      <items count="70">
        <item x="50"/>
        <item x="2"/>
        <item x="33"/>
        <item x="51"/>
        <item x="17"/>
        <item x="54"/>
        <item x="49"/>
        <item x="52"/>
        <item x="21"/>
        <item x="22"/>
        <item x="26"/>
        <item x="59"/>
        <item x="6"/>
        <item x="25"/>
        <item x="34"/>
        <item x="39"/>
        <item x="20"/>
        <item x="64"/>
        <item x="66"/>
        <item x="68"/>
        <item x="60"/>
        <item x="14"/>
        <item x="10"/>
        <item x="55"/>
        <item x="45"/>
        <item x="62"/>
        <item x="43"/>
        <item x="16"/>
        <item x="47"/>
        <item x="30"/>
        <item x="7"/>
        <item x="32"/>
        <item x="27"/>
        <item x="1"/>
        <item x="57"/>
        <item x="31"/>
        <item x="46"/>
        <item x="58"/>
        <item x="63"/>
        <item x="23"/>
        <item x="44"/>
        <item x="4"/>
        <item x="28"/>
        <item x="15"/>
        <item x="12"/>
        <item x="24"/>
        <item x="35"/>
        <item x="36"/>
        <item x="42"/>
        <item x="37"/>
        <item x="65"/>
        <item x="38"/>
        <item x="29"/>
        <item x="53"/>
        <item x="40"/>
        <item x="19"/>
        <item x="48"/>
        <item x="11"/>
        <item x="3"/>
        <item x="56"/>
        <item x="8"/>
        <item x="61"/>
        <item x="0"/>
        <item x="18"/>
        <item x="5"/>
        <item x="9"/>
        <item x="67"/>
        <item x="41"/>
        <item x="13"/>
        <item m="1" x="69"/>
      </items>
    </pivotField>
    <pivotField dataField="1" numFmtId="166" showAll="0" defaultSubtotal="0"/>
    <pivotField showAll="0" defaultSubtotal="0"/>
    <pivotField showAll="0" defaultSubtotal="0"/>
    <pivotField axis="axisCol" showAll="0" defaultSubtotal="0">
      <items count="13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</items>
    </pivotField>
    <pivotField showAll="0" defaultSubtotal="0">
      <items count="4">
        <item x="3"/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7"/>
  </rowFields>
  <rowItems count="8">
    <i>
      <x/>
    </i>
    <i r="1">
      <x v="1"/>
    </i>
    <i r="1">
      <x v="22"/>
    </i>
    <i r="1">
      <x v="28"/>
    </i>
    <i r="1">
      <x v="35"/>
    </i>
    <i r="1">
      <x v="42"/>
    </i>
    <i r="1">
      <x v="54"/>
    </i>
    <i r="1">
      <x v="68"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8" baseField="7" baseItem="35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bdContasPagar" cacheId="1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B9:L17" firstHeaderRow="1" firstDataRow="3" firstDataCol="1"/>
  <pivotFields count="14">
    <pivotField subtotalTop="0" showAll="0"/>
    <pivotField numFmtId="14" subtotalTop="0" showAll="0"/>
    <pivotField numFmtId="14" subtotalTop="0" showAll="0"/>
    <pivotField subtotalTop="0" showAll="0"/>
    <pivotField axis="axisRow" subtotalTop="0" showAll="0">
      <items count="3">
        <item x="0"/>
        <item m="1" x="1"/>
        <item t="default"/>
      </items>
    </pivotField>
    <pivotField axis="axisRow" subtotalTop="0" showAll="0">
      <items count="7">
        <item x="4"/>
        <item x="2"/>
        <item x="3"/>
        <item x="0"/>
        <item x="5"/>
        <item x="1"/>
        <item t="default"/>
      </items>
    </pivotField>
    <pivotField subtotalTop="0" showAll="0"/>
    <pivotField dataField="1" numFmtId="166" subtotalTop="0" showAll="0"/>
    <pivotField subtotalTop="0" showAll="0"/>
    <pivotField axis="axisCol" subtotalTop="0" showAll="0">
      <items count="14">
        <item h="1" x="6"/>
        <item h="1" x="7"/>
        <item h="1" x="3"/>
        <item h="1" x="5"/>
        <item h="1" x="10"/>
        <item h="1" x="1"/>
        <item h="1" x="9"/>
        <item h="1" x="2"/>
        <item h="1" x="4"/>
        <item h="1" x="0"/>
        <item h="1" x="11"/>
        <item h="1" x="8"/>
        <item x="12"/>
        <item t="default"/>
      </items>
    </pivotField>
    <pivotField subtotalTop="0" showAll="0"/>
    <pivotField subtotalTop="0" showAll="0"/>
    <pivotField axis="axisCol" subtotalTop="0" showAll="0">
      <items count="13">
        <item x="7"/>
        <item x="3"/>
        <item x="6"/>
        <item x="8"/>
        <item x="1"/>
        <item x="11"/>
        <item x="2"/>
        <item x="5"/>
        <item x="4"/>
        <item x="0"/>
        <item x="10"/>
        <item x="9"/>
        <item t="default"/>
      </items>
    </pivotField>
    <pivotField subtotalTop="0" showAll="0">
      <items count="5">
        <item x="3"/>
        <item x="0"/>
        <item x="1"/>
        <item x="2"/>
        <item t="default"/>
      </items>
    </pivotField>
  </pivotFields>
  <rowFields count="2">
    <field x="4"/>
    <field x="5"/>
  </rowFields>
  <rowItems count="6">
    <i>
      <x/>
    </i>
    <i r="1">
      <x v="1"/>
    </i>
    <i r="1">
      <x v="2"/>
    </i>
    <i r="1">
      <x v="3"/>
    </i>
    <i r="1">
      <x v="4"/>
    </i>
    <i t="default">
      <x/>
    </i>
  </rowItems>
  <colFields count="2">
    <field x="9"/>
    <field x="12"/>
  </colFields>
  <colItems count="10">
    <i>
      <x v="12"/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1"/>
    </i>
    <i t="default">
      <x v="12"/>
    </i>
  </colItems>
  <dataFields count="1">
    <dataField name="Soma de VALOR" fld="7" baseField="4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bdContasReceber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A9:L17" firstHeaderRow="1" firstDataRow="3" firstDataCol="1"/>
  <pivotFields count="18">
    <pivotField subtotalTop="0" showAll="0"/>
    <pivotField numFmtId="14" subtotalTop="0" showAll="0"/>
    <pivotField numFmtId="14" subtotalTop="0" showAll="0"/>
    <pivotField subtotalTop="0" showAll="0"/>
    <pivotField axis="axisRow" subtotalTop="0" showAll="0">
      <items count="4">
        <item x="0"/>
        <item m="1" x="2"/>
        <item m="1" x="1"/>
        <item t="default"/>
      </items>
    </pivotField>
    <pivotField axis="axisRow" subtotalTop="0" showAll="0">
      <items count="7">
        <item x="4"/>
        <item x="1"/>
        <item x="0"/>
        <item x="2"/>
        <item x="3"/>
        <item m="1" x="5"/>
        <item t="default"/>
      </items>
    </pivotField>
    <pivotField subtotalTop="0" showAll="0"/>
    <pivotField subtotalTop="0" showAll="0"/>
    <pivotField dataField="1" numFmtId="166" subtotalTop="0" showAll="0"/>
    <pivotField axis="axisCol" subtotalTop="0" showAll="0">
      <items count="15">
        <item h="1" x="8"/>
        <item h="1" x="7"/>
        <item h="1" x="4"/>
        <item h="1" x="1"/>
        <item h="1" x="9"/>
        <item h="1" x="0"/>
        <item h="1" x="3"/>
        <item h="1" x="6"/>
        <item h="1" x="2"/>
        <item h="1" x="11"/>
        <item h="1" x="5"/>
        <item h="1" x="10"/>
        <item x="12"/>
        <item h="1" m="1" x="13"/>
        <item t="default"/>
      </items>
    </pivotField>
    <pivotField subtotalTop="0" showAll="0"/>
    <pivotField subtotalTop="0" showAll="0"/>
    <pivotField subtotalTop="0" showAll="0"/>
    <pivotField axis="axisCol" subtotalTop="0" showAll="0">
      <items count="14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  <item t="default"/>
      </items>
    </pivotField>
    <pivotField subtotalTop="0" showAll="0">
      <items count="5">
        <item x="3"/>
        <item x="2"/>
        <item x="0"/>
        <item x="1"/>
        <item t="default"/>
      </items>
    </pivotField>
    <pivotField showAll="0" defaultSubtotal="0"/>
    <pivotField showAll="0" defaultSubtotal="0"/>
    <pivotField showAll="0" defaultSubtotal="0"/>
  </pivotFields>
  <rowFields count="2">
    <field x="4"/>
    <field x="5"/>
  </rowFields>
  <rowItems count="6">
    <i>
      <x/>
    </i>
    <i r="1">
      <x/>
    </i>
    <i r="1">
      <x v="1"/>
    </i>
    <i r="1">
      <x v="3"/>
    </i>
    <i r="1">
      <x v="4"/>
    </i>
    <i t="default">
      <x/>
    </i>
  </rowItems>
  <colFields count="2">
    <field x="9"/>
    <field x="13"/>
  </colFields>
  <colItems count="11">
    <i>
      <x v="12"/>
      <x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0"/>
    </i>
    <i r="1">
      <x v="11"/>
    </i>
    <i t="default">
      <x v="12"/>
    </i>
  </colItems>
  <dataFields count="1">
    <dataField name="Soma de VALOR" fld="8" baseField="5" baseItem="4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bdReceberVencidas" cacheId="0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A9:K17" firstHeaderRow="1" firstDataRow="3" firstDataCol="1"/>
  <pivotFields count="18">
    <pivotField subtotalTop="0" showAll="0"/>
    <pivotField numFmtId="14" subtotalTop="0" showAll="0"/>
    <pivotField numFmtId="14" subtotalTop="0" showAll="0"/>
    <pivotField subtotalTop="0" showAll="0"/>
    <pivotField axis="axisRow" subtotalTop="0" showAll="0">
      <items count="4">
        <item x="0"/>
        <item m="1" x="2"/>
        <item m="1" x="1"/>
        <item t="default"/>
      </items>
    </pivotField>
    <pivotField axis="axisRow" subtotalTop="0" showAll="0">
      <items count="7">
        <item x="4"/>
        <item x="1"/>
        <item x="0"/>
        <item x="2"/>
        <item x="3"/>
        <item m="1" x="5"/>
        <item t="default"/>
      </items>
    </pivotField>
    <pivotField subtotalTop="0" showAll="0"/>
    <pivotField subtotalTop="0" showAll="0"/>
    <pivotField dataField="1" numFmtId="166" subtotalTop="0" showAll="0"/>
    <pivotField subtotalTop="0" showAll="0"/>
    <pivotField subtotalTop="0" showAll="0"/>
    <pivotField axis="axisCol" subtotalTop="0" showAll="0">
      <items count="14">
        <item x="7"/>
        <item x="4"/>
        <item x="1"/>
        <item x="9"/>
        <item x="0"/>
        <item x="3"/>
        <item x="6"/>
        <item x="2"/>
        <item x="11"/>
        <item x="5"/>
        <item x="10"/>
        <item x="8"/>
        <item m="1" x="12"/>
        <item t="default"/>
      </items>
    </pivotField>
    <pivotField subtotalTop="0" showAll="0">
      <items count="5">
        <item x="3"/>
        <item x="2"/>
        <item x="0"/>
        <item x="1"/>
        <item t="default"/>
      </items>
    </pivotField>
    <pivotField subtotalTop="0" showAll="0"/>
    <pivotField subtotalTop="0" showAll="0"/>
    <pivotField axis="axisCol" subtotalTop="0" showAll="0">
      <items count="4">
        <item h="1" x="0"/>
        <item x="1"/>
        <item h="1" m="1" x="2"/>
        <item t="default"/>
      </items>
    </pivotField>
    <pivotField showAll="0" defaultSubtotal="0"/>
    <pivotField showAll="0" defaultSubtotal="0"/>
  </pivotFields>
  <rowFields count="2">
    <field x="4"/>
    <field x="5"/>
  </rowFields>
  <rowItems count="6">
    <i>
      <x/>
    </i>
    <i r="1">
      <x/>
    </i>
    <i r="1">
      <x v="1"/>
    </i>
    <i r="1">
      <x v="3"/>
    </i>
    <i r="1">
      <x v="4"/>
    </i>
    <i t="default">
      <x/>
    </i>
  </rowItems>
  <colFields count="2">
    <field x="15"/>
    <field x="11"/>
  </colFields>
  <colItems count="10">
    <i>
      <x v="1"/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1"/>
    </i>
    <i t="default">
      <x v="1"/>
    </i>
  </colItems>
  <dataFields count="1">
    <dataField name="Soma de VALOR" fld="8" baseField="5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" sourceName="MÊS COMPETÊNCIA ">
  <pivotTables>
    <pivotTable tabId="13" name="tbdDetalhaReceita"/>
  </pivotTables>
  <data>
    <tabular pivotCacheId="1">
      <items count="13">
        <i x="7" s="1"/>
        <i x="4" s="1"/>
        <i x="1" s="1"/>
        <i x="9" s="1"/>
        <i x="0" s="1"/>
        <i x="3" s="1"/>
        <i x="6" s="1"/>
        <i x="2" s="1"/>
        <i x="11" s="1"/>
        <i x="5" s="1"/>
        <i x="10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" sourceName="ANO COMPETÊNCIA">
  <pivotTables>
    <pivotTable tabId="13" name="tbdDetalhaReceita"/>
  </pivotTables>
  <data>
    <tabular pivotCacheId="1">
      <items count="4">
        <i x="3" s="1"/>
        <i x="2" s="1"/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1" sourceName="MÊS COMPETÊNCIA ">
  <pivotTables>
    <pivotTable tabId="25" name="tbdDetalhaDespesa"/>
  </pivotTables>
  <data>
    <tabular pivotCacheId="2">
      <items count="12">
        <i x="7" s="1"/>
        <i x="3" s="1"/>
        <i x="5" s="1"/>
        <i x="10" s="1"/>
        <i x="1" s="1"/>
        <i x="9" s="1"/>
        <i x="2" s="1"/>
        <i x="0" s="1"/>
        <i x="4" s="1"/>
        <i x="11" s="1"/>
        <i x="8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1" sourceName="ANO COMPETÊNCIA">
  <pivotTables>
    <pivotTable tabId="25" name="tbdDetalhaDespesa"/>
  </pivotTables>
  <data>
    <tabular pivotCacheId="2">
      <items count="4">
        <i x="3" s="1"/>
        <i x="0" s="1"/>
        <i x="1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" sourceName="ENTRADA NÍVEL 2">
  <pivotTables>
    <pivotTable tabId="25" name="tbdDetalhaDespesa"/>
  </pivotTables>
  <data>
    <tabular pivotCacheId="2">
      <items count="6">
        <i x="4" s="1"/>
        <i x="2" s="1"/>
        <i x="3" s="1"/>
        <i x="1" s="1"/>
        <i x="0" s="1"/>
        <i x="5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1" sourceName="ENTRADA NÍVEL 2">
  <pivotTables>
    <pivotTable tabId="13" name="tbdDetalhaReceita"/>
  </pivotTables>
  <data>
    <tabular pivotCacheId="1">
      <items count="6">
        <i x="4" s="1"/>
        <i x="1" s="1"/>
        <i x="0" s="1"/>
        <i x="2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PREVISTO" sourceName="MÊS PREVISTO">
  <pivotTables>
    <pivotTable tabId="26" name="tbdContasPagar"/>
  </pivotTables>
  <data>
    <tabular pivotCacheId="2">
      <items count="12">
        <i x="7" s="1"/>
        <i x="6" s="1"/>
        <i x="8" s="1"/>
        <i x="11" s="1"/>
        <i x="2" s="1"/>
        <i x="5" s="1"/>
        <i x="4" s="1"/>
        <i x="0" s="1"/>
        <i x="9" s="1"/>
        <i x="3" s="1" nd="1"/>
        <i x="1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PREVISTO" sourceName="ANO PREVISTO">
  <pivotTables>
    <pivotTable tabId="26" name="tbdContasPagar"/>
  </pivotTables>
  <data>
    <tabular pivotCacheId="2">
      <items count="4">
        <i x="0" s="1"/>
        <i x="1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2" sourceName="ENTRADA NÍVEL 2">
  <pivotTables>
    <pivotTable tabId="26" name="tbdContasPagar"/>
  </pivotTables>
  <data>
    <tabular pivotCacheId="2">
      <items count="6">
        <i x="2" s="1"/>
        <i x="3" s="1"/>
        <i x="0" s="1"/>
        <i x="5" s="1"/>
        <i x="4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3" sourceName="ENTRADA NÍVEL 2">
  <pivotTables>
    <pivotTable tabId="16" name="tbdContasReceber"/>
  </pivotTables>
  <data>
    <tabular pivotCacheId="1">
      <items count="6">
        <i x="4" s="1"/>
        <i x="1" s="1"/>
        <i x="2" s="1"/>
        <i x="3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PREVISTO1" sourceName="MÊS PREVISTO">
  <pivotTables>
    <pivotTable tabId="16" name="tbdContasReceber"/>
  </pivotTables>
  <data>
    <tabular pivotCacheId="1">
      <items count="13">
        <i x="7" s="1"/>
        <i x="1" s="1"/>
        <i x="9" s="1"/>
        <i x="0" s="1"/>
        <i x="3" s="1"/>
        <i x="6" s="1"/>
        <i x="11" s="1"/>
        <i x="5" s="1"/>
        <i x="10" s="1"/>
        <i x="8" s="1"/>
        <i x="4" s="1" nd="1"/>
        <i x="2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PREVISTO1" sourceName="ANO PREVISTO">
  <pivotTables>
    <pivotTable tabId="16" name="tbdContasReceber"/>
  </pivotTables>
  <data>
    <tabular pivotCacheId="1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NTRADA_NÍVEL_24" sourceName="ENTRADA NÍVEL 2">
  <pivotTables>
    <pivotTable tabId="18" name="tbdReceberVencidas"/>
  </pivotTables>
  <data>
    <tabular pivotCacheId="1">
      <items count="6">
        <i x="4" s="1"/>
        <i x="1" s="1"/>
        <i x="2" s="1"/>
        <i x="3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2" sourceName="MÊS COMPETÊNCIA ">
  <pivotTables>
    <pivotTable tabId="18" name="tbdReceberVencidas"/>
  </pivotTables>
  <data>
    <tabular pivotCacheId="1">
      <items count="13">
        <i x="4" s="1"/>
        <i x="1" s="1"/>
        <i x="9" s="1"/>
        <i x="0" s="1"/>
        <i x="3" s="1"/>
        <i x="11" s="1"/>
        <i x="5" s="1"/>
        <i x="10" s="1"/>
        <i x="8" s="1"/>
        <i x="7" s="1" nd="1"/>
        <i x="6" s="1" nd="1"/>
        <i x="2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2" sourceName="ANO COMPETÊNCIA">
  <pivotTables>
    <pivotTable tabId="18" name="tbdReceberVencidas"/>
  </pivotTables>
  <data>
    <tabular pivotCacheId="1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BASE_DE_OPERAÇÃO" sourceName="BASE DE OPERAÇÃO">
  <pivotTables>
    <pivotTable tabId="28" name="tbdDetalhaEBases"/>
  </pivotTables>
  <data>
    <tabular pivotCacheId="1">
      <items count="10">
        <i x="1" s="1"/>
        <i x="7" s="1"/>
        <i x="3" s="1"/>
        <i x="8" s="1"/>
        <i x="4" s="1"/>
        <i x="0" s="1"/>
        <i x="2" s="1"/>
        <i x="5" s="1"/>
        <i x="6" s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3" sourceName="MÊS COMPETÊNCIA ">
  <pivotTables>
    <pivotTable tabId="28" name="tbdDetalhaEBases"/>
  </pivotTables>
  <data>
    <tabular pivotCacheId="1">
      <items count="13">
        <i x="7" s="1"/>
        <i x="4" s="1"/>
        <i x="1" s="1"/>
        <i x="9" s="1"/>
        <i x="0" s="1"/>
        <i x="3" s="1"/>
        <i x="6" s="1"/>
        <i x="2" s="1"/>
        <i x="11" s="1"/>
        <i x="5" s="1"/>
        <i x="10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3" sourceName="ANO COMPETÊNCIA">
  <pivotTables>
    <pivotTable tabId="28" name="tbdDetalhaEBases"/>
  </pivotTables>
  <data>
    <tabular pivotCacheId="1">
      <items count="4">
        <i x="3" s="1"/>
        <i x="2" s="1"/>
        <i x="0" s="1"/>
        <i x="1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BASE_DE_OPERAÇÃO1" sourceName="BASE DE OPERAÇÃO">
  <pivotTables>
    <pivotTable tabId="29" name="DetalhaSBases"/>
  </pivotTables>
  <data>
    <tabular pivotCacheId="2">
      <items count="9">
        <i x="4" s="1"/>
        <i x="7" s="1"/>
        <i x="6" s="1"/>
        <i x="8" s="1"/>
        <i x="2" s="1"/>
        <i x="5" s="1"/>
        <i x="1" s="1"/>
        <i x="0" s="1"/>
        <i x="3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4" sourceName="MÊS COMPETÊNCIA ">
  <pivotTables>
    <pivotTable tabId="29" name="DetalhaSBases"/>
  </pivotTables>
  <data>
    <tabular pivotCacheId="2">
      <items count="12">
        <i x="7" s="1"/>
        <i x="3" s="1"/>
        <i x="5" s="1"/>
        <i x="10" s="1"/>
        <i x="1" s="1"/>
        <i x="9" s="1"/>
        <i x="2" s="1"/>
        <i x="0" s="1"/>
        <i x="4" s="1"/>
        <i x="11" s="1"/>
        <i x="8" s="1"/>
        <i x="6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4" sourceName="ANO COMPETÊNCIA">
  <pivotTables>
    <pivotTable tabId="29" name="DetalhaSBases"/>
  </pivotTables>
  <data>
    <tabular pivotCacheId="2">
      <items count="4">
        <i x="3" s="1"/>
        <i x="0" s="1"/>
        <i x="1" s="1"/>
        <i x="2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BASE_DE_OPERAÇÃO2" sourceName="BASE DE OPERAÇÃO">
  <pivotTables>
    <pivotTable tabId="30" name="tbdVendedores"/>
  </pivotTables>
  <data>
    <tabular pivotCacheId="1">
      <items count="10">
        <i x="1" s="1"/>
        <i x="7"/>
        <i x="3"/>
        <i x="8"/>
        <i x="4"/>
        <i x="0"/>
        <i x="2"/>
        <i x="5"/>
        <i x="6"/>
        <i x="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COMPETÊNCIA5" sourceName="MÊS COMPETÊNCIA ">
  <pivotTables>
    <pivotTable tabId="30" name="tbdVendedores"/>
  </pivotTables>
  <data>
    <tabular pivotCacheId="1">
      <items count="13">
        <i x="7" s="1"/>
        <i x="4" s="1"/>
        <i x="1" s="1"/>
        <i x="9" s="1"/>
        <i x="0" s="1"/>
        <i x="3" s="1"/>
        <i x="6" s="1"/>
        <i x="2" s="1"/>
        <i x="11" s="1"/>
        <i x="5" s="1"/>
        <i x="10" s="1"/>
        <i x="8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_COMPETÊNCIA5" sourceName="ANO COMPETÊNCIA">
  <pivotTables>
    <pivotTable tabId="30" name="tbdVendedores"/>
  </pivotTables>
  <data>
    <tabular pivotCacheId="1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COMPETÊNCIA " cache="SegmentaçãodeDados_MÊS_COMPETÊNCIA" caption="MÊS COMPETÊNCIA " columnCount="12" rowHeight="234950"/>
  <slicer name="ANO COMPETÊNCIA" cache="SegmentaçãodeDados_ANO_COMPETÊNCIA" caption="ANO COMPETÊNCIA" columnCount="4" rowHeight="234950"/>
  <slicer name="ENTRADA NÍVEL 2 1" cache="SegmentaçãodeDados_ENTRADA_NÍVEL_21" caption="ENTRADA NÍVEL 2" columnCount="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COMPETÊNCIA  1" cache="SegmentaçãodeDados_MÊS_COMPETÊNCIA1" caption="MÊS COMPETÊNCIA " columnCount="12" rowHeight="234950"/>
  <slicer name="ANO COMPETÊNCIA 1" cache="SegmentaçãodeDados_ANO_COMPETÊNCIA1" caption="ANO COMPETÊNCIA" columnCount="4" rowHeight="234950"/>
  <slicer name="ENTRADA NÍVEL 2" cache="SegmentaçãodeDados_ENTRADA_NÍVEL_2" caption="ENTRADA NÍVEL 2" columnCount="6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SE DE OPERAÇÃO" cache="SegmentaçãodeDados_BASE_DE_OPERAÇÃO" caption="BASE DE OPERAÇÃO" columnCount="5" rowHeight="234950"/>
  <slicer name="MÊS COMPETÊNCIA  3" cache="SegmentaçãodeDados_MÊS_COMPETÊNCIA3" caption="MÊS COMPETÊNCIA " columnCount="6" rowHeight="234950"/>
  <slicer name="ANO COMPETÊNCIA 3" cache="SegmentaçãodeDados_ANO_COMPETÊNCIA3" caption="ANO COMPETÊNCIA" columnCount="4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SE DE OPERAÇÃO 1" cache="SegmentaçãodeDados_BASE_DE_OPERAÇÃO1" caption="BASE DE OPERAÇÃO" columnCount="5" rowHeight="234950"/>
  <slicer name="MÊS COMPETÊNCIA  4" cache="SegmentaçãodeDados_MÊS_COMPETÊNCIA4" caption="MÊS COMPETÊNCIA " columnCount="6" rowHeight="234950"/>
  <slicer name="ANO COMPETÊNCIA 5" cache="SegmentaçãodeDados_ANO_COMPETÊNCIA4" caption="ANO COMPETÊNCIA" columnCount="4" rowHeight="2349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SE DE OPERAÇÃO 2" cache="SegmentaçãodeDados_BASE_DE_OPERAÇÃO2" caption="BASE DE OPERAÇÃO" columnCount="5" rowHeight="234950"/>
  <slicer name="MÊS COMPETÊNCIA  5" cache="SegmentaçãodeDados_MÊS_COMPETÊNCIA5" caption="MÊS COMPETÊNCIA " columnCount="6" rowHeight="234950"/>
  <slicer name="ANO COMPETÊNCIA 4" cache="SegmentaçãodeDados_ANO_COMPETÊNCIA5" caption="ANO COMPETÊNCIA" columnCount="4" rowHeight="23495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PREVISTO" cache="SegmentaçãodeDados_MÊS_PREVISTO" caption="MÊS PREVISTO" columnCount="9" rowHeight="234950"/>
  <slicer name="ANO PREVISTO" cache="SegmentaçãodeDados_ANO_PREVISTO" caption="ANO PREVISTO" columnCount="3" rowHeight="234950"/>
  <slicer name="ENTRADA NÍVEL 2 2" cache="SegmentaçãodeDados_ENTRADA_NÍVEL_22" caption="ENTRADA NÍVEL 2" columnCount="5" rowHeight="23495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NTRADA NÍVEL 2 3" cache="SegmentaçãodeDados_ENTRADA_NÍVEL_23" caption="ENTRADA NÍVEL 2" columnCount="5" rowHeight="234950"/>
  <slicer name="MÊS PREVISTO 1" cache="SegmentaçãodeDados_MÊS_PREVISTO1" caption="MÊS PREVISTO" columnCount="10" rowHeight="234950"/>
  <slicer name="ANO PREVISTO 1" cache="SegmentaçãodeDados_ANO_PREVISTO1" caption="ANO PREVISTO" columnCount="3" rowHeight="23495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NTRADA NÍVEL 2 4" cache="SegmentaçãodeDados_ENTRADA_NÍVEL_24" caption="ENTRADA NÍVEL 2" columnCount="5" rowHeight="234950"/>
  <slicer name="MÊS COMPETÊNCIA  2" cache="SegmentaçãodeDados_MÊS_COMPETÊNCIA2" caption="MÊS COMPETÊNCIA " columnCount="9" rowHeight="234950"/>
  <slicer name="ANO COMPETÊNCIA 2" cache="SegmentaçãodeDados_ANO_COMPETÊNCIA2" caption="ANO COMPETÊNCIA" columnCount="3" rowHeight="234950"/>
</slicers>
</file>

<file path=xl/tables/table1.xml><?xml version="1.0" encoding="utf-8"?>
<table xmlns="http://schemas.openxmlformats.org/spreadsheetml/2006/main" id="7" name="tbEntradasN1" displayName="tbEntradasN1" ref="E9:E13" totalsRowShown="0" headerRowDxfId="54" dataDxfId="52" headerRowBorderDxfId="53" tableBorderDxfId="51" totalsRowBorderDxfId="50">
  <autoFilter ref="E9:E13"/>
  <tableColumns count="1">
    <tableColumn id="1" name="Nível 1" dataDxfId="49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8" name="TbEntradasN2" displayName="TbEntradasN2" ref="G9:G17" totalsRowShown="0" headerRowDxfId="48" headerRowBorderDxfId="47" tableBorderDxfId="46" totalsRowBorderDxfId="45">
  <autoFilter ref="G9:G17"/>
  <tableColumns count="1">
    <tableColumn id="1" name="Nível 2" dataDxfId="44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G10:G16" totalsRowShown="0">
  <autoFilter ref="G10:G16"/>
  <tableColumns count="1">
    <tableColumn id="1" name="NÍVEL 1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I10:I21" totalsRowShown="0">
  <autoFilter ref="I10:I21"/>
  <tableColumns count="1">
    <tableColumn id="1" name="NÍVEL 2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6" name="tbRegistroEntradas" displayName="tbRegistroEntradas" ref="A5:R737" totalsRowShown="0" headerRowDxfId="43" dataDxfId="42" tableBorderDxfId="41">
  <autoFilter ref="A5:R737"/>
  <sortState ref="A6:R737">
    <sortCondition ref="B6:B737"/>
  </sortState>
  <tableColumns count="18">
    <tableColumn id="1" name="DATA DE CAIXA REALIZADO" dataDxfId="40"/>
    <tableColumn id="2" name="DATA DA COMPETÊNCIA" dataDxfId="39"/>
    <tableColumn id="3" name="DATA DO CAIXA PREVISTO" dataDxfId="38"/>
    <tableColumn id="4" name="BASE DE OPERAÇÃO" dataDxfId="37"/>
    <tableColumn id="5" name="ENTRADA NÍVEL 1" dataDxfId="36"/>
    <tableColumn id="6" name="ENTRADA NÍVEL 2" dataDxfId="35"/>
    <tableColumn id="7" name="HISTÓRICO" dataDxfId="34"/>
    <tableColumn id="8" name="VENDEDOR" dataDxfId="33"/>
    <tableColumn id="9" name="VALOR" dataDxfId="32" dataCellStyle="Moeda"/>
    <tableColumn id="10" name="MÊS CAIXA" dataDxfId="31">
      <calculatedColumnFormula>IF(tbRegistroEntradas[[#This Row],[DATA DE CAIXA REALIZADO]]="N/A","0",UPPER(TEXT(tbRegistroEntradas[[#This Row],[DATA DE CAIXA REALIZADO]],"mmm")))</calculatedColumnFormula>
    </tableColumn>
    <tableColumn id="12" name="ANO CAIXA" dataDxfId="30">
      <calculatedColumnFormula>IF(tbRegistroEntradas[[#This Row],[DATA DE CAIXA REALIZADO]]="N/A",0,YEAR(tbRegistroEntradas[[#This Row],[DATA DE CAIXA REALIZADO]]))</calculatedColumnFormula>
    </tableColumn>
    <tableColumn id="11" name="MÊS COMPETÊNCIA " dataDxfId="29">
      <calculatedColumnFormula>IF(tbRegistroEntradas[[#This Row],[DATA DA COMPETÊNCIA]]="N/A","0",UPPER(TEXT(tbRegistroEntradas[[#This Row],[DATA DA COMPETÊNCIA]],"mmm")))</calculatedColumnFormula>
    </tableColumn>
    <tableColumn id="13" name="ANO COMPETÊNCIA" dataDxfId="28">
      <calculatedColumnFormula>IF(tbRegistroEntradas[[#This Row],[DATA DA COMPETÊNCIA]]="N/A",0,YEAR(tbRegistroEntradas[[#This Row],[DATA DA COMPETÊNCIA]]))</calculatedColumnFormula>
    </tableColumn>
    <tableColumn id="14" name="MÊS PREVISTO" dataDxfId="27">
      <calculatedColumnFormula>IF(tbRegistroEntradas[[#This Row],[DATA DO CAIXA PREVISTO]]="N/A","0",UPPER(TEXT(tbRegistroEntradas[[#This Row],[DATA DO CAIXA PREVISTO]],"mmm")))</calculatedColumnFormula>
    </tableColumn>
    <tableColumn id="15" name="ANO PREVISTO" dataDxfId="26">
      <calculatedColumnFormula>IF(tbRegistroEntradas[[#This Row],[DATA DO CAIXA PREVISTO]]="N/A",0,YEAR(tbRegistroEntradas[[#This Row],[DATA DO CAIXA PREVISTO]]))</calculatedColumnFormula>
    </tableColumn>
    <tableColumn id="16" name="VENCIMENTO" dataDxfId="25">
      <calculatedColumnFormula>IF(AND(tbRegistroEntradas[[#This Row],[DATA DE CAIXA REALIZADO]]="N/A",tbRegistroEntradas[[#This Row],[DATA DO CAIXA PREVISTO]]&lt;TODAY()),"Vencida","Não Vencida")</calculatedColumnFormula>
    </tableColumn>
    <tableColumn id="17" name="PERFIL" dataDxfId="24">
      <calculatedColumnFormula>IF(tbRegistroEntradas[[#This Row],[DATA DA COMPETÊNCIA]]=tbRegistroEntradas[[#This Row],[DATA DO CAIXA PREVISTO]],"Vista","Prazo")</calculatedColumnFormula>
    </tableColumn>
    <tableColumn id="18" name="ATRASO" dataDxfId="23">
      <calculatedColumnFormula>IF(tbRegistroEntradas[[#This Row],[DATA DE CAIXA REALIZADO]]&lt;&gt;"N/A","Em Dia","Com atraso")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9" name="tbRegistroSaidas" displayName="tbRegistroSaidas" ref="A5:N735" totalsRowShown="0" headerRowDxfId="22" tableBorderDxfId="21">
  <autoFilter ref="A5:N735"/>
  <sortState ref="A6:J234">
    <sortCondition ref="B6:B234"/>
  </sortState>
  <tableColumns count="14">
    <tableColumn id="1" name="DATA DE CAIXA REALIZADO" dataDxfId="20"/>
    <tableColumn id="2" name="DATA DA COMPETÊNCIA" dataDxfId="19"/>
    <tableColumn id="3" name="DATA DO CAIXA PREVISTO" dataDxfId="18"/>
    <tableColumn id="4" name="BASE DE OPERAÇÃO" dataDxfId="17"/>
    <tableColumn id="5" name="SAÍDA NÍVEL 1"/>
    <tableColumn id="6" name="SAÍDA NÍVEL 2"/>
    <tableColumn id="7" name="HISTÓRICO"/>
    <tableColumn id="8" name="VALOR" dataCellStyle="Moeda"/>
    <tableColumn id="10" name="ANO CAIXA" dataDxfId="16">
      <calculatedColumnFormula>IF(tbRegistroSaidas[[#This Row],[DATA DE CAIXA REALIZADO]]="N/A",0,YEAR(tbRegistroSaidas[[#This Row],[DATA DE CAIXA REALIZADO]]))</calculatedColumnFormula>
    </tableColumn>
    <tableColumn id="12" name="MÊS CAIXA" dataDxfId="15">
      <calculatedColumnFormula>IF(tbRegistroSaidas[[#This Row],[DATA DE CAIXA REALIZADO]]="N/A","0",UPPER(TEXT(tbRegistroSaidas[[#This Row],[DATA DE CAIXA REALIZADO]],"mmm")))</calculatedColumnFormula>
    </tableColumn>
    <tableColumn id="9" name="MÊS COMPETÊNCIA " dataDxfId="14">
      <calculatedColumnFormula>IF(tbRegistroSaidas[[#This Row],[DATA DA COMPETÊNCIA]]="N/A","0",UPPER(TEXT(tbRegistroSaidas[[#This Row],[DATA DA COMPETÊNCIA]],"mmm")))</calculatedColumnFormula>
    </tableColumn>
    <tableColumn id="11" name="ANO COMPETÊNCIA" dataDxfId="13">
      <calculatedColumnFormula>IF(tbRegistroSaidas[[#This Row],[DATA DA COMPETÊNCIA]]="N/A",0,YEAR(tbRegistroSaidas[[#This Row],[DATA DA COMPETÊNCIA]]))</calculatedColumnFormula>
    </tableColumn>
    <tableColumn id="13" name="MÊS PREVISTO" dataDxfId="12">
      <calculatedColumnFormula>IF(tbRegistroSaidas[[#This Row],[DATA DO CAIXA PREVISTO]]="N/A","0",UPPER(TEXT(tbRegistroSaidas[[#This Row],[DATA DO CAIXA PREVISTO]],"mmm")))</calculatedColumnFormula>
    </tableColumn>
    <tableColumn id="14" name="ANO PREVISTO" dataDxfId="11">
      <calculatedColumnFormula>IF(tbRegistroSaidas[[#This Row],[DATA DO CAIXA PREVISTO]]="N/A",0,YEAR(tbRegistroSaidas[[#This Row],[DATA DO CAIXA PREVISTO]]))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4" name="TabelaRBV" displayName="TabelaRBV" ref="A5:I16" totalsRowShown="0" headerRowDxfId="10">
  <autoFilter ref="A5:I16"/>
  <tableColumns count="9">
    <tableColumn id="1" name="FRANCA"/>
    <tableColumn id="2" name="SÃO PAULO"/>
    <tableColumn id="3" name="GUARULHOS"/>
    <tableColumn id="4" name="ITAQUAQUECETUBA"/>
    <tableColumn id="5" name="SÃO MATEUS"/>
    <tableColumn id="6" name="SANTOS"/>
    <tableColumn id="7" name="GUARUJÁ"/>
    <tableColumn id="8" name="OSASCO"/>
    <tableColumn id="9" name="BARUERI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4.xml"/><Relationship Id="rId4" Type="http://schemas.microsoft.com/office/2007/relationships/slicer" Target="../slicers/slicer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5.xml"/><Relationship Id="rId6" Type="http://schemas.openxmlformats.org/officeDocument/2006/relationships/comments" Target="../comments1.xml"/><Relationship Id="rId5" Type="http://schemas.microsoft.com/office/2007/relationships/slicer" Target="../slicers/slicer5.xml"/><Relationship Id="rId4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6.xml"/><Relationship Id="rId4" Type="http://schemas.microsoft.com/office/2007/relationships/slicer" Target="../slicers/slicer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7.xml"/><Relationship Id="rId4" Type="http://schemas.microsoft.com/office/2007/relationships/slicer" Target="../slicers/slicer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29"/>
  <sheetViews>
    <sheetView showGridLines="0" tabSelected="1" workbookViewId="0">
      <selection activeCell="M27" sqref="M27"/>
    </sheetView>
  </sheetViews>
  <sheetFormatPr defaultColWidth="0" defaultRowHeight="14.4" zeroHeight="1" x14ac:dyDescent="0.3"/>
  <cols>
    <col min="1" max="1" width="4.6640625" customWidth="1"/>
    <col min="2" max="12" width="15.77734375" customWidth="1"/>
    <col min="13" max="13" width="28.33203125" customWidth="1"/>
    <col min="14" max="16384" width="15.77734375" hidden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65" t="s">
        <v>0</v>
      </c>
      <c r="L1" s="165"/>
      <c r="M1" s="165"/>
    </row>
    <row r="2" spans="1:13" ht="23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65"/>
      <c r="L2" s="165"/>
      <c r="M2" s="165"/>
    </row>
    <row r="3" spans="1:13" x14ac:dyDescent="0.3"/>
    <row r="4" spans="1:13" x14ac:dyDescent="0.3"/>
    <row r="5" spans="1:13" x14ac:dyDescent="0.3"/>
    <row r="6" spans="1:13" x14ac:dyDescent="0.3">
      <c r="B6" s="2" t="s">
        <v>1</v>
      </c>
    </row>
    <row r="7" spans="1:13" ht="18" x14ac:dyDescent="0.35">
      <c r="B7" s="167"/>
      <c r="C7" s="167"/>
      <c r="E7" s="166" t="s">
        <v>3</v>
      </c>
      <c r="F7" s="166"/>
      <c r="H7" s="166" t="s">
        <v>4</v>
      </c>
      <c r="I7" s="166"/>
      <c r="J7" s="3"/>
      <c r="K7" s="166" t="s">
        <v>5</v>
      </c>
      <c r="L7" s="166"/>
    </row>
    <row r="8" spans="1:13" x14ac:dyDescent="0.3"/>
    <row r="9" spans="1:13" x14ac:dyDescent="0.3"/>
    <row r="10" spans="1:13" x14ac:dyDescent="0.3">
      <c r="B10" s="2" t="s">
        <v>2</v>
      </c>
    </row>
    <row r="11" spans="1:13" ht="18" x14ac:dyDescent="0.35">
      <c r="B11" s="167"/>
      <c r="C11" s="167"/>
    </row>
    <row r="12" spans="1:13" x14ac:dyDescent="0.3"/>
    <row r="13" spans="1:13" x14ac:dyDescent="0.3"/>
    <row r="14" spans="1:13" x14ac:dyDescent="0.3"/>
    <row r="15" spans="1:13" x14ac:dyDescent="0.3"/>
    <row r="16" spans="1:13" x14ac:dyDescent="0.3"/>
    <row r="17" spans="1:13" x14ac:dyDescent="0.3"/>
    <row r="18" spans="1:13" x14ac:dyDescent="0.3"/>
    <row r="19" spans="1:13" x14ac:dyDescent="0.3"/>
    <row r="20" spans="1:13" x14ac:dyDescent="0.3"/>
    <row r="21" spans="1:13" x14ac:dyDescent="0.3"/>
    <row r="22" spans="1:13" x14ac:dyDescent="0.3"/>
    <row r="23" spans="1:13" x14ac:dyDescent="0.3"/>
    <row r="24" spans="1:13" x14ac:dyDescent="0.3"/>
    <row r="25" spans="1:13" x14ac:dyDescent="0.3"/>
    <row r="26" spans="1:13" x14ac:dyDescent="0.3"/>
    <row r="27" spans="1:13" x14ac:dyDescent="0.3"/>
    <row r="28" spans="1:1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6">
    <mergeCell ref="K1:M2"/>
    <mergeCell ref="E7:F7"/>
    <mergeCell ref="H7:I7"/>
    <mergeCell ref="K7:L7"/>
    <mergeCell ref="B11:C11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M29"/>
  <sheetViews>
    <sheetView showGridLines="0" workbookViewId="0">
      <selection activeCell="C9" sqref="C9:D9"/>
    </sheetView>
  </sheetViews>
  <sheetFormatPr defaultColWidth="0" defaultRowHeight="14.4" customHeight="1" zeroHeight="1" x14ac:dyDescent="0.3"/>
  <cols>
    <col min="1" max="1" width="13.21875" customWidth="1"/>
    <col min="2" max="2" width="30.77734375" customWidth="1"/>
    <col min="3" max="4" width="15.77734375" customWidth="1"/>
    <col min="5" max="5" width="13.44140625" customWidth="1"/>
    <col min="6" max="7" width="15.77734375" customWidth="1"/>
    <col min="8" max="8" width="13.44140625" customWidth="1"/>
    <col min="9" max="9" width="9.77734375" customWidth="1"/>
    <col min="10" max="10" width="21.77734375" customWidth="1"/>
    <col min="11" max="12" width="15.77734375" customWidth="1"/>
    <col min="13" max="13" width="9.109375" customWidth="1"/>
    <col min="14" max="16384" width="15.77734375" hidden="1"/>
  </cols>
  <sheetData>
    <row r="1" spans="1:13" ht="14.4" customHeight="1" x14ac:dyDescent="0.3">
      <c r="A1" s="168" t="s">
        <v>6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>
      <c r="C8" t="s">
        <v>48</v>
      </c>
      <c r="F8" t="s">
        <v>45</v>
      </c>
      <c r="I8" t="s">
        <v>46</v>
      </c>
    </row>
    <row r="9" spans="1:13" ht="14.4" customHeight="1" x14ac:dyDescent="0.3">
      <c r="C9" s="169"/>
      <c r="D9" s="169"/>
      <c r="F9" s="171"/>
      <c r="G9" s="171"/>
      <c r="I9" s="171"/>
      <c r="J9" s="171"/>
    </row>
    <row r="10" spans="1:13" ht="14.4" customHeight="1" x14ac:dyDescent="0.3"/>
    <row r="11" spans="1:13" ht="14.4" customHeight="1" x14ac:dyDescent="0.3">
      <c r="C11" t="s">
        <v>49</v>
      </c>
      <c r="F11" t="s">
        <v>51</v>
      </c>
      <c r="I11" t="s">
        <v>43</v>
      </c>
      <c r="J11" s="15"/>
    </row>
    <row r="12" spans="1:13" ht="14.4" customHeight="1" x14ac:dyDescent="0.3">
      <c r="C12" s="169"/>
      <c r="D12" s="169"/>
      <c r="F12" s="172"/>
      <c r="G12" s="172"/>
      <c r="I12" s="170"/>
      <c r="J12" s="170"/>
    </row>
    <row r="13" spans="1:13" ht="14.4" customHeight="1" x14ac:dyDescent="0.3"/>
    <row r="14" spans="1:13" ht="14.4" customHeight="1" x14ac:dyDescent="0.3">
      <c r="C14" t="s">
        <v>50</v>
      </c>
      <c r="F14" t="s">
        <v>44</v>
      </c>
      <c r="I14" t="s">
        <v>8</v>
      </c>
      <c r="J14" s="15" t="str">
        <f>IF(F9=PlanoEntradas!E13,"*","")</f>
        <v/>
      </c>
    </row>
    <row r="15" spans="1:13" ht="14.4" customHeight="1" x14ac:dyDescent="0.3">
      <c r="C15" s="169"/>
      <c r="D15" s="169"/>
      <c r="F15" s="173"/>
      <c r="G15" s="173"/>
      <c r="I15" s="170"/>
      <c r="J15" s="170"/>
    </row>
    <row r="16" spans="1:13" ht="14.4" customHeight="1" x14ac:dyDescent="0.3"/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>
      <c r="A27" s="15" t="s">
        <v>1559</v>
      </c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0">
    <mergeCell ref="A1:M2"/>
    <mergeCell ref="C9:D9"/>
    <mergeCell ref="C12:D12"/>
    <mergeCell ref="C15:D15"/>
    <mergeCell ref="I15:J15"/>
    <mergeCell ref="I12:J12"/>
    <mergeCell ref="I9:J9"/>
    <mergeCell ref="F12:G12"/>
    <mergeCell ref="F9:G9"/>
    <mergeCell ref="F15:G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PlanoEntradas!$E$10:$E$13</xm:f>
          </x14:formula1>
          <xm:sqref>F9:G9</xm:sqref>
        </x14:dataValidation>
        <x14:dataValidation type="list" allowBlank="1" showInputMessage="1" showErrorMessage="1">
          <x14:formula1>
            <xm:f>IF($F$9=PlanoEntradas!$E$10,PlanoEntradas!$G$10,IF($F$9=PlanoEntradas!$E$11,PlanoEntradas!$G$11,IF(F9=PlanoEntradas!$E$12,PlanoEntradas!$G$12,IF(F9=PlanoEntradas!$E$13,PlanoEntradas!$G$13:$G$17,""))))</xm:f>
          </x14:formula1>
          <xm:sqref>I9:J9</xm:sqref>
        </x14:dataValidation>
        <x14:dataValidation type="list" allowBlank="1" showInputMessage="1" showErrorMessage="1">
          <x14:formula1>
            <xm:f>RBV!$A$5:$I$5</xm:f>
          </x14:formula1>
          <xm:sqref>I12:J12</xm:sqref>
        </x14:dataValidation>
        <x14:dataValidation type="list" allowBlank="1" showInputMessage="1" showErrorMessage="1">
          <x14:formula1>
            <xm:f>OFFSET(RBV!A5,1,MATCH(I12,RBV!A5:I5,0)-1,COUNTA(OFFSET(RBV!A5,1,MATCH(I12,RBV!A5:I5,0)-1,15)))</xm:f>
          </x14:formula1>
          <xm:sqref>I15:J15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M29"/>
  <sheetViews>
    <sheetView showGridLines="0" workbookViewId="0">
      <selection activeCell="E10" sqref="E10"/>
    </sheetView>
  </sheetViews>
  <sheetFormatPr defaultColWidth="0" defaultRowHeight="14.4" customHeight="1" zeroHeight="1" x14ac:dyDescent="0.3"/>
  <cols>
    <col min="1" max="1" width="4.6640625" customWidth="1"/>
    <col min="2" max="2" width="20.77734375" customWidth="1"/>
    <col min="3" max="3" width="12.88671875" customWidth="1"/>
    <col min="4" max="4" width="25.33203125" customWidth="1"/>
    <col min="5" max="5" width="25.88671875" customWidth="1"/>
    <col min="6" max="6" width="12.88671875" customWidth="1"/>
    <col min="7" max="7" width="29.44140625" customWidth="1"/>
    <col min="8" max="9" width="15.77734375" customWidth="1"/>
    <col min="10" max="10" width="43.109375" customWidth="1"/>
    <col min="11" max="11" width="13.77734375" hidden="1" customWidth="1"/>
    <col min="12" max="12" width="5.109375" hidden="1" customWidth="1"/>
    <col min="13" max="13" width="33.77734375" hidden="1" customWidth="1"/>
    <col min="14" max="16384" width="15.77734375" hidden="1"/>
  </cols>
  <sheetData>
    <row r="1" spans="1:13" ht="14.4" customHeight="1" x14ac:dyDescent="0.3">
      <c r="A1" s="168" t="s">
        <v>25</v>
      </c>
      <c r="B1" s="168"/>
      <c r="C1" s="168"/>
      <c r="D1" s="168"/>
      <c r="E1" s="168"/>
      <c r="F1" s="168"/>
      <c r="G1" s="168"/>
      <c r="H1" s="168"/>
      <c r="I1" s="168"/>
      <c r="J1" s="168"/>
      <c r="K1" s="12"/>
      <c r="L1" s="12"/>
      <c r="M1" s="12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2"/>
      <c r="L2" s="12"/>
      <c r="M2" s="12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27" customHeight="1" x14ac:dyDescent="0.3"/>
    <row r="8" spans="1:13" ht="14.4" customHeight="1" x14ac:dyDescent="0.3"/>
    <row r="9" spans="1:13" ht="15.6" x14ac:dyDescent="0.3">
      <c r="C9" s="11"/>
      <c r="E9" s="13" t="s">
        <v>40</v>
      </c>
      <c r="G9" s="14" t="s">
        <v>41</v>
      </c>
    </row>
    <row r="10" spans="1:13" ht="14.4" customHeight="1" x14ac:dyDescent="0.3">
      <c r="E10" s="8" t="s">
        <v>9</v>
      </c>
      <c r="G10" s="6" t="s">
        <v>13</v>
      </c>
    </row>
    <row r="11" spans="1:13" ht="14.4" customHeight="1" x14ac:dyDescent="0.3">
      <c r="E11" s="9" t="s">
        <v>10</v>
      </c>
      <c r="G11" s="6" t="s">
        <v>14</v>
      </c>
    </row>
    <row r="12" spans="1:13" ht="14.4" customHeight="1" x14ac:dyDescent="0.3">
      <c r="E12" s="9" t="s">
        <v>11</v>
      </c>
      <c r="G12" s="6" t="s">
        <v>15</v>
      </c>
    </row>
    <row r="13" spans="1:13" x14ac:dyDescent="0.3">
      <c r="E13" s="10" t="s">
        <v>12</v>
      </c>
      <c r="G13" s="6" t="s">
        <v>16</v>
      </c>
    </row>
    <row r="14" spans="1:13" x14ac:dyDescent="0.3">
      <c r="G14" s="6" t="s">
        <v>17</v>
      </c>
    </row>
    <row r="15" spans="1:13" ht="14.4" customHeight="1" x14ac:dyDescent="0.3">
      <c r="G15" s="6" t="s">
        <v>18</v>
      </c>
    </row>
    <row r="16" spans="1:13" ht="14.4" customHeight="1" x14ac:dyDescent="0.3">
      <c r="C16" s="11"/>
      <c r="G16" s="6" t="s">
        <v>19</v>
      </c>
    </row>
    <row r="17" spans="1:13" ht="14.4" customHeight="1" x14ac:dyDescent="0.3">
      <c r="G17" s="7" t="s">
        <v>20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28.2" customHeight="1" x14ac:dyDescent="0.3"/>
    <row r="24" spans="1:13" ht="25.8" customHeight="1" x14ac:dyDescent="0.3"/>
    <row r="25" spans="1:13" ht="14.4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14.4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14.4" hidden="1" customHeight="1" x14ac:dyDescent="0.3"/>
    <row r="28" spans="1:13" ht="14.4" hidden="1" customHeight="1" x14ac:dyDescent="0.3"/>
    <row r="29" spans="1:13" ht="14.4" hidden="1" customHeight="1" x14ac:dyDescent="0.3"/>
  </sheetData>
  <mergeCells count="1">
    <mergeCell ref="A1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29"/>
  <sheetViews>
    <sheetView showGridLines="0" workbookViewId="0">
      <selection activeCell="C9" sqref="C9:D9"/>
    </sheetView>
  </sheetViews>
  <sheetFormatPr defaultColWidth="0" defaultRowHeight="14.4" customHeight="1" zeroHeight="1" x14ac:dyDescent="0.3"/>
  <cols>
    <col min="1" max="1" width="13.21875" customWidth="1"/>
    <col min="2" max="2" width="30.77734375" customWidth="1"/>
    <col min="3" max="4" width="15.77734375" customWidth="1"/>
    <col min="5" max="5" width="13.44140625" customWidth="1"/>
    <col min="6" max="7" width="15.77734375" customWidth="1"/>
    <col min="8" max="8" width="13.44140625" customWidth="1"/>
    <col min="9" max="9" width="12.6640625" customWidth="1"/>
    <col min="10" max="10" width="18.88671875" customWidth="1"/>
    <col min="11" max="12" width="15.77734375" customWidth="1"/>
    <col min="13" max="13" width="8.6640625" customWidth="1"/>
    <col min="14" max="16384" width="15.77734375" hidden="1"/>
  </cols>
  <sheetData>
    <row r="1" spans="1:13" ht="14.4" customHeight="1" x14ac:dyDescent="0.3">
      <c r="A1" s="168" t="s">
        <v>21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>
      <c r="C8" t="s">
        <v>48</v>
      </c>
      <c r="F8" t="s">
        <v>47</v>
      </c>
      <c r="I8" t="s">
        <v>42</v>
      </c>
      <c r="J8" s="15" t="str">
        <f>IF(F9=PlanoSaídas!G16,"","*")</f>
        <v>*</v>
      </c>
    </row>
    <row r="9" spans="1:13" ht="14.4" customHeight="1" x14ac:dyDescent="0.3">
      <c r="C9" s="169"/>
      <c r="D9" s="169"/>
      <c r="F9" s="171"/>
      <c r="G9" s="171"/>
      <c r="I9" s="171"/>
      <c r="J9" s="171"/>
    </row>
    <row r="10" spans="1:13" ht="14.4" customHeight="1" x14ac:dyDescent="0.3"/>
    <row r="11" spans="1:13" ht="14.4" customHeight="1" x14ac:dyDescent="0.3">
      <c r="C11" t="s">
        <v>49</v>
      </c>
      <c r="F11" s="15" t="s">
        <v>139</v>
      </c>
      <c r="I11" t="s">
        <v>43</v>
      </c>
    </row>
    <row r="12" spans="1:13" ht="14.4" customHeight="1" x14ac:dyDescent="0.3">
      <c r="C12" s="169"/>
      <c r="D12" s="169"/>
      <c r="F12" s="176"/>
      <c r="G12" s="176"/>
      <c r="I12" s="171"/>
      <c r="J12" s="171"/>
    </row>
    <row r="13" spans="1:13" ht="14.4" customHeight="1" x14ac:dyDescent="0.3"/>
    <row r="14" spans="1:13" ht="14.4" customHeight="1" x14ac:dyDescent="0.3">
      <c r="C14" t="s">
        <v>50</v>
      </c>
      <c r="F14" t="s">
        <v>44</v>
      </c>
      <c r="I14" s="5"/>
      <c r="J14" s="5"/>
    </row>
    <row r="15" spans="1:13" ht="14.4" customHeight="1" x14ac:dyDescent="0.3">
      <c r="C15" s="169"/>
      <c r="D15" s="169"/>
      <c r="F15" s="174"/>
      <c r="G15" s="174"/>
      <c r="I15" s="175"/>
      <c r="J15" s="175"/>
    </row>
    <row r="16" spans="1:13" ht="14.4" customHeight="1" x14ac:dyDescent="0.3"/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>
      <c r="A27" s="15" t="s">
        <v>1559</v>
      </c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0">
    <mergeCell ref="A1:M2"/>
    <mergeCell ref="C9:D9"/>
    <mergeCell ref="C12:D12"/>
    <mergeCell ref="C15:D15"/>
    <mergeCell ref="F15:G15"/>
    <mergeCell ref="I15:J15"/>
    <mergeCell ref="F9:G9"/>
    <mergeCell ref="I9:J9"/>
    <mergeCell ref="F12:G12"/>
    <mergeCell ref="I12:J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PlanoSaídas!$G$11:$G$16</xm:f>
          </x14:formula1>
          <xm:sqref>F9:G9</xm:sqref>
        </x14:dataValidation>
        <x14:dataValidation type="list" allowBlank="1" showInputMessage="1" showErrorMessage="1">
          <x14:formula1>
            <xm:f>RBV!$A$5:$I$5</xm:f>
          </x14:formula1>
          <xm:sqref>I12:J12</xm:sqref>
        </x14:dataValidation>
        <x14:dataValidation type="list" allowBlank="1" showInputMessage="1" showErrorMessage="1">
          <x14:formula1>
            <xm:f>IF(F9=PlanoSaídas!G11,PlanoSaídas!I11:I15,IF(F9=PlanoSaídas!G12,PlanoSaídas!I16:I17,IF(F9=PlanoSaídas!G13,PlanoSaídas!I18:I19,IF(F9=PlanoSaídas!G14,PlanoSaídas!I20,IF(F9=PlanoSaídas!G15,PlanoSaídas!I21,IF(F9=PlanoSaídas!G16,"",""))))))</xm:f>
          </x14:formula1>
          <xm:sqref>I9:J9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M29"/>
  <sheetViews>
    <sheetView showGridLines="0" workbookViewId="0">
      <selection activeCell="G11" sqref="G11"/>
    </sheetView>
  </sheetViews>
  <sheetFormatPr defaultColWidth="0" defaultRowHeight="14.4" customHeight="1" zeroHeight="1" x14ac:dyDescent="0.3"/>
  <cols>
    <col min="1" max="1" width="4.6640625" customWidth="1"/>
    <col min="2" max="4" width="15.77734375" customWidth="1"/>
    <col min="5" max="5" width="7.21875" customWidth="1"/>
    <col min="6" max="6" width="9.109375" customWidth="1"/>
    <col min="7" max="7" width="22" customWidth="1"/>
    <col min="8" max="8" width="9.21875" customWidth="1"/>
    <col min="9" max="9" width="35.44140625" customWidth="1"/>
    <col min="10" max="12" width="15.77734375" customWidth="1"/>
    <col min="13" max="13" width="23.88671875" customWidth="1"/>
    <col min="14" max="16384" width="15.77734375" hidden="1"/>
  </cols>
  <sheetData>
    <row r="1" spans="1:13" ht="14.4" customHeight="1" x14ac:dyDescent="0.3">
      <c r="A1" s="168" t="s">
        <v>22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/>
    <row r="10" spans="1:13" ht="14.4" customHeight="1" x14ac:dyDescent="0.3">
      <c r="G10" t="s">
        <v>23</v>
      </c>
      <c r="I10" t="s">
        <v>24</v>
      </c>
    </row>
    <row r="11" spans="1:13" ht="14.4" customHeight="1" x14ac:dyDescent="0.3">
      <c r="G11" t="s">
        <v>26</v>
      </c>
      <c r="I11" t="s">
        <v>16</v>
      </c>
    </row>
    <row r="12" spans="1:13" ht="14.4" customHeight="1" x14ac:dyDescent="0.3">
      <c r="G12" t="s">
        <v>27</v>
      </c>
      <c r="I12" t="s">
        <v>17</v>
      </c>
    </row>
    <row r="13" spans="1:13" ht="14.4" customHeight="1" x14ac:dyDescent="0.3">
      <c r="G13" t="s">
        <v>28</v>
      </c>
      <c r="I13" t="s">
        <v>18</v>
      </c>
    </row>
    <row r="14" spans="1:13" ht="14.4" customHeight="1" x14ac:dyDescent="0.3">
      <c r="G14" t="s">
        <v>29</v>
      </c>
      <c r="I14" t="s">
        <v>32</v>
      </c>
    </row>
    <row r="15" spans="1:13" ht="14.4" customHeight="1" x14ac:dyDescent="0.3">
      <c r="G15" t="s">
        <v>30</v>
      </c>
      <c r="I15" t="s">
        <v>33</v>
      </c>
    </row>
    <row r="16" spans="1:13" ht="14.4" customHeight="1" x14ac:dyDescent="0.3">
      <c r="G16" t="s">
        <v>31</v>
      </c>
      <c r="I16" t="s">
        <v>34</v>
      </c>
    </row>
    <row r="17" spans="1:13" ht="14.4" customHeight="1" x14ac:dyDescent="0.3">
      <c r="I17" t="s">
        <v>35</v>
      </c>
    </row>
    <row r="18" spans="1:13" ht="14.4" customHeight="1" x14ac:dyDescent="0.3">
      <c r="I18" t="s">
        <v>36</v>
      </c>
    </row>
    <row r="19" spans="1:13" ht="14.4" customHeight="1" x14ac:dyDescent="0.3">
      <c r="I19" t="s">
        <v>37</v>
      </c>
    </row>
    <row r="20" spans="1:13" ht="14.4" customHeight="1" x14ac:dyDescent="0.3">
      <c r="I20" t="s">
        <v>38</v>
      </c>
    </row>
    <row r="21" spans="1:13" ht="14.4" customHeight="1" x14ac:dyDescent="0.3">
      <c r="I21" t="s">
        <v>39</v>
      </c>
    </row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XFC760"/>
  <sheetViews>
    <sheetView showGridLines="0" workbookViewId="0">
      <pane ySplit="5" topLeftCell="A6" activePane="bottomLeft" state="frozen"/>
      <selection pane="bottomLeft" activeCell="A3" sqref="A3"/>
    </sheetView>
  </sheetViews>
  <sheetFormatPr defaultColWidth="0" defaultRowHeight="0" customHeight="1" zeroHeight="1" x14ac:dyDescent="0.3"/>
  <cols>
    <col min="1" max="1" width="22.77734375" style="38" customWidth="1"/>
    <col min="2" max="3" width="22.77734375" style="21" customWidth="1"/>
    <col min="4" max="7" width="22.77734375" customWidth="1"/>
    <col min="8" max="8" width="22.77734375" style="32" customWidth="1"/>
    <col min="9" max="9" width="22.77734375" style="18" customWidth="1"/>
    <col min="10" max="10" width="9.109375" hidden="1" customWidth="1"/>
    <col min="11" max="11" width="9.77734375" style="32" hidden="1" customWidth="1"/>
    <col min="12" max="12" width="16.88671875" hidden="1" customWidth="1"/>
    <col min="13" max="13" width="16" hidden="1" customWidth="1"/>
    <col min="14" max="14" width="12.33203125" hidden="1" customWidth="1"/>
    <col min="15" max="15" width="11.88671875" hidden="1" customWidth="1"/>
    <col min="16" max="16" width="12.77734375" hidden="1" customWidth="1"/>
    <col min="17" max="17" width="13.77734375" hidden="1" customWidth="1"/>
    <col min="18" max="18" width="16.21875" hidden="1" customWidth="1"/>
    <col min="19" max="16383" width="2.5546875" hidden="1"/>
    <col min="16384" max="16384" width="2.6640625" hidden="1"/>
  </cols>
  <sheetData>
    <row r="1" spans="1:18" ht="14.4" customHeight="1" x14ac:dyDescent="0.3">
      <c r="A1" s="168" t="s">
        <v>59</v>
      </c>
      <c r="B1" s="168"/>
      <c r="C1" s="168"/>
      <c r="D1" s="168"/>
      <c r="E1" s="168"/>
      <c r="F1" s="168"/>
      <c r="G1" s="168"/>
      <c r="H1" s="168"/>
      <c r="I1" s="168"/>
      <c r="J1" s="141"/>
      <c r="K1" s="141"/>
      <c r="L1" s="141"/>
      <c r="M1" s="141"/>
      <c r="N1" s="141"/>
      <c r="O1" s="141"/>
      <c r="P1" s="141"/>
    </row>
    <row r="2" spans="1:18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41"/>
      <c r="K2" s="141"/>
      <c r="L2" s="141"/>
      <c r="M2" s="141"/>
      <c r="N2" s="141"/>
      <c r="O2" s="141"/>
      <c r="P2" s="141"/>
    </row>
    <row r="3" spans="1:18" ht="14.4" x14ac:dyDescent="0.3">
      <c r="A3" s="37"/>
      <c r="B3" s="20"/>
      <c r="C3" s="20"/>
      <c r="D3" s="4"/>
      <c r="E3" s="4"/>
      <c r="F3" s="4"/>
      <c r="G3" s="4"/>
      <c r="H3" s="33"/>
      <c r="I3" s="17"/>
      <c r="J3" s="5"/>
      <c r="K3" s="128"/>
      <c r="L3" s="5"/>
      <c r="M3" s="5"/>
      <c r="N3" s="5"/>
      <c r="O3" s="5"/>
      <c r="P3" s="5"/>
    </row>
    <row r="4" spans="1:18" ht="14.4" x14ac:dyDescent="0.3">
      <c r="A4" s="37"/>
      <c r="B4" s="20"/>
      <c r="C4" s="20"/>
      <c r="D4" s="4"/>
      <c r="E4" s="4"/>
      <c r="F4" s="4"/>
      <c r="G4" s="4"/>
      <c r="H4" s="33"/>
      <c r="I4" s="17"/>
      <c r="J4" s="5"/>
      <c r="K4" s="128"/>
      <c r="L4" s="5"/>
      <c r="M4" s="5"/>
      <c r="N4" s="5"/>
      <c r="O4" s="5"/>
      <c r="P4" s="5"/>
    </row>
    <row r="5" spans="1:18" ht="28.8" x14ac:dyDescent="0.3">
      <c r="A5" s="39" t="s">
        <v>52</v>
      </c>
      <c r="B5" s="29" t="s">
        <v>53</v>
      </c>
      <c r="C5" s="29" t="s">
        <v>54</v>
      </c>
      <c r="D5" s="30" t="s">
        <v>7</v>
      </c>
      <c r="E5" s="31" t="s">
        <v>58</v>
      </c>
      <c r="F5" s="31" t="s">
        <v>57</v>
      </c>
      <c r="G5" s="31" t="s">
        <v>55</v>
      </c>
      <c r="H5" s="34" t="s">
        <v>8</v>
      </c>
      <c r="I5" s="117" t="s">
        <v>56</v>
      </c>
      <c r="J5" s="56" t="s">
        <v>594</v>
      </c>
      <c r="K5" s="59" t="s">
        <v>595</v>
      </c>
      <c r="L5" s="80" t="s">
        <v>620</v>
      </c>
      <c r="M5" s="80" t="s">
        <v>621</v>
      </c>
      <c r="N5" s="80" t="s">
        <v>630</v>
      </c>
      <c r="O5" s="80" t="s">
        <v>631</v>
      </c>
      <c r="P5" s="85" t="s">
        <v>637</v>
      </c>
      <c r="Q5" s="85" t="s">
        <v>1548</v>
      </c>
      <c r="R5" s="85" t="s">
        <v>1549</v>
      </c>
    </row>
    <row r="6" spans="1:18" ht="14.4" customHeight="1" x14ac:dyDescent="0.3">
      <c r="A6" s="111">
        <v>44199</v>
      </c>
      <c r="B6" s="111">
        <f>A6-31</f>
        <v>44168</v>
      </c>
      <c r="C6" s="111">
        <f>B6</f>
        <v>44168</v>
      </c>
      <c r="D6" s="109" t="s">
        <v>61</v>
      </c>
      <c r="E6" s="109" t="s">
        <v>12</v>
      </c>
      <c r="F6" s="109" t="s">
        <v>19</v>
      </c>
      <c r="G6" s="109" t="s">
        <v>539</v>
      </c>
      <c r="H6" s="52" t="s">
        <v>71</v>
      </c>
      <c r="I6" s="118">
        <v>6198</v>
      </c>
      <c r="J6" s="110" t="str">
        <f>IF(tbRegistroEntradas[[#This Row],[DATA DE CAIXA REALIZADO]]="N/A","0",UPPER(TEXT(tbRegistroEntradas[[#This Row],[DATA DE CAIXA REALIZADO]],"mmm")))</f>
        <v>JAN</v>
      </c>
      <c r="K6" s="57">
        <f>IF(tbRegistroEntradas[[#This Row],[DATA DE CAIXA REALIZADO]]="N/A",0,YEAR(tbRegistroEntradas[[#This Row],[DATA DE CAIXA REALIZADO]]))</f>
        <v>2021</v>
      </c>
      <c r="L6" s="58" t="str">
        <f>IF(tbRegistroEntradas[[#This Row],[DATA DA COMPETÊNCIA]]="N/A","0",UPPER(TEXT(tbRegistroEntradas[[#This Row],[DATA DA COMPETÊNCIA]],"mmm")))</f>
        <v>DEZ</v>
      </c>
      <c r="M6" s="58">
        <f>IF(tbRegistroEntradas[[#This Row],[DATA DA COMPETÊNCIA]]="N/A",0,YEAR(tbRegistroEntradas[[#This Row],[DATA DA COMPETÊNCIA]]))</f>
        <v>2020</v>
      </c>
      <c r="N6" s="58" t="str">
        <f>IF(tbRegistroEntradas[[#This Row],[DATA DO CAIXA PREVISTO]]="N/A","0",UPPER(TEXT(tbRegistroEntradas[[#This Row],[DATA DO CAIXA PREVISTO]],"mmm")))</f>
        <v>DEZ</v>
      </c>
      <c r="O6" s="58">
        <f>IF(tbRegistroEntradas[[#This Row],[DATA DO CAIXA PREVISTO]]="N/A",0,YEAR(tbRegistroEntradas[[#This Row],[DATA DO CAIXA PREVISTO]]))</f>
        <v>2020</v>
      </c>
      <c r="P6" s="58" t="str">
        <f ca="1">IF(AND(tbRegistroEntradas[[#This Row],[DATA DE CAIXA REALIZADO]]="N/A",tbRegistroEntradas[[#This Row],[DATA DO CAIXA PREVISTO]]&lt;TODAY()),"Vencida","Não Vencida")</f>
        <v>Não Vencida</v>
      </c>
      <c r="Q6" s="58" t="str">
        <f>IF(tbRegistroEntradas[[#This Row],[DATA DA COMPETÊNCIA]]=tbRegistroEntradas[[#This Row],[DATA DO CAIXA PREVISTO]],"Vista","Prazo")</f>
        <v>Vista</v>
      </c>
      <c r="R6" s="58" t="str">
        <f>IF(tbRegistroEntradas[[#This Row],[DATA DE CAIXA REALIZADO]]&lt;&gt;"N/A","Em Dia","Com atraso")</f>
        <v>Em Dia</v>
      </c>
    </row>
    <row r="7" spans="1:18" s="52" customFormat="1" ht="14.4" customHeight="1" x14ac:dyDescent="0.3">
      <c r="A7" s="49">
        <v>44202</v>
      </c>
      <c r="B7" s="49">
        <f>A7-31</f>
        <v>44171</v>
      </c>
      <c r="C7" s="111">
        <f>tbRegistroEntradas[[#This Row],[DATA DA COMPETÊNCIA]]</f>
        <v>44171</v>
      </c>
      <c r="D7" s="52" t="s">
        <v>63</v>
      </c>
      <c r="E7" s="52" t="s">
        <v>12</v>
      </c>
      <c r="F7" s="52" t="s">
        <v>17</v>
      </c>
      <c r="G7" s="52" t="s">
        <v>691</v>
      </c>
      <c r="H7" s="52" t="s">
        <v>69</v>
      </c>
      <c r="I7" s="18">
        <v>5079</v>
      </c>
      <c r="J7" s="45" t="str">
        <f>IF(tbRegistroEntradas[[#This Row],[DATA DE CAIXA REALIZADO]]="N/A","0",UPPER(TEXT(tbRegistroEntradas[[#This Row],[DATA DE CAIXA REALIZADO]],"mmm")))</f>
        <v>JAN</v>
      </c>
      <c r="K7" s="57">
        <f>IF(tbRegistroEntradas[[#This Row],[DATA DE CAIXA REALIZADO]]="N/A",0,YEAR(tbRegistroEntradas[[#This Row],[DATA DE CAIXA REALIZADO]]))</f>
        <v>2021</v>
      </c>
      <c r="L7" s="58" t="str">
        <f>IF(tbRegistroEntradas[[#This Row],[DATA DA COMPETÊNCIA]]="N/A","0",UPPER(TEXT(tbRegistroEntradas[[#This Row],[DATA DA COMPETÊNCIA]],"mmm")))</f>
        <v>DEZ</v>
      </c>
      <c r="M7" s="58">
        <f>IF(tbRegistroEntradas[[#This Row],[DATA DA COMPETÊNCIA]]="N/A",0,YEAR(tbRegistroEntradas[[#This Row],[DATA DA COMPETÊNCIA]]))</f>
        <v>2020</v>
      </c>
      <c r="N7" s="58" t="str">
        <f>IF(tbRegistroEntradas[[#This Row],[DATA DO CAIXA PREVISTO]]="N/A","0",UPPER(TEXT(tbRegistroEntradas[[#This Row],[DATA DO CAIXA PREVISTO]],"mmm")))</f>
        <v>DEZ</v>
      </c>
      <c r="O7" s="58">
        <f>IF(tbRegistroEntradas[[#This Row],[DATA DO CAIXA PREVISTO]]="N/A",0,YEAR(tbRegistroEntradas[[#This Row],[DATA DO CAIXA PREVISTO]]))</f>
        <v>2020</v>
      </c>
      <c r="P7" s="58" t="str">
        <f ca="1">IF(AND(tbRegistroEntradas[[#This Row],[DATA DE CAIXA REALIZADO]]="N/A",tbRegistroEntradas[[#This Row],[DATA DO CAIXA PREVISTO]]&lt;TODAY()),"Vencida","Não Vencida")</f>
        <v>Não Vencida</v>
      </c>
      <c r="Q7" s="58" t="str">
        <f>IF(tbRegistroEntradas[[#This Row],[DATA DA COMPETÊNCIA]]=tbRegistroEntradas[[#This Row],[DATA DO CAIXA PREVISTO]],"Vista","Prazo")</f>
        <v>Vista</v>
      </c>
      <c r="R7" s="58" t="str">
        <f>IF(tbRegistroEntradas[[#This Row],[DATA DE CAIXA REALIZADO]]&lt;&gt;"N/A","Em Dia","Com atraso")</f>
        <v>Em Dia</v>
      </c>
    </row>
    <row r="8" spans="1:18" s="52" customFormat="1" ht="14.4" customHeight="1" x14ac:dyDescent="0.3">
      <c r="A8" s="49">
        <v>44202</v>
      </c>
      <c r="B8" s="49">
        <f>A8-31</f>
        <v>44171</v>
      </c>
      <c r="C8" s="111">
        <f>(A8-B8)+B8-15</f>
        <v>44187</v>
      </c>
      <c r="D8" s="52" t="s">
        <v>66</v>
      </c>
      <c r="E8" s="52" t="s">
        <v>12</v>
      </c>
      <c r="F8" s="52" t="s">
        <v>18</v>
      </c>
      <c r="G8" s="52" t="s">
        <v>226</v>
      </c>
      <c r="H8" s="52" t="s">
        <v>123</v>
      </c>
      <c r="I8" s="18">
        <v>5405</v>
      </c>
      <c r="J8" s="110" t="str">
        <f>IF(tbRegistroEntradas[[#This Row],[DATA DE CAIXA REALIZADO]]="N/A","0",UPPER(TEXT(tbRegistroEntradas[[#This Row],[DATA DE CAIXA REALIZADO]],"mmm")))</f>
        <v>JAN</v>
      </c>
      <c r="K8" s="57">
        <f>IF(tbRegistroEntradas[[#This Row],[DATA DE CAIXA REALIZADO]]="N/A",0,YEAR(tbRegistroEntradas[[#This Row],[DATA DE CAIXA REALIZADO]]))</f>
        <v>2021</v>
      </c>
      <c r="L8" s="58" t="str">
        <f>IF(tbRegistroEntradas[[#This Row],[DATA DA COMPETÊNCIA]]="N/A","0",UPPER(TEXT(tbRegistroEntradas[[#This Row],[DATA DA COMPETÊNCIA]],"mmm")))</f>
        <v>DEZ</v>
      </c>
      <c r="M8" s="58">
        <f>IF(tbRegistroEntradas[[#This Row],[DATA DA COMPETÊNCIA]]="N/A",0,YEAR(tbRegistroEntradas[[#This Row],[DATA DA COMPETÊNCIA]]))</f>
        <v>2020</v>
      </c>
      <c r="N8" s="58" t="str">
        <f>IF(tbRegistroEntradas[[#This Row],[DATA DO CAIXA PREVISTO]]="N/A","0",UPPER(TEXT(tbRegistroEntradas[[#This Row],[DATA DO CAIXA PREVISTO]],"mmm")))</f>
        <v>DEZ</v>
      </c>
      <c r="O8" s="58">
        <f>IF(tbRegistroEntradas[[#This Row],[DATA DO CAIXA PREVISTO]]="N/A",0,YEAR(tbRegistroEntradas[[#This Row],[DATA DO CAIXA PREVISTO]]))</f>
        <v>2020</v>
      </c>
      <c r="P8" s="58" t="str">
        <f ca="1">IF(AND(tbRegistroEntradas[[#This Row],[DATA DE CAIXA REALIZADO]]="N/A",tbRegistroEntradas[[#This Row],[DATA DO CAIXA PREVISTO]]&lt;TODAY()),"Vencida","Não Vencida")</f>
        <v>Não Vencida</v>
      </c>
      <c r="Q8" s="58" t="str">
        <f>IF(tbRegistroEntradas[[#This Row],[DATA DA COMPETÊNCIA]]=tbRegistroEntradas[[#This Row],[DATA DO CAIXA PREVISTO]],"Vista","Prazo")</f>
        <v>Prazo</v>
      </c>
      <c r="R8" s="58" t="str">
        <f>IF(tbRegistroEntradas[[#This Row],[DATA DE CAIXA REALIZADO]]&lt;&gt;"N/A","Em Dia","Com atraso")</f>
        <v>Em Dia</v>
      </c>
    </row>
    <row r="9" spans="1:18" s="52" customFormat="1" ht="14.4" customHeight="1" x14ac:dyDescent="0.3">
      <c r="A9" s="125">
        <v>44202</v>
      </c>
      <c r="B9" s="125">
        <f>A9-31</f>
        <v>44171</v>
      </c>
      <c r="C9" s="111">
        <f>(A9-B9)+B9-15</f>
        <v>44187</v>
      </c>
      <c r="D9" s="126" t="s">
        <v>138</v>
      </c>
      <c r="E9" s="126" t="s">
        <v>12</v>
      </c>
      <c r="F9" s="126" t="s">
        <v>32</v>
      </c>
      <c r="G9" s="126" t="s">
        <v>143</v>
      </c>
      <c r="H9" s="52" t="s">
        <v>68</v>
      </c>
      <c r="I9" s="127">
        <v>3547</v>
      </c>
      <c r="J9" s="110" t="str">
        <f>IF(tbRegistroEntradas[[#This Row],[DATA DE CAIXA REALIZADO]]="N/A","0",UPPER(TEXT(tbRegistroEntradas[[#This Row],[DATA DE CAIXA REALIZADO]],"mmm")))</f>
        <v>JAN</v>
      </c>
      <c r="K9" s="57">
        <f>IF(tbRegistroEntradas[[#This Row],[DATA DE CAIXA REALIZADO]]="N/A",0,YEAR(tbRegistroEntradas[[#This Row],[DATA DE CAIXA REALIZADO]]))</f>
        <v>2021</v>
      </c>
      <c r="L9" s="58" t="str">
        <f>IF(tbRegistroEntradas[[#This Row],[DATA DA COMPETÊNCIA]]="N/A","0",UPPER(TEXT(tbRegistroEntradas[[#This Row],[DATA DA COMPETÊNCIA]],"mmm")))</f>
        <v>DEZ</v>
      </c>
      <c r="M9" s="58">
        <f>IF(tbRegistroEntradas[[#This Row],[DATA DA COMPETÊNCIA]]="N/A",0,YEAR(tbRegistroEntradas[[#This Row],[DATA DA COMPETÊNCIA]]))</f>
        <v>2020</v>
      </c>
      <c r="N9" s="58" t="str">
        <f>IF(tbRegistroEntradas[[#This Row],[DATA DO CAIXA PREVISTO]]="N/A","0",UPPER(TEXT(tbRegistroEntradas[[#This Row],[DATA DO CAIXA PREVISTO]],"mmm")))</f>
        <v>DEZ</v>
      </c>
      <c r="O9" s="58">
        <f>IF(tbRegistroEntradas[[#This Row],[DATA DO CAIXA PREVISTO]]="N/A",0,YEAR(tbRegistroEntradas[[#This Row],[DATA DO CAIXA PREVISTO]]))</f>
        <v>2020</v>
      </c>
      <c r="P9" s="58" t="str">
        <f ca="1">IF(AND(tbRegistroEntradas[[#This Row],[DATA DE CAIXA REALIZADO]]="N/A",tbRegistroEntradas[[#This Row],[DATA DO CAIXA PREVISTO]]&lt;TODAY()),"Vencida","Não Vencida")</f>
        <v>Não Vencida</v>
      </c>
      <c r="Q9" s="58" t="str">
        <f>IF(tbRegistroEntradas[[#This Row],[DATA DA COMPETÊNCIA]]=tbRegistroEntradas[[#This Row],[DATA DO CAIXA PREVISTO]],"Vista","Prazo")</f>
        <v>Prazo</v>
      </c>
      <c r="R9" s="58" t="str">
        <f>IF(tbRegistroEntradas[[#This Row],[DATA DE CAIXA REALIZADO]]&lt;&gt;"N/A","Em Dia","Com atraso")</f>
        <v>Em Dia</v>
      </c>
    </row>
    <row r="10" spans="1:18" s="52" customFormat="1" ht="14.4" customHeight="1" x14ac:dyDescent="0.3">
      <c r="A10" s="49">
        <v>44203</v>
      </c>
      <c r="B10" s="49">
        <f>A10-31</f>
        <v>44172</v>
      </c>
      <c r="C10" s="111">
        <f>(A10-B10)+B10-15</f>
        <v>44188</v>
      </c>
      <c r="D10" s="52" t="s">
        <v>65</v>
      </c>
      <c r="E10" s="52" t="s">
        <v>12</v>
      </c>
      <c r="F10" s="52" t="s">
        <v>16</v>
      </c>
      <c r="G10" s="52" t="s">
        <v>787</v>
      </c>
      <c r="H10" s="52" t="s">
        <v>117</v>
      </c>
      <c r="I10" s="18">
        <v>1882</v>
      </c>
      <c r="J10" s="110" t="str">
        <f>IF(tbRegistroEntradas[[#This Row],[DATA DE CAIXA REALIZADO]]="N/A","0",UPPER(TEXT(tbRegistroEntradas[[#This Row],[DATA DE CAIXA REALIZADO]],"mmm")))</f>
        <v>JAN</v>
      </c>
      <c r="K10" s="57">
        <f>IF(tbRegistroEntradas[[#This Row],[DATA DE CAIXA REALIZADO]]="N/A",0,YEAR(tbRegistroEntradas[[#This Row],[DATA DE CAIXA REALIZADO]]))</f>
        <v>2021</v>
      </c>
      <c r="L10" s="58" t="str">
        <f>IF(tbRegistroEntradas[[#This Row],[DATA DA COMPETÊNCIA]]="N/A","0",UPPER(TEXT(tbRegistroEntradas[[#This Row],[DATA DA COMPETÊNCIA]],"mmm")))</f>
        <v>DEZ</v>
      </c>
      <c r="M10" s="58">
        <f>IF(tbRegistroEntradas[[#This Row],[DATA DA COMPETÊNCIA]]="N/A",0,YEAR(tbRegistroEntradas[[#This Row],[DATA DA COMPETÊNCIA]]))</f>
        <v>2020</v>
      </c>
      <c r="N10" s="58" t="str">
        <f>IF(tbRegistroEntradas[[#This Row],[DATA DO CAIXA PREVISTO]]="N/A","0",UPPER(TEXT(tbRegistroEntradas[[#This Row],[DATA DO CAIXA PREVISTO]],"mmm")))</f>
        <v>DEZ</v>
      </c>
      <c r="O10" s="58">
        <f>IF(tbRegistroEntradas[[#This Row],[DATA DO CAIXA PREVISTO]]="N/A",0,YEAR(tbRegistroEntradas[[#This Row],[DATA DO CAIXA PREVISTO]]))</f>
        <v>2020</v>
      </c>
      <c r="P10" s="58" t="str">
        <f ca="1">IF(AND(tbRegistroEntradas[[#This Row],[DATA DE CAIXA REALIZADO]]="N/A",tbRegistroEntradas[[#This Row],[DATA DO CAIXA PREVISTO]]&lt;TODAY()),"Vencida","Não Vencida")</f>
        <v>Não Vencida</v>
      </c>
      <c r="Q10" s="58" t="str">
        <f>IF(tbRegistroEntradas[[#This Row],[DATA DA COMPETÊNCIA]]=tbRegistroEntradas[[#This Row],[DATA DO CAIXA PREVISTO]],"Vista","Prazo")</f>
        <v>Prazo</v>
      </c>
      <c r="R10" s="58" t="str">
        <f>IF(tbRegistroEntradas[[#This Row],[DATA DE CAIXA REALIZADO]]&lt;&gt;"N/A","Em Dia","Com atraso")</f>
        <v>Em Dia</v>
      </c>
    </row>
    <row r="11" spans="1:18" s="52" customFormat="1" ht="14.4" customHeight="1" x14ac:dyDescent="0.3">
      <c r="A11" s="49">
        <v>44204</v>
      </c>
      <c r="B11" s="49">
        <f>A11-31</f>
        <v>44173</v>
      </c>
      <c r="C11" s="111">
        <f>(A11-B11)+B11-15</f>
        <v>44189</v>
      </c>
      <c r="D11" s="52" t="s">
        <v>66</v>
      </c>
      <c r="E11" s="52" t="s">
        <v>12</v>
      </c>
      <c r="F11" s="52" t="s">
        <v>19</v>
      </c>
      <c r="G11" s="52" t="s">
        <v>794</v>
      </c>
      <c r="H11" s="52" t="s">
        <v>124</v>
      </c>
      <c r="I11" s="18">
        <v>3369</v>
      </c>
      <c r="J11" s="110" t="str">
        <f>IF(tbRegistroEntradas[[#This Row],[DATA DE CAIXA REALIZADO]]="N/A","0",UPPER(TEXT(tbRegistroEntradas[[#This Row],[DATA DE CAIXA REALIZADO]],"mmm")))</f>
        <v>JAN</v>
      </c>
      <c r="K11" s="57">
        <f>IF(tbRegistroEntradas[[#This Row],[DATA DE CAIXA REALIZADO]]="N/A",0,YEAR(tbRegistroEntradas[[#This Row],[DATA DE CAIXA REALIZADO]]))</f>
        <v>2021</v>
      </c>
      <c r="L11" s="58" t="str">
        <f>IF(tbRegistroEntradas[[#This Row],[DATA DA COMPETÊNCIA]]="N/A","0",UPPER(TEXT(tbRegistroEntradas[[#This Row],[DATA DA COMPETÊNCIA]],"mmm")))</f>
        <v>DEZ</v>
      </c>
      <c r="M11" s="58">
        <f>IF(tbRegistroEntradas[[#This Row],[DATA DA COMPETÊNCIA]]="N/A",0,YEAR(tbRegistroEntradas[[#This Row],[DATA DA COMPETÊNCIA]]))</f>
        <v>2020</v>
      </c>
      <c r="N11" s="58" t="str">
        <f>IF(tbRegistroEntradas[[#This Row],[DATA DO CAIXA PREVISTO]]="N/A","0",UPPER(TEXT(tbRegistroEntradas[[#This Row],[DATA DO CAIXA PREVISTO]],"mmm")))</f>
        <v>DEZ</v>
      </c>
      <c r="O11" s="58">
        <f>IF(tbRegistroEntradas[[#This Row],[DATA DO CAIXA PREVISTO]]="N/A",0,YEAR(tbRegistroEntradas[[#This Row],[DATA DO CAIXA PREVISTO]]))</f>
        <v>2020</v>
      </c>
      <c r="P11" s="58" t="str">
        <f ca="1">IF(AND(tbRegistroEntradas[[#This Row],[DATA DE CAIXA REALIZADO]]="N/A",tbRegistroEntradas[[#This Row],[DATA DO CAIXA PREVISTO]]&lt;TODAY()),"Vencida","Não Vencida")</f>
        <v>Não Vencida</v>
      </c>
      <c r="Q11" s="58" t="str">
        <f>IF(tbRegistroEntradas[[#This Row],[DATA DA COMPETÊNCIA]]=tbRegistroEntradas[[#This Row],[DATA DO CAIXA PREVISTO]],"Vista","Prazo")</f>
        <v>Prazo</v>
      </c>
      <c r="R11" s="58" t="str">
        <f>IF(tbRegistroEntradas[[#This Row],[DATA DE CAIXA REALIZADO]]&lt;&gt;"N/A","Em Dia","Com atraso")</f>
        <v>Em Dia</v>
      </c>
    </row>
    <row r="12" spans="1:18" s="52" customFormat="1" ht="14.4" customHeight="1" x14ac:dyDescent="0.3">
      <c r="A12" s="49">
        <v>44205</v>
      </c>
      <c r="B12" s="49">
        <f>A12-31</f>
        <v>44174</v>
      </c>
      <c r="C12" s="111">
        <f>(A12-B12)+B12-15</f>
        <v>44190</v>
      </c>
      <c r="D12" s="52" t="s">
        <v>65</v>
      </c>
      <c r="E12" s="52" t="s">
        <v>12</v>
      </c>
      <c r="F12" s="52" t="s">
        <v>16</v>
      </c>
      <c r="G12" s="52" t="s">
        <v>1045</v>
      </c>
      <c r="H12" s="52" t="s">
        <v>116</v>
      </c>
      <c r="I12" s="18">
        <v>7271</v>
      </c>
      <c r="J12" s="110" t="str">
        <f>IF(tbRegistroEntradas[[#This Row],[DATA DE CAIXA REALIZADO]]="N/A","0",UPPER(TEXT(tbRegistroEntradas[[#This Row],[DATA DE CAIXA REALIZADO]],"mmm")))</f>
        <v>JAN</v>
      </c>
      <c r="K12" s="57">
        <f>IF(tbRegistroEntradas[[#This Row],[DATA DE CAIXA REALIZADO]]="N/A",0,YEAR(tbRegistroEntradas[[#This Row],[DATA DE CAIXA REALIZADO]]))</f>
        <v>2021</v>
      </c>
      <c r="L12" s="58" t="str">
        <f>IF(tbRegistroEntradas[[#This Row],[DATA DA COMPETÊNCIA]]="N/A","0",UPPER(TEXT(tbRegistroEntradas[[#This Row],[DATA DA COMPETÊNCIA]],"mmm")))</f>
        <v>DEZ</v>
      </c>
      <c r="M12" s="58">
        <f>IF(tbRegistroEntradas[[#This Row],[DATA DA COMPETÊNCIA]]="N/A",0,YEAR(tbRegistroEntradas[[#This Row],[DATA DA COMPETÊNCIA]]))</f>
        <v>2020</v>
      </c>
      <c r="N12" s="58" t="str">
        <f>IF(tbRegistroEntradas[[#This Row],[DATA DO CAIXA PREVISTO]]="N/A","0",UPPER(TEXT(tbRegistroEntradas[[#This Row],[DATA DO CAIXA PREVISTO]],"mmm")))</f>
        <v>DEZ</v>
      </c>
      <c r="O12" s="58">
        <f>IF(tbRegistroEntradas[[#This Row],[DATA DO CAIXA PREVISTO]]="N/A",0,YEAR(tbRegistroEntradas[[#This Row],[DATA DO CAIXA PREVISTO]]))</f>
        <v>2020</v>
      </c>
      <c r="P12" s="58" t="str">
        <f ca="1">IF(AND(tbRegistroEntradas[[#This Row],[DATA DE CAIXA REALIZADO]]="N/A",tbRegistroEntradas[[#This Row],[DATA DO CAIXA PREVISTO]]&lt;TODAY()),"Vencida","Não Vencida")</f>
        <v>Não Vencida</v>
      </c>
      <c r="Q12" s="58" t="str">
        <f>IF(tbRegistroEntradas[[#This Row],[DATA DA COMPETÊNCIA]]=tbRegistroEntradas[[#This Row],[DATA DO CAIXA PREVISTO]],"Vista","Prazo")</f>
        <v>Prazo</v>
      </c>
      <c r="R12" s="58" t="str">
        <f>IF(tbRegistroEntradas[[#This Row],[DATA DE CAIXA REALIZADO]]&lt;&gt;"N/A","Em Dia","Com atraso")</f>
        <v>Em Dia</v>
      </c>
    </row>
    <row r="13" spans="1:18" s="52" customFormat="1" ht="14.4" customHeight="1" x14ac:dyDescent="0.3">
      <c r="A13" s="49">
        <v>44209</v>
      </c>
      <c r="B13" s="49">
        <f>A13-31</f>
        <v>44178</v>
      </c>
      <c r="C13" s="111">
        <f>tbRegistroEntradas[[#This Row],[DATA DA COMPETÊNCIA]]</f>
        <v>44178</v>
      </c>
      <c r="D13" s="52" t="s">
        <v>65</v>
      </c>
      <c r="E13" s="52" t="s">
        <v>12</v>
      </c>
      <c r="F13" s="52" t="s">
        <v>19</v>
      </c>
      <c r="G13" s="52" t="s">
        <v>797</v>
      </c>
      <c r="H13" s="52" t="s">
        <v>118</v>
      </c>
      <c r="I13" s="18">
        <v>4717</v>
      </c>
      <c r="J13" s="110" t="str">
        <f>IF(tbRegistroEntradas[[#This Row],[DATA DE CAIXA REALIZADO]]="N/A","0",UPPER(TEXT(tbRegistroEntradas[[#This Row],[DATA DE CAIXA REALIZADO]],"mmm")))</f>
        <v>JAN</v>
      </c>
      <c r="K13" s="57">
        <f>IF(tbRegistroEntradas[[#This Row],[DATA DE CAIXA REALIZADO]]="N/A",0,YEAR(tbRegistroEntradas[[#This Row],[DATA DE CAIXA REALIZADO]]))</f>
        <v>2021</v>
      </c>
      <c r="L13" s="58" t="str">
        <f>IF(tbRegistroEntradas[[#This Row],[DATA DA COMPETÊNCIA]]="N/A","0",UPPER(TEXT(tbRegistroEntradas[[#This Row],[DATA DA COMPETÊNCIA]],"mmm")))</f>
        <v>DEZ</v>
      </c>
      <c r="M13" s="58">
        <f>IF(tbRegistroEntradas[[#This Row],[DATA DA COMPETÊNCIA]]="N/A",0,YEAR(tbRegistroEntradas[[#This Row],[DATA DA COMPETÊNCIA]]))</f>
        <v>2020</v>
      </c>
      <c r="N13" s="58" t="str">
        <f>IF(tbRegistroEntradas[[#This Row],[DATA DO CAIXA PREVISTO]]="N/A","0",UPPER(TEXT(tbRegistroEntradas[[#This Row],[DATA DO CAIXA PREVISTO]],"mmm")))</f>
        <v>DEZ</v>
      </c>
      <c r="O13" s="58">
        <f>IF(tbRegistroEntradas[[#This Row],[DATA DO CAIXA PREVISTO]]="N/A",0,YEAR(tbRegistroEntradas[[#This Row],[DATA DO CAIXA PREVISTO]]))</f>
        <v>2020</v>
      </c>
      <c r="P13" s="58" t="str">
        <f ca="1">IF(AND(tbRegistroEntradas[[#This Row],[DATA DE CAIXA REALIZADO]]="N/A",tbRegistroEntradas[[#This Row],[DATA DO CAIXA PREVISTO]]&lt;TODAY()),"Vencida","Não Vencida")</f>
        <v>Não Vencida</v>
      </c>
      <c r="Q13" s="58" t="str">
        <f>IF(tbRegistroEntradas[[#This Row],[DATA DA COMPETÊNCIA]]=tbRegistroEntradas[[#This Row],[DATA DO CAIXA PREVISTO]],"Vista","Prazo")</f>
        <v>Vista</v>
      </c>
      <c r="R13" s="58" t="str">
        <f>IF(tbRegistroEntradas[[#This Row],[DATA DE CAIXA REALIZADO]]&lt;&gt;"N/A","Em Dia","Com atraso")</f>
        <v>Em Dia</v>
      </c>
    </row>
    <row r="14" spans="1:18" s="52" customFormat="1" ht="14.4" customHeight="1" x14ac:dyDescent="0.3">
      <c r="A14" s="125">
        <v>44212</v>
      </c>
      <c r="B14" s="125">
        <f>A14-31</f>
        <v>44181</v>
      </c>
      <c r="C14" s="111">
        <f>(A14-B14)+B14-15</f>
        <v>44197</v>
      </c>
      <c r="D14" s="126" t="s">
        <v>63</v>
      </c>
      <c r="E14" s="126" t="s">
        <v>12</v>
      </c>
      <c r="F14" s="126" t="s">
        <v>16</v>
      </c>
      <c r="G14" s="126" t="s">
        <v>951</v>
      </c>
      <c r="H14" s="52" t="s">
        <v>99</v>
      </c>
      <c r="I14" s="127">
        <v>5764</v>
      </c>
      <c r="J14" s="110" t="str">
        <f>IF(tbRegistroEntradas[[#This Row],[DATA DE CAIXA REALIZADO]]="N/A","0",UPPER(TEXT(tbRegistroEntradas[[#This Row],[DATA DE CAIXA REALIZADO]],"mmm")))</f>
        <v>JAN</v>
      </c>
      <c r="K14" s="57">
        <f>IF(tbRegistroEntradas[[#This Row],[DATA DE CAIXA REALIZADO]]="N/A",0,YEAR(tbRegistroEntradas[[#This Row],[DATA DE CAIXA REALIZADO]]))</f>
        <v>2021</v>
      </c>
      <c r="L14" s="58" t="str">
        <f>IF(tbRegistroEntradas[[#This Row],[DATA DA COMPETÊNCIA]]="N/A","0",UPPER(TEXT(tbRegistroEntradas[[#This Row],[DATA DA COMPETÊNCIA]],"mmm")))</f>
        <v>DEZ</v>
      </c>
      <c r="M14" s="58">
        <f>IF(tbRegistroEntradas[[#This Row],[DATA DA COMPETÊNCIA]]="N/A",0,YEAR(tbRegistroEntradas[[#This Row],[DATA DA COMPETÊNCIA]]))</f>
        <v>2020</v>
      </c>
      <c r="N14" s="58" t="str">
        <f>IF(tbRegistroEntradas[[#This Row],[DATA DO CAIXA PREVISTO]]="N/A","0",UPPER(TEXT(tbRegistroEntradas[[#This Row],[DATA DO CAIXA PREVISTO]],"mmm")))</f>
        <v>JAN</v>
      </c>
      <c r="O14" s="58">
        <f>IF(tbRegistroEntradas[[#This Row],[DATA DO CAIXA PREVISTO]]="N/A",0,YEAR(tbRegistroEntradas[[#This Row],[DATA DO CAIXA PREVISTO]]))</f>
        <v>2021</v>
      </c>
      <c r="P14" s="58" t="str">
        <f ca="1">IF(AND(tbRegistroEntradas[[#This Row],[DATA DE CAIXA REALIZADO]]="N/A",tbRegistroEntradas[[#This Row],[DATA DO CAIXA PREVISTO]]&lt;TODAY()),"Vencida","Não Vencida")</f>
        <v>Não Vencida</v>
      </c>
      <c r="Q14" s="58" t="str">
        <f>IF(tbRegistroEntradas[[#This Row],[DATA DA COMPETÊNCIA]]=tbRegistroEntradas[[#This Row],[DATA DO CAIXA PREVISTO]],"Vista","Prazo")</f>
        <v>Prazo</v>
      </c>
      <c r="R14" s="58" t="str">
        <f>IF(tbRegistroEntradas[[#This Row],[DATA DE CAIXA REALIZADO]]&lt;&gt;"N/A","Em Dia","Com atraso")</f>
        <v>Em Dia</v>
      </c>
    </row>
    <row r="15" spans="1:18" s="52" customFormat="1" ht="14.4" customHeight="1" x14ac:dyDescent="0.3">
      <c r="A15" s="125">
        <v>44216</v>
      </c>
      <c r="B15" s="125">
        <f>A15-31</f>
        <v>44185</v>
      </c>
      <c r="C15" s="111">
        <f>(A15-B15)+B15-15</f>
        <v>44201</v>
      </c>
      <c r="D15" s="126" t="s">
        <v>64</v>
      </c>
      <c r="E15" s="126" t="s">
        <v>12</v>
      </c>
      <c r="F15" s="126" t="s">
        <v>19</v>
      </c>
      <c r="G15" s="126" t="s">
        <v>824</v>
      </c>
      <c r="H15" s="52" t="s">
        <v>74</v>
      </c>
      <c r="I15" s="127">
        <v>6299</v>
      </c>
      <c r="J15" s="110" t="str">
        <f>IF(tbRegistroEntradas[[#This Row],[DATA DE CAIXA REALIZADO]]="N/A","0",UPPER(TEXT(tbRegistroEntradas[[#This Row],[DATA DE CAIXA REALIZADO]],"mmm")))</f>
        <v>JAN</v>
      </c>
      <c r="K15" s="57">
        <f>IF(tbRegistroEntradas[[#This Row],[DATA DE CAIXA REALIZADO]]="N/A",0,YEAR(tbRegistroEntradas[[#This Row],[DATA DE CAIXA REALIZADO]]))</f>
        <v>2021</v>
      </c>
      <c r="L15" s="58" t="str">
        <f>IF(tbRegistroEntradas[[#This Row],[DATA DA COMPETÊNCIA]]="N/A","0",UPPER(TEXT(tbRegistroEntradas[[#This Row],[DATA DA COMPETÊNCIA]],"mmm")))</f>
        <v>DEZ</v>
      </c>
      <c r="M15" s="58">
        <f>IF(tbRegistroEntradas[[#This Row],[DATA DA COMPETÊNCIA]]="N/A",0,YEAR(tbRegistroEntradas[[#This Row],[DATA DA COMPETÊNCIA]]))</f>
        <v>2020</v>
      </c>
      <c r="N15" s="58" t="str">
        <f>IF(tbRegistroEntradas[[#This Row],[DATA DO CAIXA PREVISTO]]="N/A","0",UPPER(TEXT(tbRegistroEntradas[[#This Row],[DATA DO CAIXA PREVISTO]],"mmm")))</f>
        <v>JAN</v>
      </c>
      <c r="O15" s="58">
        <f>IF(tbRegistroEntradas[[#This Row],[DATA DO CAIXA PREVISTO]]="N/A",0,YEAR(tbRegistroEntradas[[#This Row],[DATA DO CAIXA PREVISTO]]))</f>
        <v>2021</v>
      </c>
      <c r="P15" s="58" t="str">
        <f ca="1">IF(AND(tbRegistroEntradas[[#This Row],[DATA DE CAIXA REALIZADO]]="N/A",tbRegistroEntradas[[#This Row],[DATA DO CAIXA PREVISTO]]&lt;TODAY()),"Vencida","Não Vencida")</f>
        <v>Não Vencida</v>
      </c>
      <c r="Q15" s="58" t="str">
        <f>IF(tbRegistroEntradas[[#This Row],[DATA DA COMPETÊNCIA]]=tbRegistroEntradas[[#This Row],[DATA DO CAIXA PREVISTO]],"Vista","Prazo")</f>
        <v>Prazo</v>
      </c>
      <c r="R15" s="58" t="str">
        <f>IF(tbRegistroEntradas[[#This Row],[DATA DE CAIXA REALIZADO]]&lt;&gt;"N/A","Em Dia","Com atraso")</f>
        <v>Em Dia</v>
      </c>
    </row>
    <row r="16" spans="1:18" s="52" customFormat="1" ht="14.4" customHeight="1" x14ac:dyDescent="0.3">
      <c r="A16" s="125">
        <v>44216</v>
      </c>
      <c r="B16" s="125">
        <f>A16-31</f>
        <v>44185</v>
      </c>
      <c r="C16" s="111">
        <f>(A16-B16)+B16-15</f>
        <v>44201</v>
      </c>
      <c r="D16" s="126" t="s">
        <v>138</v>
      </c>
      <c r="E16" s="126" t="s">
        <v>12</v>
      </c>
      <c r="F16" s="126" t="s">
        <v>17</v>
      </c>
      <c r="G16" s="126" t="s">
        <v>870</v>
      </c>
      <c r="H16" s="52" t="s">
        <v>75</v>
      </c>
      <c r="I16" s="127">
        <v>104</v>
      </c>
      <c r="J16" s="110" t="str">
        <f>IF(tbRegistroEntradas[[#This Row],[DATA DE CAIXA REALIZADO]]="N/A","0",UPPER(TEXT(tbRegistroEntradas[[#This Row],[DATA DE CAIXA REALIZADO]],"mmm")))</f>
        <v>JAN</v>
      </c>
      <c r="K16" s="57">
        <f>IF(tbRegistroEntradas[[#This Row],[DATA DE CAIXA REALIZADO]]="N/A",0,YEAR(tbRegistroEntradas[[#This Row],[DATA DE CAIXA REALIZADO]]))</f>
        <v>2021</v>
      </c>
      <c r="L16" s="58" t="str">
        <f>IF(tbRegistroEntradas[[#This Row],[DATA DA COMPETÊNCIA]]="N/A","0",UPPER(TEXT(tbRegistroEntradas[[#This Row],[DATA DA COMPETÊNCIA]],"mmm")))</f>
        <v>DEZ</v>
      </c>
      <c r="M16" s="58">
        <f>IF(tbRegistroEntradas[[#This Row],[DATA DA COMPETÊNCIA]]="N/A",0,YEAR(tbRegistroEntradas[[#This Row],[DATA DA COMPETÊNCIA]]))</f>
        <v>2020</v>
      </c>
      <c r="N16" s="58" t="str">
        <f>IF(tbRegistroEntradas[[#This Row],[DATA DO CAIXA PREVISTO]]="N/A","0",UPPER(TEXT(tbRegistroEntradas[[#This Row],[DATA DO CAIXA PREVISTO]],"mmm")))</f>
        <v>JAN</v>
      </c>
      <c r="O16" s="58">
        <f>IF(tbRegistroEntradas[[#This Row],[DATA DO CAIXA PREVISTO]]="N/A",0,YEAR(tbRegistroEntradas[[#This Row],[DATA DO CAIXA PREVISTO]]))</f>
        <v>2021</v>
      </c>
      <c r="P16" s="58" t="str">
        <f ca="1">IF(AND(tbRegistroEntradas[[#This Row],[DATA DE CAIXA REALIZADO]]="N/A",tbRegistroEntradas[[#This Row],[DATA DO CAIXA PREVISTO]]&lt;TODAY()),"Vencida","Não Vencida")</f>
        <v>Não Vencida</v>
      </c>
      <c r="Q16" s="58" t="str">
        <f>IF(tbRegistroEntradas[[#This Row],[DATA DA COMPETÊNCIA]]=tbRegistroEntradas[[#This Row],[DATA DO CAIXA PREVISTO]],"Vista","Prazo")</f>
        <v>Prazo</v>
      </c>
      <c r="R16" s="58" t="str">
        <f>IF(tbRegistroEntradas[[#This Row],[DATA DE CAIXA REALIZADO]]&lt;&gt;"N/A","Em Dia","Com atraso")</f>
        <v>Em Dia</v>
      </c>
    </row>
    <row r="17" spans="1:18" s="52" customFormat="1" ht="14.4" customHeight="1" x14ac:dyDescent="0.3">
      <c r="A17" s="49">
        <v>44218</v>
      </c>
      <c r="B17" s="49">
        <f>A17-31</f>
        <v>44187</v>
      </c>
      <c r="C17" s="111">
        <f>(A17-B17)+B17-15</f>
        <v>44203</v>
      </c>
      <c r="D17" s="52" t="s">
        <v>66</v>
      </c>
      <c r="E17" s="52" t="s">
        <v>12</v>
      </c>
      <c r="F17" s="52" t="s">
        <v>18</v>
      </c>
      <c r="G17" s="52" t="s">
        <v>770</v>
      </c>
      <c r="H17" s="52" t="s">
        <v>126</v>
      </c>
      <c r="I17" s="18">
        <v>5307</v>
      </c>
      <c r="J17" s="110" t="str">
        <f>IF(tbRegistroEntradas[[#This Row],[DATA DE CAIXA REALIZADO]]="N/A","0",UPPER(TEXT(tbRegistroEntradas[[#This Row],[DATA DE CAIXA REALIZADO]],"mmm")))</f>
        <v>JAN</v>
      </c>
      <c r="K17" s="57">
        <f>IF(tbRegistroEntradas[[#This Row],[DATA DE CAIXA REALIZADO]]="N/A",0,YEAR(tbRegistroEntradas[[#This Row],[DATA DE CAIXA REALIZADO]]))</f>
        <v>2021</v>
      </c>
      <c r="L17" s="58" t="str">
        <f>IF(tbRegistroEntradas[[#This Row],[DATA DA COMPETÊNCIA]]="N/A","0",UPPER(TEXT(tbRegistroEntradas[[#This Row],[DATA DA COMPETÊNCIA]],"mmm")))</f>
        <v>DEZ</v>
      </c>
      <c r="M17" s="58">
        <f>IF(tbRegistroEntradas[[#This Row],[DATA DA COMPETÊNCIA]]="N/A",0,YEAR(tbRegistroEntradas[[#This Row],[DATA DA COMPETÊNCIA]]))</f>
        <v>2020</v>
      </c>
      <c r="N17" s="58" t="str">
        <f>IF(tbRegistroEntradas[[#This Row],[DATA DO CAIXA PREVISTO]]="N/A","0",UPPER(TEXT(tbRegistroEntradas[[#This Row],[DATA DO CAIXA PREVISTO]],"mmm")))</f>
        <v>JAN</v>
      </c>
      <c r="O17" s="58">
        <f>IF(tbRegistroEntradas[[#This Row],[DATA DO CAIXA PREVISTO]]="N/A",0,YEAR(tbRegistroEntradas[[#This Row],[DATA DO CAIXA PREVISTO]]))</f>
        <v>2021</v>
      </c>
      <c r="P17" s="58" t="str">
        <f ca="1">IF(AND(tbRegistroEntradas[[#This Row],[DATA DE CAIXA REALIZADO]]="N/A",tbRegistroEntradas[[#This Row],[DATA DO CAIXA PREVISTO]]&lt;TODAY()),"Vencida","Não Vencida")</f>
        <v>Não Vencida</v>
      </c>
      <c r="Q17" s="58" t="str">
        <f>IF(tbRegistroEntradas[[#This Row],[DATA DA COMPETÊNCIA]]=tbRegistroEntradas[[#This Row],[DATA DO CAIXA PREVISTO]],"Vista","Prazo")</f>
        <v>Prazo</v>
      </c>
      <c r="R17" s="58" t="str">
        <f>IF(tbRegistroEntradas[[#This Row],[DATA DE CAIXA REALIZADO]]&lt;&gt;"N/A","Em Dia","Com atraso")</f>
        <v>Em Dia</v>
      </c>
    </row>
    <row r="18" spans="1:18" s="52" customFormat="1" ht="14.4" customHeight="1" x14ac:dyDescent="0.3">
      <c r="A18" s="49">
        <v>44229</v>
      </c>
      <c r="B18" s="49">
        <f>A18-31</f>
        <v>44198</v>
      </c>
      <c r="C18" s="111">
        <f>tbRegistroEntradas[[#This Row],[DATA DA COMPETÊNCIA]]</f>
        <v>44198</v>
      </c>
      <c r="D18" s="52" t="s">
        <v>66</v>
      </c>
      <c r="E18" s="52" t="s">
        <v>12</v>
      </c>
      <c r="F18" s="52" t="s">
        <v>18</v>
      </c>
      <c r="G18" s="52" t="s">
        <v>563</v>
      </c>
      <c r="H18" s="145" t="s">
        <v>127</v>
      </c>
      <c r="I18" s="18">
        <v>2496</v>
      </c>
      <c r="J18" s="110" t="str">
        <f>IF(tbRegistroEntradas[[#This Row],[DATA DE CAIXA REALIZADO]]="N/A","0",UPPER(TEXT(tbRegistroEntradas[[#This Row],[DATA DE CAIXA REALIZADO]],"mmm")))</f>
        <v>FEV</v>
      </c>
      <c r="K18" s="57">
        <f>IF(tbRegistroEntradas[[#This Row],[DATA DE CAIXA REALIZADO]]="N/A",0,YEAR(tbRegistroEntradas[[#This Row],[DATA DE CAIXA REALIZADO]]))</f>
        <v>2021</v>
      </c>
      <c r="L18" s="58" t="str">
        <f>IF(tbRegistroEntradas[[#This Row],[DATA DA COMPETÊNCIA]]="N/A","0",UPPER(TEXT(tbRegistroEntradas[[#This Row],[DATA DA COMPETÊNCIA]],"mmm")))</f>
        <v>JAN</v>
      </c>
      <c r="M18" s="58">
        <f>IF(tbRegistroEntradas[[#This Row],[DATA DA COMPETÊNCIA]]="N/A",0,YEAR(tbRegistroEntradas[[#This Row],[DATA DA COMPETÊNCIA]]))</f>
        <v>2021</v>
      </c>
      <c r="N18" s="58" t="str">
        <f>IF(tbRegistroEntradas[[#This Row],[DATA DO CAIXA PREVISTO]]="N/A","0",UPPER(TEXT(tbRegistroEntradas[[#This Row],[DATA DO CAIXA PREVISTO]],"mmm")))</f>
        <v>JAN</v>
      </c>
      <c r="O18" s="58">
        <f>IF(tbRegistroEntradas[[#This Row],[DATA DO CAIXA PREVISTO]]="N/A",0,YEAR(tbRegistroEntradas[[#This Row],[DATA DO CAIXA PREVISTO]]))</f>
        <v>2021</v>
      </c>
      <c r="P18" s="58" t="str">
        <f ca="1">IF(AND(tbRegistroEntradas[[#This Row],[DATA DE CAIXA REALIZADO]]="N/A",tbRegistroEntradas[[#This Row],[DATA DO CAIXA PREVISTO]]&lt;TODAY()),"Vencida","Não Vencida")</f>
        <v>Não Vencida</v>
      </c>
      <c r="Q18" s="58" t="str">
        <f>IF(tbRegistroEntradas[[#This Row],[DATA DA COMPETÊNCIA]]=tbRegistroEntradas[[#This Row],[DATA DO CAIXA PREVISTO]],"Vista","Prazo")</f>
        <v>Vista</v>
      </c>
      <c r="R18" s="58" t="str">
        <f>IF(tbRegistroEntradas[[#This Row],[DATA DE CAIXA REALIZADO]]&lt;&gt;"N/A","Em Dia","Com atraso")</f>
        <v>Em Dia</v>
      </c>
    </row>
    <row r="19" spans="1:18" s="52" customFormat="1" ht="14.4" customHeight="1" x14ac:dyDescent="0.3">
      <c r="A19" s="49">
        <v>44230</v>
      </c>
      <c r="B19" s="49">
        <f>A19-31</f>
        <v>44199</v>
      </c>
      <c r="C19" s="111">
        <f>tbRegistroEntradas[[#This Row],[DATA DA COMPETÊNCIA]]</f>
        <v>44199</v>
      </c>
      <c r="D19" s="52" t="s">
        <v>63</v>
      </c>
      <c r="E19" s="52" t="s">
        <v>12</v>
      </c>
      <c r="F19" s="52" t="s">
        <v>18</v>
      </c>
      <c r="G19" s="52" t="s">
        <v>913</v>
      </c>
      <c r="H19" s="126" t="s">
        <v>100</v>
      </c>
      <c r="I19" s="18">
        <v>6675</v>
      </c>
      <c r="J19" s="110" t="str">
        <f>IF(tbRegistroEntradas[[#This Row],[DATA DE CAIXA REALIZADO]]="N/A","0",UPPER(TEXT(tbRegistroEntradas[[#This Row],[DATA DE CAIXA REALIZADO]],"mmm")))</f>
        <v>FEV</v>
      </c>
      <c r="K19" s="57">
        <f>IF(tbRegistroEntradas[[#This Row],[DATA DE CAIXA REALIZADO]]="N/A",0,YEAR(tbRegistroEntradas[[#This Row],[DATA DE CAIXA REALIZADO]]))</f>
        <v>2021</v>
      </c>
      <c r="L19" s="58" t="str">
        <f>IF(tbRegistroEntradas[[#This Row],[DATA DA COMPETÊNCIA]]="N/A","0",UPPER(TEXT(tbRegistroEntradas[[#This Row],[DATA DA COMPETÊNCIA]],"mmm")))</f>
        <v>JAN</v>
      </c>
      <c r="M19" s="58">
        <f>IF(tbRegistroEntradas[[#This Row],[DATA DA COMPETÊNCIA]]="N/A",0,YEAR(tbRegistroEntradas[[#This Row],[DATA DA COMPETÊNCIA]]))</f>
        <v>2021</v>
      </c>
      <c r="N19" s="58" t="str">
        <f>IF(tbRegistroEntradas[[#This Row],[DATA DO CAIXA PREVISTO]]="N/A","0",UPPER(TEXT(tbRegistroEntradas[[#This Row],[DATA DO CAIXA PREVISTO]],"mmm")))</f>
        <v>JAN</v>
      </c>
      <c r="O19" s="58">
        <f>IF(tbRegistroEntradas[[#This Row],[DATA DO CAIXA PREVISTO]]="N/A",0,YEAR(tbRegistroEntradas[[#This Row],[DATA DO CAIXA PREVISTO]]))</f>
        <v>2021</v>
      </c>
      <c r="P19" s="58" t="str">
        <f ca="1">IF(AND(tbRegistroEntradas[[#This Row],[DATA DE CAIXA REALIZADO]]="N/A",tbRegistroEntradas[[#This Row],[DATA DO CAIXA PREVISTO]]&lt;TODAY()),"Vencida","Não Vencida")</f>
        <v>Não Vencida</v>
      </c>
      <c r="Q19" s="58" t="str">
        <f>IF(tbRegistroEntradas[[#This Row],[DATA DA COMPETÊNCIA]]=tbRegistroEntradas[[#This Row],[DATA DO CAIXA PREVISTO]],"Vista","Prazo")</f>
        <v>Vista</v>
      </c>
      <c r="R19" s="58" t="str">
        <f>IF(tbRegistroEntradas[[#This Row],[DATA DE CAIXA REALIZADO]]&lt;&gt;"N/A","Em Dia","Com atraso")</f>
        <v>Em Dia</v>
      </c>
    </row>
    <row r="20" spans="1:18" s="52" customFormat="1" ht="14.4" customHeight="1" x14ac:dyDescent="0.3">
      <c r="A20" s="49">
        <v>44231</v>
      </c>
      <c r="B20" s="49">
        <f>A20-31</f>
        <v>44200</v>
      </c>
      <c r="C20" s="111">
        <f>(A20-B20)+B20-15</f>
        <v>44216</v>
      </c>
      <c r="D20" s="52" t="s">
        <v>138</v>
      </c>
      <c r="E20" s="52" t="s">
        <v>12</v>
      </c>
      <c r="F20" s="52" t="s">
        <v>19</v>
      </c>
      <c r="G20" s="52" t="s">
        <v>1032</v>
      </c>
      <c r="H20" s="52" t="s">
        <v>76</v>
      </c>
      <c r="I20" s="18">
        <v>3852</v>
      </c>
      <c r="J20" s="110" t="str">
        <f>IF(tbRegistroEntradas[[#This Row],[DATA DE CAIXA REALIZADO]]="N/A","0",UPPER(TEXT(tbRegistroEntradas[[#This Row],[DATA DE CAIXA REALIZADO]],"mmm")))</f>
        <v>FEV</v>
      </c>
      <c r="K20" s="57">
        <f>IF(tbRegistroEntradas[[#This Row],[DATA DE CAIXA REALIZADO]]="N/A",0,YEAR(tbRegistroEntradas[[#This Row],[DATA DE CAIXA REALIZADO]]))</f>
        <v>2021</v>
      </c>
      <c r="L20" s="58" t="str">
        <f>IF(tbRegistroEntradas[[#This Row],[DATA DA COMPETÊNCIA]]="N/A","0",UPPER(TEXT(tbRegistroEntradas[[#This Row],[DATA DA COMPETÊNCIA]],"mmm")))</f>
        <v>JAN</v>
      </c>
      <c r="M20" s="58">
        <f>IF(tbRegistroEntradas[[#This Row],[DATA DA COMPETÊNCIA]]="N/A",0,YEAR(tbRegistroEntradas[[#This Row],[DATA DA COMPETÊNCIA]]))</f>
        <v>2021</v>
      </c>
      <c r="N20" s="58" t="str">
        <f>IF(tbRegistroEntradas[[#This Row],[DATA DO CAIXA PREVISTO]]="N/A","0",UPPER(TEXT(tbRegistroEntradas[[#This Row],[DATA DO CAIXA PREVISTO]],"mmm")))</f>
        <v>JAN</v>
      </c>
      <c r="O20" s="58">
        <f>IF(tbRegistroEntradas[[#This Row],[DATA DO CAIXA PREVISTO]]="N/A",0,YEAR(tbRegistroEntradas[[#This Row],[DATA DO CAIXA PREVISTO]]))</f>
        <v>2021</v>
      </c>
      <c r="P20" s="58" t="str">
        <f ca="1">IF(AND(tbRegistroEntradas[[#This Row],[DATA DE CAIXA REALIZADO]]="N/A",tbRegistroEntradas[[#This Row],[DATA DO CAIXA PREVISTO]]&lt;TODAY()),"Vencida","Não Vencida")</f>
        <v>Não Vencida</v>
      </c>
      <c r="Q20" s="58" t="str">
        <f>IF(tbRegistroEntradas[[#This Row],[DATA DA COMPETÊNCIA]]=tbRegistroEntradas[[#This Row],[DATA DO CAIXA PREVISTO]],"Vista","Prazo")</f>
        <v>Prazo</v>
      </c>
      <c r="R20" s="58" t="str">
        <f>IF(tbRegistroEntradas[[#This Row],[DATA DE CAIXA REALIZADO]]&lt;&gt;"N/A","Em Dia","Com atraso")</f>
        <v>Em Dia</v>
      </c>
    </row>
    <row r="21" spans="1:18" s="52" customFormat="1" ht="14.4" customHeight="1" x14ac:dyDescent="0.3">
      <c r="A21" s="49">
        <v>44235</v>
      </c>
      <c r="B21" s="49">
        <f>A21-31</f>
        <v>44204</v>
      </c>
      <c r="C21" s="111">
        <f>(A21-B21)+B21-15</f>
        <v>44220</v>
      </c>
      <c r="D21" s="52" t="s">
        <v>64</v>
      </c>
      <c r="E21" s="52" t="s">
        <v>12</v>
      </c>
      <c r="F21" s="52" t="s">
        <v>18</v>
      </c>
      <c r="G21" s="52" t="s">
        <v>948</v>
      </c>
      <c r="H21" s="126" t="s">
        <v>108</v>
      </c>
      <c r="I21" s="18">
        <v>1703</v>
      </c>
      <c r="J21" s="110" t="str">
        <f>IF(tbRegistroEntradas[[#This Row],[DATA DE CAIXA REALIZADO]]="N/A","0",UPPER(TEXT(tbRegistroEntradas[[#This Row],[DATA DE CAIXA REALIZADO]],"mmm")))</f>
        <v>FEV</v>
      </c>
      <c r="K21" s="57">
        <f>IF(tbRegistroEntradas[[#This Row],[DATA DE CAIXA REALIZADO]]="N/A",0,YEAR(tbRegistroEntradas[[#This Row],[DATA DE CAIXA REALIZADO]]))</f>
        <v>2021</v>
      </c>
      <c r="L21" s="58" t="str">
        <f>IF(tbRegistroEntradas[[#This Row],[DATA DA COMPETÊNCIA]]="N/A","0",UPPER(TEXT(tbRegistroEntradas[[#This Row],[DATA DA COMPETÊNCIA]],"mmm")))</f>
        <v>JAN</v>
      </c>
      <c r="M21" s="58">
        <f>IF(tbRegistroEntradas[[#This Row],[DATA DA COMPETÊNCIA]]="N/A",0,YEAR(tbRegistroEntradas[[#This Row],[DATA DA COMPETÊNCIA]]))</f>
        <v>2021</v>
      </c>
      <c r="N21" s="58" t="str">
        <f>IF(tbRegistroEntradas[[#This Row],[DATA DO CAIXA PREVISTO]]="N/A","0",UPPER(TEXT(tbRegistroEntradas[[#This Row],[DATA DO CAIXA PREVISTO]],"mmm")))</f>
        <v>JAN</v>
      </c>
      <c r="O21" s="58">
        <f>IF(tbRegistroEntradas[[#This Row],[DATA DO CAIXA PREVISTO]]="N/A",0,YEAR(tbRegistroEntradas[[#This Row],[DATA DO CAIXA PREVISTO]]))</f>
        <v>2021</v>
      </c>
      <c r="P21" s="58" t="str">
        <f ca="1">IF(AND(tbRegistroEntradas[[#This Row],[DATA DE CAIXA REALIZADO]]="N/A",tbRegistroEntradas[[#This Row],[DATA DO CAIXA PREVISTO]]&lt;TODAY()),"Vencida","Não Vencida")</f>
        <v>Não Vencida</v>
      </c>
      <c r="Q21" s="58" t="str">
        <f>IF(tbRegistroEntradas[[#This Row],[DATA DA COMPETÊNCIA]]=tbRegistroEntradas[[#This Row],[DATA DO CAIXA PREVISTO]],"Vista","Prazo")</f>
        <v>Prazo</v>
      </c>
      <c r="R21" s="58" t="str">
        <f>IF(tbRegistroEntradas[[#This Row],[DATA DE CAIXA REALIZADO]]&lt;&gt;"N/A","Em Dia","Com atraso")</f>
        <v>Em Dia</v>
      </c>
    </row>
    <row r="22" spans="1:18" s="52" customFormat="1" ht="14.4" customHeight="1" x14ac:dyDescent="0.3">
      <c r="A22" s="125">
        <v>44238</v>
      </c>
      <c r="B22" s="125">
        <f>A22-31</f>
        <v>44207</v>
      </c>
      <c r="C22" s="111">
        <f>tbRegistroEntradas[[#This Row],[DATA DA COMPETÊNCIA]]</f>
        <v>44207</v>
      </c>
      <c r="D22" s="126" t="s">
        <v>61</v>
      </c>
      <c r="E22" s="126" t="s">
        <v>12</v>
      </c>
      <c r="F22" s="126" t="s">
        <v>18</v>
      </c>
      <c r="G22" s="126" t="s">
        <v>1012</v>
      </c>
      <c r="H22" s="52" t="s">
        <v>79</v>
      </c>
      <c r="I22" s="127">
        <v>3295</v>
      </c>
      <c r="J22" s="110" t="str">
        <f>IF(tbRegistroEntradas[[#This Row],[DATA DE CAIXA REALIZADO]]="N/A","0",UPPER(TEXT(tbRegistroEntradas[[#This Row],[DATA DE CAIXA REALIZADO]],"mmm")))</f>
        <v>FEV</v>
      </c>
      <c r="K22" s="57">
        <f>IF(tbRegistroEntradas[[#This Row],[DATA DE CAIXA REALIZADO]]="N/A",0,YEAR(tbRegistroEntradas[[#This Row],[DATA DE CAIXA REALIZADO]]))</f>
        <v>2021</v>
      </c>
      <c r="L22" s="58" t="str">
        <f>IF(tbRegistroEntradas[[#This Row],[DATA DA COMPETÊNCIA]]="N/A","0",UPPER(TEXT(tbRegistroEntradas[[#This Row],[DATA DA COMPETÊNCIA]],"mmm")))</f>
        <v>JAN</v>
      </c>
      <c r="M22" s="58">
        <f>IF(tbRegistroEntradas[[#This Row],[DATA DA COMPETÊNCIA]]="N/A",0,YEAR(tbRegistroEntradas[[#This Row],[DATA DA COMPETÊNCIA]]))</f>
        <v>2021</v>
      </c>
      <c r="N22" s="58" t="str">
        <f>IF(tbRegistroEntradas[[#This Row],[DATA DO CAIXA PREVISTO]]="N/A","0",UPPER(TEXT(tbRegistroEntradas[[#This Row],[DATA DO CAIXA PREVISTO]],"mmm")))</f>
        <v>JAN</v>
      </c>
      <c r="O22" s="58">
        <f>IF(tbRegistroEntradas[[#This Row],[DATA DO CAIXA PREVISTO]]="N/A",0,YEAR(tbRegistroEntradas[[#This Row],[DATA DO CAIXA PREVISTO]]))</f>
        <v>2021</v>
      </c>
      <c r="P22" s="58" t="str">
        <f ca="1">IF(AND(tbRegistroEntradas[[#This Row],[DATA DE CAIXA REALIZADO]]="N/A",tbRegistroEntradas[[#This Row],[DATA DO CAIXA PREVISTO]]&lt;TODAY()),"Vencida","Não Vencida")</f>
        <v>Não Vencida</v>
      </c>
      <c r="Q22" s="58" t="str">
        <f>IF(tbRegistroEntradas[[#This Row],[DATA DA COMPETÊNCIA]]=tbRegistroEntradas[[#This Row],[DATA DO CAIXA PREVISTO]],"Vista","Prazo")</f>
        <v>Vista</v>
      </c>
      <c r="R22" s="58" t="str">
        <f>IF(tbRegistroEntradas[[#This Row],[DATA DE CAIXA REALIZADO]]&lt;&gt;"N/A","Em Dia","Com atraso")</f>
        <v>Em Dia</v>
      </c>
    </row>
    <row r="23" spans="1:18" s="52" customFormat="1" ht="14.4" customHeight="1" x14ac:dyDescent="0.3">
      <c r="A23" s="49">
        <v>44238</v>
      </c>
      <c r="B23" s="49">
        <f>A23-31</f>
        <v>44207</v>
      </c>
      <c r="C23" s="111">
        <f>(A23-B23)+B23-15</f>
        <v>44223</v>
      </c>
      <c r="D23" s="52" t="s">
        <v>66</v>
      </c>
      <c r="E23" s="52" t="s">
        <v>12</v>
      </c>
      <c r="F23" s="52" t="s">
        <v>16</v>
      </c>
      <c r="G23" s="52" t="s">
        <v>952</v>
      </c>
      <c r="H23" s="126" t="s">
        <v>128</v>
      </c>
      <c r="I23" s="18">
        <v>251</v>
      </c>
      <c r="J23" s="110" t="str">
        <f>IF(tbRegistroEntradas[[#This Row],[DATA DE CAIXA REALIZADO]]="N/A","0",UPPER(TEXT(tbRegistroEntradas[[#This Row],[DATA DE CAIXA REALIZADO]],"mmm")))</f>
        <v>FEV</v>
      </c>
      <c r="K23" s="57">
        <f>IF(tbRegistroEntradas[[#This Row],[DATA DE CAIXA REALIZADO]]="N/A",0,YEAR(tbRegistroEntradas[[#This Row],[DATA DE CAIXA REALIZADO]]))</f>
        <v>2021</v>
      </c>
      <c r="L23" s="58" t="str">
        <f>IF(tbRegistroEntradas[[#This Row],[DATA DA COMPETÊNCIA]]="N/A","0",UPPER(TEXT(tbRegistroEntradas[[#This Row],[DATA DA COMPETÊNCIA]],"mmm")))</f>
        <v>JAN</v>
      </c>
      <c r="M23" s="58">
        <f>IF(tbRegistroEntradas[[#This Row],[DATA DA COMPETÊNCIA]]="N/A",0,YEAR(tbRegistroEntradas[[#This Row],[DATA DA COMPETÊNCIA]]))</f>
        <v>2021</v>
      </c>
      <c r="N23" s="58" t="str">
        <f>IF(tbRegistroEntradas[[#This Row],[DATA DO CAIXA PREVISTO]]="N/A","0",UPPER(TEXT(tbRegistroEntradas[[#This Row],[DATA DO CAIXA PREVISTO]],"mmm")))</f>
        <v>JAN</v>
      </c>
      <c r="O23" s="58">
        <f>IF(tbRegistroEntradas[[#This Row],[DATA DO CAIXA PREVISTO]]="N/A",0,YEAR(tbRegistroEntradas[[#This Row],[DATA DO CAIXA PREVISTO]]))</f>
        <v>2021</v>
      </c>
      <c r="P23" s="58" t="str">
        <f ca="1">IF(AND(tbRegistroEntradas[[#This Row],[DATA DE CAIXA REALIZADO]]="N/A",tbRegistroEntradas[[#This Row],[DATA DO CAIXA PREVISTO]]&lt;TODAY()),"Vencida","Não Vencida")</f>
        <v>Não Vencida</v>
      </c>
      <c r="Q23" s="58" t="str">
        <f>IF(tbRegistroEntradas[[#This Row],[DATA DA COMPETÊNCIA]]=tbRegistroEntradas[[#This Row],[DATA DO CAIXA PREVISTO]],"Vista","Prazo")</f>
        <v>Prazo</v>
      </c>
      <c r="R23" s="58" t="str">
        <f>IF(tbRegistroEntradas[[#This Row],[DATA DE CAIXA REALIZADO]]&lt;&gt;"N/A","Em Dia","Com atraso")</f>
        <v>Em Dia</v>
      </c>
    </row>
    <row r="24" spans="1:18" s="52" customFormat="1" ht="14.4" customHeight="1" x14ac:dyDescent="0.3">
      <c r="A24" s="49">
        <v>44242</v>
      </c>
      <c r="B24" s="49">
        <f>A24-31</f>
        <v>44211</v>
      </c>
      <c r="C24" s="111">
        <f>tbRegistroEntradas[[#This Row],[DATA DA COMPETÊNCIA]]</f>
        <v>44211</v>
      </c>
      <c r="D24" s="52" t="s">
        <v>64</v>
      </c>
      <c r="E24" s="52" t="s">
        <v>12</v>
      </c>
      <c r="F24" s="52" t="s">
        <v>16</v>
      </c>
      <c r="G24" s="52" t="s">
        <v>156</v>
      </c>
      <c r="H24" s="126" t="s">
        <v>109</v>
      </c>
      <c r="I24" s="18">
        <v>328</v>
      </c>
      <c r="J24" s="110" t="str">
        <f>IF(tbRegistroEntradas[[#This Row],[DATA DE CAIXA REALIZADO]]="N/A","0",UPPER(TEXT(tbRegistroEntradas[[#This Row],[DATA DE CAIXA REALIZADO]],"mmm")))</f>
        <v>FEV</v>
      </c>
      <c r="K24" s="57">
        <f>IF(tbRegistroEntradas[[#This Row],[DATA DE CAIXA REALIZADO]]="N/A",0,YEAR(tbRegistroEntradas[[#This Row],[DATA DE CAIXA REALIZADO]]))</f>
        <v>2021</v>
      </c>
      <c r="L24" s="58" t="str">
        <f>IF(tbRegistroEntradas[[#This Row],[DATA DA COMPETÊNCIA]]="N/A","0",UPPER(TEXT(tbRegistroEntradas[[#This Row],[DATA DA COMPETÊNCIA]],"mmm")))</f>
        <v>JAN</v>
      </c>
      <c r="M24" s="58">
        <f>IF(tbRegistroEntradas[[#This Row],[DATA DA COMPETÊNCIA]]="N/A",0,YEAR(tbRegistroEntradas[[#This Row],[DATA DA COMPETÊNCIA]]))</f>
        <v>2021</v>
      </c>
      <c r="N24" s="58" t="str">
        <f>IF(tbRegistroEntradas[[#This Row],[DATA DO CAIXA PREVISTO]]="N/A","0",UPPER(TEXT(tbRegistroEntradas[[#This Row],[DATA DO CAIXA PREVISTO]],"mmm")))</f>
        <v>JAN</v>
      </c>
      <c r="O24" s="58">
        <f>IF(tbRegistroEntradas[[#This Row],[DATA DO CAIXA PREVISTO]]="N/A",0,YEAR(tbRegistroEntradas[[#This Row],[DATA DO CAIXA PREVISTO]]))</f>
        <v>2021</v>
      </c>
      <c r="P24" s="58" t="str">
        <f ca="1">IF(AND(tbRegistroEntradas[[#This Row],[DATA DE CAIXA REALIZADO]]="N/A",tbRegistroEntradas[[#This Row],[DATA DO CAIXA PREVISTO]]&lt;TODAY()),"Vencida","Não Vencida")</f>
        <v>Não Vencida</v>
      </c>
      <c r="Q24" s="58" t="str">
        <f>IF(tbRegistroEntradas[[#This Row],[DATA DA COMPETÊNCIA]]=tbRegistroEntradas[[#This Row],[DATA DO CAIXA PREVISTO]],"Vista","Prazo")</f>
        <v>Vista</v>
      </c>
      <c r="R24" s="58" t="str">
        <f>IF(tbRegistroEntradas[[#This Row],[DATA DE CAIXA REALIZADO]]&lt;&gt;"N/A","Em Dia","Com atraso")</f>
        <v>Em Dia</v>
      </c>
    </row>
    <row r="25" spans="1:18" s="52" customFormat="1" ht="14.4" customHeight="1" x14ac:dyDescent="0.3">
      <c r="A25" s="125">
        <v>44246</v>
      </c>
      <c r="B25" s="125">
        <f>A25-31</f>
        <v>44215</v>
      </c>
      <c r="C25" s="111">
        <f>(A25-B25)+B25-15</f>
        <v>44231</v>
      </c>
      <c r="D25" s="126" t="s">
        <v>61</v>
      </c>
      <c r="E25" s="126" t="s">
        <v>12</v>
      </c>
      <c r="F25" s="126" t="s">
        <v>18</v>
      </c>
      <c r="G25" s="126" t="s">
        <v>707</v>
      </c>
      <c r="H25" s="52" t="s">
        <v>80</v>
      </c>
      <c r="I25" s="127">
        <v>4795</v>
      </c>
      <c r="J25" s="110" t="str">
        <f>IF(tbRegistroEntradas[[#This Row],[DATA DE CAIXA REALIZADO]]="N/A","0",UPPER(TEXT(tbRegistroEntradas[[#This Row],[DATA DE CAIXA REALIZADO]],"mmm")))</f>
        <v>FEV</v>
      </c>
      <c r="K25" s="57">
        <f>IF(tbRegistroEntradas[[#This Row],[DATA DE CAIXA REALIZADO]]="N/A",0,YEAR(tbRegistroEntradas[[#This Row],[DATA DE CAIXA REALIZADO]]))</f>
        <v>2021</v>
      </c>
      <c r="L25" s="58" t="str">
        <f>IF(tbRegistroEntradas[[#This Row],[DATA DA COMPETÊNCIA]]="N/A","0",UPPER(TEXT(tbRegistroEntradas[[#This Row],[DATA DA COMPETÊNCIA]],"mmm")))</f>
        <v>JAN</v>
      </c>
      <c r="M25" s="58">
        <f>IF(tbRegistroEntradas[[#This Row],[DATA DA COMPETÊNCIA]]="N/A",0,YEAR(tbRegistroEntradas[[#This Row],[DATA DA COMPETÊNCIA]]))</f>
        <v>2021</v>
      </c>
      <c r="N25" s="58" t="str">
        <f>IF(tbRegistroEntradas[[#This Row],[DATA DO CAIXA PREVISTO]]="N/A","0",UPPER(TEXT(tbRegistroEntradas[[#This Row],[DATA DO CAIXA PREVISTO]],"mmm")))</f>
        <v>FEV</v>
      </c>
      <c r="O25" s="58">
        <f>IF(tbRegistroEntradas[[#This Row],[DATA DO CAIXA PREVISTO]]="N/A",0,YEAR(tbRegistroEntradas[[#This Row],[DATA DO CAIXA PREVISTO]]))</f>
        <v>2021</v>
      </c>
      <c r="P25" s="58" t="str">
        <f ca="1">IF(AND(tbRegistroEntradas[[#This Row],[DATA DE CAIXA REALIZADO]]="N/A",tbRegistroEntradas[[#This Row],[DATA DO CAIXA PREVISTO]]&lt;TODAY()),"Vencida","Não Vencida")</f>
        <v>Não Vencida</v>
      </c>
      <c r="Q25" s="58" t="str">
        <f>IF(tbRegistroEntradas[[#This Row],[DATA DA COMPETÊNCIA]]=tbRegistroEntradas[[#This Row],[DATA DO CAIXA PREVISTO]],"Vista","Prazo")</f>
        <v>Prazo</v>
      </c>
      <c r="R25" s="58" t="str">
        <f>IF(tbRegistroEntradas[[#This Row],[DATA DE CAIXA REALIZADO]]&lt;&gt;"N/A","Em Dia","Com atraso")</f>
        <v>Em Dia</v>
      </c>
    </row>
    <row r="26" spans="1:18" s="52" customFormat="1" ht="14.4" customHeight="1" x14ac:dyDescent="0.3">
      <c r="A26" s="125">
        <v>44246</v>
      </c>
      <c r="B26" s="125">
        <f>A26-31</f>
        <v>44215</v>
      </c>
      <c r="C26" s="111">
        <f>(A26-B26)+B26-15</f>
        <v>44231</v>
      </c>
      <c r="D26" s="126" t="s">
        <v>67</v>
      </c>
      <c r="E26" s="126" t="s">
        <v>12</v>
      </c>
      <c r="F26" s="126" t="s">
        <v>19</v>
      </c>
      <c r="G26" s="126" t="s">
        <v>1074</v>
      </c>
      <c r="H26" s="52" t="s">
        <v>70</v>
      </c>
      <c r="I26" s="127">
        <v>5305</v>
      </c>
      <c r="J26" s="110" t="str">
        <f>IF(tbRegistroEntradas[[#This Row],[DATA DE CAIXA REALIZADO]]="N/A","0",UPPER(TEXT(tbRegistroEntradas[[#This Row],[DATA DE CAIXA REALIZADO]],"mmm")))</f>
        <v>FEV</v>
      </c>
      <c r="K26" s="57">
        <f>IF(tbRegistroEntradas[[#This Row],[DATA DE CAIXA REALIZADO]]="N/A",0,YEAR(tbRegistroEntradas[[#This Row],[DATA DE CAIXA REALIZADO]]))</f>
        <v>2021</v>
      </c>
      <c r="L26" s="58" t="str">
        <f>IF(tbRegistroEntradas[[#This Row],[DATA DA COMPETÊNCIA]]="N/A","0",UPPER(TEXT(tbRegistroEntradas[[#This Row],[DATA DA COMPETÊNCIA]],"mmm")))</f>
        <v>JAN</v>
      </c>
      <c r="M26" s="58">
        <f>IF(tbRegistroEntradas[[#This Row],[DATA DA COMPETÊNCIA]]="N/A",0,YEAR(tbRegistroEntradas[[#This Row],[DATA DA COMPETÊNCIA]]))</f>
        <v>2021</v>
      </c>
      <c r="N26" s="58" t="str">
        <f>IF(tbRegistroEntradas[[#This Row],[DATA DO CAIXA PREVISTO]]="N/A","0",UPPER(TEXT(tbRegistroEntradas[[#This Row],[DATA DO CAIXA PREVISTO]],"mmm")))</f>
        <v>FEV</v>
      </c>
      <c r="O26" s="58">
        <f>IF(tbRegistroEntradas[[#This Row],[DATA DO CAIXA PREVISTO]]="N/A",0,YEAR(tbRegistroEntradas[[#This Row],[DATA DO CAIXA PREVISTO]]))</f>
        <v>2021</v>
      </c>
      <c r="P26" s="58" t="str">
        <f ca="1">IF(AND(tbRegistroEntradas[[#This Row],[DATA DE CAIXA REALIZADO]]="N/A",tbRegistroEntradas[[#This Row],[DATA DO CAIXA PREVISTO]]&lt;TODAY()),"Vencida","Não Vencida")</f>
        <v>Não Vencida</v>
      </c>
      <c r="Q26" s="58" t="str">
        <f>IF(tbRegistroEntradas[[#This Row],[DATA DA COMPETÊNCIA]]=tbRegistroEntradas[[#This Row],[DATA DO CAIXA PREVISTO]],"Vista","Prazo")</f>
        <v>Prazo</v>
      </c>
      <c r="R26" s="58" t="str">
        <f>IF(tbRegistroEntradas[[#This Row],[DATA DE CAIXA REALIZADO]]&lt;&gt;"N/A","Em Dia","Com atraso")</f>
        <v>Em Dia</v>
      </c>
    </row>
    <row r="27" spans="1:18" s="52" customFormat="1" ht="14.4" customHeight="1" x14ac:dyDescent="0.3">
      <c r="A27" s="49">
        <v>44249</v>
      </c>
      <c r="B27" s="49">
        <f>A27-31</f>
        <v>44218</v>
      </c>
      <c r="C27" s="111">
        <f>tbRegistroEntradas[[#This Row],[DATA DA COMPETÊNCIA]]</f>
        <v>44218</v>
      </c>
      <c r="D27" s="52" t="s">
        <v>67</v>
      </c>
      <c r="E27" s="52" t="s">
        <v>12</v>
      </c>
      <c r="F27" s="52" t="s">
        <v>19</v>
      </c>
      <c r="G27" s="52" t="s">
        <v>727</v>
      </c>
      <c r="H27" s="52" t="s">
        <v>129</v>
      </c>
      <c r="I27" s="18">
        <v>1533</v>
      </c>
      <c r="J27" s="110" t="str">
        <f>IF(tbRegistroEntradas[[#This Row],[DATA DE CAIXA REALIZADO]]="N/A","0",UPPER(TEXT(tbRegistroEntradas[[#This Row],[DATA DE CAIXA REALIZADO]],"mmm")))</f>
        <v>FEV</v>
      </c>
      <c r="K27" s="57">
        <f>IF(tbRegistroEntradas[[#This Row],[DATA DE CAIXA REALIZADO]]="N/A",0,YEAR(tbRegistroEntradas[[#This Row],[DATA DE CAIXA REALIZADO]]))</f>
        <v>2021</v>
      </c>
      <c r="L27" s="58" t="str">
        <f>IF(tbRegistroEntradas[[#This Row],[DATA DA COMPETÊNCIA]]="N/A","0",UPPER(TEXT(tbRegistroEntradas[[#This Row],[DATA DA COMPETÊNCIA]],"mmm")))</f>
        <v>JAN</v>
      </c>
      <c r="M27" s="58">
        <f>IF(tbRegistroEntradas[[#This Row],[DATA DA COMPETÊNCIA]]="N/A",0,YEAR(tbRegistroEntradas[[#This Row],[DATA DA COMPETÊNCIA]]))</f>
        <v>2021</v>
      </c>
      <c r="N27" s="58" t="str">
        <f>IF(tbRegistroEntradas[[#This Row],[DATA DO CAIXA PREVISTO]]="N/A","0",UPPER(TEXT(tbRegistroEntradas[[#This Row],[DATA DO CAIXA PREVISTO]],"mmm")))</f>
        <v>JAN</v>
      </c>
      <c r="O27" s="58">
        <f>IF(tbRegistroEntradas[[#This Row],[DATA DO CAIXA PREVISTO]]="N/A",0,YEAR(tbRegistroEntradas[[#This Row],[DATA DO CAIXA PREVISTO]]))</f>
        <v>2021</v>
      </c>
      <c r="P27" s="58" t="str">
        <f ca="1">IF(AND(tbRegistroEntradas[[#This Row],[DATA DE CAIXA REALIZADO]]="N/A",tbRegistroEntradas[[#This Row],[DATA DO CAIXA PREVISTO]]&lt;TODAY()),"Vencida","Não Vencida")</f>
        <v>Não Vencida</v>
      </c>
      <c r="Q27" s="58" t="str">
        <f>IF(tbRegistroEntradas[[#This Row],[DATA DA COMPETÊNCIA]]=tbRegistroEntradas[[#This Row],[DATA DO CAIXA PREVISTO]],"Vista","Prazo")</f>
        <v>Vista</v>
      </c>
      <c r="R27" s="58" t="str">
        <f>IF(tbRegistroEntradas[[#This Row],[DATA DE CAIXA REALIZADO]]&lt;&gt;"N/A","Em Dia","Com atraso")</f>
        <v>Em Dia</v>
      </c>
    </row>
    <row r="28" spans="1:18" s="52" customFormat="1" ht="14.4" customHeight="1" x14ac:dyDescent="0.3">
      <c r="A28" s="125">
        <v>44249</v>
      </c>
      <c r="B28" s="125">
        <f>A28-31</f>
        <v>44218</v>
      </c>
      <c r="C28" s="111">
        <f>(A28-B28)+B28-15</f>
        <v>44234</v>
      </c>
      <c r="D28" s="126" t="s">
        <v>137</v>
      </c>
      <c r="E28" s="126" t="s">
        <v>12</v>
      </c>
      <c r="F28" s="126" t="s">
        <v>16</v>
      </c>
      <c r="G28" s="126" t="s">
        <v>730</v>
      </c>
      <c r="H28" s="52" t="s">
        <v>73</v>
      </c>
      <c r="I28" s="127">
        <v>2951</v>
      </c>
      <c r="J28" s="110" t="str">
        <f>IF(tbRegistroEntradas[[#This Row],[DATA DE CAIXA REALIZADO]]="N/A","0",UPPER(TEXT(tbRegistroEntradas[[#This Row],[DATA DE CAIXA REALIZADO]],"mmm")))</f>
        <v>FEV</v>
      </c>
      <c r="K28" s="57">
        <f>IF(tbRegistroEntradas[[#This Row],[DATA DE CAIXA REALIZADO]]="N/A",0,YEAR(tbRegistroEntradas[[#This Row],[DATA DE CAIXA REALIZADO]]))</f>
        <v>2021</v>
      </c>
      <c r="L28" s="58" t="str">
        <f>IF(tbRegistroEntradas[[#This Row],[DATA DA COMPETÊNCIA]]="N/A","0",UPPER(TEXT(tbRegistroEntradas[[#This Row],[DATA DA COMPETÊNCIA]],"mmm")))</f>
        <v>JAN</v>
      </c>
      <c r="M28" s="58">
        <f>IF(tbRegistroEntradas[[#This Row],[DATA DA COMPETÊNCIA]]="N/A",0,YEAR(tbRegistroEntradas[[#This Row],[DATA DA COMPETÊNCIA]]))</f>
        <v>2021</v>
      </c>
      <c r="N28" s="58" t="str">
        <f>IF(tbRegistroEntradas[[#This Row],[DATA DO CAIXA PREVISTO]]="N/A","0",UPPER(TEXT(tbRegistroEntradas[[#This Row],[DATA DO CAIXA PREVISTO]],"mmm")))</f>
        <v>FEV</v>
      </c>
      <c r="O28" s="58">
        <f>IF(tbRegistroEntradas[[#This Row],[DATA DO CAIXA PREVISTO]]="N/A",0,YEAR(tbRegistroEntradas[[#This Row],[DATA DO CAIXA PREVISTO]]))</f>
        <v>2021</v>
      </c>
      <c r="P28" s="58" t="str">
        <f ca="1">IF(AND(tbRegistroEntradas[[#This Row],[DATA DE CAIXA REALIZADO]]="N/A",tbRegistroEntradas[[#This Row],[DATA DO CAIXA PREVISTO]]&lt;TODAY()),"Vencida","Não Vencida")</f>
        <v>Não Vencida</v>
      </c>
      <c r="Q28" s="58" t="str">
        <f>IF(tbRegistroEntradas[[#This Row],[DATA DA COMPETÊNCIA]]=tbRegistroEntradas[[#This Row],[DATA DO CAIXA PREVISTO]],"Vista","Prazo")</f>
        <v>Prazo</v>
      </c>
      <c r="R28" s="58" t="str">
        <f>IF(tbRegistroEntradas[[#This Row],[DATA DE CAIXA REALIZADO]]&lt;&gt;"N/A","Em Dia","Com atraso")</f>
        <v>Em Dia</v>
      </c>
    </row>
    <row r="29" spans="1:18" s="52" customFormat="1" ht="14.4" customHeight="1" x14ac:dyDescent="0.3">
      <c r="A29" s="125">
        <v>44252</v>
      </c>
      <c r="B29" s="125">
        <f>A29-31</f>
        <v>44221</v>
      </c>
      <c r="C29" s="111">
        <f>(A29-B29)+B29-15</f>
        <v>44237</v>
      </c>
      <c r="D29" s="126" t="s">
        <v>63</v>
      </c>
      <c r="E29" s="126" t="s">
        <v>12</v>
      </c>
      <c r="F29" s="126" t="s">
        <v>18</v>
      </c>
      <c r="G29" s="126" t="s">
        <v>865</v>
      </c>
      <c r="H29" s="145" t="s">
        <v>101</v>
      </c>
      <c r="I29" s="127">
        <v>3585</v>
      </c>
      <c r="J29" s="110" t="str">
        <f>IF(tbRegistroEntradas[[#This Row],[DATA DE CAIXA REALIZADO]]="N/A","0",UPPER(TEXT(tbRegistroEntradas[[#This Row],[DATA DE CAIXA REALIZADO]],"mmm")))</f>
        <v>FEV</v>
      </c>
      <c r="K29" s="57">
        <f>IF(tbRegistroEntradas[[#This Row],[DATA DE CAIXA REALIZADO]]="N/A",0,YEAR(tbRegistroEntradas[[#This Row],[DATA DE CAIXA REALIZADO]]))</f>
        <v>2021</v>
      </c>
      <c r="L29" s="58" t="str">
        <f>IF(tbRegistroEntradas[[#This Row],[DATA DA COMPETÊNCIA]]="N/A","0",UPPER(TEXT(tbRegistroEntradas[[#This Row],[DATA DA COMPETÊNCIA]],"mmm")))</f>
        <v>JAN</v>
      </c>
      <c r="M29" s="58">
        <f>IF(tbRegistroEntradas[[#This Row],[DATA DA COMPETÊNCIA]]="N/A",0,YEAR(tbRegistroEntradas[[#This Row],[DATA DA COMPETÊNCIA]]))</f>
        <v>2021</v>
      </c>
      <c r="N29" s="58" t="str">
        <f>IF(tbRegistroEntradas[[#This Row],[DATA DO CAIXA PREVISTO]]="N/A","0",UPPER(TEXT(tbRegistroEntradas[[#This Row],[DATA DO CAIXA PREVISTO]],"mmm")))</f>
        <v>FEV</v>
      </c>
      <c r="O29" s="58">
        <f>IF(tbRegistroEntradas[[#This Row],[DATA DO CAIXA PREVISTO]]="N/A",0,YEAR(tbRegistroEntradas[[#This Row],[DATA DO CAIXA PREVISTO]]))</f>
        <v>2021</v>
      </c>
      <c r="P29" s="58" t="str">
        <f ca="1">IF(AND(tbRegistroEntradas[[#This Row],[DATA DE CAIXA REALIZADO]]="N/A",tbRegistroEntradas[[#This Row],[DATA DO CAIXA PREVISTO]]&lt;TODAY()),"Vencida","Não Vencida")</f>
        <v>Não Vencida</v>
      </c>
      <c r="Q29" s="58" t="str">
        <f>IF(tbRegistroEntradas[[#This Row],[DATA DA COMPETÊNCIA]]=tbRegistroEntradas[[#This Row],[DATA DO CAIXA PREVISTO]],"Vista","Prazo")</f>
        <v>Prazo</v>
      </c>
      <c r="R29" s="58" t="str">
        <f>IF(tbRegistroEntradas[[#This Row],[DATA DE CAIXA REALIZADO]]&lt;&gt;"N/A","Em Dia","Com atraso")</f>
        <v>Em Dia</v>
      </c>
    </row>
    <row r="30" spans="1:18" s="52" customFormat="1" ht="14.4" customHeight="1" x14ac:dyDescent="0.3">
      <c r="A30" s="49">
        <v>44253</v>
      </c>
      <c r="B30" s="49">
        <f>A30-31</f>
        <v>44222</v>
      </c>
      <c r="C30" s="111">
        <f>tbRegistroEntradas[[#This Row],[DATA DA COMPETÊNCIA]]</f>
        <v>44222</v>
      </c>
      <c r="D30" s="52" t="s">
        <v>64</v>
      </c>
      <c r="E30" s="52" t="s">
        <v>12</v>
      </c>
      <c r="F30" s="52" t="s">
        <v>16</v>
      </c>
      <c r="G30" s="52" t="s">
        <v>833</v>
      </c>
      <c r="H30" s="126" t="s">
        <v>110</v>
      </c>
      <c r="I30" s="18">
        <v>5679</v>
      </c>
      <c r="J30" s="110" t="str">
        <f>IF(tbRegistroEntradas[[#This Row],[DATA DE CAIXA REALIZADO]]="N/A","0",UPPER(TEXT(tbRegistroEntradas[[#This Row],[DATA DE CAIXA REALIZADO]],"mmm")))</f>
        <v>FEV</v>
      </c>
      <c r="K30" s="57">
        <f>IF(tbRegistroEntradas[[#This Row],[DATA DE CAIXA REALIZADO]]="N/A",0,YEAR(tbRegistroEntradas[[#This Row],[DATA DE CAIXA REALIZADO]]))</f>
        <v>2021</v>
      </c>
      <c r="L30" s="58" t="str">
        <f>IF(tbRegistroEntradas[[#This Row],[DATA DA COMPETÊNCIA]]="N/A","0",UPPER(TEXT(tbRegistroEntradas[[#This Row],[DATA DA COMPETÊNCIA]],"mmm")))</f>
        <v>JAN</v>
      </c>
      <c r="M30" s="58">
        <f>IF(tbRegistroEntradas[[#This Row],[DATA DA COMPETÊNCIA]]="N/A",0,YEAR(tbRegistroEntradas[[#This Row],[DATA DA COMPETÊNCIA]]))</f>
        <v>2021</v>
      </c>
      <c r="N30" s="58" t="str">
        <f>IF(tbRegistroEntradas[[#This Row],[DATA DO CAIXA PREVISTO]]="N/A","0",UPPER(TEXT(tbRegistroEntradas[[#This Row],[DATA DO CAIXA PREVISTO]],"mmm")))</f>
        <v>JAN</v>
      </c>
      <c r="O30" s="58">
        <f>IF(tbRegistroEntradas[[#This Row],[DATA DO CAIXA PREVISTO]]="N/A",0,YEAR(tbRegistroEntradas[[#This Row],[DATA DO CAIXA PREVISTO]]))</f>
        <v>2021</v>
      </c>
      <c r="P30" s="58" t="str">
        <f ca="1">IF(AND(tbRegistroEntradas[[#This Row],[DATA DE CAIXA REALIZADO]]="N/A",tbRegistroEntradas[[#This Row],[DATA DO CAIXA PREVISTO]]&lt;TODAY()),"Vencida","Não Vencida")</f>
        <v>Não Vencida</v>
      </c>
      <c r="Q30" s="58" t="str">
        <f>IF(tbRegistroEntradas[[#This Row],[DATA DA COMPETÊNCIA]]=tbRegistroEntradas[[#This Row],[DATA DO CAIXA PREVISTO]],"Vista","Prazo")</f>
        <v>Vista</v>
      </c>
      <c r="R30" s="58" t="str">
        <f>IF(tbRegistroEntradas[[#This Row],[DATA DE CAIXA REALIZADO]]&lt;&gt;"N/A","Em Dia","Com atraso")</f>
        <v>Em Dia</v>
      </c>
    </row>
    <row r="31" spans="1:18" s="52" customFormat="1" ht="14.4" customHeight="1" x14ac:dyDescent="0.3">
      <c r="A31" s="125">
        <v>44254</v>
      </c>
      <c r="B31" s="125">
        <f>A31-31</f>
        <v>44223</v>
      </c>
      <c r="C31" s="111">
        <f>(A31-B31)+B31-15</f>
        <v>44239</v>
      </c>
      <c r="D31" s="126" t="s">
        <v>137</v>
      </c>
      <c r="E31" s="126" t="s">
        <v>12</v>
      </c>
      <c r="F31" s="126" t="s">
        <v>18</v>
      </c>
      <c r="G31" s="126" t="s">
        <v>688</v>
      </c>
      <c r="H31" s="52" t="s">
        <v>105</v>
      </c>
      <c r="I31" s="127">
        <v>3862</v>
      </c>
      <c r="J31" s="110" t="str">
        <f>IF(tbRegistroEntradas[[#This Row],[DATA DE CAIXA REALIZADO]]="N/A","0",UPPER(TEXT(tbRegistroEntradas[[#This Row],[DATA DE CAIXA REALIZADO]],"mmm")))</f>
        <v>FEV</v>
      </c>
      <c r="K31" s="57">
        <f>IF(tbRegistroEntradas[[#This Row],[DATA DE CAIXA REALIZADO]]="N/A",0,YEAR(tbRegistroEntradas[[#This Row],[DATA DE CAIXA REALIZADO]]))</f>
        <v>2021</v>
      </c>
      <c r="L31" s="58" t="str">
        <f>IF(tbRegistroEntradas[[#This Row],[DATA DA COMPETÊNCIA]]="N/A","0",UPPER(TEXT(tbRegistroEntradas[[#This Row],[DATA DA COMPETÊNCIA]],"mmm")))</f>
        <v>JAN</v>
      </c>
      <c r="M31" s="58">
        <f>IF(tbRegistroEntradas[[#This Row],[DATA DA COMPETÊNCIA]]="N/A",0,YEAR(tbRegistroEntradas[[#This Row],[DATA DA COMPETÊNCIA]]))</f>
        <v>2021</v>
      </c>
      <c r="N31" s="58" t="str">
        <f>IF(tbRegistroEntradas[[#This Row],[DATA DO CAIXA PREVISTO]]="N/A","0",UPPER(TEXT(tbRegistroEntradas[[#This Row],[DATA DO CAIXA PREVISTO]],"mmm")))</f>
        <v>FEV</v>
      </c>
      <c r="O31" s="58">
        <f>IF(tbRegistroEntradas[[#This Row],[DATA DO CAIXA PREVISTO]]="N/A",0,YEAR(tbRegistroEntradas[[#This Row],[DATA DO CAIXA PREVISTO]]))</f>
        <v>2021</v>
      </c>
      <c r="P31" s="58" t="str">
        <f ca="1">IF(AND(tbRegistroEntradas[[#This Row],[DATA DE CAIXA REALIZADO]]="N/A",tbRegistroEntradas[[#This Row],[DATA DO CAIXA PREVISTO]]&lt;TODAY()),"Vencida","Não Vencida")</f>
        <v>Não Vencida</v>
      </c>
      <c r="Q31" s="58" t="str">
        <f>IF(tbRegistroEntradas[[#This Row],[DATA DA COMPETÊNCIA]]=tbRegistroEntradas[[#This Row],[DATA DO CAIXA PREVISTO]],"Vista","Prazo")</f>
        <v>Prazo</v>
      </c>
      <c r="R31" s="58" t="str">
        <f>IF(tbRegistroEntradas[[#This Row],[DATA DE CAIXA REALIZADO]]&lt;&gt;"N/A","Em Dia","Com atraso")</f>
        <v>Em Dia</v>
      </c>
    </row>
    <row r="32" spans="1:18" s="52" customFormat="1" ht="14.4" customHeight="1" x14ac:dyDescent="0.3">
      <c r="A32" s="49">
        <v>44255</v>
      </c>
      <c r="B32" s="49">
        <f>A32-31</f>
        <v>44224</v>
      </c>
      <c r="C32" s="111">
        <f>(A32-B32)+B32-15</f>
        <v>44240</v>
      </c>
      <c r="D32" s="52" t="s">
        <v>63</v>
      </c>
      <c r="E32" s="52" t="s">
        <v>12</v>
      </c>
      <c r="F32" s="52" t="s">
        <v>18</v>
      </c>
      <c r="G32" s="52" t="s">
        <v>777</v>
      </c>
      <c r="H32" s="126" t="s">
        <v>98</v>
      </c>
      <c r="I32" s="18">
        <v>3948</v>
      </c>
      <c r="J32" s="110" t="str">
        <f>IF(tbRegistroEntradas[[#This Row],[DATA DE CAIXA REALIZADO]]="N/A","0",UPPER(TEXT(tbRegistroEntradas[[#This Row],[DATA DE CAIXA REALIZADO]],"mmm")))</f>
        <v>FEV</v>
      </c>
      <c r="K32" s="57">
        <f>IF(tbRegistroEntradas[[#This Row],[DATA DE CAIXA REALIZADO]]="N/A",0,YEAR(tbRegistroEntradas[[#This Row],[DATA DE CAIXA REALIZADO]]))</f>
        <v>2021</v>
      </c>
      <c r="L32" s="58" t="str">
        <f>IF(tbRegistroEntradas[[#This Row],[DATA DA COMPETÊNCIA]]="N/A","0",UPPER(TEXT(tbRegistroEntradas[[#This Row],[DATA DA COMPETÊNCIA]],"mmm")))</f>
        <v>JAN</v>
      </c>
      <c r="M32" s="58">
        <f>IF(tbRegistroEntradas[[#This Row],[DATA DA COMPETÊNCIA]]="N/A",0,YEAR(tbRegistroEntradas[[#This Row],[DATA DA COMPETÊNCIA]]))</f>
        <v>2021</v>
      </c>
      <c r="N32" s="58" t="str">
        <f>IF(tbRegistroEntradas[[#This Row],[DATA DO CAIXA PREVISTO]]="N/A","0",UPPER(TEXT(tbRegistroEntradas[[#This Row],[DATA DO CAIXA PREVISTO]],"mmm")))</f>
        <v>FEV</v>
      </c>
      <c r="O32" s="58">
        <f>IF(tbRegistroEntradas[[#This Row],[DATA DO CAIXA PREVISTO]]="N/A",0,YEAR(tbRegistroEntradas[[#This Row],[DATA DO CAIXA PREVISTO]]))</f>
        <v>2021</v>
      </c>
      <c r="P32" s="58" t="str">
        <f ca="1">IF(AND(tbRegistroEntradas[[#This Row],[DATA DE CAIXA REALIZADO]]="N/A",tbRegistroEntradas[[#This Row],[DATA DO CAIXA PREVISTO]]&lt;TODAY()),"Vencida","Não Vencida")</f>
        <v>Não Vencida</v>
      </c>
      <c r="Q32" s="58" t="str">
        <f>IF(tbRegistroEntradas[[#This Row],[DATA DA COMPETÊNCIA]]=tbRegistroEntradas[[#This Row],[DATA DO CAIXA PREVISTO]],"Vista","Prazo")</f>
        <v>Prazo</v>
      </c>
      <c r="R32" s="58" t="str">
        <f>IF(tbRegistroEntradas[[#This Row],[DATA DE CAIXA REALIZADO]]&lt;&gt;"N/A","Em Dia","Com atraso")</f>
        <v>Em Dia</v>
      </c>
    </row>
    <row r="33" spans="1:18" s="52" customFormat="1" ht="14.4" customHeight="1" x14ac:dyDescent="0.3">
      <c r="A33" s="125">
        <v>44260</v>
      </c>
      <c r="B33" s="125">
        <f>A33-31</f>
        <v>44229</v>
      </c>
      <c r="C33" s="111">
        <f>(A33-B33)+B33-15</f>
        <v>44245</v>
      </c>
      <c r="D33" s="126" t="s">
        <v>61</v>
      </c>
      <c r="E33" s="126" t="s">
        <v>12</v>
      </c>
      <c r="F33" s="126" t="s">
        <v>18</v>
      </c>
      <c r="G33" s="126" t="s">
        <v>834</v>
      </c>
      <c r="H33" s="52" t="s">
        <v>81</v>
      </c>
      <c r="I33" s="127">
        <v>7842</v>
      </c>
      <c r="J33" s="110" t="str">
        <f>IF(tbRegistroEntradas[[#This Row],[DATA DE CAIXA REALIZADO]]="N/A","0",UPPER(TEXT(tbRegistroEntradas[[#This Row],[DATA DE CAIXA REALIZADO]],"mmm")))</f>
        <v>MAR</v>
      </c>
      <c r="K33" s="57">
        <f>IF(tbRegistroEntradas[[#This Row],[DATA DE CAIXA REALIZADO]]="N/A",0,YEAR(tbRegistroEntradas[[#This Row],[DATA DE CAIXA REALIZADO]]))</f>
        <v>2021</v>
      </c>
      <c r="L33" s="58" t="str">
        <f>IF(tbRegistroEntradas[[#This Row],[DATA DA COMPETÊNCIA]]="N/A","0",UPPER(TEXT(tbRegistroEntradas[[#This Row],[DATA DA COMPETÊNCIA]],"mmm")))</f>
        <v>FEV</v>
      </c>
      <c r="M33" s="58">
        <f>IF(tbRegistroEntradas[[#This Row],[DATA DA COMPETÊNCIA]]="N/A",0,YEAR(tbRegistroEntradas[[#This Row],[DATA DA COMPETÊNCIA]]))</f>
        <v>2021</v>
      </c>
      <c r="N33" s="58" t="str">
        <f>IF(tbRegistroEntradas[[#This Row],[DATA DO CAIXA PREVISTO]]="N/A","0",UPPER(TEXT(tbRegistroEntradas[[#This Row],[DATA DO CAIXA PREVISTO]],"mmm")))</f>
        <v>FEV</v>
      </c>
      <c r="O33" s="58">
        <f>IF(tbRegistroEntradas[[#This Row],[DATA DO CAIXA PREVISTO]]="N/A",0,YEAR(tbRegistroEntradas[[#This Row],[DATA DO CAIXA PREVISTO]]))</f>
        <v>2021</v>
      </c>
      <c r="P33" s="58" t="str">
        <f ca="1">IF(AND(tbRegistroEntradas[[#This Row],[DATA DE CAIXA REALIZADO]]="N/A",tbRegistroEntradas[[#This Row],[DATA DO CAIXA PREVISTO]]&lt;TODAY()),"Vencida","Não Vencida")</f>
        <v>Não Vencida</v>
      </c>
      <c r="Q33" s="58" t="str">
        <f>IF(tbRegistroEntradas[[#This Row],[DATA DA COMPETÊNCIA]]=tbRegistroEntradas[[#This Row],[DATA DO CAIXA PREVISTO]],"Vista","Prazo")</f>
        <v>Prazo</v>
      </c>
      <c r="R33" s="58" t="str">
        <f>IF(tbRegistroEntradas[[#This Row],[DATA DE CAIXA REALIZADO]]&lt;&gt;"N/A","Em Dia","Com atraso")</f>
        <v>Em Dia</v>
      </c>
    </row>
    <row r="34" spans="1:18" s="52" customFormat="1" ht="14.4" customHeight="1" x14ac:dyDescent="0.3">
      <c r="A34" s="125">
        <v>44262</v>
      </c>
      <c r="B34" s="125">
        <f>A34-31</f>
        <v>44231</v>
      </c>
      <c r="C34" s="111">
        <f>(A34-B34)+B34-15</f>
        <v>44247</v>
      </c>
      <c r="D34" s="126" t="s">
        <v>137</v>
      </c>
      <c r="E34" s="126" t="s">
        <v>12</v>
      </c>
      <c r="F34" s="126" t="s">
        <v>16</v>
      </c>
      <c r="G34" s="126" t="s">
        <v>1091</v>
      </c>
      <c r="H34" s="52" t="s">
        <v>104</v>
      </c>
      <c r="I34" s="127">
        <v>6481</v>
      </c>
      <c r="J34" s="110" t="str">
        <f>IF(tbRegistroEntradas[[#This Row],[DATA DE CAIXA REALIZADO]]="N/A","0",UPPER(TEXT(tbRegistroEntradas[[#This Row],[DATA DE CAIXA REALIZADO]],"mmm")))</f>
        <v>MAR</v>
      </c>
      <c r="K34" s="57">
        <f>IF(tbRegistroEntradas[[#This Row],[DATA DE CAIXA REALIZADO]]="N/A",0,YEAR(tbRegistroEntradas[[#This Row],[DATA DE CAIXA REALIZADO]]))</f>
        <v>2021</v>
      </c>
      <c r="L34" s="58" t="str">
        <f>IF(tbRegistroEntradas[[#This Row],[DATA DA COMPETÊNCIA]]="N/A","0",UPPER(TEXT(tbRegistroEntradas[[#This Row],[DATA DA COMPETÊNCIA]],"mmm")))</f>
        <v>FEV</v>
      </c>
      <c r="M34" s="58">
        <f>IF(tbRegistroEntradas[[#This Row],[DATA DA COMPETÊNCIA]]="N/A",0,YEAR(tbRegistroEntradas[[#This Row],[DATA DA COMPETÊNCIA]]))</f>
        <v>2021</v>
      </c>
      <c r="N34" s="58" t="str">
        <f>IF(tbRegistroEntradas[[#This Row],[DATA DO CAIXA PREVISTO]]="N/A","0",UPPER(TEXT(tbRegistroEntradas[[#This Row],[DATA DO CAIXA PREVISTO]],"mmm")))</f>
        <v>FEV</v>
      </c>
      <c r="O34" s="58">
        <f>IF(tbRegistroEntradas[[#This Row],[DATA DO CAIXA PREVISTO]]="N/A",0,YEAR(tbRegistroEntradas[[#This Row],[DATA DO CAIXA PREVISTO]]))</f>
        <v>2021</v>
      </c>
      <c r="P34" s="58" t="str">
        <f ca="1">IF(AND(tbRegistroEntradas[[#This Row],[DATA DE CAIXA REALIZADO]]="N/A",tbRegistroEntradas[[#This Row],[DATA DO CAIXA PREVISTO]]&lt;TODAY()),"Vencida","Não Vencida")</f>
        <v>Não Vencida</v>
      </c>
      <c r="Q34" s="58" t="str">
        <f>IF(tbRegistroEntradas[[#This Row],[DATA DA COMPETÊNCIA]]=tbRegistroEntradas[[#This Row],[DATA DO CAIXA PREVISTO]],"Vista","Prazo")</f>
        <v>Prazo</v>
      </c>
      <c r="R34" s="58" t="str">
        <f>IF(tbRegistroEntradas[[#This Row],[DATA DE CAIXA REALIZADO]]&lt;&gt;"N/A","Em Dia","Com atraso")</f>
        <v>Em Dia</v>
      </c>
    </row>
    <row r="35" spans="1:18" s="52" customFormat="1" ht="14.4" customHeight="1" x14ac:dyDescent="0.3">
      <c r="A35" s="125">
        <v>44263</v>
      </c>
      <c r="B35" s="125">
        <f>A35-31</f>
        <v>44232</v>
      </c>
      <c r="C35" s="111">
        <f>(A35-B35)+B35-15</f>
        <v>44248</v>
      </c>
      <c r="D35" s="126" t="s">
        <v>61</v>
      </c>
      <c r="E35" s="126" t="s">
        <v>12</v>
      </c>
      <c r="F35" s="126" t="s">
        <v>16</v>
      </c>
      <c r="G35" s="126" t="s">
        <v>693</v>
      </c>
      <c r="H35" s="52" t="s">
        <v>82</v>
      </c>
      <c r="I35" s="127">
        <v>464</v>
      </c>
      <c r="J35" s="110" t="str">
        <f>IF(tbRegistroEntradas[[#This Row],[DATA DE CAIXA REALIZADO]]="N/A","0",UPPER(TEXT(tbRegistroEntradas[[#This Row],[DATA DE CAIXA REALIZADO]],"mmm")))</f>
        <v>MAR</v>
      </c>
      <c r="K35" s="57">
        <f>IF(tbRegistroEntradas[[#This Row],[DATA DE CAIXA REALIZADO]]="N/A",0,YEAR(tbRegistroEntradas[[#This Row],[DATA DE CAIXA REALIZADO]]))</f>
        <v>2021</v>
      </c>
      <c r="L35" s="58" t="str">
        <f>IF(tbRegistroEntradas[[#This Row],[DATA DA COMPETÊNCIA]]="N/A","0",UPPER(TEXT(tbRegistroEntradas[[#This Row],[DATA DA COMPETÊNCIA]],"mmm")))</f>
        <v>FEV</v>
      </c>
      <c r="M35" s="58">
        <f>IF(tbRegistroEntradas[[#This Row],[DATA DA COMPETÊNCIA]]="N/A",0,YEAR(tbRegistroEntradas[[#This Row],[DATA DA COMPETÊNCIA]]))</f>
        <v>2021</v>
      </c>
      <c r="N35" s="58" t="str">
        <f>IF(tbRegistroEntradas[[#This Row],[DATA DO CAIXA PREVISTO]]="N/A","0",UPPER(TEXT(tbRegistroEntradas[[#This Row],[DATA DO CAIXA PREVISTO]],"mmm")))</f>
        <v>FEV</v>
      </c>
      <c r="O35" s="58">
        <f>IF(tbRegistroEntradas[[#This Row],[DATA DO CAIXA PREVISTO]]="N/A",0,YEAR(tbRegistroEntradas[[#This Row],[DATA DO CAIXA PREVISTO]]))</f>
        <v>2021</v>
      </c>
      <c r="P35" s="58" t="str">
        <f ca="1">IF(AND(tbRegistroEntradas[[#This Row],[DATA DE CAIXA REALIZADO]]="N/A",tbRegistroEntradas[[#This Row],[DATA DO CAIXA PREVISTO]]&lt;TODAY()),"Vencida","Não Vencida")</f>
        <v>Não Vencida</v>
      </c>
      <c r="Q35" s="58" t="str">
        <f>IF(tbRegistroEntradas[[#This Row],[DATA DA COMPETÊNCIA]]=tbRegistroEntradas[[#This Row],[DATA DO CAIXA PREVISTO]],"Vista","Prazo")</f>
        <v>Prazo</v>
      </c>
      <c r="R35" s="58" t="str">
        <f>IF(tbRegistroEntradas[[#This Row],[DATA DE CAIXA REALIZADO]]&lt;&gt;"N/A","Em Dia","Com atraso")</f>
        <v>Em Dia</v>
      </c>
    </row>
    <row r="36" spans="1:18" s="52" customFormat="1" ht="14.4" customHeight="1" x14ac:dyDescent="0.3">
      <c r="A36" s="125">
        <v>44263</v>
      </c>
      <c r="B36" s="125">
        <f>A36-31</f>
        <v>44232</v>
      </c>
      <c r="C36" s="111">
        <f>(A36-B36)+B36-15</f>
        <v>44248</v>
      </c>
      <c r="D36" s="126" t="s">
        <v>61</v>
      </c>
      <c r="E36" s="126" t="s">
        <v>12</v>
      </c>
      <c r="F36" s="126" t="s">
        <v>16</v>
      </c>
      <c r="G36" s="126" t="s">
        <v>886</v>
      </c>
      <c r="H36" s="52" t="s">
        <v>83</v>
      </c>
      <c r="I36" s="127">
        <v>6544</v>
      </c>
      <c r="J36" s="110" t="str">
        <f>IF(tbRegistroEntradas[[#This Row],[DATA DE CAIXA REALIZADO]]="N/A","0",UPPER(TEXT(tbRegistroEntradas[[#This Row],[DATA DE CAIXA REALIZADO]],"mmm")))</f>
        <v>MAR</v>
      </c>
      <c r="K36" s="57">
        <f>IF(tbRegistroEntradas[[#This Row],[DATA DE CAIXA REALIZADO]]="N/A",0,YEAR(tbRegistroEntradas[[#This Row],[DATA DE CAIXA REALIZADO]]))</f>
        <v>2021</v>
      </c>
      <c r="L36" s="58" t="str">
        <f>IF(tbRegistroEntradas[[#This Row],[DATA DA COMPETÊNCIA]]="N/A","0",UPPER(TEXT(tbRegistroEntradas[[#This Row],[DATA DA COMPETÊNCIA]],"mmm")))</f>
        <v>FEV</v>
      </c>
      <c r="M36" s="58">
        <f>IF(tbRegistroEntradas[[#This Row],[DATA DA COMPETÊNCIA]]="N/A",0,YEAR(tbRegistroEntradas[[#This Row],[DATA DA COMPETÊNCIA]]))</f>
        <v>2021</v>
      </c>
      <c r="N36" s="58" t="str">
        <f>IF(tbRegistroEntradas[[#This Row],[DATA DO CAIXA PREVISTO]]="N/A","0",UPPER(TEXT(tbRegistroEntradas[[#This Row],[DATA DO CAIXA PREVISTO]],"mmm")))</f>
        <v>FEV</v>
      </c>
      <c r="O36" s="58">
        <f>IF(tbRegistroEntradas[[#This Row],[DATA DO CAIXA PREVISTO]]="N/A",0,YEAR(tbRegistroEntradas[[#This Row],[DATA DO CAIXA PREVISTO]]))</f>
        <v>2021</v>
      </c>
      <c r="P36" s="58" t="str">
        <f ca="1">IF(AND(tbRegistroEntradas[[#This Row],[DATA DE CAIXA REALIZADO]]="N/A",tbRegistroEntradas[[#This Row],[DATA DO CAIXA PREVISTO]]&lt;TODAY()),"Vencida","Não Vencida")</f>
        <v>Não Vencida</v>
      </c>
      <c r="Q36" s="58" t="str">
        <f>IF(tbRegistroEntradas[[#This Row],[DATA DA COMPETÊNCIA]]=tbRegistroEntradas[[#This Row],[DATA DO CAIXA PREVISTO]],"Vista","Prazo")</f>
        <v>Prazo</v>
      </c>
      <c r="R36" s="58" t="str">
        <f>IF(tbRegistroEntradas[[#This Row],[DATA DE CAIXA REALIZADO]]&lt;&gt;"N/A","Em Dia","Com atraso")</f>
        <v>Em Dia</v>
      </c>
    </row>
    <row r="37" spans="1:18" s="52" customFormat="1" ht="14.4" customHeight="1" x14ac:dyDescent="0.3">
      <c r="A37" s="125">
        <v>44264</v>
      </c>
      <c r="B37" s="125">
        <f>A37-31</f>
        <v>44233</v>
      </c>
      <c r="C37" s="111">
        <f>(A37-B37)+B37-15</f>
        <v>44249</v>
      </c>
      <c r="D37" s="126" t="s">
        <v>66</v>
      </c>
      <c r="E37" s="126" t="s">
        <v>12</v>
      </c>
      <c r="F37" s="126" t="s">
        <v>16</v>
      </c>
      <c r="G37" s="126" t="s">
        <v>776</v>
      </c>
      <c r="H37" s="52" t="s">
        <v>90</v>
      </c>
      <c r="I37" s="127">
        <v>7492</v>
      </c>
      <c r="J37" s="110" t="str">
        <f>IF(tbRegistroEntradas[[#This Row],[DATA DE CAIXA REALIZADO]]="N/A","0",UPPER(TEXT(tbRegistroEntradas[[#This Row],[DATA DE CAIXA REALIZADO]],"mmm")))</f>
        <v>MAR</v>
      </c>
      <c r="K37" s="57">
        <f>IF(tbRegistroEntradas[[#This Row],[DATA DE CAIXA REALIZADO]]="N/A",0,YEAR(tbRegistroEntradas[[#This Row],[DATA DE CAIXA REALIZADO]]))</f>
        <v>2021</v>
      </c>
      <c r="L37" s="58" t="str">
        <f>IF(tbRegistroEntradas[[#This Row],[DATA DA COMPETÊNCIA]]="N/A","0",UPPER(TEXT(tbRegistroEntradas[[#This Row],[DATA DA COMPETÊNCIA]],"mmm")))</f>
        <v>FEV</v>
      </c>
      <c r="M37" s="58">
        <f>IF(tbRegistroEntradas[[#This Row],[DATA DA COMPETÊNCIA]]="N/A",0,YEAR(tbRegistroEntradas[[#This Row],[DATA DA COMPETÊNCIA]]))</f>
        <v>2021</v>
      </c>
      <c r="N37" s="58" t="str">
        <f>IF(tbRegistroEntradas[[#This Row],[DATA DO CAIXA PREVISTO]]="N/A","0",UPPER(TEXT(tbRegistroEntradas[[#This Row],[DATA DO CAIXA PREVISTO]],"mmm")))</f>
        <v>FEV</v>
      </c>
      <c r="O37" s="58">
        <f>IF(tbRegistroEntradas[[#This Row],[DATA DO CAIXA PREVISTO]]="N/A",0,YEAR(tbRegistroEntradas[[#This Row],[DATA DO CAIXA PREVISTO]]))</f>
        <v>2021</v>
      </c>
      <c r="P37" s="58" t="str">
        <f ca="1">IF(AND(tbRegistroEntradas[[#This Row],[DATA DE CAIXA REALIZADO]]="N/A",tbRegistroEntradas[[#This Row],[DATA DO CAIXA PREVISTO]]&lt;TODAY()),"Vencida","Não Vencida")</f>
        <v>Não Vencida</v>
      </c>
      <c r="Q37" s="58" t="str">
        <f>IF(tbRegistroEntradas[[#This Row],[DATA DA COMPETÊNCIA]]=tbRegistroEntradas[[#This Row],[DATA DO CAIXA PREVISTO]],"Vista","Prazo")</f>
        <v>Prazo</v>
      </c>
      <c r="R37" s="58" t="str">
        <f>IF(tbRegistroEntradas[[#This Row],[DATA DE CAIXA REALIZADO]]&lt;&gt;"N/A","Em Dia","Com atraso")</f>
        <v>Em Dia</v>
      </c>
    </row>
    <row r="38" spans="1:18" s="52" customFormat="1" ht="14.4" customHeight="1" x14ac:dyDescent="0.3">
      <c r="A38" s="49">
        <v>44270</v>
      </c>
      <c r="B38" s="49">
        <f>A38-31</f>
        <v>44239</v>
      </c>
      <c r="C38" s="111">
        <f>tbRegistroEntradas[[#This Row],[DATA DA COMPETÊNCIA]]</f>
        <v>44239</v>
      </c>
      <c r="D38" s="52" t="s">
        <v>65</v>
      </c>
      <c r="E38" s="52" t="s">
        <v>12</v>
      </c>
      <c r="F38" s="52" t="s">
        <v>17</v>
      </c>
      <c r="G38" s="52" t="s">
        <v>666</v>
      </c>
      <c r="H38" s="52" t="s">
        <v>89</v>
      </c>
      <c r="I38" s="18">
        <v>6200</v>
      </c>
      <c r="J38" s="110" t="str">
        <f>IF(tbRegistroEntradas[[#This Row],[DATA DE CAIXA REALIZADO]]="N/A","0",UPPER(TEXT(tbRegistroEntradas[[#This Row],[DATA DE CAIXA REALIZADO]],"mmm")))</f>
        <v>MAR</v>
      </c>
      <c r="K38" s="57">
        <f>IF(tbRegistroEntradas[[#This Row],[DATA DE CAIXA REALIZADO]]="N/A",0,YEAR(tbRegistroEntradas[[#This Row],[DATA DE CAIXA REALIZADO]]))</f>
        <v>2021</v>
      </c>
      <c r="L38" s="58" t="str">
        <f>IF(tbRegistroEntradas[[#This Row],[DATA DA COMPETÊNCIA]]="N/A","0",UPPER(TEXT(tbRegistroEntradas[[#This Row],[DATA DA COMPETÊNCIA]],"mmm")))</f>
        <v>FEV</v>
      </c>
      <c r="M38" s="58">
        <f>IF(tbRegistroEntradas[[#This Row],[DATA DA COMPETÊNCIA]]="N/A",0,YEAR(tbRegistroEntradas[[#This Row],[DATA DA COMPETÊNCIA]]))</f>
        <v>2021</v>
      </c>
      <c r="N38" s="58" t="str">
        <f>IF(tbRegistroEntradas[[#This Row],[DATA DO CAIXA PREVISTO]]="N/A","0",UPPER(TEXT(tbRegistroEntradas[[#This Row],[DATA DO CAIXA PREVISTO]],"mmm")))</f>
        <v>FEV</v>
      </c>
      <c r="O38" s="58">
        <f>IF(tbRegistroEntradas[[#This Row],[DATA DO CAIXA PREVISTO]]="N/A",0,YEAR(tbRegistroEntradas[[#This Row],[DATA DO CAIXA PREVISTO]]))</f>
        <v>2021</v>
      </c>
      <c r="P38" s="58" t="str">
        <f ca="1">IF(AND(tbRegistroEntradas[[#This Row],[DATA DE CAIXA REALIZADO]]="N/A",tbRegistroEntradas[[#This Row],[DATA DO CAIXA PREVISTO]]&lt;TODAY()),"Vencida","Não Vencida")</f>
        <v>Não Vencida</v>
      </c>
      <c r="Q38" s="58" t="str">
        <f>IF(tbRegistroEntradas[[#This Row],[DATA DA COMPETÊNCIA]]=tbRegistroEntradas[[#This Row],[DATA DO CAIXA PREVISTO]],"Vista","Prazo")</f>
        <v>Vista</v>
      </c>
      <c r="R38" s="58" t="str">
        <f>IF(tbRegistroEntradas[[#This Row],[DATA DE CAIXA REALIZADO]]&lt;&gt;"N/A","Em Dia","Com atraso")</f>
        <v>Em Dia</v>
      </c>
    </row>
    <row r="39" spans="1:18" s="52" customFormat="1" ht="14.4" customHeight="1" x14ac:dyDescent="0.3">
      <c r="A39" s="49">
        <v>44271</v>
      </c>
      <c r="B39" s="49">
        <f>A39-31</f>
        <v>44240</v>
      </c>
      <c r="C39" s="111">
        <f>(A39-B39)+B39-15</f>
        <v>44256</v>
      </c>
      <c r="D39" s="52" t="s">
        <v>64</v>
      </c>
      <c r="E39" s="52" t="s">
        <v>12</v>
      </c>
      <c r="F39" s="52" t="s">
        <v>32</v>
      </c>
      <c r="G39" s="52" t="s">
        <v>694</v>
      </c>
      <c r="H39" s="52" t="s">
        <v>111</v>
      </c>
      <c r="I39" s="18">
        <v>5814</v>
      </c>
      <c r="J39" s="110" t="str">
        <f>IF(tbRegistroEntradas[[#This Row],[DATA DE CAIXA REALIZADO]]="N/A","0",UPPER(TEXT(tbRegistroEntradas[[#This Row],[DATA DE CAIXA REALIZADO]],"mmm")))</f>
        <v>MAR</v>
      </c>
      <c r="K39" s="57">
        <f>IF(tbRegistroEntradas[[#This Row],[DATA DE CAIXA REALIZADO]]="N/A",0,YEAR(tbRegistroEntradas[[#This Row],[DATA DE CAIXA REALIZADO]]))</f>
        <v>2021</v>
      </c>
      <c r="L39" s="58" t="str">
        <f>IF(tbRegistroEntradas[[#This Row],[DATA DA COMPETÊNCIA]]="N/A","0",UPPER(TEXT(tbRegistroEntradas[[#This Row],[DATA DA COMPETÊNCIA]],"mmm")))</f>
        <v>FEV</v>
      </c>
      <c r="M39" s="58">
        <f>IF(tbRegistroEntradas[[#This Row],[DATA DA COMPETÊNCIA]]="N/A",0,YEAR(tbRegistroEntradas[[#This Row],[DATA DA COMPETÊNCIA]]))</f>
        <v>2021</v>
      </c>
      <c r="N39" s="58" t="str">
        <f>IF(tbRegistroEntradas[[#This Row],[DATA DO CAIXA PREVISTO]]="N/A","0",UPPER(TEXT(tbRegistroEntradas[[#This Row],[DATA DO CAIXA PREVISTO]],"mmm")))</f>
        <v>MAR</v>
      </c>
      <c r="O39" s="58">
        <f>IF(tbRegistroEntradas[[#This Row],[DATA DO CAIXA PREVISTO]]="N/A",0,YEAR(tbRegistroEntradas[[#This Row],[DATA DO CAIXA PREVISTO]]))</f>
        <v>2021</v>
      </c>
      <c r="P39" s="58" t="str">
        <f ca="1">IF(AND(tbRegistroEntradas[[#This Row],[DATA DE CAIXA REALIZADO]]="N/A",tbRegistroEntradas[[#This Row],[DATA DO CAIXA PREVISTO]]&lt;TODAY()),"Vencida","Não Vencida")</f>
        <v>Não Vencida</v>
      </c>
      <c r="Q39" s="58" t="str">
        <f>IF(tbRegistroEntradas[[#This Row],[DATA DA COMPETÊNCIA]]=tbRegistroEntradas[[#This Row],[DATA DO CAIXA PREVISTO]],"Vista","Prazo")</f>
        <v>Prazo</v>
      </c>
      <c r="R39" s="58" t="str">
        <f>IF(tbRegistroEntradas[[#This Row],[DATA DE CAIXA REALIZADO]]&lt;&gt;"N/A","Em Dia","Com atraso")</f>
        <v>Em Dia</v>
      </c>
    </row>
    <row r="40" spans="1:18" s="52" customFormat="1" ht="14.4" customHeight="1" x14ac:dyDescent="0.3">
      <c r="A40" s="49">
        <v>44275</v>
      </c>
      <c r="B40" s="49">
        <f>A40-31</f>
        <v>44244</v>
      </c>
      <c r="C40" s="111">
        <f>tbRegistroEntradas[[#This Row],[DATA DA COMPETÊNCIA]]</f>
        <v>44244</v>
      </c>
      <c r="D40" s="52" t="s">
        <v>63</v>
      </c>
      <c r="E40" s="52" t="s">
        <v>12</v>
      </c>
      <c r="F40" s="52" t="s">
        <v>32</v>
      </c>
      <c r="G40" s="52" t="s">
        <v>908</v>
      </c>
      <c r="H40" s="52" t="s">
        <v>102</v>
      </c>
      <c r="I40" s="18">
        <v>5989</v>
      </c>
      <c r="J40" s="110" t="str">
        <f>IF(tbRegistroEntradas[[#This Row],[DATA DE CAIXA REALIZADO]]="N/A","0",UPPER(TEXT(tbRegistroEntradas[[#This Row],[DATA DE CAIXA REALIZADO]],"mmm")))</f>
        <v>MAR</v>
      </c>
      <c r="K40" s="57">
        <f>IF(tbRegistroEntradas[[#This Row],[DATA DE CAIXA REALIZADO]]="N/A",0,YEAR(tbRegistroEntradas[[#This Row],[DATA DE CAIXA REALIZADO]]))</f>
        <v>2021</v>
      </c>
      <c r="L40" s="58" t="str">
        <f>IF(tbRegistroEntradas[[#This Row],[DATA DA COMPETÊNCIA]]="N/A","0",UPPER(TEXT(tbRegistroEntradas[[#This Row],[DATA DA COMPETÊNCIA]],"mmm")))</f>
        <v>FEV</v>
      </c>
      <c r="M40" s="58">
        <f>IF(tbRegistroEntradas[[#This Row],[DATA DA COMPETÊNCIA]]="N/A",0,YEAR(tbRegistroEntradas[[#This Row],[DATA DA COMPETÊNCIA]]))</f>
        <v>2021</v>
      </c>
      <c r="N40" s="58" t="str">
        <f>IF(tbRegistroEntradas[[#This Row],[DATA DO CAIXA PREVISTO]]="N/A","0",UPPER(TEXT(tbRegistroEntradas[[#This Row],[DATA DO CAIXA PREVISTO]],"mmm")))</f>
        <v>FEV</v>
      </c>
      <c r="O40" s="58">
        <f>IF(tbRegistroEntradas[[#This Row],[DATA DO CAIXA PREVISTO]]="N/A",0,YEAR(tbRegistroEntradas[[#This Row],[DATA DO CAIXA PREVISTO]]))</f>
        <v>2021</v>
      </c>
      <c r="P40" s="58" t="str">
        <f ca="1">IF(AND(tbRegistroEntradas[[#This Row],[DATA DE CAIXA REALIZADO]]="N/A",tbRegistroEntradas[[#This Row],[DATA DO CAIXA PREVISTO]]&lt;TODAY()),"Vencida","Não Vencida")</f>
        <v>Não Vencida</v>
      </c>
      <c r="Q40" s="58" t="str">
        <f>IF(tbRegistroEntradas[[#This Row],[DATA DA COMPETÊNCIA]]=tbRegistroEntradas[[#This Row],[DATA DO CAIXA PREVISTO]],"Vista","Prazo")</f>
        <v>Vista</v>
      </c>
      <c r="R40" s="58" t="str">
        <f>IF(tbRegistroEntradas[[#This Row],[DATA DE CAIXA REALIZADO]]&lt;&gt;"N/A","Em Dia","Com atraso")</f>
        <v>Em Dia</v>
      </c>
    </row>
    <row r="41" spans="1:18" s="52" customFormat="1" ht="14.4" customHeight="1" x14ac:dyDescent="0.3">
      <c r="A41" s="49">
        <v>44275</v>
      </c>
      <c r="B41" s="49">
        <f>A41-31</f>
        <v>44244</v>
      </c>
      <c r="C41" s="111">
        <f>(A41-B41)+B41-15</f>
        <v>44260</v>
      </c>
      <c r="D41" s="52" t="s">
        <v>63</v>
      </c>
      <c r="E41" s="52" t="s">
        <v>12</v>
      </c>
      <c r="F41" s="52" t="s">
        <v>18</v>
      </c>
      <c r="G41" s="52" t="s">
        <v>1108</v>
      </c>
      <c r="H41" s="52" t="s">
        <v>103</v>
      </c>
      <c r="I41" s="18">
        <v>7345</v>
      </c>
      <c r="J41" s="110" t="str">
        <f>IF(tbRegistroEntradas[[#This Row],[DATA DE CAIXA REALIZADO]]="N/A","0",UPPER(TEXT(tbRegistroEntradas[[#This Row],[DATA DE CAIXA REALIZADO]],"mmm")))</f>
        <v>MAR</v>
      </c>
      <c r="K41" s="57">
        <f>IF(tbRegistroEntradas[[#This Row],[DATA DE CAIXA REALIZADO]]="N/A",0,YEAR(tbRegistroEntradas[[#This Row],[DATA DE CAIXA REALIZADO]]))</f>
        <v>2021</v>
      </c>
      <c r="L41" s="58" t="str">
        <f>IF(tbRegistroEntradas[[#This Row],[DATA DA COMPETÊNCIA]]="N/A","0",UPPER(TEXT(tbRegistroEntradas[[#This Row],[DATA DA COMPETÊNCIA]],"mmm")))</f>
        <v>FEV</v>
      </c>
      <c r="M41" s="58">
        <f>IF(tbRegistroEntradas[[#This Row],[DATA DA COMPETÊNCIA]]="N/A",0,YEAR(tbRegistroEntradas[[#This Row],[DATA DA COMPETÊNCIA]]))</f>
        <v>2021</v>
      </c>
      <c r="N41" s="58" t="str">
        <f>IF(tbRegistroEntradas[[#This Row],[DATA DO CAIXA PREVISTO]]="N/A","0",UPPER(TEXT(tbRegistroEntradas[[#This Row],[DATA DO CAIXA PREVISTO]],"mmm")))</f>
        <v>MAR</v>
      </c>
      <c r="O41" s="58">
        <f>IF(tbRegistroEntradas[[#This Row],[DATA DO CAIXA PREVISTO]]="N/A",0,YEAR(tbRegistroEntradas[[#This Row],[DATA DO CAIXA PREVISTO]]))</f>
        <v>2021</v>
      </c>
      <c r="P41" s="58" t="str">
        <f ca="1">IF(AND(tbRegistroEntradas[[#This Row],[DATA DE CAIXA REALIZADO]]="N/A",tbRegistroEntradas[[#This Row],[DATA DO CAIXA PREVISTO]]&lt;TODAY()),"Vencida","Não Vencida")</f>
        <v>Não Vencida</v>
      </c>
      <c r="Q41" s="58" t="str">
        <f>IF(tbRegistroEntradas[[#This Row],[DATA DA COMPETÊNCIA]]=tbRegistroEntradas[[#This Row],[DATA DO CAIXA PREVISTO]],"Vista","Prazo")</f>
        <v>Prazo</v>
      </c>
      <c r="R41" s="58" t="str">
        <f>IF(tbRegistroEntradas[[#This Row],[DATA DE CAIXA REALIZADO]]&lt;&gt;"N/A","Em Dia","Com atraso")</f>
        <v>Em Dia</v>
      </c>
    </row>
    <row r="42" spans="1:18" s="52" customFormat="1" ht="14.4" customHeight="1" x14ac:dyDescent="0.3">
      <c r="A42" s="49">
        <v>44276</v>
      </c>
      <c r="B42" s="49">
        <f>A42-31</f>
        <v>44245</v>
      </c>
      <c r="C42" s="111">
        <f>tbRegistroEntradas[[#This Row],[DATA DA COMPETÊNCIA]]</f>
        <v>44245</v>
      </c>
      <c r="D42" s="52" t="s">
        <v>64</v>
      </c>
      <c r="E42" s="52" t="s">
        <v>12</v>
      </c>
      <c r="F42" s="52" t="s">
        <v>32</v>
      </c>
      <c r="G42" s="52" t="s">
        <v>970</v>
      </c>
      <c r="H42" s="52" t="s">
        <v>112</v>
      </c>
      <c r="I42" s="18">
        <v>7052</v>
      </c>
      <c r="J42" s="110" t="str">
        <f>IF(tbRegistroEntradas[[#This Row],[DATA DE CAIXA REALIZADO]]="N/A","0",UPPER(TEXT(tbRegistroEntradas[[#This Row],[DATA DE CAIXA REALIZADO]],"mmm")))</f>
        <v>MAR</v>
      </c>
      <c r="K42" s="57">
        <f>IF(tbRegistroEntradas[[#This Row],[DATA DE CAIXA REALIZADO]]="N/A",0,YEAR(tbRegistroEntradas[[#This Row],[DATA DE CAIXA REALIZADO]]))</f>
        <v>2021</v>
      </c>
      <c r="L42" s="58" t="str">
        <f>IF(tbRegistroEntradas[[#This Row],[DATA DA COMPETÊNCIA]]="N/A","0",UPPER(TEXT(tbRegistroEntradas[[#This Row],[DATA DA COMPETÊNCIA]],"mmm")))</f>
        <v>FEV</v>
      </c>
      <c r="M42" s="58">
        <f>IF(tbRegistroEntradas[[#This Row],[DATA DA COMPETÊNCIA]]="N/A",0,YEAR(tbRegistroEntradas[[#This Row],[DATA DA COMPETÊNCIA]]))</f>
        <v>2021</v>
      </c>
      <c r="N42" s="58" t="str">
        <f>IF(tbRegistroEntradas[[#This Row],[DATA DO CAIXA PREVISTO]]="N/A","0",UPPER(TEXT(tbRegistroEntradas[[#This Row],[DATA DO CAIXA PREVISTO]],"mmm")))</f>
        <v>FEV</v>
      </c>
      <c r="O42" s="58">
        <f>IF(tbRegistroEntradas[[#This Row],[DATA DO CAIXA PREVISTO]]="N/A",0,YEAR(tbRegistroEntradas[[#This Row],[DATA DO CAIXA PREVISTO]]))</f>
        <v>2021</v>
      </c>
      <c r="P42" s="58" t="str">
        <f ca="1">IF(AND(tbRegistroEntradas[[#This Row],[DATA DE CAIXA REALIZADO]]="N/A",tbRegistroEntradas[[#This Row],[DATA DO CAIXA PREVISTO]]&lt;TODAY()),"Vencida","Não Vencida")</f>
        <v>Não Vencida</v>
      </c>
      <c r="Q42" s="58" t="str">
        <f>IF(tbRegistroEntradas[[#This Row],[DATA DA COMPETÊNCIA]]=tbRegistroEntradas[[#This Row],[DATA DO CAIXA PREVISTO]],"Vista","Prazo")</f>
        <v>Vista</v>
      </c>
      <c r="R42" s="58" t="str">
        <f>IF(tbRegistroEntradas[[#This Row],[DATA DE CAIXA REALIZADO]]&lt;&gt;"N/A","Em Dia","Com atraso")</f>
        <v>Em Dia</v>
      </c>
    </row>
    <row r="43" spans="1:18" s="52" customFormat="1" ht="14.4" customHeight="1" x14ac:dyDescent="0.3">
      <c r="A43" s="125">
        <v>44281</v>
      </c>
      <c r="B43" s="125">
        <f>A43-31</f>
        <v>44250</v>
      </c>
      <c r="C43" s="111">
        <f>(A43-B43)+B43-15</f>
        <v>44266</v>
      </c>
      <c r="D43" s="126" t="s">
        <v>61</v>
      </c>
      <c r="E43" s="126" t="s">
        <v>12</v>
      </c>
      <c r="F43" s="126" t="s">
        <v>18</v>
      </c>
      <c r="G43" s="126" t="s">
        <v>1046</v>
      </c>
      <c r="H43" s="52" t="s">
        <v>84</v>
      </c>
      <c r="I43" s="127">
        <v>3482</v>
      </c>
      <c r="J43" s="110" t="str">
        <f>IF(tbRegistroEntradas[[#This Row],[DATA DE CAIXA REALIZADO]]="N/A","0",UPPER(TEXT(tbRegistroEntradas[[#This Row],[DATA DE CAIXA REALIZADO]],"mmm")))</f>
        <v>MAR</v>
      </c>
      <c r="K43" s="57">
        <f>IF(tbRegistroEntradas[[#This Row],[DATA DE CAIXA REALIZADO]]="N/A",0,YEAR(tbRegistroEntradas[[#This Row],[DATA DE CAIXA REALIZADO]]))</f>
        <v>2021</v>
      </c>
      <c r="L43" s="58" t="str">
        <f>IF(tbRegistroEntradas[[#This Row],[DATA DA COMPETÊNCIA]]="N/A","0",UPPER(TEXT(tbRegistroEntradas[[#This Row],[DATA DA COMPETÊNCIA]],"mmm")))</f>
        <v>FEV</v>
      </c>
      <c r="M43" s="58">
        <f>IF(tbRegistroEntradas[[#This Row],[DATA DA COMPETÊNCIA]]="N/A",0,YEAR(tbRegistroEntradas[[#This Row],[DATA DA COMPETÊNCIA]]))</f>
        <v>2021</v>
      </c>
      <c r="N43" s="58" t="str">
        <f>IF(tbRegistroEntradas[[#This Row],[DATA DO CAIXA PREVISTO]]="N/A","0",UPPER(TEXT(tbRegistroEntradas[[#This Row],[DATA DO CAIXA PREVISTO]],"mmm")))</f>
        <v>MAR</v>
      </c>
      <c r="O43" s="58">
        <f>IF(tbRegistroEntradas[[#This Row],[DATA DO CAIXA PREVISTO]]="N/A",0,YEAR(tbRegistroEntradas[[#This Row],[DATA DO CAIXA PREVISTO]]))</f>
        <v>2021</v>
      </c>
      <c r="P43" s="58" t="str">
        <f ca="1">IF(AND(tbRegistroEntradas[[#This Row],[DATA DE CAIXA REALIZADO]]="N/A",tbRegistroEntradas[[#This Row],[DATA DO CAIXA PREVISTO]]&lt;TODAY()),"Vencida","Não Vencida")</f>
        <v>Não Vencida</v>
      </c>
      <c r="Q43" s="58" t="str">
        <f>IF(tbRegistroEntradas[[#This Row],[DATA DA COMPETÊNCIA]]=tbRegistroEntradas[[#This Row],[DATA DO CAIXA PREVISTO]],"Vista","Prazo")</f>
        <v>Prazo</v>
      </c>
      <c r="R43" s="58" t="str">
        <f>IF(tbRegistroEntradas[[#This Row],[DATA DE CAIXA REALIZADO]]&lt;&gt;"N/A","Em Dia","Com atraso")</f>
        <v>Em Dia</v>
      </c>
    </row>
    <row r="44" spans="1:18" s="52" customFormat="1" ht="14.4" customHeight="1" x14ac:dyDescent="0.3">
      <c r="A44" s="49">
        <v>44285</v>
      </c>
      <c r="B44" s="49">
        <f>A44-31</f>
        <v>44254</v>
      </c>
      <c r="C44" s="111">
        <f>tbRegistroEntradas[[#This Row],[DATA DA COMPETÊNCIA]]</f>
        <v>44254</v>
      </c>
      <c r="D44" s="52" t="s">
        <v>64</v>
      </c>
      <c r="E44" s="52" t="s">
        <v>12</v>
      </c>
      <c r="F44" s="52" t="s">
        <v>18</v>
      </c>
      <c r="G44" s="52" t="s">
        <v>1066</v>
      </c>
      <c r="H44" s="52" t="s">
        <v>113</v>
      </c>
      <c r="I44" s="18">
        <v>2960</v>
      </c>
      <c r="J44" s="110" t="str">
        <f>IF(tbRegistroEntradas[[#This Row],[DATA DE CAIXA REALIZADO]]="N/A","0",UPPER(TEXT(tbRegistroEntradas[[#This Row],[DATA DE CAIXA REALIZADO]],"mmm")))</f>
        <v>MAR</v>
      </c>
      <c r="K44" s="57">
        <f>IF(tbRegistroEntradas[[#This Row],[DATA DE CAIXA REALIZADO]]="N/A",0,YEAR(tbRegistroEntradas[[#This Row],[DATA DE CAIXA REALIZADO]]))</f>
        <v>2021</v>
      </c>
      <c r="L44" s="58" t="str">
        <f>IF(tbRegistroEntradas[[#This Row],[DATA DA COMPETÊNCIA]]="N/A","0",UPPER(TEXT(tbRegistroEntradas[[#This Row],[DATA DA COMPETÊNCIA]],"mmm")))</f>
        <v>FEV</v>
      </c>
      <c r="M44" s="58">
        <f>IF(tbRegistroEntradas[[#This Row],[DATA DA COMPETÊNCIA]]="N/A",0,YEAR(tbRegistroEntradas[[#This Row],[DATA DA COMPETÊNCIA]]))</f>
        <v>2021</v>
      </c>
      <c r="N44" s="58" t="str">
        <f>IF(tbRegistroEntradas[[#This Row],[DATA DO CAIXA PREVISTO]]="N/A","0",UPPER(TEXT(tbRegistroEntradas[[#This Row],[DATA DO CAIXA PREVISTO]],"mmm")))</f>
        <v>FEV</v>
      </c>
      <c r="O44" s="58">
        <f>IF(tbRegistroEntradas[[#This Row],[DATA DO CAIXA PREVISTO]]="N/A",0,YEAR(tbRegistroEntradas[[#This Row],[DATA DO CAIXA PREVISTO]]))</f>
        <v>2021</v>
      </c>
      <c r="P44" s="58" t="str">
        <f ca="1">IF(AND(tbRegistroEntradas[[#This Row],[DATA DE CAIXA REALIZADO]]="N/A",tbRegistroEntradas[[#This Row],[DATA DO CAIXA PREVISTO]]&lt;TODAY()),"Vencida","Não Vencida")</f>
        <v>Não Vencida</v>
      </c>
      <c r="Q44" s="58" t="str">
        <f>IF(tbRegistroEntradas[[#This Row],[DATA DA COMPETÊNCIA]]=tbRegistroEntradas[[#This Row],[DATA DO CAIXA PREVISTO]],"Vista","Prazo")</f>
        <v>Vista</v>
      </c>
      <c r="R44" s="58" t="str">
        <f>IF(tbRegistroEntradas[[#This Row],[DATA DE CAIXA REALIZADO]]&lt;&gt;"N/A","Em Dia","Com atraso")</f>
        <v>Em Dia</v>
      </c>
    </row>
    <row r="45" spans="1:18" s="52" customFormat="1" ht="14.4" customHeight="1" x14ac:dyDescent="0.3">
      <c r="A45" s="125">
        <v>44288</v>
      </c>
      <c r="B45" s="125">
        <f>A45-31</f>
        <v>44257</v>
      </c>
      <c r="C45" s="111">
        <f>(A45-B45)+B45-15</f>
        <v>44273</v>
      </c>
      <c r="D45" s="126" t="s">
        <v>137</v>
      </c>
      <c r="E45" s="126" t="s">
        <v>12</v>
      </c>
      <c r="F45" s="126" t="s">
        <v>17</v>
      </c>
      <c r="G45" s="126" t="s">
        <v>840</v>
      </c>
      <c r="H45" s="52" t="s">
        <v>106</v>
      </c>
      <c r="I45" s="127">
        <v>4425</v>
      </c>
      <c r="J45" s="110" t="str">
        <f>IF(tbRegistroEntradas[[#This Row],[DATA DE CAIXA REALIZADO]]="N/A","0",UPPER(TEXT(tbRegistroEntradas[[#This Row],[DATA DE CAIXA REALIZADO]],"mmm")))</f>
        <v>ABR</v>
      </c>
      <c r="K45" s="57">
        <f>IF(tbRegistroEntradas[[#This Row],[DATA DE CAIXA REALIZADO]]="N/A",0,YEAR(tbRegistroEntradas[[#This Row],[DATA DE CAIXA REALIZADO]]))</f>
        <v>2021</v>
      </c>
      <c r="L45" s="58" t="str">
        <f>IF(tbRegistroEntradas[[#This Row],[DATA DA COMPETÊNCIA]]="N/A","0",UPPER(TEXT(tbRegistroEntradas[[#This Row],[DATA DA COMPETÊNCIA]],"mmm")))</f>
        <v>MAR</v>
      </c>
      <c r="M45" s="58">
        <f>IF(tbRegistroEntradas[[#This Row],[DATA DA COMPETÊNCIA]]="N/A",0,YEAR(tbRegistroEntradas[[#This Row],[DATA DA COMPETÊNCIA]]))</f>
        <v>2021</v>
      </c>
      <c r="N45" s="58" t="str">
        <f>IF(tbRegistroEntradas[[#This Row],[DATA DO CAIXA PREVISTO]]="N/A","0",UPPER(TEXT(tbRegistroEntradas[[#This Row],[DATA DO CAIXA PREVISTO]],"mmm")))</f>
        <v>MAR</v>
      </c>
      <c r="O45" s="58">
        <f>IF(tbRegistroEntradas[[#This Row],[DATA DO CAIXA PREVISTO]]="N/A",0,YEAR(tbRegistroEntradas[[#This Row],[DATA DO CAIXA PREVISTO]]))</f>
        <v>2021</v>
      </c>
      <c r="P45" s="58" t="str">
        <f ca="1">IF(AND(tbRegistroEntradas[[#This Row],[DATA DE CAIXA REALIZADO]]="N/A",tbRegistroEntradas[[#This Row],[DATA DO CAIXA PREVISTO]]&lt;TODAY()),"Vencida","Não Vencida")</f>
        <v>Não Vencida</v>
      </c>
      <c r="Q45" s="58" t="str">
        <f>IF(tbRegistroEntradas[[#This Row],[DATA DA COMPETÊNCIA]]=tbRegistroEntradas[[#This Row],[DATA DO CAIXA PREVISTO]],"Vista","Prazo")</f>
        <v>Prazo</v>
      </c>
      <c r="R45" s="58" t="str">
        <f>IF(tbRegistroEntradas[[#This Row],[DATA DE CAIXA REALIZADO]]&lt;&gt;"N/A","Em Dia","Com atraso")</f>
        <v>Em Dia</v>
      </c>
    </row>
    <row r="46" spans="1:18" s="52" customFormat="1" ht="14.4" customHeight="1" x14ac:dyDescent="0.3">
      <c r="A46" s="49">
        <v>44289</v>
      </c>
      <c r="B46" s="49">
        <f>A46-31</f>
        <v>44258</v>
      </c>
      <c r="C46" s="111">
        <f>(A46-B46)+B46-15</f>
        <v>44274</v>
      </c>
      <c r="D46" s="52" t="s">
        <v>67</v>
      </c>
      <c r="E46" s="52" t="s">
        <v>12</v>
      </c>
      <c r="F46" s="52" t="s">
        <v>17</v>
      </c>
      <c r="G46" s="52" t="s">
        <v>682</v>
      </c>
      <c r="H46" s="52" t="s">
        <v>130</v>
      </c>
      <c r="I46" s="18">
        <v>4621</v>
      </c>
      <c r="J46" s="110" t="str">
        <f>IF(tbRegistroEntradas[[#This Row],[DATA DE CAIXA REALIZADO]]="N/A","0",UPPER(TEXT(tbRegistroEntradas[[#This Row],[DATA DE CAIXA REALIZADO]],"mmm")))</f>
        <v>ABR</v>
      </c>
      <c r="K46" s="57">
        <f>IF(tbRegistroEntradas[[#This Row],[DATA DE CAIXA REALIZADO]]="N/A",0,YEAR(tbRegistroEntradas[[#This Row],[DATA DE CAIXA REALIZADO]]))</f>
        <v>2021</v>
      </c>
      <c r="L46" s="58" t="str">
        <f>IF(tbRegistroEntradas[[#This Row],[DATA DA COMPETÊNCIA]]="N/A","0",UPPER(TEXT(tbRegistroEntradas[[#This Row],[DATA DA COMPETÊNCIA]],"mmm")))</f>
        <v>MAR</v>
      </c>
      <c r="M46" s="58">
        <f>IF(tbRegistroEntradas[[#This Row],[DATA DA COMPETÊNCIA]]="N/A",0,YEAR(tbRegistroEntradas[[#This Row],[DATA DA COMPETÊNCIA]]))</f>
        <v>2021</v>
      </c>
      <c r="N46" s="58" t="str">
        <f>IF(tbRegistroEntradas[[#This Row],[DATA DO CAIXA PREVISTO]]="N/A","0",UPPER(TEXT(tbRegistroEntradas[[#This Row],[DATA DO CAIXA PREVISTO]],"mmm")))</f>
        <v>MAR</v>
      </c>
      <c r="O46" s="58">
        <f>IF(tbRegistroEntradas[[#This Row],[DATA DO CAIXA PREVISTO]]="N/A",0,YEAR(tbRegistroEntradas[[#This Row],[DATA DO CAIXA PREVISTO]]))</f>
        <v>2021</v>
      </c>
      <c r="P46" s="58" t="str">
        <f ca="1">IF(AND(tbRegistroEntradas[[#This Row],[DATA DE CAIXA REALIZADO]]="N/A",tbRegistroEntradas[[#This Row],[DATA DO CAIXA PREVISTO]]&lt;TODAY()),"Vencida","Não Vencida")</f>
        <v>Não Vencida</v>
      </c>
      <c r="Q46" s="58" t="str">
        <f>IF(tbRegistroEntradas[[#This Row],[DATA DA COMPETÊNCIA]]=tbRegistroEntradas[[#This Row],[DATA DO CAIXA PREVISTO]],"Vista","Prazo")</f>
        <v>Prazo</v>
      </c>
      <c r="R46" s="58" t="str">
        <f>IF(tbRegistroEntradas[[#This Row],[DATA DE CAIXA REALIZADO]]&lt;&gt;"N/A","Em Dia","Com atraso")</f>
        <v>Em Dia</v>
      </c>
    </row>
    <row r="47" spans="1:18" s="52" customFormat="1" ht="14.4" customHeight="1" x14ac:dyDescent="0.3">
      <c r="A47" s="125">
        <v>44295</v>
      </c>
      <c r="B47" s="125">
        <f>A47-31</f>
        <v>44264</v>
      </c>
      <c r="C47" s="111">
        <f>(A47-B47)+B47-15</f>
        <v>44280</v>
      </c>
      <c r="D47" s="126" t="s">
        <v>64</v>
      </c>
      <c r="E47" s="126" t="s">
        <v>12</v>
      </c>
      <c r="F47" s="126" t="s">
        <v>17</v>
      </c>
      <c r="G47" s="126" t="s">
        <v>882</v>
      </c>
      <c r="H47" s="52" t="s">
        <v>114</v>
      </c>
      <c r="I47" s="127">
        <v>2966</v>
      </c>
      <c r="J47" s="110" t="str">
        <f>IF(tbRegistroEntradas[[#This Row],[DATA DE CAIXA REALIZADO]]="N/A","0",UPPER(TEXT(tbRegistroEntradas[[#This Row],[DATA DE CAIXA REALIZADO]],"mmm")))</f>
        <v>ABR</v>
      </c>
      <c r="K47" s="57">
        <f>IF(tbRegistroEntradas[[#This Row],[DATA DE CAIXA REALIZADO]]="N/A",0,YEAR(tbRegistroEntradas[[#This Row],[DATA DE CAIXA REALIZADO]]))</f>
        <v>2021</v>
      </c>
      <c r="L47" s="58" t="str">
        <f>IF(tbRegistroEntradas[[#This Row],[DATA DA COMPETÊNCIA]]="N/A","0",UPPER(TEXT(tbRegistroEntradas[[#This Row],[DATA DA COMPETÊNCIA]],"mmm")))</f>
        <v>MAR</v>
      </c>
      <c r="M47" s="58">
        <f>IF(tbRegistroEntradas[[#This Row],[DATA DA COMPETÊNCIA]]="N/A",0,YEAR(tbRegistroEntradas[[#This Row],[DATA DA COMPETÊNCIA]]))</f>
        <v>2021</v>
      </c>
      <c r="N47" s="58" t="str">
        <f>IF(tbRegistroEntradas[[#This Row],[DATA DO CAIXA PREVISTO]]="N/A","0",UPPER(TEXT(tbRegistroEntradas[[#This Row],[DATA DO CAIXA PREVISTO]],"mmm")))</f>
        <v>MAR</v>
      </c>
      <c r="O47" s="58">
        <f>IF(tbRegistroEntradas[[#This Row],[DATA DO CAIXA PREVISTO]]="N/A",0,YEAR(tbRegistroEntradas[[#This Row],[DATA DO CAIXA PREVISTO]]))</f>
        <v>2021</v>
      </c>
      <c r="P47" s="58" t="str">
        <f ca="1">IF(AND(tbRegistroEntradas[[#This Row],[DATA DE CAIXA REALIZADO]]="N/A",tbRegistroEntradas[[#This Row],[DATA DO CAIXA PREVISTO]]&lt;TODAY()),"Vencida","Não Vencida")</f>
        <v>Não Vencida</v>
      </c>
      <c r="Q47" s="58" t="str">
        <f>IF(tbRegistroEntradas[[#This Row],[DATA DA COMPETÊNCIA]]=tbRegistroEntradas[[#This Row],[DATA DO CAIXA PREVISTO]],"Vista","Prazo")</f>
        <v>Prazo</v>
      </c>
      <c r="R47" s="58" t="str">
        <f>IF(tbRegistroEntradas[[#This Row],[DATA DE CAIXA REALIZADO]]&lt;&gt;"N/A","Em Dia","Com atraso")</f>
        <v>Em Dia</v>
      </c>
    </row>
    <row r="48" spans="1:18" s="52" customFormat="1" ht="14.4" customHeight="1" x14ac:dyDescent="0.3">
      <c r="A48" s="125">
        <v>44297</v>
      </c>
      <c r="B48" s="125">
        <f>A48-31</f>
        <v>44266</v>
      </c>
      <c r="C48" s="111">
        <f>(A48-B48)+B48-15</f>
        <v>44282</v>
      </c>
      <c r="D48" s="126" t="s">
        <v>138</v>
      </c>
      <c r="E48" s="126" t="s">
        <v>12</v>
      </c>
      <c r="F48" s="126" t="s">
        <v>18</v>
      </c>
      <c r="G48" s="126" t="s">
        <v>862</v>
      </c>
      <c r="H48" s="52" t="s">
        <v>77</v>
      </c>
      <c r="I48" s="127">
        <v>360</v>
      </c>
      <c r="J48" s="110" t="str">
        <f>IF(tbRegistroEntradas[[#This Row],[DATA DE CAIXA REALIZADO]]="N/A","0",UPPER(TEXT(tbRegistroEntradas[[#This Row],[DATA DE CAIXA REALIZADO]],"mmm")))</f>
        <v>ABR</v>
      </c>
      <c r="K48" s="57">
        <f>IF(tbRegistroEntradas[[#This Row],[DATA DE CAIXA REALIZADO]]="N/A",0,YEAR(tbRegistroEntradas[[#This Row],[DATA DE CAIXA REALIZADO]]))</f>
        <v>2021</v>
      </c>
      <c r="L48" s="58" t="str">
        <f>IF(tbRegistroEntradas[[#This Row],[DATA DA COMPETÊNCIA]]="N/A","0",UPPER(TEXT(tbRegistroEntradas[[#This Row],[DATA DA COMPETÊNCIA]],"mmm")))</f>
        <v>MAR</v>
      </c>
      <c r="M48" s="58">
        <f>IF(tbRegistroEntradas[[#This Row],[DATA DA COMPETÊNCIA]]="N/A",0,YEAR(tbRegistroEntradas[[#This Row],[DATA DA COMPETÊNCIA]]))</f>
        <v>2021</v>
      </c>
      <c r="N48" s="58" t="str">
        <f>IF(tbRegistroEntradas[[#This Row],[DATA DO CAIXA PREVISTO]]="N/A","0",UPPER(TEXT(tbRegistroEntradas[[#This Row],[DATA DO CAIXA PREVISTO]],"mmm")))</f>
        <v>MAR</v>
      </c>
      <c r="O48" s="58">
        <f>IF(tbRegistroEntradas[[#This Row],[DATA DO CAIXA PREVISTO]]="N/A",0,YEAR(tbRegistroEntradas[[#This Row],[DATA DO CAIXA PREVISTO]]))</f>
        <v>2021</v>
      </c>
      <c r="P48" s="58" t="str">
        <f ca="1">IF(AND(tbRegistroEntradas[[#This Row],[DATA DE CAIXA REALIZADO]]="N/A",tbRegistroEntradas[[#This Row],[DATA DO CAIXA PREVISTO]]&lt;TODAY()),"Vencida","Não Vencida")</f>
        <v>Não Vencida</v>
      </c>
      <c r="Q48" s="58" t="str">
        <f>IF(tbRegistroEntradas[[#This Row],[DATA DA COMPETÊNCIA]]=tbRegistroEntradas[[#This Row],[DATA DO CAIXA PREVISTO]],"Vista","Prazo")</f>
        <v>Prazo</v>
      </c>
      <c r="R48" s="58" t="str">
        <f>IF(tbRegistroEntradas[[#This Row],[DATA DE CAIXA REALIZADO]]&lt;&gt;"N/A","Em Dia","Com atraso")</f>
        <v>Em Dia</v>
      </c>
    </row>
    <row r="49" spans="1:18" s="52" customFormat="1" ht="14.4" customHeight="1" x14ac:dyDescent="0.3">
      <c r="A49" s="125">
        <v>44298</v>
      </c>
      <c r="B49" s="125">
        <f>A49-31</f>
        <v>44267</v>
      </c>
      <c r="C49" s="111">
        <f>tbRegistroEntradas[[#This Row],[DATA DA COMPETÊNCIA]]</f>
        <v>44267</v>
      </c>
      <c r="D49" s="126" t="s">
        <v>63</v>
      </c>
      <c r="E49" s="126" t="s">
        <v>12</v>
      </c>
      <c r="F49" s="126" t="s">
        <v>17</v>
      </c>
      <c r="G49" s="126" t="s">
        <v>767</v>
      </c>
      <c r="H49" s="52" t="s">
        <v>69</v>
      </c>
      <c r="I49" s="127">
        <v>601</v>
      </c>
      <c r="J49" s="110" t="str">
        <f>IF(tbRegistroEntradas[[#This Row],[DATA DE CAIXA REALIZADO]]="N/A","0",UPPER(TEXT(tbRegistroEntradas[[#This Row],[DATA DE CAIXA REALIZADO]],"mmm")))</f>
        <v>ABR</v>
      </c>
      <c r="K49" s="57">
        <f>IF(tbRegistroEntradas[[#This Row],[DATA DE CAIXA REALIZADO]]="N/A",0,YEAR(tbRegistroEntradas[[#This Row],[DATA DE CAIXA REALIZADO]]))</f>
        <v>2021</v>
      </c>
      <c r="L49" s="58" t="str">
        <f>IF(tbRegistroEntradas[[#This Row],[DATA DA COMPETÊNCIA]]="N/A","0",UPPER(TEXT(tbRegistroEntradas[[#This Row],[DATA DA COMPETÊNCIA]],"mmm")))</f>
        <v>MAR</v>
      </c>
      <c r="M49" s="58">
        <f>IF(tbRegistroEntradas[[#This Row],[DATA DA COMPETÊNCIA]]="N/A",0,YEAR(tbRegistroEntradas[[#This Row],[DATA DA COMPETÊNCIA]]))</f>
        <v>2021</v>
      </c>
      <c r="N49" s="58" t="str">
        <f>IF(tbRegistroEntradas[[#This Row],[DATA DO CAIXA PREVISTO]]="N/A","0",UPPER(TEXT(tbRegistroEntradas[[#This Row],[DATA DO CAIXA PREVISTO]],"mmm")))</f>
        <v>MAR</v>
      </c>
      <c r="O49" s="58">
        <f>IF(tbRegistroEntradas[[#This Row],[DATA DO CAIXA PREVISTO]]="N/A",0,YEAR(tbRegistroEntradas[[#This Row],[DATA DO CAIXA PREVISTO]]))</f>
        <v>2021</v>
      </c>
      <c r="P49" s="58" t="str">
        <f ca="1">IF(AND(tbRegistroEntradas[[#This Row],[DATA DE CAIXA REALIZADO]]="N/A",tbRegistroEntradas[[#This Row],[DATA DO CAIXA PREVISTO]]&lt;TODAY()),"Vencida","Não Vencida")</f>
        <v>Não Vencida</v>
      </c>
      <c r="Q49" s="58" t="str">
        <f>IF(tbRegistroEntradas[[#This Row],[DATA DA COMPETÊNCIA]]=tbRegistroEntradas[[#This Row],[DATA DO CAIXA PREVISTO]],"Vista","Prazo")</f>
        <v>Vista</v>
      </c>
      <c r="R49" s="58" t="str">
        <f>IF(tbRegistroEntradas[[#This Row],[DATA DE CAIXA REALIZADO]]&lt;&gt;"N/A","Em Dia","Com atraso")</f>
        <v>Em Dia</v>
      </c>
    </row>
    <row r="50" spans="1:18" s="52" customFormat="1" ht="14.4" customHeight="1" x14ac:dyDescent="0.3">
      <c r="A50" s="49">
        <v>44304</v>
      </c>
      <c r="B50" s="49">
        <f>A50-31</f>
        <v>44273</v>
      </c>
      <c r="C50" s="111">
        <f>(A50-B50)+B50-15</f>
        <v>44289</v>
      </c>
      <c r="D50" s="52" t="s">
        <v>67</v>
      </c>
      <c r="E50" s="52" t="s">
        <v>12</v>
      </c>
      <c r="F50" s="52" t="s">
        <v>19</v>
      </c>
      <c r="G50" s="52" t="s">
        <v>912</v>
      </c>
      <c r="H50" s="5" t="s">
        <v>132</v>
      </c>
      <c r="I50" s="18">
        <v>1649</v>
      </c>
      <c r="J50" s="110" t="str">
        <f>IF(tbRegistroEntradas[[#This Row],[DATA DE CAIXA REALIZADO]]="N/A","0",UPPER(TEXT(tbRegistroEntradas[[#This Row],[DATA DE CAIXA REALIZADO]],"mmm")))</f>
        <v>ABR</v>
      </c>
      <c r="K50" s="57">
        <f>IF(tbRegistroEntradas[[#This Row],[DATA DE CAIXA REALIZADO]]="N/A",0,YEAR(tbRegistroEntradas[[#This Row],[DATA DE CAIXA REALIZADO]]))</f>
        <v>2021</v>
      </c>
      <c r="L50" s="58" t="str">
        <f>IF(tbRegistroEntradas[[#This Row],[DATA DA COMPETÊNCIA]]="N/A","0",UPPER(TEXT(tbRegistroEntradas[[#This Row],[DATA DA COMPETÊNCIA]],"mmm")))</f>
        <v>MAR</v>
      </c>
      <c r="M50" s="58">
        <f>IF(tbRegistroEntradas[[#This Row],[DATA DA COMPETÊNCIA]]="N/A",0,YEAR(tbRegistroEntradas[[#This Row],[DATA DA COMPETÊNCIA]]))</f>
        <v>2021</v>
      </c>
      <c r="N50" s="58" t="str">
        <f>IF(tbRegistroEntradas[[#This Row],[DATA DO CAIXA PREVISTO]]="N/A","0",UPPER(TEXT(tbRegistroEntradas[[#This Row],[DATA DO CAIXA PREVISTO]],"mmm")))</f>
        <v>ABR</v>
      </c>
      <c r="O50" s="58">
        <f>IF(tbRegistroEntradas[[#This Row],[DATA DO CAIXA PREVISTO]]="N/A",0,YEAR(tbRegistroEntradas[[#This Row],[DATA DO CAIXA PREVISTO]]))</f>
        <v>2021</v>
      </c>
      <c r="P50" s="58" t="str">
        <f ca="1">IF(AND(tbRegistroEntradas[[#This Row],[DATA DE CAIXA REALIZADO]]="N/A",tbRegistroEntradas[[#This Row],[DATA DO CAIXA PREVISTO]]&lt;TODAY()),"Vencida","Não Vencida")</f>
        <v>Não Vencida</v>
      </c>
      <c r="Q50" s="58" t="str">
        <f>IF(tbRegistroEntradas[[#This Row],[DATA DA COMPETÊNCIA]]=tbRegistroEntradas[[#This Row],[DATA DO CAIXA PREVISTO]],"Vista","Prazo")</f>
        <v>Prazo</v>
      </c>
      <c r="R50" s="58" t="str">
        <f>IF(tbRegistroEntradas[[#This Row],[DATA DE CAIXA REALIZADO]]&lt;&gt;"N/A","Em Dia","Com atraso")</f>
        <v>Em Dia</v>
      </c>
    </row>
    <row r="51" spans="1:18" s="52" customFormat="1" ht="14.4" customHeight="1" x14ac:dyDescent="0.3">
      <c r="A51" s="125">
        <v>44308</v>
      </c>
      <c r="B51" s="125">
        <f>A51-31</f>
        <v>44277</v>
      </c>
      <c r="C51" s="111">
        <f>tbRegistroEntradas[[#This Row],[DATA DA COMPETÊNCIA]]</f>
        <v>44277</v>
      </c>
      <c r="D51" s="126" t="s">
        <v>65</v>
      </c>
      <c r="E51" s="126" t="s">
        <v>12</v>
      </c>
      <c r="F51" s="126" t="s">
        <v>19</v>
      </c>
      <c r="G51" s="126" t="s">
        <v>1008</v>
      </c>
      <c r="H51" s="52" t="s">
        <v>119</v>
      </c>
      <c r="I51" s="127">
        <v>2048</v>
      </c>
      <c r="J51" s="110" t="str">
        <f>IF(tbRegistroEntradas[[#This Row],[DATA DE CAIXA REALIZADO]]="N/A","0",UPPER(TEXT(tbRegistroEntradas[[#This Row],[DATA DE CAIXA REALIZADO]],"mmm")))</f>
        <v>ABR</v>
      </c>
      <c r="K51" s="57">
        <f>IF(tbRegistroEntradas[[#This Row],[DATA DE CAIXA REALIZADO]]="N/A",0,YEAR(tbRegistroEntradas[[#This Row],[DATA DE CAIXA REALIZADO]]))</f>
        <v>2021</v>
      </c>
      <c r="L51" s="58" t="str">
        <f>IF(tbRegistroEntradas[[#This Row],[DATA DA COMPETÊNCIA]]="N/A","0",UPPER(TEXT(tbRegistroEntradas[[#This Row],[DATA DA COMPETÊNCIA]],"mmm")))</f>
        <v>MAR</v>
      </c>
      <c r="M51" s="58">
        <f>IF(tbRegistroEntradas[[#This Row],[DATA DA COMPETÊNCIA]]="N/A",0,YEAR(tbRegistroEntradas[[#This Row],[DATA DA COMPETÊNCIA]]))</f>
        <v>2021</v>
      </c>
      <c r="N51" s="58" t="str">
        <f>IF(tbRegistroEntradas[[#This Row],[DATA DO CAIXA PREVISTO]]="N/A","0",UPPER(TEXT(tbRegistroEntradas[[#This Row],[DATA DO CAIXA PREVISTO]],"mmm")))</f>
        <v>MAR</v>
      </c>
      <c r="O51" s="58">
        <f>IF(tbRegistroEntradas[[#This Row],[DATA DO CAIXA PREVISTO]]="N/A",0,YEAR(tbRegistroEntradas[[#This Row],[DATA DO CAIXA PREVISTO]]))</f>
        <v>2021</v>
      </c>
      <c r="P51" s="58" t="str">
        <f ca="1">IF(AND(tbRegistroEntradas[[#This Row],[DATA DE CAIXA REALIZADO]]="N/A",tbRegistroEntradas[[#This Row],[DATA DO CAIXA PREVISTO]]&lt;TODAY()),"Vencida","Não Vencida")</f>
        <v>Não Vencida</v>
      </c>
      <c r="Q51" s="58" t="str">
        <f>IF(tbRegistroEntradas[[#This Row],[DATA DA COMPETÊNCIA]]=tbRegistroEntradas[[#This Row],[DATA DO CAIXA PREVISTO]],"Vista","Prazo")</f>
        <v>Vista</v>
      </c>
      <c r="R51" s="58" t="str">
        <f>IF(tbRegistroEntradas[[#This Row],[DATA DE CAIXA REALIZADO]]&lt;&gt;"N/A","Em Dia","Com atraso")</f>
        <v>Em Dia</v>
      </c>
    </row>
    <row r="52" spans="1:18" s="52" customFormat="1" ht="14.4" customHeight="1" x14ac:dyDescent="0.3">
      <c r="A52" s="125">
        <v>44308</v>
      </c>
      <c r="B52" s="125">
        <f>A52-31</f>
        <v>44277</v>
      </c>
      <c r="C52" s="111">
        <f>(A52-B52)+B52-15</f>
        <v>44293</v>
      </c>
      <c r="D52" s="126" t="s">
        <v>64</v>
      </c>
      <c r="E52" s="126" t="s">
        <v>12</v>
      </c>
      <c r="F52" s="126" t="s">
        <v>32</v>
      </c>
      <c r="G52" s="126" t="s">
        <v>1069</v>
      </c>
      <c r="H52" s="52" t="s">
        <v>115</v>
      </c>
      <c r="I52" s="127">
        <v>1985</v>
      </c>
      <c r="J52" s="110" t="str">
        <f>IF(tbRegistroEntradas[[#This Row],[DATA DE CAIXA REALIZADO]]="N/A","0",UPPER(TEXT(tbRegistroEntradas[[#This Row],[DATA DE CAIXA REALIZADO]],"mmm")))</f>
        <v>ABR</v>
      </c>
      <c r="K52" s="57">
        <f>IF(tbRegistroEntradas[[#This Row],[DATA DE CAIXA REALIZADO]]="N/A",0,YEAR(tbRegistroEntradas[[#This Row],[DATA DE CAIXA REALIZADO]]))</f>
        <v>2021</v>
      </c>
      <c r="L52" s="58" t="str">
        <f>IF(tbRegistroEntradas[[#This Row],[DATA DA COMPETÊNCIA]]="N/A","0",UPPER(TEXT(tbRegistroEntradas[[#This Row],[DATA DA COMPETÊNCIA]],"mmm")))</f>
        <v>MAR</v>
      </c>
      <c r="M52" s="58">
        <f>IF(tbRegistroEntradas[[#This Row],[DATA DA COMPETÊNCIA]]="N/A",0,YEAR(tbRegistroEntradas[[#This Row],[DATA DA COMPETÊNCIA]]))</f>
        <v>2021</v>
      </c>
      <c r="N52" s="58" t="str">
        <f>IF(tbRegistroEntradas[[#This Row],[DATA DO CAIXA PREVISTO]]="N/A","0",UPPER(TEXT(tbRegistroEntradas[[#This Row],[DATA DO CAIXA PREVISTO]],"mmm")))</f>
        <v>ABR</v>
      </c>
      <c r="O52" s="58">
        <f>IF(tbRegistroEntradas[[#This Row],[DATA DO CAIXA PREVISTO]]="N/A",0,YEAR(tbRegistroEntradas[[#This Row],[DATA DO CAIXA PREVISTO]]))</f>
        <v>2021</v>
      </c>
      <c r="P52" s="58" t="str">
        <f ca="1">IF(AND(tbRegistroEntradas[[#This Row],[DATA DE CAIXA REALIZADO]]="N/A",tbRegistroEntradas[[#This Row],[DATA DO CAIXA PREVISTO]]&lt;TODAY()),"Vencida","Não Vencida")</f>
        <v>Não Vencida</v>
      </c>
      <c r="Q52" s="58" t="str">
        <f>IF(tbRegistroEntradas[[#This Row],[DATA DA COMPETÊNCIA]]=tbRegistroEntradas[[#This Row],[DATA DO CAIXA PREVISTO]],"Vista","Prazo")</f>
        <v>Prazo</v>
      </c>
      <c r="R52" s="58" t="str">
        <f>IF(tbRegistroEntradas[[#This Row],[DATA DE CAIXA REALIZADO]]&lt;&gt;"N/A","Em Dia","Com atraso")</f>
        <v>Em Dia</v>
      </c>
    </row>
    <row r="53" spans="1:18" s="52" customFormat="1" ht="14.4" customHeight="1" x14ac:dyDescent="0.3">
      <c r="A53" s="125">
        <v>44308</v>
      </c>
      <c r="B53" s="125">
        <f>A53-31</f>
        <v>44277</v>
      </c>
      <c r="C53" s="111">
        <f>(A53-B53)+B53-15</f>
        <v>44293</v>
      </c>
      <c r="D53" s="126" t="s">
        <v>137</v>
      </c>
      <c r="E53" s="126" t="s">
        <v>12</v>
      </c>
      <c r="F53" s="126" t="s">
        <v>16</v>
      </c>
      <c r="G53" s="126" t="s">
        <v>1041</v>
      </c>
      <c r="H53" s="52" t="s">
        <v>107</v>
      </c>
      <c r="I53" s="127">
        <v>5240</v>
      </c>
      <c r="J53" s="110" t="str">
        <f>IF(tbRegistroEntradas[[#This Row],[DATA DE CAIXA REALIZADO]]="N/A","0",UPPER(TEXT(tbRegistroEntradas[[#This Row],[DATA DE CAIXA REALIZADO]],"mmm")))</f>
        <v>ABR</v>
      </c>
      <c r="K53" s="57">
        <f>IF(tbRegistroEntradas[[#This Row],[DATA DE CAIXA REALIZADO]]="N/A",0,YEAR(tbRegistroEntradas[[#This Row],[DATA DE CAIXA REALIZADO]]))</f>
        <v>2021</v>
      </c>
      <c r="L53" s="58" t="str">
        <f>IF(tbRegistroEntradas[[#This Row],[DATA DA COMPETÊNCIA]]="N/A","0",UPPER(TEXT(tbRegistroEntradas[[#This Row],[DATA DA COMPETÊNCIA]],"mmm")))</f>
        <v>MAR</v>
      </c>
      <c r="M53" s="58">
        <f>IF(tbRegistroEntradas[[#This Row],[DATA DA COMPETÊNCIA]]="N/A",0,YEAR(tbRegistroEntradas[[#This Row],[DATA DA COMPETÊNCIA]]))</f>
        <v>2021</v>
      </c>
      <c r="N53" s="58" t="str">
        <f>IF(tbRegistroEntradas[[#This Row],[DATA DO CAIXA PREVISTO]]="N/A","0",UPPER(TEXT(tbRegistroEntradas[[#This Row],[DATA DO CAIXA PREVISTO]],"mmm")))</f>
        <v>ABR</v>
      </c>
      <c r="O53" s="58">
        <f>IF(tbRegistroEntradas[[#This Row],[DATA DO CAIXA PREVISTO]]="N/A",0,YEAR(tbRegistroEntradas[[#This Row],[DATA DO CAIXA PREVISTO]]))</f>
        <v>2021</v>
      </c>
      <c r="P53" s="58" t="str">
        <f ca="1">IF(AND(tbRegistroEntradas[[#This Row],[DATA DE CAIXA REALIZADO]]="N/A",tbRegistroEntradas[[#This Row],[DATA DO CAIXA PREVISTO]]&lt;TODAY()),"Vencida","Não Vencida")</f>
        <v>Não Vencida</v>
      </c>
      <c r="Q53" s="58" t="str">
        <f>IF(tbRegistroEntradas[[#This Row],[DATA DA COMPETÊNCIA]]=tbRegistroEntradas[[#This Row],[DATA DO CAIXA PREVISTO]],"Vista","Prazo")</f>
        <v>Prazo</v>
      </c>
      <c r="R53" s="58" t="str">
        <f>IF(tbRegistroEntradas[[#This Row],[DATA DE CAIXA REALIZADO]]&lt;&gt;"N/A","Em Dia","Com atraso")</f>
        <v>Em Dia</v>
      </c>
    </row>
    <row r="54" spans="1:18" s="52" customFormat="1" ht="14.4" customHeight="1" x14ac:dyDescent="0.3">
      <c r="A54" s="125">
        <v>44313</v>
      </c>
      <c r="B54" s="125">
        <f>A54-31</f>
        <v>44282</v>
      </c>
      <c r="C54" s="111">
        <f>tbRegistroEntradas[[#This Row],[DATA DA COMPETÊNCIA]]</f>
        <v>44282</v>
      </c>
      <c r="D54" s="126" t="s">
        <v>66</v>
      </c>
      <c r="E54" s="126" t="s">
        <v>12</v>
      </c>
      <c r="F54" s="126" t="s">
        <v>32</v>
      </c>
      <c r="G54" s="126" t="s">
        <v>821</v>
      </c>
      <c r="H54" s="52" t="s">
        <v>125</v>
      </c>
      <c r="I54" s="127">
        <v>5146</v>
      </c>
      <c r="J54" s="110" t="str">
        <f>IF(tbRegistroEntradas[[#This Row],[DATA DE CAIXA REALIZADO]]="N/A","0",UPPER(TEXT(tbRegistroEntradas[[#This Row],[DATA DE CAIXA REALIZADO]],"mmm")))</f>
        <v>ABR</v>
      </c>
      <c r="K54" s="57">
        <f>IF(tbRegistroEntradas[[#This Row],[DATA DE CAIXA REALIZADO]]="N/A",0,YEAR(tbRegistroEntradas[[#This Row],[DATA DE CAIXA REALIZADO]]))</f>
        <v>2021</v>
      </c>
      <c r="L54" s="58" t="str">
        <f>IF(tbRegistroEntradas[[#This Row],[DATA DA COMPETÊNCIA]]="N/A","0",UPPER(TEXT(tbRegistroEntradas[[#This Row],[DATA DA COMPETÊNCIA]],"mmm")))</f>
        <v>MAR</v>
      </c>
      <c r="M54" s="58">
        <f>IF(tbRegistroEntradas[[#This Row],[DATA DA COMPETÊNCIA]]="N/A",0,YEAR(tbRegistroEntradas[[#This Row],[DATA DA COMPETÊNCIA]]))</f>
        <v>2021</v>
      </c>
      <c r="N54" s="58" t="str">
        <f>IF(tbRegistroEntradas[[#This Row],[DATA DO CAIXA PREVISTO]]="N/A","0",UPPER(TEXT(tbRegistroEntradas[[#This Row],[DATA DO CAIXA PREVISTO]],"mmm")))</f>
        <v>MAR</v>
      </c>
      <c r="O54" s="58">
        <f>IF(tbRegistroEntradas[[#This Row],[DATA DO CAIXA PREVISTO]]="N/A",0,YEAR(tbRegistroEntradas[[#This Row],[DATA DO CAIXA PREVISTO]]))</f>
        <v>2021</v>
      </c>
      <c r="P54" s="58" t="str">
        <f ca="1">IF(AND(tbRegistroEntradas[[#This Row],[DATA DE CAIXA REALIZADO]]="N/A",tbRegistroEntradas[[#This Row],[DATA DO CAIXA PREVISTO]]&lt;TODAY()),"Vencida","Não Vencida")</f>
        <v>Não Vencida</v>
      </c>
      <c r="Q54" s="58" t="str">
        <f>IF(tbRegistroEntradas[[#This Row],[DATA DA COMPETÊNCIA]]=tbRegistroEntradas[[#This Row],[DATA DO CAIXA PREVISTO]],"Vista","Prazo")</f>
        <v>Vista</v>
      </c>
      <c r="R54" s="58" t="str">
        <f>IF(tbRegistroEntradas[[#This Row],[DATA DE CAIXA REALIZADO]]&lt;&gt;"N/A","Em Dia","Com atraso")</f>
        <v>Em Dia</v>
      </c>
    </row>
    <row r="55" spans="1:18" s="52" customFormat="1" ht="14.4" customHeight="1" x14ac:dyDescent="0.3">
      <c r="A55" s="125">
        <v>44313</v>
      </c>
      <c r="B55" s="125">
        <f>A55-31</f>
        <v>44282</v>
      </c>
      <c r="C55" s="111">
        <f>(A55-B55)+B55-15</f>
        <v>44298</v>
      </c>
      <c r="D55" s="126" t="s">
        <v>64</v>
      </c>
      <c r="E55" s="126" t="s">
        <v>12</v>
      </c>
      <c r="F55" s="126" t="s">
        <v>16</v>
      </c>
      <c r="G55" s="126" t="s">
        <v>963</v>
      </c>
      <c r="H55" s="52" t="s">
        <v>74</v>
      </c>
      <c r="I55" s="127">
        <v>3880</v>
      </c>
      <c r="J55" s="110" t="str">
        <f>IF(tbRegistroEntradas[[#This Row],[DATA DE CAIXA REALIZADO]]="N/A","0",UPPER(TEXT(tbRegistroEntradas[[#This Row],[DATA DE CAIXA REALIZADO]],"mmm")))</f>
        <v>ABR</v>
      </c>
      <c r="K55" s="57">
        <f>IF(tbRegistroEntradas[[#This Row],[DATA DE CAIXA REALIZADO]]="N/A",0,YEAR(tbRegistroEntradas[[#This Row],[DATA DE CAIXA REALIZADO]]))</f>
        <v>2021</v>
      </c>
      <c r="L55" s="58" t="str">
        <f>IF(tbRegistroEntradas[[#This Row],[DATA DA COMPETÊNCIA]]="N/A","0",UPPER(TEXT(tbRegistroEntradas[[#This Row],[DATA DA COMPETÊNCIA]],"mmm")))</f>
        <v>MAR</v>
      </c>
      <c r="M55" s="58">
        <f>IF(tbRegistroEntradas[[#This Row],[DATA DA COMPETÊNCIA]]="N/A",0,YEAR(tbRegistroEntradas[[#This Row],[DATA DA COMPETÊNCIA]]))</f>
        <v>2021</v>
      </c>
      <c r="N55" s="58" t="str">
        <f>IF(tbRegistroEntradas[[#This Row],[DATA DO CAIXA PREVISTO]]="N/A","0",UPPER(TEXT(tbRegistroEntradas[[#This Row],[DATA DO CAIXA PREVISTO]],"mmm")))</f>
        <v>ABR</v>
      </c>
      <c r="O55" s="58">
        <f>IF(tbRegistroEntradas[[#This Row],[DATA DO CAIXA PREVISTO]]="N/A",0,YEAR(tbRegistroEntradas[[#This Row],[DATA DO CAIXA PREVISTO]]))</f>
        <v>2021</v>
      </c>
      <c r="P55" s="58" t="str">
        <f ca="1">IF(AND(tbRegistroEntradas[[#This Row],[DATA DE CAIXA REALIZADO]]="N/A",tbRegistroEntradas[[#This Row],[DATA DO CAIXA PREVISTO]]&lt;TODAY()),"Vencida","Não Vencida")</f>
        <v>Não Vencida</v>
      </c>
      <c r="Q55" s="58" t="str">
        <f>IF(tbRegistroEntradas[[#This Row],[DATA DA COMPETÊNCIA]]=tbRegistroEntradas[[#This Row],[DATA DO CAIXA PREVISTO]],"Vista","Prazo")</f>
        <v>Prazo</v>
      </c>
      <c r="R55" s="58" t="str">
        <f>IF(tbRegistroEntradas[[#This Row],[DATA DE CAIXA REALIZADO]]&lt;&gt;"N/A","Em Dia","Com atraso")</f>
        <v>Em Dia</v>
      </c>
    </row>
    <row r="56" spans="1:18" s="52" customFormat="1" ht="14.4" customHeight="1" x14ac:dyDescent="0.3">
      <c r="A56" s="125">
        <v>44314</v>
      </c>
      <c r="B56" s="125">
        <f>A56-31</f>
        <v>44283</v>
      </c>
      <c r="C56" s="111">
        <f>(A56-B56)+B56-15</f>
        <v>44299</v>
      </c>
      <c r="D56" s="126" t="s">
        <v>63</v>
      </c>
      <c r="E56" s="126" t="s">
        <v>12</v>
      </c>
      <c r="F56" s="126" t="s">
        <v>32</v>
      </c>
      <c r="G56" s="126" t="s">
        <v>1005</v>
      </c>
      <c r="H56" s="52" t="s">
        <v>99</v>
      </c>
      <c r="I56" s="127">
        <v>3923</v>
      </c>
      <c r="J56" s="110" t="str">
        <f>IF(tbRegistroEntradas[[#This Row],[DATA DE CAIXA REALIZADO]]="N/A","0",UPPER(TEXT(tbRegistroEntradas[[#This Row],[DATA DE CAIXA REALIZADO]],"mmm")))</f>
        <v>ABR</v>
      </c>
      <c r="K56" s="57">
        <f>IF(tbRegistroEntradas[[#This Row],[DATA DE CAIXA REALIZADO]]="N/A",0,YEAR(tbRegistroEntradas[[#This Row],[DATA DE CAIXA REALIZADO]]))</f>
        <v>2021</v>
      </c>
      <c r="L56" s="58" t="str">
        <f>IF(tbRegistroEntradas[[#This Row],[DATA DA COMPETÊNCIA]]="N/A","0",UPPER(TEXT(tbRegistroEntradas[[#This Row],[DATA DA COMPETÊNCIA]],"mmm")))</f>
        <v>MAR</v>
      </c>
      <c r="M56" s="58">
        <f>IF(tbRegistroEntradas[[#This Row],[DATA DA COMPETÊNCIA]]="N/A",0,YEAR(tbRegistroEntradas[[#This Row],[DATA DA COMPETÊNCIA]]))</f>
        <v>2021</v>
      </c>
      <c r="N56" s="58" t="str">
        <f>IF(tbRegistroEntradas[[#This Row],[DATA DO CAIXA PREVISTO]]="N/A","0",UPPER(TEXT(tbRegistroEntradas[[#This Row],[DATA DO CAIXA PREVISTO]],"mmm")))</f>
        <v>ABR</v>
      </c>
      <c r="O56" s="58">
        <f>IF(tbRegistroEntradas[[#This Row],[DATA DO CAIXA PREVISTO]]="N/A",0,YEAR(tbRegistroEntradas[[#This Row],[DATA DO CAIXA PREVISTO]]))</f>
        <v>2021</v>
      </c>
      <c r="P56" s="58" t="str">
        <f ca="1">IF(AND(tbRegistroEntradas[[#This Row],[DATA DE CAIXA REALIZADO]]="N/A",tbRegistroEntradas[[#This Row],[DATA DO CAIXA PREVISTO]]&lt;TODAY()),"Vencida","Não Vencida")</f>
        <v>Não Vencida</v>
      </c>
      <c r="Q56" s="58" t="str">
        <f>IF(tbRegistroEntradas[[#This Row],[DATA DA COMPETÊNCIA]]=tbRegistroEntradas[[#This Row],[DATA DO CAIXA PREVISTO]],"Vista","Prazo")</f>
        <v>Prazo</v>
      </c>
      <c r="R56" s="58" t="str">
        <f>IF(tbRegistroEntradas[[#This Row],[DATA DE CAIXA REALIZADO]]&lt;&gt;"N/A","Em Dia","Com atraso")</f>
        <v>Em Dia</v>
      </c>
    </row>
    <row r="57" spans="1:18" s="52" customFormat="1" ht="14.4" customHeight="1" x14ac:dyDescent="0.3">
      <c r="A57" s="125">
        <v>44321</v>
      </c>
      <c r="B57" s="125">
        <f>A57-31</f>
        <v>44290</v>
      </c>
      <c r="C57" s="111">
        <f>(A57-B57)+B57-15</f>
        <v>44306</v>
      </c>
      <c r="D57" s="126" t="s">
        <v>61</v>
      </c>
      <c r="E57" s="126" t="s">
        <v>12</v>
      </c>
      <c r="F57" s="126" t="s">
        <v>18</v>
      </c>
      <c r="G57" s="126" t="s">
        <v>731</v>
      </c>
      <c r="H57" s="5" t="s">
        <v>85</v>
      </c>
      <c r="I57" s="127">
        <v>4673</v>
      </c>
      <c r="J57" s="110" t="str">
        <f>IF(tbRegistroEntradas[[#This Row],[DATA DE CAIXA REALIZADO]]="N/A","0",UPPER(TEXT(tbRegistroEntradas[[#This Row],[DATA DE CAIXA REALIZADO]],"mmm")))</f>
        <v>MAI</v>
      </c>
      <c r="K57" s="57">
        <f>IF(tbRegistroEntradas[[#This Row],[DATA DE CAIXA REALIZADO]]="N/A",0,YEAR(tbRegistroEntradas[[#This Row],[DATA DE CAIXA REALIZADO]]))</f>
        <v>2021</v>
      </c>
      <c r="L57" s="58" t="str">
        <f>IF(tbRegistroEntradas[[#This Row],[DATA DA COMPETÊNCIA]]="N/A","0",UPPER(TEXT(tbRegistroEntradas[[#This Row],[DATA DA COMPETÊNCIA]],"mmm")))</f>
        <v>ABR</v>
      </c>
      <c r="M57" s="58">
        <f>IF(tbRegistroEntradas[[#This Row],[DATA DA COMPETÊNCIA]]="N/A",0,YEAR(tbRegistroEntradas[[#This Row],[DATA DA COMPETÊNCIA]]))</f>
        <v>2021</v>
      </c>
      <c r="N57" s="58" t="str">
        <f>IF(tbRegistroEntradas[[#This Row],[DATA DO CAIXA PREVISTO]]="N/A","0",UPPER(TEXT(tbRegistroEntradas[[#This Row],[DATA DO CAIXA PREVISTO]],"mmm")))</f>
        <v>ABR</v>
      </c>
      <c r="O57" s="58">
        <f>IF(tbRegistroEntradas[[#This Row],[DATA DO CAIXA PREVISTO]]="N/A",0,YEAR(tbRegistroEntradas[[#This Row],[DATA DO CAIXA PREVISTO]]))</f>
        <v>2021</v>
      </c>
      <c r="P57" s="58" t="str">
        <f ca="1">IF(AND(tbRegistroEntradas[[#This Row],[DATA DE CAIXA REALIZADO]]="N/A",tbRegistroEntradas[[#This Row],[DATA DO CAIXA PREVISTO]]&lt;TODAY()),"Vencida","Não Vencida")</f>
        <v>Não Vencida</v>
      </c>
      <c r="Q57" s="58" t="str">
        <f>IF(tbRegistroEntradas[[#This Row],[DATA DA COMPETÊNCIA]]=tbRegistroEntradas[[#This Row],[DATA DO CAIXA PREVISTO]],"Vista","Prazo")</f>
        <v>Prazo</v>
      </c>
      <c r="R57" s="58" t="str">
        <f>IF(tbRegistroEntradas[[#This Row],[DATA DE CAIXA REALIZADO]]&lt;&gt;"N/A","Em Dia","Com atraso")</f>
        <v>Em Dia</v>
      </c>
    </row>
    <row r="58" spans="1:18" s="52" customFormat="1" ht="14.4" customHeight="1" x14ac:dyDescent="0.3">
      <c r="A58" s="125">
        <v>44322</v>
      </c>
      <c r="B58" s="125">
        <f>A58-31</f>
        <v>44291</v>
      </c>
      <c r="C58" s="111">
        <f>(A58-B58)+B58-15</f>
        <v>44307</v>
      </c>
      <c r="D58" s="126" t="s">
        <v>137</v>
      </c>
      <c r="E58" s="126" t="s">
        <v>12</v>
      </c>
      <c r="F58" s="126" t="s">
        <v>17</v>
      </c>
      <c r="G58" s="126" t="s">
        <v>772</v>
      </c>
      <c r="H58" s="52" t="s">
        <v>73</v>
      </c>
      <c r="I58" s="127">
        <v>5069</v>
      </c>
      <c r="J58" s="110" t="str">
        <f>IF(tbRegistroEntradas[[#This Row],[DATA DE CAIXA REALIZADO]]="N/A","0",UPPER(TEXT(tbRegistroEntradas[[#This Row],[DATA DE CAIXA REALIZADO]],"mmm")))</f>
        <v>MAI</v>
      </c>
      <c r="K58" s="57">
        <f>IF(tbRegistroEntradas[[#This Row],[DATA DE CAIXA REALIZADO]]="N/A",0,YEAR(tbRegistroEntradas[[#This Row],[DATA DE CAIXA REALIZADO]]))</f>
        <v>2021</v>
      </c>
      <c r="L58" s="58" t="str">
        <f>IF(tbRegistroEntradas[[#This Row],[DATA DA COMPETÊNCIA]]="N/A","0",UPPER(TEXT(tbRegistroEntradas[[#This Row],[DATA DA COMPETÊNCIA]],"mmm")))</f>
        <v>ABR</v>
      </c>
      <c r="M58" s="58">
        <f>IF(tbRegistroEntradas[[#This Row],[DATA DA COMPETÊNCIA]]="N/A",0,YEAR(tbRegistroEntradas[[#This Row],[DATA DA COMPETÊNCIA]]))</f>
        <v>2021</v>
      </c>
      <c r="N58" s="58" t="str">
        <f>IF(tbRegistroEntradas[[#This Row],[DATA DO CAIXA PREVISTO]]="N/A","0",UPPER(TEXT(tbRegistroEntradas[[#This Row],[DATA DO CAIXA PREVISTO]],"mmm")))</f>
        <v>ABR</v>
      </c>
      <c r="O58" s="58">
        <f>IF(tbRegistroEntradas[[#This Row],[DATA DO CAIXA PREVISTO]]="N/A",0,YEAR(tbRegistroEntradas[[#This Row],[DATA DO CAIXA PREVISTO]]))</f>
        <v>2021</v>
      </c>
      <c r="P58" s="58" t="str">
        <f ca="1">IF(AND(tbRegistroEntradas[[#This Row],[DATA DE CAIXA REALIZADO]]="N/A",tbRegistroEntradas[[#This Row],[DATA DO CAIXA PREVISTO]]&lt;TODAY()),"Vencida","Não Vencida")</f>
        <v>Não Vencida</v>
      </c>
      <c r="Q58" s="58" t="str">
        <f>IF(tbRegistroEntradas[[#This Row],[DATA DA COMPETÊNCIA]]=tbRegistroEntradas[[#This Row],[DATA DO CAIXA PREVISTO]],"Vista","Prazo")</f>
        <v>Prazo</v>
      </c>
      <c r="R58" s="58" t="str">
        <f>IF(tbRegistroEntradas[[#This Row],[DATA DE CAIXA REALIZADO]]&lt;&gt;"N/A","Em Dia","Com atraso")</f>
        <v>Em Dia</v>
      </c>
    </row>
    <row r="59" spans="1:18" s="52" customFormat="1" ht="14.4" customHeight="1" x14ac:dyDescent="0.3">
      <c r="A59" s="125">
        <v>44322</v>
      </c>
      <c r="B59" s="125">
        <f>A59-31</f>
        <v>44291</v>
      </c>
      <c r="C59" s="111">
        <f>(A59-B59)+B59-15</f>
        <v>44307</v>
      </c>
      <c r="D59" s="126" t="s">
        <v>67</v>
      </c>
      <c r="E59" s="126" t="s">
        <v>12</v>
      </c>
      <c r="F59" s="126" t="s">
        <v>32</v>
      </c>
      <c r="G59" s="126" t="s">
        <v>662</v>
      </c>
      <c r="H59" s="52" t="s">
        <v>133</v>
      </c>
      <c r="I59" s="127">
        <v>5651</v>
      </c>
      <c r="J59" s="110" t="str">
        <f>IF(tbRegistroEntradas[[#This Row],[DATA DE CAIXA REALIZADO]]="N/A","0",UPPER(TEXT(tbRegistroEntradas[[#This Row],[DATA DE CAIXA REALIZADO]],"mmm")))</f>
        <v>MAI</v>
      </c>
      <c r="K59" s="57">
        <f>IF(tbRegistroEntradas[[#This Row],[DATA DE CAIXA REALIZADO]]="N/A",0,YEAR(tbRegistroEntradas[[#This Row],[DATA DE CAIXA REALIZADO]]))</f>
        <v>2021</v>
      </c>
      <c r="L59" s="58" t="str">
        <f>IF(tbRegistroEntradas[[#This Row],[DATA DA COMPETÊNCIA]]="N/A","0",UPPER(TEXT(tbRegistroEntradas[[#This Row],[DATA DA COMPETÊNCIA]],"mmm")))</f>
        <v>ABR</v>
      </c>
      <c r="M59" s="58">
        <f>IF(tbRegistroEntradas[[#This Row],[DATA DA COMPETÊNCIA]]="N/A",0,YEAR(tbRegistroEntradas[[#This Row],[DATA DA COMPETÊNCIA]]))</f>
        <v>2021</v>
      </c>
      <c r="N59" s="58" t="str">
        <f>IF(tbRegistroEntradas[[#This Row],[DATA DO CAIXA PREVISTO]]="N/A","0",UPPER(TEXT(tbRegistroEntradas[[#This Row],[DATA DO CAIXA PREVISTO]],"mmm")))</f>
        <v>ABR</v>
      </c>
      <c r="O59" s="58">
        <f>IF(tbRegistroEntradas[[#This Row],[DATA DO CAIXA PREVISTO]]="N/A",0,YEAR(tbRegistroEntradas[[#This Row],[DATA DO CAIXA PREVISTO]]))</f>
        <v>2021</v>
      </c>
      <c r="P59" s="58" t="str">
        <f ca="1">IF(AND(tbRegistroEntradas[[#This Row],[DATA DE CAIXA REALIZADO]]="N/A",tbRegistroEntradas[[#This Row],[DATA DO CAIXA PREVISTO]]&lt;TODAY()),"Vencida","Não Vencida")</f>
        <v>Não Vencida</v>
      </c>
      <c r="Q59" s="58" t="str">
        <f>IF(tbRegistroEntradas[[#This Row],[DATA DA COMPETÊNCIA]]=tbRegistroEntradas[[#This Row],[DATA DO CAIXA PREVISTO]],"Vista","Prazo")</f>
        <v>Prazo</v>
      </c>
      <c r="R59" s="58" t="str">
        <f>IF(tbRegistroEntradas[[#This Row],[DATA DE CAIXA REALIZADO]]&lt;&gt;"N/A","Em Dia","Com atraso")</f>
        <v>Em Dia</v>
      </c>
    </row>
    <row r="60" spans="1:18" s="52" customFormat="1" ht="14.4" customHeight="1" x14ac:dyDescent="0.3">
      <c r="A60" s="49">
        <v>44323</v>
      </c>
      <c r="B60" s="49">
        <f>A60-31</f>
        <v>44292</v>
      </c>
      <c r="C60" s="111">
        <f>(A60-B60)+B60-15</f>
        <v>44308</v>
      </c>
      <c r="D60" s="52" t="s">
        <v>66</v>
      </c>
      <c r="E60" s="52" t="s">
        <v>12</v>
      </c>
      <c r="F60" s="52" t="s">
        <v>18</v>
      </c>
      <c r="G60" s="52" t="s">
        <v>999</v>
      </c>
      <c r="H60" s="52" t="s">
        <v>123</v>
      </c>
      <c r="I60" s="18">
        <v>377</v>
      </c>
      <c r="J60" s="110" t="str">
        <f>IF(tbRegistroEntradas[[#This Row],[DATA DE CAIXA REALIZADO]]="N/A","0",UPPER(TEXT(tbRegistroEntradas[[#This Row],[DATA DE CAIXA REALIZADO]],"mmm")))</f>
        <v>MAI</v>
      </c>
      <c r="K60" s="57">
        <f>IF(tbRegistroEntradas[[#This Row],[DATA DE CAIXA REALIZADO]]="N/A",0,YEAR(tbRegistroEntradas[[#This Row],[DATA DE CAIXA REALIZADO]]))</f>
        <v>2021</v>
      </c>
      <c r="L60" s="58" t="str">
        <f>IF(tbRegistroEntradas[[#This Row],[DATA DA COMPETÊNCIA]]="N/A","0",UPPER(TEXT(tbRegistroEntradas[[#This Row],[DATA DA COMPETÊNCIA]],"mmm")))</f>
        <v>ABR</v>
      </c>
      <c r="M60" s="58">
        <f>IF(tbRegistroEntradas[[#This Row],[DATA DA COMPETÊNCIA]]="N/A",0,YEAR(tbRegistroEntradas[[#This Row],[DATA DA COMPETÊNCIA]]))</f>
        <v>2021</v>
      </c>
      <c r="N60" s="58" t="str">
        <f>IF(tbRegistroEntradas[[#This Row],[DATA DO CAIXA PREVISTO]]="N/A","0",UPPER(TEXT(tbRegistroEntradas[[#This Row],[DATA DO CAIXA PREVISTO]],"mmm")))</f>
        <v>ABR</v>
      </c>
      <c r="O60" s="58">
        <f>IF(tbRegistroEntradas[[#This Row],[DATA DO CAIXA PREVISTO]]="N/A",0,YEAR(tbRegistroEntradas[[#This Row],[DATA DO CAIXA PREVISTO]]))</f>
        <v>2021</v>
      </c>
      <c r="P60" s="58" t="str">
        <f ca="1">IF(AND(tbRegistroEntradas[[#This Row],[DATA DE CAIXA REALIZADO]]="N/A",tbRegistroEntradas[[#This Row],[DATA DO CAIXA PREVISTO]]&lt;TODAY()),"Vencida","Não Vencida")</f>
        <v>Não Vencida</v>
      </c>
      <c r="Q60" s="58" t="str">
        <f>IF(tbRegistroEntradas[[#This Row],[DATA DA COMPETÊNCIA]]=tbRegistroEntradas[[#This Row],[DATA DO CAIXA PREVISTO]],"Vista","Prazo")</f>
        <v>Prazo</v>
      </c>
      <c r="R60" s="58" t="str">
        <f>IF(tbRegistroEntradas[[#This Row],[DATA DE CAIXA REALIZADO]]&lt;&gt;"N/A","Em Dia","Com atraso")</f>
        <v>Em Dia</v>
      </c>
    </row>
    <row r="61" spans="1:18" s="52" customFormat="1" ht="14.4" customHeight="1" x14ac:dyDescent="0.3">
      <c r="A61" s="49">
        <v>44329</v>
      </c>
      <c r="B61" s="49">
        <f>A61-31</f>
        <v>44298</v>
      </c>
      <c r="C61" s="111">
        <f>tbRegistroEntradas[[#This Row],[DATA DA COMPETÊNCIA]]</f>
        <v>44298</v>
      </c>
      <c r="D61" s="52" t="s">
        <v>63</v>
      </c>
      <c r="E61" s="52" t="s">
        <v>12</v>
      </c>
      <c r="F61" s="52" t="s">
        <v>18</v>
      </c>
      <c r="G61" s="52" t="s">
        <v>793</v>
      </c>
      <c r="H61" s="52" t="s">
        <v>100</v>
      </c>
      <c r="I61" s="18">
        <v>2985</v>
      </c>
      <c r="J61" s="110" t="str">
        <f>IF(tbRegistroEntradas[[#This Row],[DATA DE CAIXA REALIZADO]]="N/A","0",UPPER(TEXT(tbRegistroEntradas[[#This Row],[DATA DE CAIXA REALIZADO]],"mmm")))</f>
        <v>MAI</v>
      </c>
      <c r="K61" s="57">
        <f>IF(tbRegistroEntradas[[#This Row],[DATA DE CAIXA REALIZADO]]="N/A",0,YEAR(tbRegistroEntradas[[#This Row],[DATA DE CAIXA REALIZADO]]))</f>
        <v>2021</v>
      </c>
      <c r="L61" s="58" t="str">
        <f>IF(tbRegistroEntradas[[#This Row],[DATA DA COMPETÊNCIA]]="N/A","0",UPPER(TEXT(tbRegistroEntradas[[#This Row],[DATA DA COMPETÊNCIA]],"mmm")))</f>
        <v>ABR</v>
      </c>
      <c r="M61" s="58">
        <f>IF(tbRegistroEntradas[[#This Row],[DATA DA COMPETÊNCIA]]="N/A",0,YEAR(tbRegistroEntradas[[#This Row],[DATA DA COMPETÊNCIA]]))</f>
        <v>2021</v>
      </c>
      <c r="N61" s="58" t="str">
        <f>IF(tbRegistroEntradas[[#This Row],[DATA DO CAIXA PREVISTO]]="N/A","0",UPPER(TEXT(tbRegistroEntradas[[#This Row],[DATA DO CAIXA PREVISTO]],"mmm")))</f>
        <v>ABR</v>
      </c>
      <c r="O61" s="58">
        <f>IF(tbRegistroEntradas[[#This Row],[DATA DO CAIXA PREVISTO]]="N/A",0,YEAR(tbRegistroEntradas[[#This Row],[DATA DO CAIXA PREVISTO]]))</f>
        <v>2021</v>
      </c>
      <c r="P61" s="58" t="str">
        <f ca="1">IF(AND(tbRegistroEntradas[[#This Row],[DATA DE CAIXA REALIZADO]]="N/A",tbRegistroEntradas[[#This Row],[DATA DO CAIXA PREVISTO]]&lt;TODAY()),"Vencida","Não Vencida")</f>
        <v>Não Vencida</v>
      </c>
      <c r="Q61" s="58" t="str">
        <f>IF(tbRegistroEntradas[[#This Row],[DATA DA COMPETÊNCIA]]=tbRegistroEntradas[[#This Row],[DATA DO CAIXA PREVISTO]],"Vista","Prazo")</f>
        <v>Vista</v>
      </c>
      <c r="R61" s="58" t="str">
        <f>IF(tbRegistroEntradas[[#This Row],[DATA DE CAIXA REALIZADO]]&lt;&gt;"N/A","Em Dia","Com atraso")</f>
        <v>Em Dia</v>
      </c>
    </row>
    <row r="62" spans="1:18" s="52" customFormat="1" ht="14.4" customHeight="1" x14ac:dyDescent="0.3">
      <c r="A62" s="49">
        <v>44332</v>
      </c>
      <c r="B62" s="49">
        <f>A62-31</f>
        <v>44301</v>
      </c>
      <c r="C62" s="111">
        <f>(A62-B62)+B62-15</f>
        <v>44317</v>
      </c>
      <c r="D62" s="52" t="s">
        <v>64</v>
      </c>
      <c r="E62" s="52" t="s">
        <v>12</v>
      </c>
      <c r="F62" s="52" t="s">
        <v>16</v>
      </c>
      <c r="G62" s="52" t="s">
        <v>722</v>
      </c>
      <c r="H62" s="52" t="s">
        <v>108</v>
      </c>
      <c r="I62" s="18">
        <v>6252</v>
      </c>
      <c r="J62" s="110" t="str">
        <f>IF(tbRegistroEntradas[[#This Row],[DATA DE CAIXA REALIZADO]]="N/A","0",UPPER(TEXT(tbRegistroEntradas[[#This Row],[DATA DE CAIXA REALIZADO]],"mmm")))</f>
        <v>MAI</v>
      </c>
      <c r="K62" s="57">
        <f>IF(tbRegistroEntradas[[#This Row],[DATA DE CAIXA REALIZADO]]="N/A",0,YEAR(tbRegistroEntradas[[#This Row],[DATA DE CAIXA REALIZADO]]))</f>
        <v>2021</v>
      </c>
      <c r="L62" s="58" t="str">
        <f>IF(tbRegistroEntradas[[#This Row],[DATA DA COMPETÊNCIA]]="N/A","0",UPPER(TEXT(tbRegistroEntradas[[#This Row],[DATA DA COMPETÊNCIA]],"mmm")))</f>
        <v>ABR</v>
      </c>
      <c r="M62" s="58">
        <f>IF(tbRegistroEntradas[[#This Row],[DATA DA COMPETÊNCIA]]="N/A",0,YEAR(tbRegistroEntradas[[#This Row],[DATA DA COMPETÊNCIA]]))</f>
        <v>2021</v>
      </c>
      <c r="N62" s="58" t="str">
        <f>IF(tbRegistroEntradas[[#This Row],[DATA DO CAIXA PREVISTO]]="N/A","0",UPPER(TEXT(tbRegistroEntradas[[#This Row],[DATA DO CAIXA PREVISTO]],"mmm")))</f>
        <v>MAI</v>
      </c>
      <c r="O62" s="58">
        <f>IF(tbRegistroEntradas[[#This Row],[DATA DO CAIXA PREVISTO]]="N/A",0,YEAR(tbRegistroEntradas[[#This Row],[DATA DO CAIXA PREVISTO]]))</f>
        <v>2021</v>
      </c>
      <c r="P62" s="58" t="str">
        <f ca="1">IF(AND(tbRegistroEntradas[[#This Row],[DATA DE CAIXA REALIZADO]]="N/A",tbRegistroEntradas[[#This Row],[DATA DO CAIXA PREVISTO]]&lt;TODAY()),"Vencida","Não Vencida")</f>
        <v>Não Vencida</v>
      </c>
      <c r="Q62" s="58" t="str">
        <f>IF(tbRegistroEntradas[[#This Row],[DATA DA COMPETÊNCIA]]=tbRegistroEntradas[[#This Row],[DATA DO CAIXA PREVISTO]],"Vista","Prazo")</f>
        <v>Prazo</v>
      </c>
      <c r="R62" s="58" t="str">
        <f>IF(tbRegistroEntradas[[#This Row],[DATA DE CAIXA REALIZADO]]&lt;&gt;"N/A","Em Dia","Com atraso")</f>
        <v>Em Dia</v>
      </c>
    </row>
    <row r="63" spans="1:18" s="52" customFormat="1" ht="14.4" customHeight="1" x14ac:dyDescent="0.3">
      <c r="A63" s="125">
        <v>44332</v>
      </c>
      <c r="B63" s="125">
        <f>A63-31</f>
        <v>44301</v>
      </c>
      <c r="C63" s="111">
        <f>(A63-B63)+B63-15</f>
        <v>44317</v>
      </c>
      <c r="D63" s="126" t="s">
        <v>61</v>
      </c>
      <c r="E63" s="126" t="s">
        <v>12</v>
      </c>
      <c r="F63" s="126" t="s">
        <v>19</v>
      </c>
      <c r="G63" s="126" t="s">
        <v>861</v>
      </c>
      <c r="H63" s="52" t="s">
        <v>86</v>
      </c>
      <c r="I63" s="127">
        <v>4096</v>
      </c>
      <c r="J63" s="110" t="str">
        <f>IF(tbRegistroEntradas[[#This Row],[DATA DE CAIXA REALIZADO]]="N/A","0",UPPER(TEXT(tbRegistroEntradas[[#This Row],[DATA DE CAIXA REALIZADO]],"mmm")))</f>
        <v>MAI</v>
      </c>
      <c r="K63" s="57">
        <f>IF(tbRegistroEntradas[[#This Row],[DATA DE CAIXA REALIZADO]]="N/A",0,YEAR(tbRegistroEntradas[[#This Row],[DATA DE CAIXA REALIZADO]]))</f>
        <v>2021</v>
      </c>
      <c r="L63" s="58" t="str">
        <f>IF(tbRegistroEntradas[[#This Row],[DATA DA COMPETÊNCIA]]="N/A","0",UPPER(TEXT(tbRegistroEntradas[[#This Row],[DATA DA COMPETÊNCIA]],"mmm")))</f>
        <v>ABR</v>
      </c>
      <c r="M63" s="58">
        <f>IF(tbRegistroEntradas[[#This Row],[DATA DA COMPETÊNCIA]]="N/A",0,YEAR(tbRegistroEntradas[[#This Row],[DATA DA COMPETÊNCIA]]))</f>
        <v>2021</v>
      </c>
      <c r="N63" s="58" t="str">
        <f>IF(tbRegistroEntradas[[#This Row],[DATA DO CAIXA PREVISTO]]="N/A","0",UPPER(TEXT(tbRegistroEntradas[[#This Row],[DATA DO CAIXA PREVISTO]],"mmm")))</f>
        <v>MAI</v>
      </c>
      <c r="O63" s="58">
        <f>IF(tbRegistroEntradas[[#This Row],[DATA DO CAIXA PREVISTO]]="N/A",0,YEAR(tbRegistroEntradas[[#This Row],[DATA DO CAIXA PREVISTO]]))</f>
        <v>2021</v>
      </c>
      <c r="P63" s="58" t="str">
        <f ca="1">IF(AND(tbRegistroEntradas[[#This Row],[DATA DE CAIXA REALIZADO]]="N/A",tbRegistroEntradas[[#This Row],[DATA DO CAIXA PREVISTO]]&lt;TODAY()),"Vencida","Não Vencida")</f>
        <v>Não Vencida</v>
      </c>
      <c r="Q63" s="58" t="str">
        <f>IF(tbRegistroEntradas[[#This Row],[DATA DA COMPETÊNCIA]]=tbRegistroEntradas[[#This Row],[DATA DO CAIXA PREVISTO]],"Vista","Prazo")</f>
        <v>Prazo</v>
      </c>
      <c r="R63" s="58" t="str">
        <f>IF(tbRegistroEntradas[[#This Row],[DATA DE CAIXA REALIZADO]]&lt;&gt;"N/A","Em Dia","Com atraso")</f>
        <v>Em Dia</v>
      </c>
    </row>
    <row r="64" spans="1:18" s="52" customFormat="1" ht="14.4" customHeight="1" x14ac:dyDescent="0.3">
      <c r="A64" s="125">
        <v>44335</v>
      </c>
      <c r="B64" s="125">
        <f>A64-31</f>
        <v>44304</v>
      </c>
      <c r="C64" s="111">
        <f>(A64-B64)+B64-15</f>
        <v>44320</v>
      </c>
      <c r="D64" s="126" t="s">
        <v>137</v>
      </c>
      <c r="E64" s="126" t="s">
        <v>12</v>
      </c>
      <c r="F64" s="126" t="s">
        <v>19</v>
      </c>
      <c r="G64" s="126" t="s">
        <v>808</v>
      </c>
      <c r="H64" s="52" t="s">
        <v>105</v>
      </c>
      <c r="I64" s="127">
        <v>7132</v>
      </c>
      <c r="J64" s="110" t="str">
        <f>IF(tbRegistroEntradas[[#This Row],[DATA DE CAIXA REALIZADO]]="N/A","0",UPPER(TEXT(tbRegistroEntradas[[#This Row],[DATA DE CAIXA REALIZADO]],"mmm")))</f>
        <v>MAI</v>
      </c>
      <c r="K64" s="57">
        <f>IF(tbRegistroEntradas[[#This Row],[DATA DE CAIXA REALIZADO]]="N/A",0,YEAR(tbRegistroEntradas[[#This Row],[DATA DE CAIXA REALIZADO]]))</f>
        <v>2021</v>
      </c>
      <c r="L64" s="58" t="str">
        <f>IF(tbRegistroEntradas[[#This Row],[DATA DA COMPETÊNCIA]]="N/A","0",UPPER(TEXT(tbRegistroEntradas[[#This Row],[DATA DA COMPETÊNCIA]],"mmm")))</f>
        <v>ABR</v>
      </c>
      <c r="M64" s="58">
        <f>IF(tbRegistroEntradas[[#This Row],[DATA DA COMPETÊNCIA]]="N/A",0,YEAR(tbRegistroEntradas[[#This Row],[DATA DA COMPETÊNCIA]]))</f>
        <v>2021</v>
      </c>
      <c r="N64" s="58" t="str">
        <f>IF(tbRegistroEntradas[[#This Row],[DATA DO CAIXA PREVISTO]]="N/A","0",UPPER(TEXT(tbRegistroEntradas[[#This Row],[DATA DO CAIXA PREVISTO]],"mmm")))</f>
        <v>MAI</v>
      </c>
      <c r="O64" s="58">
        <f>IF(tbRegistroEntradas[[#This Row],[DATA DO CAIXA PREVISTO]]="N/A",0,YEAR(tbRegistroEntradas[[#This Row],[DATA DO CAIXA PREVISTO]]))</f>
        <v>2021</v>
      </c>
      <c r="P64" s="58" t="str">
        <f ca="1">IF(AND(tbRegistroEntradas[[#This Row],[DATA DE CAIXA REALIZADO]]="N/A",tbRegistroEntradas[[#This Row],[DATA DO CAIXA PREVISTO]]&lt;TODAY()),"Vencida","Não Vencida")</f>
        <v>Não Vencida</v>
      </c>
      <c r="Q64" s="58" t="str">
        <f>IF(tbRegistroEntradas[[#This Row],[DATA DA COMPETÊNCIA]]=tbRegistroEntradas[[#This Row],[DATA DO CAIXA PREVISTO]],"Vista","Prazo")</f>
        <v>Prazo</v>
      </c>
      <c r="R64" s="58" t="str">
        <f>IF(tbRegistroEntradas[[#This Row],[DATA DE CAIXA REALIZADO]]&lt;&gt;"N/A","Em Dia","Com atraso")</f>
        <v>Em Dia</v>
      </c>
    </row>
    <row r="65" spans="1:18" s="52" customFormat="1" ht="14.4" customHeight="1" x14ac:dyDescent="0.3">
      <c r="A65" s="125">
        <v>44335</v>
      </c>
      <c r="B65" s="125">
        <f>A65-31</f>
        <v>44304</v>
      </c>
      <c r="C65" s="111">
        <f>(A65-B65)+B65-15</f>
        <v>44320</v>
      </c>
      <c r="D65" s="126" t="s">
        <v>65</v>
      </c>
      <c r="E65" s="126" t="s">
        <v>12</v>
      </c>
      <c r="F65" s="126" t="s">
        <v>17</v>
      </c>
      <c r="G65" s="126" t="s">
        <v>1004</v>
      </c>
      <c r="H65" s="52" t="s">
        <v>120</v>
      </c>
      <c r="I65" s="127">
        <v>4718</v>
      </c>
      <c r="J65" s="110" t="str">
        <f>IF(tbRegistroEntradas[[#This Row],[DATA DE CAIXA REALIZADO]]="N/A","0",UPPER(TEXT(tbRegistroEntradas[[#This Row],[DATA DE CAIXA REALIZADO]],"mmm")))</f>
        <v>MAI</v>
      </c>
      <c r="K65" s="57">
        <f>IF(tbRegistroEntradas[[#This Row],[DATA DE CAIXA REALIZADO]]="N/A",0,YEAR(tbRegistroEntradas[[#This Row],[DATA DE CAIXA REALIZADO]]))</f>
        <v>2021</v>
      </c>
      <c r="L65" s="58" t="str">
        <f>IF(tbRegistroEntradas[[#This Row],[DATA DA COMPETÊNCIA]]="N/A","0",UPPER(TEXT(tbRegistroEntradas[[#This Row],[DATA DA COMPETÊNCIA]],"mmm")))</f>
        <v>ABR</v>
      </c>
      <c r="M65" s="58">
        <f>IF(tbRegistroEntradas[[#This Row],[DATA DA COMPETÊNCIA]]="N/A",0,YEAR(tbRegistroEntradas[[#This Row],[DATA DA COMPETÊNCIA]]))</f>
        <v>2021</v>
      </c>
      <c r="N65" s="58" t="str">
        <f>IF(tbRegistroEntradas[[#This Row],[DATA DO CAIXA PREVISTO]]="N/A","0",UPPER(TEXT(tbRegistroEntradas[[#This Row],[DATA DO CAIXA PREVISTO]],"mmm")))</f>
        <v>MAI</v>
      </c>
      <c r="O65" s="58">
        <f>IF(tbRegistroEntradas[[#This Row],[DATA DO CAIXA PREVISTO]]="N/A",0,YEAR(tbRegistroEntradas[[#This Row],[DATA DO CAIXA PREVISTO]]))</f>
        <v>2021</v>
      </c>
      <c r="P65" s="58" t="str">
        <f ca="1">IF(AND(tbRegistroEntradas[[#This Row],[DATA DE CAIXA REALIZADO]]="N/A",tbRegistroEntradas[[#This Row],[DATA DO CAIXA PREVISTO]]&lt;TODAY()),"Vencida","Não Vencida")</f>
        <v>Não Vencida</v>
      </c>
      <c r="Q65" s="58" t="str">
        <f>IF(tbRegistroEntradas[[#This Row],[DATA DA COMPETÊNCIA]]=tbRegistroEntradas[[#This Row],[DATA DO CAIXA PREVISTO]],"Vista","Prazo")</f>
        <v>Prazo</v>
      </c>
      <c r="R65" s="58" t="str">
        <f>IF(tbRegistroEntradas[[#This Row],[DATA DE CAIXA REALIZADO]]&lt;&gt;"N/A","Em Dia","Com atraso")</f>
        <v>Em Dia</v>
      </c>
    </row>
    <row r="66" spans="1:18" s="52" customFormat="1" ht="14.4" customHeight="1" x14ac:dyDescent="0.3">
      <c r="A66" s="125">
        <v>44337</v>
      </c>
      <c r="B66" s="125">
        <f>A66-31</f>
        <v>44306</v>
      </c>
      <c r="C66" s="111">
        <f>(A66-B66)+B66-15</f>
        <v>44322</v>
      </c>
      <c r="D66" s="126" t="s">
        <v>137</v>
      </c>
      <c r="E66" s="126" t="s">
        <v>12</v>
      </c>
      <c r="F66" s="126" t="s">
        <v>18</v>
      </c>
      <c r="G66" s="126" t="s">
        <v>983</v>
      </c>
      <c r="H66" s="52" t="s">
        <v>104</v>
      </c>
      <c r="I66" s="127">
        <v>7178</v>
      </c>
      <c r="J66" s="110" t="str">
        <f>IF(tbRegistroEntradas[[#This Row],[DATA DE CAIXA REALIZADO]]="N/A","0",UPPER(TEXT(tbRegistroEntradas[[#This Row],[DATA DE CAIXA REALIZADO]],"mmm")))</f>
        <v>MAI</v>
      </c>
      <c r="K66" s="57">
        <f>IF(tbRegistroEntradas[[#This Row],[DATA DE CAIXA REALIZADO]]="N/A",0,YEAR(tbRegistroEntradas[[#This Row],[DATA DE CAIXA REALIZADO]]))</f>
        <v>2021</v>
      </c>
      <c r="L66" s="58" t="str">
        <f>IF(tbRegistroEntradas[[#This Row],[DATA DA COMPETÊNCIA]]="N/A","0",UPPER(TEXT(tbRegistroEntradas[[#This Row],[DATA DA COMPETÊNCIA]],"mmm")))</f>
        <v>ABR</v>
      </c>
      <c r="M66" s="58">
        <f>IF(tbRegistroEntradas[[#This Row],[DATA DA COMPETÊNCIA]]="N/A",0,YEAR(tbRegistroEntradas[[#This Row],[DATA DA COMPETÊNCIA]]))</f>
        <v>2021</v>
      </c>
      <c r="N66" s="58" t="str">
        <f>IF(tbRegistroEntradas[[#This Row],[DATA DO CAIXA PREVISTO]]="N/A","0",UPPER(TEXT(tbRegistroEntradas[[#This Row],[DATA DO CAIXA PREVISTO]],"mmm")))</f>
        <v>MAI</v>
      </c>
      <c r="O66" s="58">
        <f>IF(tbRegistroEntradas[[#This Row],[DATA DO CAIXA PREVISTO]]="N/A",0,YEAR(tbRegistroEntradas[[#This Row],[DATA DO CAIXA PREVISTO]]))</f>
        <v>2021</v>
      </c>
      <c r="P66" s="58" t="str">
        <f ca="1">IF(AND(tbRegistroEntradas[[#This Row],[DATA DE CAIXA REALIZADO]]="N/A",tbRegistroEntradas[[#This Row],[DATA DO CAIXA PREVISTO]]&lt;TODAY()),"Vencida","Não Vencida")</f>
        <v>Não Vencida</v>
      </c>
      <c r="Q66" s="58" t="str">
        <f>IF(tbRegistroEntradas[[#This Row],[DATA DA COMPETÊNCIA]]=tbRegistroEntradas[[#This Row],[DATA DO CAIXA PREVISTO]],"Vista","Prazo")</f>
        <v>Prazo</v>
      </c>
      <c r="R66" s="58" t="str">
        <f>IF(tbRegistroEntradas[[#This Row],[DATA DE CAIXA REALIZADO]]&lt;&gt;"N/A","Em Dia","Com atraso")</f>
        <v>Em Dia</v>
      </c>
    </row>
    <row r="67" spans="1:18" s="52" customFormat="1" ht="14.4" customHeight="1" x14ac:dyDescent="0.3">
      <c r="A67" s="49">
        <v>44339</v>
      </c>
      <c r="B67" s="49">
        <f>A67-31</f>
        <v>44308</v>
      </c>
      <c r="C67" s="111">
        <f>tbRegistroEntradas[[#This Row],[DATA DA COMPETÊNCIA]]</f>
        <v>44308</v>
      </c>
      <c r="D67" s="52" t="s">
        <v>67</v>
      </c>
      <c r="E67" s="52" t="s">
        <v>12</v>
      </c>
      <c r="F67" s="52" t="s">
        <v>18</v>
      </c>
      <c r="G67" s="52" t="s">
        <v>700</v>
      </c>
      <c r="H67" s="52" t="s">
        <v>131</v>
      </c>
      <c r="I67" s="18">
        <v>1129</v>
      </c>
      <c r="J67" s="110" t="str">
        <f>IF(tbRegistroEntradas[[#This Row],[DATA DE CAIXA REALIZADO]]="N/A","0",UPPER(TEXT(tbRegistroEntradas[[#This Row],[DATA DE CAIXA REALIZADO]],"mmm")))</f>
        <v>MAI</v>
      </c>
      <c r="K67" s="57">
        <f>IF(tbRegistroEntradas[[#This Row],[DATA DE CAIXA REALIZADO]]="N/A",0,YEAR(tbRegistroEntradas[[#This Row],[DATA DE CAIXA REALIZADO]]))</f>
        <v>2021</v>
      </c>
      <c r="L67" s="58" t="str">
        <f>IF(tbRegistroEntradas[[#This Row],[DATA DA COMPETÊNCIA]]="N/A","0",UPPER(TEXT(tbRegistroEntradas[[#This Row],[DATA DA COMPETÊNCIA]],"mmm")))</f>
        <v>ABR</v>
      </c>
      <c r="M67" s="58">
        <f>IF(tbRegistroEntradas[[#This Row],[DATA DA COMPETÊNCIA]]="N/A",0,YEAR(tbRegistroEntradas[[#This Row],[DATA DA COMPETÊNCIA]]))</f>
        <v>2021</v>
      </c>
      <c r="N67" s="58" t="str">
        <f>IF(tbRegistroEntradas[[#This Row],[DATA DO CAIXA PREVISTO]]="N/A","0",UPPER(TEXT(tbRegistroEntradas[[#This Row],[DATA DO CAIXA PREVISTO]],"mmm")))</f>
        <v>ABR</v>
      </c>
      <c r="O67" s="58">
        <f>IF(tbRegistroEntradas[[#This Row],[DATA DO CAIXA PREVISTO]]="N/A",0,YEAR(tbRegistroEntradas[[#This Row],[DATA DO CAIXA PREVISTO]]))</f>
        <v>2021</v>
      </c>
      <c r="P67" s="58" t="str">
        <f ca="1">IF(AND(tbRegistroEntradas[[#This Row],[DATA DE CAIXA REALIZADO]]="N/A",tbRegistroEntradas[[#This Row],[DATA DO CAIXA PREVISTO]]&lt;TODAY()),"Vencida","Não Vencida")</f>
        <v>Não Vencida</v>
      </c>
      <c r="Q67" s="58" t="str">
        <f>IF(tbRegistroEntradas[[#This Row],[DATA DA COMPETÊNCIA]]=tbRegistroEntradas[[#This Row],[DATA DO CAIXA PREVISTO]],"Vista","Prazo")</f>
        <v>Vista</v>
      </c>
      <c r="R67" s="58" t="str">
        <f>IF(tbRegistroEntradas[[#This Row],[DATA DE CAIXA REALIZADO]]&lt;&gt;"N/A","Em Dia","Com atraso")</f>
        <v>Em Dia</v>
      </c>
    </row>
    <row r="68" spans="1:18" s="52" customFormat="1" ht="14.4" customHeight="1" x14ac:dyDescent="0.3">
      <c r="A68" s="49">
        <v>44339</v>
      </c>
      <c r="B68" s="49">
        <f>A68-31</f>
        <v>44308</v>
      </c>
      <c r="C68" s="111">
        <f>(A68-B68)+B68-15</f>
        <v>44324</v>
      </c>
      <c r="D68" s="52" t="s">
        <v>138</v>
      </c>
      <c r="E68" s="52" t="s">
        <v>12</v>
      </c>
      <c r="F68" s="52" t="s">
        <v>32</v>
      </c>
      <c r="G68" s="52" t="s">
        <v>762</v>
      </c>
      <c r="H68" s="52" t="s">
        <v>78</v>
      </c>
      <c r="I68" s="18">
        <v>3397</v>
      </c>
      <c r="J68" s="110" t="str">
        <f>IF(tbRegistroEntradas[[#This Row],[DATA DE CAIXA REALIZADO]]="N/A","0",UPPER(TEXT(tbRegistroEntradas[[#This Row],[DATA DE CAIXA REALIZADO]],"mmm")))</f>
        <v>MAI</v>
      </c>
      <c r="K68" s="57">
        <f>IF(tbRegistroEntradas[[#This Row],[DATA DE CAIXA REALIZADO]]="N/A",0,YEAR(tbRegistroEntradas[[#This Row],[DATA DE CAIXA REALIZADO]]))</f>
        <v>2021</v>
      </c>
      <c r="L68" s="58" t="str">
        <f>IF(tbRegistroEntradas[[#This Row],[DATA DA COMPETÊNCIA]]="N/A","0",UPPER(TEXT(tbRegistroEntradas[[#This Row],[DATA DA COMPETÊNCIA]],"mmm")))</f>
        <v>ABR</v>
      </c>
      <c r="M68" s="58">
        <f>IF(tbRegistroEntradas[[#This Row],[DATA DA COMPETÊNCIA]]="N/A",0,YEAR(tbRegistroEntradas[[#This Row],[DATA DA COMPETÊNCIA]]))</f>
        <v>2021</v>
      </c>
      <c r="N68" s="58" t="str">
        <f>IF(tbRegistroEntradas[[#This Row],[DATA DO CAIXA PREVISTO]]="N/A","0",UPPER(TEXT(tbRegistroEntradas[[#This Row],[DATA DO CAIXA PREVISTO]],"mmm")))</f>
        <v>MAI</v>
      </c>
      <c r="O68" s="58">
        <f>IF(tbRegistroEntradas[[#This Row],[DATA DO CAIXA PREVISTO]]="N/A",0,YEAR(tbRegistroEntradas[[#This Row],[DATA DO CAIXA PREVISTO]]))</f>
        <v>2021</v>
      </c>
      <c r="P68" s="58" t="str">
        <f ca="1">IF(AND(tbRegistroEntradas[[#This Row],[DATA DE CAIXA REALIZADO]]="N/A",tbRegistroEntradas[[#This Row],[DATA DO CAIXA PREVISTO]]&lt;TODAY()),"Vencida","Não Vencida")</f>
        <v>Não Vencida</v>
      </c>
      <c r="Q68" s="58" t="str">
        <f>IF(tbRegistroEntradas[[#This Row],[DATA DA COMPETÊNCIA]]=tbRegistroEntradas[[#This Row],[DATA DO CAIXA PREVISTO]],"Vista","Prazo")</f>
        <v>Prazo</v>
      </c>
      <c r="R68" s="58" t="str">
        <f>IF(tbRegistroEntradas[[#This Row],[DATA DE CAIXA REALIZADO]]&lt;&gt;"N/A","Em Dia","Com atraso")</f>
        <v>Em Dia</v>
      </c>
    </row>
    <row r="69" spans="1:18" s="52" customFormat="1" ht="14.4" customHeight="1" x14ac:dyDescent="0.3">
      <c r="A69" s="49">
        <v>44340</v>
      </c>
      <c r="B69" s="49">
        <f>A69-31</f>
        <v>44309</v>
      </c>
      <c r="C69" s="111">
        <f>(A69-B69)+B69-15</f>
        <v>44325</v>
      </c>
      <c r="D69" s="52" t="s">
        <v>64</v>
      </c>
      <c r="E69" s="52" t="s">
        <v>12</v>
      </c>
      <c r="F69" s="52" t="s">
        <v>16</v>
      </c>
      <c r="G69" s="52" t="s">
        <v>1105</v>
      </c>
      <c r="H69" s="52" t="s">
        <v>109</v>
      </c>
      <c r="I69" s="18">
        <v>2758</v>
      </c>
      <c r="J69" s="110" t="str">
        <f>IF(tbRegistroEntradas[[#This Row],[DATA DE CAIXA REALIZADO]]="N/A","0",UPPER(TEXT(tbRegistroEntradas[[#This Row],[DATA DE CAIXA REALIZADO]],"mmm")))</f>
        <v>MAI</v>
      </c>
      <c r="K69" s="57">
        <f>IF(tbRegistroEntradas[[#This Row],[DATA DE CAIXA REALIZADO]]="N/A",0,YEAR(tbRegistroEntradas[[#This Row],[DATA DE CAIXA REALIZADO]]))</f>
        <v>2021</v>
      </c>
      <c r="L69" s="58" t="str">
        <f>IF(tbRegistroEntradas[[#This Row],[DATA DA COMPETÊNCIA]]="N/A","0",UPPER(TEXT(tbRegistroEntradas[[#This Row],[DATA DA COMPETÊNCIA]],"mmm")))</f>
        <v>ABR</v>
      </c>
      <c r="M69" s="58">
        <f>IF(tbRegistroEntradas[[#This Row],[DATA DA COMPETÊNCIA]]="N/A",0,YEAR(tbRegistroEntradas[[#This Row],[DATA DA COMPETÊNCIA]]))</f>
        <v>2021</v>
      </c>
      <c r="N69" s="58" t="str">
        <f>IF(tbRegistroEntradas[[#This Row],[DATA DO CAIXA PREVISTO]]="N/A","0",UPPER(TEXT(tbRegistroEntradas[[#This Row],[DATA DO CAIXA PREVISTO]],"mmm")))</f>
        <v>MAI</v>
      </c>
      <c r="O69" s="58">
        <f>IF(tbRegistroEntradas[[#This Row],[DATA DO CAIXA PREVISTO]]="N/A",0,YEAR(tbRegistroEntradas[[#This Row],[DATA DO CAIXA PREVISTO]]))</f>
        <v>2021</v>
      </c>
      <c r="P69" s="58" t="str">
        <f ca="1">IF(AND(tbRegistroEntradas[[#This Row],[DATA DE CAIXA REALIZADO]]="N/A",tbRegistroEntradas[[#This Row],[DATA DO CAIXA PREVISTO]]&lt;TODAY()),"Vencida","Não Vencida")</f>
        <v>Não Vencida</v>
      </c>
      <c r="Q69" s="58" t="str">
        <f>IF(tbRegistroEntradas[[#This Row],[DATA DA COMPETÊNCIA]]=tbRegistroEntradas[[#This Row],[DATA DO CAIXA PREVISTO]],"Vista","Prazo")</f>
        <v>Prazo</v>
      </c>
      <c r="R69" s="58" t="str">
        <f>IF(tbRegistroEntradas[[#This Row],[DATA DE CAIXA REALIZADO]]&lt;&gt;"N/A","Em Dia","Com atraso")</f>
        <v>Em Dia</v>
      </c>
    </row>
    <row r="70" spans="1:18" s="52" customFormat="1" ht="14.4" customHeight="1" x14ac:dyDescent="0.3">
      <c r="A70" s="125">
        <v>44344</v>
      </c>
      <c r="B70" s="125">
        <f>A70-31</f>
        <v>44313</v>
      </c>
      <c r="C70" s="111">
        <f>(A70-B70)+B70-15</f>
        <v>44329</v>
      </c>
      <c r="D70" s="126" t="s">
        <v>61</v>
      </c>
      <c r="E70" s="126" t="s">
        <v>12</v>
      </c>
      <c r="F70" s="126" t="s">
        <v>18</v>
      </c>
      <c r="G70" s="126" t="s">
        <v>1077</v>
      </c>
      <c r="H70" s="52" t="s">
        <v>87</v>
      </c>
      <c r="I70" s="127">
        <v>2153</v>
      </c>
      <c r="J70" s="110" t="str">
        <f>IF(tbRegistroEntradas[[#This Row],[DATA DE CAIXA REALIZADO]]="N/A","0",UPPER(TEXT(tbRegistroEntradas[[#This Row],[DATA DE CAIXA REALIZADO]],"mmm")))</f>
        <v>MAI</v>
      </c>
      <c r="K70" s="57">
        <f>IF(tbRegistroEntradas[[#This Row],[DATA DE CAIXA REALIZADO]]="N/A",0,YEAR(tbRegistroEntradas[[#This Row],[DATA DE CAIXA REALIZADO]]))</f>
        <v>2021</v>
      </c>
      <c r="L70" s="58" t="str">
        <f>IF(tbRegistroEntradas[[#This Row],[DATA DA COMPETÊNCIA]]="N/A","0",UPPER(TEXT(tbRegistroEntradas[[#This Row],[DATA DA COMPETÊNCIA]],"mmm")))</f>
        <v>ABR</v>
      </c>
      <c r="M70" s="58">
        <f>IF(tbRegistroEntradas[[#This Row],[DATA DA COMPETÊNCIA]]="N/A",0,YEAR(tbRegistroEntradas[[#This Row],[DATA DA COMPETÊNCIA]]))</f>
        <v>2021</v>
      </c>
      <c r="N70" s="58" t="str">
        <f>IF(tbRegistroEntradas[[#This Row],[DATA DO CAIXA PREVISTO]]="N/A","0",UPPER(TEXT(tbRegistroEntradas[[#This Row],[DATA DO CAIXA PREVISTO]],"mmm")))</f>
        <v>MAI</v>
      </c>
      <c r="O70" s="58">
        <f>IF(tbRegistroEntradas[[#This Row],[DATA DO CAIXA PREVISTO]]="N/A",0,YEAR(tbRegistroEntradas[[#This Row],[DATA DO CAIXA PREVISTO]]))</f>
        <v>2021</v>
      </c>
      <c r="P70" s="58" t="str">
        <f ca="1">IF(AND(tbRegistroEntradas[[#This Row],[DATA DE CAIXA REALIZADO]]="N/A",tbRegistroEntradas[[#This Row],[DATA DO CAIXA PREVISTO]]&lt;TODAY()),"Vencida","Não Vencida")</f>
        <v>Não Vencida</v>
      </c>
      <c r="Q70" s="58" t="str">
        <f>IF(tbRegistroEntradas[[#This Row],[DATA DA COMPETÊNCIA]]=tbRegistroEntradas[[#This Row],[DATA DO CAIXA PREVISTO]],"Vista","Prazo")</f>
        <v>Prazo</v>
      </c>
      <c r="R70" s="58" t="str">
        <f>IF(tbRegistroEntradas[[#This Row],[DATA DE CAIXA REALIZADO]]&lt;&gt;"N/A","Em Dia","Com atraso")</f>
        <v>Em Dia</v>
      </c>
    </row>
    <row r="71" spans="1:18" s="52" customFormat="1" ht="14.4" customHeight="1" x14ac:dyDescent="0.3">
      <c r="A71" s="125">
        <v>44347</v>
      </c>
      <c r="B71" s="125">
        <f>A71-31</f>
        <v>44316</v>
      </c>
      <c r="C71" s="111">
        <f>(A71-B71)+B71-15</f>
        <v>44332</v>
      </c>
      <c r="D71" s="126" t="s">
        <v>61</v>
      </c>
      <c r="E71" s="126" t="s">
        <v>12</v>
      </c>
      <c r="F71" s="126" t="s">
        <v>17</v>
      </c>
      <c r="G71" s="126" t="s">
        <v>883</v>
      </c>
      <c r="H71" s="52" t="s">
        <v>88</v>
      </c>
      <c r="I71" s="127">
        <v>1946</v>
      </c>
      <c r="J71" s="110" t="str">
        <f>IF(tbRegistroEntradas[[#This Row],[DATA DE CAIXA REALIZADO]]="N/A","0",UPPER(TEXT(tbRegistroEntradas[[#This Row],[DATA DE CAIXA REALIZADO]],"mmm")))</f>
        <v>MAI</v>
      </c>
      <c r="K71" s="57">
        <f>IF(tbRegistroEntradas[[#This Row],[DATA DE CAIXA REALIZADO]]="N/A",0,YEAR(tbRegistroEntradas[[#This Row],[DATA DE CAIXA REALIZADO]]))</f>
        <v>2021</v>
      </c>
      <c r="L71" s="58" t="str">
        <f>IF(tbRegistroEntradas[[#This Row],[DATA DA COMPETÊNCIA]]="N/A","0",UPPER(TEXT(tbRegistroEntradas[[#This Row],[DATA DA COMPETÊNCIA]],"mmm")))</f>
        <v>ABR</v>
      </c>
      <c r="M71" s="58">
        <f>IF(tbRegistroEntradas[[#This Row],[DATA DA COMPETÊNCIA]]="N/A",0,YEAR(tbRegistroEntradas[[#This Row],[DATA DA COMPETÊNCIA]]))</f>
        <v>2021</v>
      </c>
      <c r="N71" s="58" t="str">
        <f>IF(tbRegistroEntradas[[#This Row],[DATA DO CAIXA PREVISTO]]="N/A","0",UPPER(TEXT(tbRegistroEntradas[[#This Row],[DATA DO CAIXA PREVISTO]],"mmm")))</f>
        <v>MAI</v>
      </c>
      <c r="O71" s="58">
        <f>IF(tbRegistroEntradas[[#This Row],[DATA DO CAIXA PREVISTO]]="N/A",0,YEAR(tbRegistroEntradas[[#This Row],[DATA DO CAIXA PREVISTO]]))</f>
        <v>2021</v>
      </c>
      <c r="P71" s="58" t="str">
        <f ca="1">IF(AND(tbRegistroEntradas[[#This Row],[DATA DE CAIXA REALIZADO]]="N/A",tbRegistroEntradas[[#This Row],[DATA DO CAIXA PREVISTO]]&lt;TODAY()),"Vencida","Não Vencida")</f>
        <v>Não Vencida</v>
      </c>
      <c r="Q71" s="58" t="str">
        <f>IF(tbRegistroEntradas[[#This Row],[DATA DA COMPETÊNCIA]]=tbRegistroEntradas[[#This Row],[DATA DO CAIXA PREVISTO]],"Vista","Prazo")</f>
        <v>Prazo</v>
      </c>
      <c r="R71" s="58" t="str">
        <f>IF(tbRegistroEntradas[[#This Row],[DATA DE CAIXA REALIZADO]]&lt;&gt;"N/A","Em Dia","Com atraso")</f>
        <v>Em Dia</v>
      </c>
    </row>
    <row r="72" spans="1:18" s="52" customFormat="1" ht="14.4" customHeight="1" x14ac:dyDescent="0.3">
      <c r="A72" s="49">
        <v>44348</v>
      </c>
      <c r="B72" s="49">
        <f>A72-31</f>
        <v>44317</v>
      </c>
      <c r="C72" s="111">
        <f>(A72-B72)+B72-15</f>
        <v>44333</v>
      </c>
      <c r="D72" s="52" t="s">
        <v>67</v>
      </c>
      <c r="E72" s="52" t="s">
        <v>12</v>
      </c>
      <c r="F72" s="52" t="s">
        <v>32</v>
      </c>
      <c r="G72" s="52" t="s">
        <v>955</v>
      </c>
      <c r="H72" s="52" t="s">
        <v>134</v>
      </c>
      <c r="I72" s="18">
        <v>4684</v>
      </c>
      <c r="J72" s="110" t="str">
        <f>IF(tbRegistroEntradas[[#This Row],[DATA DE CAIXA REALIZADO]]="N/A","0",UPPER(TEXT(tbRegistroEntradas[[#This Row],[DATA DE CAIXA REALIZADO]],"mmm")))</f>
        <v>JUN</v>
      </c>
      <c r="K72" s="57">
        <f>IF(tbRegistroEntradas[[#This Row],[DATA DE CAIXA REALIZADO]]="N/A",0,YEAR(tbRegistroEntradas[[#This Row],[DATA DE CAIXA REALIZADO]]))</f>
        <v>2021</v>
      </c>
      <c r="L72" s="58" t="str">
        <f>IF(tbRegistroEntradas[[#This Row],[DATA DA COMPETÊNCIA]]="N/A","0",UPPER(TEXT(tbRegistroEntradas[[#This Row],[DATA DA COMPETÊNCIA]],"mmm")))</f>
        <v>MAI</v>
      </c>
      <c r="M72" s="58">
        <f>IF(tbRegistroEntradas[[#This Row],[DATA DA COMPETÊNCIA]]="N/A",0,YEAR(tbRegistroEntradas[[#This Row],[DATA DA COMPETÊNCIA]]))</f>
        <v>2021</v>
      </c>
      <c r="N72" s="58" t="str">
        <f>IF(tbRegistroEntradas[[#This Row],[DATA DO CAIXA PREVISTO]]="N/A","0",UPPER(TEXT(tbRegistroEntradas[[#This Row],[DATA DO CAIXA PREVISTO]],"mmm")))</f>
        <v>MAI</v>
      </c>
      <c r="O72" s="58">
        <f>IF(tbRegistroEntradas[[#This Row],[DATA DO CAIXA PREVISTO]]="N/A",0,YEAR(tbRegistroEntradas[[#This Row],[DATA DO CAIXA PREVISTO]]))</f>
        <v>2021</v>
      </c>
      <c r="P72" s="58" t="str">
        <f ca="1">IF(AND(tbRegistroEntradas[[#This Row],[DATA DE CAIXA REALIZADO]]="N/A",tbRegistroEntradas[[#This Row],[DATA DO CAIXA PREVISTO]]&lt;TODAY()),"Vencida","Não Vencida")</f>
        <v>Não Vencida</v>
      </c>
      <c r="Q72" s="58" t="str">
        <f>IF(tbRegistroEntradas[[#This Row],[DATA DA COMPETÊNCIA]]=tbRegistroEntradas[[#This Row],[DATA DO CAIXA PREVISTO]],"Vista","Prazo")</f>
        <v>Prazo</v>
      </c>
      <c r="R72" s="58" t="str">
        <f>IF(tbRegistroEntradas[[#This Row],[DATA DE CAIXA REALIZADO]]&lt;&gt;"N/A","Em Dia","Com atraso")</f>
        <v>Em Dia</v>
      </c>
    </row>
    <row r="73" spans="1:18" s="52" customFormat="1" ht="14.4" customHeight="1" x14ac:dyDescent="0.3">
      <c r="A73" s="125">
        <v>44350</v>
      </c>
      <c r="B73" s="125">
        <f>A73-31</f>
        <v>44319</v>
      </c>
      <c r="C73" s="111">
        <f>(A73-B73)+B73-15</f>
        <v>44335</v>
      </c>
      <c r="D73" s="126" t="s">
        <v>138</v>
      </c>
      <c r="E73" s="126" t="s">
        <v>12</v>
      </c>
      <c r="F73" s="126" t="s">
        <v>17</v>
      </c>
      <c r="G73" s="126" t="s">
        <v>962</v>
      </c>
      <c r="H73" s="52" t="s">
        <v>135</v>
      </c>
      <c r="I73" s="127">
        <v>7740</v>
      </c>
      <c r="J73" s="110" t="str">
        <f>IF(tbRegistroEntradas[[#This Row],[DATA DE CAIXA REALIZADO]]="N/A","0",UPPER(TEXT(tbRegistroEntradas[[#This Row],[DATA DE CAIXA REALIZADO]],"mmm")))</f>
        <v>JUN</v>
      </c>
      <c r="K73" s="57">
        <f>IF(tbRegistroEntradas[[#This Row],[DATA DE CAIXA REALIZADO]]="N/A",0,YEAR(tbRegistroEntradas[[#This Row],[DATA DE CAIXA REALIZADO]]))</f>
        <v>2021</v>
      </c>
      <c r="L73" s="58" t="str">
        <f>IF(tbRegistroEntradas[[#This Row],[DATA DA COMPETÊNCIA]]="N/A","0",UPPER(TEXT(tbRegistroEntradas[[#This Row],[DATA DA COMPETÊNCIA]],"mmm")))</f>
        <v>MAI</v>
      </c>
      <c r="M73" s="58">
        <f>IF(tbRegistroEntradas[[#This Row],[DATA DA COMPETÊNCIA]]="N/A",0,YEAR(tbRegistroEntradas[[#This Row],[DATA DA COMPETÊNCIA]]))</f>
        <v>2021</v>
      </c>
      <c r="N73" s="58" t="str">
        <f>IF(tbRegistroEntradas[[#This Row],[DATA DO CAIXA PREVISTO]]="N/A","0",UPPER(TEXT(tbRegistroEntradas[[#This Row],[DATA DO CAIXA PREVISTO]],"mmm")))</f>
        <v>MAI</v>
      </c>
      <c r="O73" s="58">
        <f>IF(tbRegistroEntradas[[#This Row],[DATA DO CAIXA PREVISTO]]="N/A",0,YEAR(tbRegistroEntradas[[#This Row],[DATA DO CAIXA PREVISTO]]))</f>
        <v>2021</v>
      </c>
      <c r="P73" s="58" t="str">
        <f ca="1">IF(AND(tbRegistroEntradas[[#This Row],[DATA DE CAIXA REALIZADO]]="N/A",tbRegistroEntradas[[#This Row],[DATA DO CAIXA PREVISTO]]&lt;TODAY()),"Vencida","Não Vencida")</f>
        <v>Não Vencida</v>
      </c>
      <c r="Q73" s="58" t="str">
        <f>IF(tbRegistroEntradas[[#This Row],[DATA DA COMPETÊNCIA]]=tbRegistroEntradas[[#This Row],[DATA DO CAIXA PREVISTO]],"Vista","Prazo")</f>
        <v>Prazo</v>
      </c>
      <c r="R73" s="58" t="str">
        <f>IF(tbRegistroEntradas[[#This Row],[DATA DE CAIXA REALIZADO]]&lt;&gt;"N/A","Em Dia","Com atraso")</f>
        <v>Em Dia</v>
      </c>
    </row>
    <row r="74" spans="1:18" s="52" customFormat="1" ht="14.4" customHeight="1" x14ac:dyDescent="0.3">
      <c r="A74" s="125">
        <v>44352</v>
      </c>
      <c r="B74" s="125">
        <f>A74-31</f>
        <v>44321</v>
      </c>
      <c r="C74" s="111">
        <f>(A74-B74)+B74-15</f>
        <v>44337</v>
      </c>
      <c r="D74" s="126" t="s">
        <v>61</v>
      </c>
      <c r="E74" s="126" t="s">
        <v>12</v>
      </c>
      <c r="F74" s="126" t="s">
        <v>18</v>
      </c>
      <c r="G74" s="126" t="s">
        <v>1064</v>
      </c>
      <c r="H74" s="52" t="s">
        <v>71</v>
      </c>
      <c r="I74" s="127">
        <v>6265</v>
      </c>
      <c r="J74" s="110" t="str">
        <f>IF(tbRegistroEntradas[[#This Row],[DATA DE CAIXA REALIZADO]]="N/A","0",UPPER(TEXT(tbRegistroEntradas[[#This Row],[DATA DE CAIXA REALIZADO]],"mmm")))</f>
        <v>JUN</v>
      </c>
      <c r="K74" s="57">
        <f>IF(tbRegistroEntradas[[#This Row],[DATA DE CAIXA REALIZADO]]="N/A",0,YEAR(tbRegistroEntradas[[#This Row],[DATA DE CAIXA REALIZADO]]))</f>
        <v>2021</v>
      </c>
      <c r="L74" s="58" t="str">
        <f>IF(tbRegistroEntradas[[#This Row],[DATA DA COMPETÊNCIA]]="N/A","0",UPPER(TEXT(tbRegistroEntradas[[#This Row],[DATA DA COMPETÊNCIA]],"mmm")))</f>
        <v>MAI</v>
      </c>
      <c r="M74" s="58">
        <f>IF(tbRegistroEntradas[[#This Row],[DATA DA COMPETÊNCIA]]="N/A",0,YEAR(tbRegistroEntradas[[#This Row],[DATA DA COMPETÊNCIA]]))</f>
        <v>2021</v>
      </c>
      <c r="N74" s="58" t="str">
        <f>IF(tbRegistroEntradas[[#This Row],[DATA DO CAIXA PREVISTO]]="N/A","0",UPPER(TEXT(tbRegistroEntradas[[#This Row],[DATA DO CAIXA PREVISTO]],"mmm")))</f>
        <v>MAI</v>
      </c>
      <c r="O74" s="58">
        <f>IF(tbRegistroEntradas[[#This Row],[DATA DO CAIXA PREVISTO]]="N/A",0,YEAR(tbRegistroEntradas[[#This Row],[DATA DO CAIXA PREVISTO]]))</f>
        <v>2021</v>
      </c>
      <c r="P74" s="58" t="str">
        <f ca="1">IF(AND(tbRegistroEntradas[[#This Row],[DATA DE CAIXA REALIZADO]]="N/A",tbRegistroEntradas[[#This Row],[DATA DO CAIXA PREVISTO]]&lt;TODAY()),"Vencida","Não Vencida")</f>
        <v>Não Vencida</v>
      </c>
      <c r="Q74" s="58" t="str">
        <f>IF(tbRegistroEntradas[[#This Row],[DATA DA COMPETÊNCIA]]=tbRegistroEntradas[[#This Row],[DATA DO CAIXA PREVISTO]],"Vista","Prazo")</f>
        <v>Prazo</v>
      </c>
      <c r="R74" s="58" t="str">
        <f>IF(tbRegistroEntradas[[#This Row],[DATA DE CAIXA REALIZADO]]&lt;&gt;"N/A","Em Dia","Com atraso")</f>
        <v>Em Dia</v>
      </c>
    </row>
    <row r="75" spans="1:18" s="52" customFormat="1" ht="14.4" customHeight="1" x14ac:dyDescent="0.3">
      <c r="A75" s="125">
        <v>44353</v>
      </c>
      <c r="B75" s="125">
        <f>A75-31</f>
        <v>44322</v>
      </c>
      <c r="C75" s="111">
        <f>(A75-B75)+B75-15</f>
        <v>44338</v>
      </c>
      <c r="D75" s="126" t="s">
        <v>61</v>
      </c>
      <c r="E75" s="126" t="s">
        <v>12</v>
      </c>
      <c r="F75" s="126" t="s">
        <v>16</v>
      </c>
      <c r="G75" s="126" t="s">
        <v>1043</v>
      </c>
      <c r="H75" s="52" t="s">
        <v>79</v>
      </c>
      <c r="I75" s="127">
        <v>6051</v>
      </c>
      <c r="J75" s="110" t="str">
        <f>IF(tbRegistroEntradas[[#This Row],[DATA DE CAIXA REALIZADO]]="N/A","0",UPPER(TEXT(tbRegistroEntradas[[#This Row],[DATA DE CAIXA REALIZADO]],"mmm")))</f>
        <v>JUN</v>
      </c>
      <c r="K75" s="57">
        <f>IF(tbRegistroEntradas[[#This Row],[DATA DE CAIXA REALIZADO]]="N/A",0,YEAR(tbRegistroEntradas[[#This Row],[DATA DE CAIXA REALIZADO]]))</f>
        <v>2021</v>
      </c>
      <c r="L75" s="58" t="str">
        <f>IF(tbRegistroEntradas[[#This Row],[DATA DA COMPETÊNCIA]]="N/A","0",UPPER(TEXT(tbRegistroEntradas[[#This Row],[DATA DA COMPETÊNCIA]],"mmm")))</f>
        <v>MAI</v>
      </c>
      <c r="M75" s="58">
        <f>IF(tbRegistroEntradas[[#This Row],[DATA DA COMPETÊNCIA]]="N/A",0,YEAR(tbRegistroEntradas[[#This Row],[DATA DA COMPETÊNCIA]]))</f>
        <v>2021</v>
      </c>
      <c r="N75" s="58" t="str">
        <f>IF(tbRegistroEntradas[[#This Row],[DATA DO CAIXA PREVISTO]]="N/A","0",UPPER(TEXT(tbRegistroEntradas[[#This Row],[DATA DO CAIXA PREVISTO]],"mmm")))</f>
        <v>MAI</v>
      </c>
      <c r="O75" s="58">
        <f>IF(tbRegistroEntradas[[#This Row],[DATA DO CAIXA PREVISTO]]="N/A",0,YEAR(tbRegistroEntradas[[#This Row],[DATA DO CAIXA PREVISTO]]))</f>
        <v>2021</v>
      </c>
      <c r="P75" s="58" t="str">
        <f ca="1">IF(AND(tbRegistroEntradas[[#This Row],[DATA DE CAIXA REALIZADO]]="N/A",tbRegistroEntradas[[#This Row],[DATA DO CAIXA PREVISTO]]&lt;TODAY()),"Vencida","Não Vencida")</f>
        <v>Não Vencida</v>
      </c>
      <c r="Q75" s="58" t="str">
        <f>IF(tbRegistroEntradas[[#This Row],[DATA DA COMPETÊNCIA]]=tbRegistroEntradas[[#This Row],[DATA DO CAIXA PREVISTO]],"Vista","Prazo")</f>
        <v>Prazo</v>
      </c>
      <c r="R75" s="58" t="str">
        <f>IF(tbRegistroEntradas[[#This Row],[DATA DE CAIXA REALIZADO]]&lt;&gt;"N/A","Em Dia","Com atraso")</f>
        <v>Em Dia</v>
      </c>
    </row>
    <row r="76" spans="1:18" s="52" customFormat="1" ht="14.4" customHeight="1" x14ac:dyDescent="0.3">
      <c r="A76" s="49">
        <v>44354</v>
      </c>
      <c r="B76" s="49">
        <f>A76-31</f>
        <v>44323</v>
      </c>
      <c r="C76" s="111">
        <f>(A76-B76)+B76-15</f>
        <v>44339</v>
      </c>
      <c r="D76" s="52" t="s">
        <v>64</v>
      </c>
      <c r="E76" s="52" t="s">
        <v>12</v>
      </c>
      <c r="F76" s="52" t="s">
        <v>16</v>
      </c>
      <c r="G76" s="52" t="s">
        <v>668</v>
      </c>
      <c r="H76" s="52" t="s">
        <v>110</v>
      </c>
      <c r="I76" s="18">
        <v>1058</v>
      </c>
      <c r="J76" s="110" t="str">
        <f>IF(tbRegistroEntradas[[#This Row],[DATA DE CAIXA REALIZADO]]="N/A","0",UPPER(TEXT(tbRegistroEntradas[[#This Row],[DATA DE CAIXA REALIZADO]],"mmm")))</f>
        <v>JUN</v>
      </c>
      <c r="K76" s="57">
        <f>IF(tbRegistroEntradas[[#This Row],[DATA DE CAIXA REALIZADO]]="N/A",0,YEAR(tbRegistroEntradas[[#This Row],[DATA DE CAIXA REALIZADO]]))</f>
        <v>2021</v>
      </c>
      <c r="L76" s="58" t="str">
        <f>IF(tbRegistroEntradas[[#This Row],[DATA DA COMPETÊNCIA]]="N/A","0",UPPER(TEXT(tbRegistroEntradas[[#This Row],[DATA DA COMPETÊNCIA]],"mmm")))</f>
        <v>MAI</v>
      </c>
      <c r="M76" s="58">
        <f>IF(tbRegistroEntradas[[#This Row],[DATA DA COMPETÊNCIA]]="N/A",0,YEAR(tbRegistroEntradas[[#This Row],[DATA DA COMPETÊNCIA]]))</f>
        <v>2021</v>
      </c>
      <c r="N76" s="58" t="str">
        <f>IF(tbRegistroEntradas[[#This Row],[DATA DO CAIXA PREVISTO]]="N/A","0",UPPER(TEXT(tbRegistroEntradas[[#This Row],[DATA DO CAIXA PREVISTO]],"mmm")))</f>
        <v>MAI</v>
      </c>
      <c r="O76" s="58">
        <f>IF(tbRegistroEntradas[[#This Row],[DATA DO CAIXA PREVISTO]]="N/A",0,YEAR(tbRegistroEntradas[[#This Row],[DATA DO CAIXA PREVISTO]]))</f>
        <v>2021</v>
      </c>
      <c r="P76" s="58" t="str">
        <f ca="1">IF(AND(tbRegistroEntradas[[#This Row],[DATA DE CAIXA REALIZADO]]="N/A",tbRegistroEntradas[[#This Row],[DATA DO CAIXA PREVISTO]]&lt;TODAY()),"Vencida","Não Vencida")</f>
        <v>Não Vencida</v>
      </c>
      <c r="Q76" s="58" t="str">
        <f>IF(tbRegistroEntradas[[#This Row],[DATA DA COMPETÊNCIA]]=tbRegistroEntradas[[#This Row],[DATA DO CAIXA PREVISTO]],"Vista","Prazo")</f>
        <v>Prazo</v>
      </c>
      <c r="R76" s="58" t="str">
        <f>IF(tbRegistroEntradas[[#This Row],[DATA DE CAIXA REALIZADO]]&lt;&gt;"N/A","Em Dia","Com atraso")</f>
        <v>Em Dia</v>
      </c>
    </row>
    <row r="77" spans="1:18" s="52" customFormat="1" ht="14.4" customHeight="1" x14ac:dyDescent="0.3">
      <c r="A77" s="125">
        <v>44355</v>
      </c>
      <c r="B77" s="125">
        <f>A77-31</f>
        <v>44324</v>
      </c>
      <c r="C77" s="111">
        <f>(A77-B77)+B77-15</f>
        <v>44340</v>
      </c>
      <c r="D77" s="126" t="s">
        <v>61</v>
      </c>
      <c r="E77" s="126" t="s">
        <v>12</v>
      </c>
      <c r="F77" s="126" t="s">
        <v>19</v>
      </c>
      <c r="G77" s="126" t="s">
        <v>918</v>
      </c>
      <c r="H77" s="52" t="s">
        <v>80</v>
      </c>
      <c r="I77" s="127">
        <v>4123</v>
      </c>
      <c r="J77" s="110" t="str">
        <f>IF(tbRegistroEntradas[[#This Row],[DATA DE CAIXA REALIZADO]]="N/A","0",UPPER(TEXT(tbRegistroEntradas[[#This Row],[DATA DE CAIXA REALIZADO]],"mmm")))</f>
        <v>JUN</v>
      </c>
      <c r="K77" s="57">
        <f>IF(tbRegistroEntradas[[#This Row],[DATA DE CAIXA REALIZADO]]="N/A",0,YEAR(tbRegistroEntradas[[#This Row],[DATA DE CAIXA REALIZADO]]))</f>
        <v>2021</v>
      </c>
      <c r="L77" s="58" t="str">
        <f>IF(tbRegistroEntradas[[#This Row],[DATA DA COMPETÊNCIA]]="N/A","0",UPPER(TEXT(tbRegistroEntradas[[#This Row],[DATA DA COMPETÊNCIA]],"mmm")))</f>
        <v>MAI</v>
      </c>
      <c r="M77" s="58">
        <f>IF(tbRegistroEntradas[[#This Row],[DATA DA COMPETÊNCIA]]="N/A",0,YEAR(tbRegistroEntradas[[#This Row],[DATA DA COMPETÊNCIA]]))</f>
        <v>2021</v>
      </c>
      <c r="N77" s="58" t="str">
        <f>IF(tbRegistroEntradas[[#This Row],[DATA DO CAIXA PREVISTO]]="N/A","0",UPPER(TEXT(tbRegistroEntradas[[#This Row],[DATA DO CAIXA PREVISTO]],"mmm")))</f>
        <v>MAI</v>
      </c>
      <c r="O77" s="58">
        <f>IF(tbRegistroEntradas[[#This Row],[DATA DO CAIXA PREVISTO]]="N/A",0,YEAR(tbRegistroEntradas[[#This Row],[DATA DO CAIXA PREVISTO]]))</f>
        <v>2021</v>
      </c>
      <c r="P77" s="58" t="str">
        <f ca="1">IF(AND(tbRegistroEntradas[[#This Row],[DATA DE CAIXA REALIZADO]]="N/A",tbRegistroEntradas[[#This Row],[DATA DO CAIXA PREVISTO]]&lt;TODAY()),"Vencida","Não Vencida")</f>
        <v>Não Vencida</v>
      </c>
      <c r="Q77" s="58" t="str">
        <f>IF(tbRegistroEntradas[[#This Row],[DATA DA COMPETÊNCIA]]=tbRegistroEntradas[[#This Row],[DATA DO CAIXA PREVISTO]],"Vista","Prazo")</f>
        <v>Prazo</v>
      </c>
      <c r="R77" s="58" t="str">
        <f>IF(tbRegistroEntradas[[#This Row],[DATA DE CAIXA REALIZADO]]&lt;&gt;"N/A","Em Dia","Com atraso")</f>
        <v>Em Dia</v>
      </c>
    </row>
    <row r="78" spans="1:18" s="52" customFormat="1" ht="14.4" customHeight="1" x14ac:dyDescent="0.3">
      <c r="A78" s="125">
        <v>44359</v>
      </c>
      <c r="B78" s="125">
        <f>A78-31</f>
        <v>44328</v>
      </c>
      <c r="C78" s="111">
        <f>(A78-B78)+B78-15</f>
        <v>44344</v>
      </c>
      <c r="D78" s="126" t="s">
        <v>138</v>
      </c>
      <c r="E78" s="126" t="s">
        <v>12</v>
      </c>
      <c r="F78" s="126" t="s">
        <v>32</v>
      </c>
      <c r="G78" s="126" t="s">
        <v>909</v>
      </c>
      <c r="H78" s="52" t="s">
        <v>136</v>
      </c>
      <c r="I78" s="127">
        <v>884</v>
      </c>
      <c r="J78" s="110" t="str">
        <f>IF(tbRegistroEntradas[[#This Row],[DATA DE CAIXA REALIZADO]]="N/A","0",UPPER(TEXT(tbRegistroEntradas[[#This Row],[DATA DE CAIXA REALIZADO]],"mmm")))</f>
        <v>JUN</v>
      </c>
      <c r="K78" s="57">
        <f>IF(tbRegistroEntradas[[#This Row],[DATA DE CAIXA REALIZADO]]="N/A",0,YEAR(tbRegistroEntradas[[#This Row],[DATA DE CAIXA REALIZADO]]))</f>
        <v>2021</v>
      </c>
      <c r="L78" s="58" t="str">
        <f>IF(tbRegistroEntradas[[#This Row],[DATA DA COMPETÊNCIA]]="N/A","0",UPPER(TEXT(tbRegistroEntradas[[#This Row],[DATA DA COMPETÊNCIA]],"mmm")))</f>
        <v>MAI</v>
      </c>
      <c r="M78" s="58">
        <f>IF(tbRegistroEntradas[[#This Row],[DATA DA COMPETÊNCIA]]="N/A",0,YEAR(tbRegistroEntradas[[#This Row],[DATA DA COMPETÊNCIA]]))</f>
        <v>2021</v>
      </c>
      <c r="N78" s="58" t="str">
        <f>IF(tbRegistroEntradas[[#This Row],[DATA DO CAIXA PREVISTO]]="N/A","0",UPPER(TEXT(tbRegistroEntradas[[#This Row],[DATA DO CAIXA PREVISTO]],"mmm")))</f>
        <v>MAI</v>
      </c>
      <c r="O78" s="58">
        <f>IF(tbRegistroEntradas[[#This Row],[DATA DO CAIXA PREVISTO]]="N/A",0,YEAR(tbRegistroEntradas[[#This Row],[DATA DO CAIXA PREVISTO]]))</f>
        <v>2021</v>
      </c>
      <c r="P78" s="58" t="str">
        <f ca="1">IF(AND(tbRegistroEntradas[[#This Row],[DATA DE CAIXA REALIZADO]]="N/A",tbRegistroEntradas[[#This Row],[DATA DO CAIXA PREVISTO]]&lt;TODAY()),"Vencida","Não Vencida")</f>
        <v>Não Vencida</v>
      </c>
      <c r="Q78" s="58" t="str">
        <f>IF(tbRegistroEntradas[[#This Row],[DATA DA COMPETÊNCIA]]=tbRegistroEntradas[[#This Row],[DATA DO CAIXA PREVISTO]],"Vista","Prazo")</f>
        <v>Prazo</v>
      </c>
      <c r="R78" s="58" t="str">
        <f>IF(tbRegistroEntradas[[#This Row],[DATA DE CAIXA REALIZADO]]&lt;&gt;"N/A","Em Dia","Com atraso")</f>
        <v>Em Dia</v>
      </c>
    </row>
    <row r="79" spans="1:18" s="52" customFormat="1" ht="14.4" customHeight="1" x14ac:dyDescent="0.3">
      <c r="A79" s="125">
        <v>44361</v>
      </c>
      <c r="B79" s="125">
        <f>A79-31</f>
        <v>44330</v>
      </c>
      <c r="C79" s="111">
        <f>(A79-B79)+B79-15</f>
        <v>44346</v>
      </c>
      <c r="D79" s="126" t="s">
        <v>137</v>
      </c>
      <c r="E79" s="126" t="s">
        <v>12</v>
      </c>
      <c r="F79" s="126" t="s">
        <v>18</v>
      </c>
      <c r="G79" s="126" t="s">
        <v>1021</v>
      </c>
      <c r="H79" s="52" t="s">
        <v>106</v>
      </c>
      <c r="I79" s="127">
        <v>2099</v>
      </c>
      <c r="J79" s="110" t="str">
        <f>IF(tbRegistroEntradas[[#This Row],[DATA DE CAIXA REALIZADO]]="N/A","0",UPPER(TEXT(tbRegistroEntradas[[#This Row],[DATA DE CAIXA REALIZADO]],"mmm")))</f>
        <v>JUN</v>
      </c>
      <c r="K79" s="57">
        <f>IF(tbRegistroEntradas[[#This Row],[DATA DE CAIXA REALIZADO]]="N/A",0,YEAR(tbRegistroEntradas[[#This Row],[DATA DE CAIXA REALIZADO]]))</f>
        <v>2021</v>
      </c>
      <c r="L79" s="58" t="str">
        <f>IF(tbRegistroEntradas[[#This Row],[DATA DA COMPETÊNCIA]]="N/A","0",UPPER(TEXT(tbRegistroEntradas[[#This Row],[DATA DA COMPETÊNCIA]],"mmm")))</f>
        <v>MAI</v>
      </c>
      <c r="M79" s="58">
        <f>IF(tbRegistroEntradas[[#This Row],[DATA DA COMPETÊNCIA]]="N/A",0,YEAR(tbRegistroEntradas[[#This Row],[DATA DA COMPETÊNCIA]]))</f>
        <v>2021</v>
      </c>
      <c r="N79" s="58" t="str">
        <f>IF(tbRegistroEntradas[[#This Row],[DATA DO CAIXA PREVISTO]]="N/A","0",UPPER(TEXT(tbRegistroEntradas[[#This Row],[DATA DO CAIXA PREVISTO]],"mmm")))</f>
        <v>MAI</v>
      </c>
      <c r="O79" s="58">
        <f>IF(tbRegistroEntradas[[#This Row],[DATA DO CAIXA PREVISTO]]="N/A",0,YEAR(tbRegistroEntradas[[#This Row],[DATA DO CAIXA PREVISTO]]))</f>
        <v>2021</v>
      </c>
      <c r="P79" s="58" t="str">
        <f ca="1">IF(AND(tbRegistroEntradas[[#This Row],[DATA DE CAIXA REALIZADO]]="N/A",tbRegistroEntradas[[#This Row],[DATA DO CAIXA PREVISTO]]&lt;TODAY()),"Vencida","Não Vencida")</f>
        <v>Não Vencida</v>
      </c>
      <c r="Q79" s="58" t="str">
        <f>IF(tbRegistroEntradas[[#This Row],[DATA DA COMPETÊNCIA]]=tbRegistroEntradas[[#This Row],[DATA DO CAIXA PREVISTO]],"Vista","Prazo")</f>
        <v>Prazo</v>
      </c>
      <c r="R79" s="58" t="str">
        <f>IF(tbRegistroEntradas[[#This Row],[DATA DE CAIXA REALIZADO]]&lt;&gt;"N/A","Em Dia","Com atraso")</f>
        <v>Em Dia</v>
      </c>
    </row>
    <row r="80" spans="1:18" s="52" customFormat="1" ht="14.4" customHeight="1" x14ac:dyDescent="0.3">
      <c r="A80" s="125">
        <v>44362</v>
      </c>
      <c r="B80" s="125">
        <f>A80-31</f>
        <v>44331</v>
      </c>
      <c r="C80" s="111">
        <f>tbRegistroEntradas[[#This Row],[DATA DA COMPETÊNCIA]]</f>
        <v>44331</v>
      </c>
      <c r="D80" s="126" t="s">
        <v>61</v>
      </c>
      <c r="E80" s="126" t="s">
        <v>12</v>
      </c>
      <c r="F80" s="126" t="s">
        <v>19</v>
      </c>
      <c r="G80" s="126" t="s">
        <v>1059</v>
      </c>
      <c r="H80" s="52" t="s">
        <v>81</v>
      </c>
      <c r="I80" s="127">
        <v>6703</v>
      </c>
      <c r="J80" s="110" t="str">
        <f>IF(tbRegistroEntradas[[#This Row],[DATA DE CAIXA REALIZADO]]="N/A","0",UPPER(TEXT(tbRegistroEntradas[[#This Row],[DATA DE CAIXA REALIZADO]],"mmm")))</f>
        <v>JUN</v>
      </c>
      <c r="K80" s="57">
        <f>IF(tbRegistroEntradas[[#This Row],[DATA DE CAIXA REALIZADO]]="N/A",0,YEAR(tbRegistroEntradas[[#This Row],[DATA DE CAIXA REALIZADO]]))</f>
        <v>2021</v>
      </c>
      <c r="L80" s="58" t="str">
        <f>IF(tbRegistroEntradas[[#This Row],[DATA DA COMPETÊNCIA]]="N/A","0",UPPER(TEXT(tbRegistroEntradas[[#This Row],[DATA DA COMPETÊNCIA]],"mmm")))</f>
        <v>MAI</v>
      </c>
      <c r="M80" s="58">
        <f>IF(tbRegistroEntradas[[#This Row],[DATA DA COMPETÊNCIA]]="N/A",0,YEAR(tbRegistroEntradas[[#This Row],[DATA DA COMPETÊNCIA]]))</f>
        <v>2021</v>
      </c>
      <c r="N80" s="58" t="str">
        <f>IF(tbRegistroEntradas[[#This Row],[DATA DO CAIXA PREVISTO]]="N/A","0",UPPER(TEXT(tbRegistroEntradas[[#This Row],[DATA DO CAIXA PREVISTO]],"mmm")))</f>
        <v>MAI</v>
      </c>
      <c r="O80" s="58">
        <f>IF(tbRegistroEntradas[[#This Row],[DATA DO CAIXA PREVISTO]]="N/A",0,YEAR(tbRegistroEntradas[[#This Row],[DATA DO CAIXA PREVISTO]]))</f>
        <v>2021</v>
      </c>
      <c r="P80" s="58" t="str">
        <f ca="1">IF(AND(tbRegistroEntradas[[#This Row],[DATA DE CAIXA REALIZADO]]="N/A",tbRegistroEntradas[[#This Row],[DATA DO CAIXA PREVISTO]]&lt;TODAY()),"Vencida","Não Vencida")</f>
        <v>Não Vencida</v>
      </c>
      <c r="Q80" s="58" t="str">
        <f>IF(tbRegistroEntradas[[#This Row],[DATA DA COMPETÊNCIA]]=tbRegistroEntradas[[#This Row],[DATA DO CAIXA PREVISTO]],"Vista","Prazo")</f>
        <v>Vista</v>
      </c>
      <c r="R80" s="58" t="str">
        <f>IF(tbRegistroEntradas[[#This Row],[DATA DE CAIXA REALIZADO]]&lt;&gt;"N/A","Em Dia","Com atraso")</f>
        <v>Em Dia</v>
      </c>
    </row>
    <row r="81" spans="1:18" s="52" customFormat="1" ht="14.4" customHeight="1" x14ac:dyDescent="0.3">
      <c r="A81" s="125">
        <v>44365</v>
      </c>
      <c r="B81" s="125">
        <f>A81-31</f>
        <v>44334</v>
      </c>
      <c r="C81" s="111">
        <f>(A81-B81)+B81-15</f>
        <v>44350</v>
      </c>
      <c r="D81" s="126" t="s">
        <v>137</v>
      </c>
      <c r="E81" s="126" t="s">
        <v>12</v>
      </c>
      <c r="F81" s="126" t="s">
        <v>16</v>
      </c>
      <c r="G81" s="126" t="s">
        <v>291</v>
      </c>
      <c r="H81" s="126" t="s">
        <v>107</v>
      </c>
      <c r="I81" s="127">
        <v>4856</v>
      </c>
      <c r="J81" s="110" t="str">
        <f>IF(tbRegistroEntradas[[#This Row],[DATA DE CAIXA REALIZADO]]="N/A","0",UPPER(TEXT(tbRegistroEntradas[[#This Row],[DATA DE CAIXA REALIZADO]],"mmm")))</f>
        <v>JUN</v>
      </c>
      <c r="K81" s="57">
        <f>IF(tbRegistroEntradas[[#This Row],[DATA DE CAIXA REALIZADO]]="N/A",0,YEAR(tbRegistroEntradas[[#This Row],[DATA DE CAIXA REALIZADO]]))</f>
        <v>2021</v>
      </c>
      <c r="L81" s="58" t="str">
        <f>IF(tbRegistroEntradas[[#This Row],[DATA DA COMPETÊNCIA]]="N/A","0",UPPER(TEXT(tbRegistroEntradas[[#This Row],[DATA DA COMPETÊNCIA]],"mmm")))</f>
        <v>MAI</v>
      </c>
      <c r="M81" s="58">
        <f>IF(tbRegistroEntradas[[#This Row],[DATA DA COMPETÊNCIA]]="N/A",0,YEAR(tbRegistroEntradas[[#This Row],[DATA DA COMPETÊNCIA]]))</f>
        <v>2021</v>
      </c>
      <c r="N81" s="58" t="str">
        <f>IF(tbRegistroEntradas[[#This Row],[DATA DO CAIXA PREVISTO]]="N/A","0",UPPER(TEXT(tbRegistroEntradas[[#This Row],[DATA DO CAIXA PREVISTO]],"mmm")))</f>
        <v>JUN</v>
      </c>
      <c r="O81" s="58">
        <f>IF(tbRegistroEntradas[[#This Row],[DATA DO CAIXA PREVISTO]]="N/A",0,YEAR(tbRegistroEntradas[[#This Row],[DATA DO CAIXA PREVISTO]]))</f>
        <v>2021</v>
      </c>
      <c r="P81" s="58" t="str">
        <f ca="1">IF(AND(tbRegistroEntradas[[#This Row],[DATA DE CAIXA REALIZADO]]="N/A",tbRegistroEntradas[[#This Row],[DATA DO CAIXA PREVISTO]]&lt;TODAY()),"Vencida","Não Vencida")</f>
        <v>Não Vencida</v>
      </c>
      <c r="Q81" s="58" t="str">
        <f>IF(tbRegistroEntradas[[#This Row],[DATA DA COMPETÊNCIA]]=tbRegistroEntradas[[#This Row],[DATA DO CAIXA PREVISTO]],"Vista","Prazo")</f>
        <v>Prazo</v>
      </c>
      <c r="R81" s="58" t="str">
        <f>IF(tbRegistroEntradas[[#This Row],[DATA DE CAIXA REALIZADO]]&lt;&gt;"N/A","Em Dia","Com atraso")</f>
        <v>Em Dia</v>
      </c>
    </row>
    <row r="82" spans="1:18" s="52" customFormat="1" ht="14.4" customHeight="1" x14ac:dyDescent="0.3">
      <c r="A82" s="125">
        <v>44371</v>
      </c>
      <c r="B82" s="125">
        <f>A82-31</f>
        <v>44340</v>
      </c>
      <c r="C82" s="111">
        <f>(A82-B82)+B82-15</f>
        <v>44356</v>
      </c>
      <c r="D82" s="126" t="s">
        <v>61</v>
      </c>
      <c r="E82" s="126" t="s">
        <v>12</v>
      </c>
      <c r="F82" s="126" t="s">
        <v>32</v>
      </c>
      <c r="G82" s="126" t="s">
        <v>829</v>
      </c>
      <c r="H82" s="52" t="s">
        <v>82</v>
      </c>
      <c r="I82" s="127">
        <v>7450</v>
      </c>
      <c r="J82" s="110" t="str">
        <f>IF(tbRegistroEntradas[[#This Row],[DATA DE CAIXA REALIZADO]]="N/A","0",UPPER(TEXT(tbRegistroEntradas[[#This Row],[DATA DE CAIXA REALIZADO]],"mmm")))</f>
        <v>JUN</v>
      </c>
      <c r="K82" s="57">
        <f>IF(tbRegistroEntradas[[#This Row],[DATA DE CAIXA REALIZADO]]="N/A",0,YEAR(tbRegistroEntradas[[#This Row],[DATA DE CAIXA REALIZADO]]))</f>
        <v>2021</v>
      </c>
      <c r="L82" s="58" t="str">
        <f>IF(tbRegistroEntradas[[#This Row],[DATA DA COMPETÊNCIA]]="N/A","0",UPPER(TEXT(tbRegistroEntradas[[#This Row],[DATA DA COMPETÊNCIA]],"mmm")))</f>
        <v>MAI</v>
      </c>
      <c r="M82" s="58">
        <f>IF(tbRegistroEntradas[[#This Row],[DATA DA COMPETÊNCIA]]="N/A",0,YEAR(tbRegistroEntradas[[#This Row],[DATA DA COMPETÊNCIA]]))</f>
        <v>2021</v>
      </c>
      <c r="N82" s="58" t="str">
        <f>IF(tbRegistroEntradas[[#This Row],[DATA DO CAIXA PREVISTO]]="N/A","0",UPPER(TEXT(tbRegistroEntradas[[#This Row],[DATA DO CAIXA PREVISTO]],"mmm")))</f>
        <v>JUN</v>
      </c>
      <c r="O82" s="58">
        <f>IF(tbRegistroEntradas[[#This Row],[DATA DO CAIXA PREVISTO]]="N/A",0,YEAR(tbRegistroEntradas[[#This Row],[DATA DO CAIXA PREVISTO]]))</f>
        <v>2021</v>
      </c>
      <c r="P82" s="58" t="str">
        <f ca="1">IF(AND(tbRegistroEntradas[[#This Row],[DATA DE CAIXA REALIZADO]]="N/A",tbRegistroEntradas[[#This Row],[DATA DO CAIXA PREVISTO]]&lt;TODAY()),"Vencida","Não Vencida")</f>
        <v>Não Vencida</v>
      </c>
      <c r="Q82" s="58" t="str">
        <f>IF(tbRegistroEntradas[[#This Row],[DATA DA COMPETÊNCIA]]=tbRegistroEntradas[[#This Row],[DATA DO CAIXA PREVISTO]],"Vista","Prazo")</f>
        <v>Prazo</v>
      </c>
      <c r="R82" s="58" t="str">
        <f>IF(tbRegistroEntradas[[#This Row],[DATA DE CAIXA REALIZADO]]&lt;&gt;"N/A","Em Dia","Com atraso")</f>
        <v>Em Dia</v>
      </c>
    </row>
    <row r="83" spans="1:18" s="52" customFormat="1" ht="14.4" customHeight="1" x14ac:dyDescent="0.3">
      <c r="A83" s="125">
        <v>44374</v>
      </c>
      <c r="B83" s="125">
        <f>A83-31</f>
        <v>44343</v>
      </c>
      <c r="C83" s="111">
        <f>(A83-B83)+B83-15</f>
        <v>44359</v>
      </c>
      <c r="D83" s="126" t="s">
        <v>64</v>
      </c>
      <c r="E83" s="126" t="s">
        <v>12</v>
      </c>
      <c r="F83" s="126" t="s">
        <v>17</v>
      </c>
      <c r="G83" s="126" t="s">
        <v>1022</v>
      </c>
      <c r="H83" s="52" t="s">
        <v>111</v>
      </c>
      <c r="I83" s="127">
        <v>2080</v>
      </c>
      <c r="J83" s="110" t="str">
        <f>IF(tbRegistroEntradas[[#This Row],[DATA DE CAIXA REALIZADO]]="N/A","0",UPPER(TEXT(tbRegistroEntradas[[#This Row],[DATA DE CAIXA REALIZADO]],"mmm")))</f>
        <v>JUN</v>
      </c>
      <c r="K83" s="57">
        <f>IF(tbRegistroEntradas[[#This Row],[DATA DE CAIXA REALIZADO]]="N/A",0,YEAR(tbRegistroEntradas[[#This Row],[DATA DE CAIXA REALIZADO]]))</f>
        <v>2021</v>
      </c>
      <c r="L83" s="58" t="str">
        <f>IF(tbRegistroEntradas[[#This Row],[DATA DA COMPETÊNCIA]]="N/A","0",UPPER(TEXT(tbRegistroEntradas[[#This Row],[DATA DA COMPETÊNCIA]],"mmm")))</f>
        <v>MAI</v>
      </c>
      <c r="M83" s="58">
        <f>IF(tbRegistroEntradas[[#This Row],[DATA DA COMPETÊNCIA]]="N/A",0,YEAR(tbRegistroEntradas[[#This Row],[DATA DA COMPETÊNCIA]]))</f>
        <v>2021</v>
      </c>
      <c r="N83" s="58" t="str">
        <f>IF(tbRegistroEntradas[[#This Row],[DATA DO CAIXA PREVISTO]]="N/A","0",UPPER(TEXT(tbRegistroEntradas[[#This Row],[DATA DO CAIXA PREVISTO]],"mmm")))</f>
        <v>JUN</v>
      </c>
      <c r="O83" s="58">
        <f>IF(tbRegistroEntradas[[#This Row],[DATA DO CAIXA PREVISTO]]="N/A",0,YEAR(tbRegistroEntradas[[#This Row],[DATA DO CAIXA PREVISTO]]))</f>
        <v>2021</v>
      </c>
      <c r="P83" s="58" t="str">
        <f ca="1">IF(AND(tbRegistroEntradas[[#This Row],[DATA DE CAIXA REALIZADO]]="N/A",tbRegistroEntradas[[#This Row],[DATA DO CAIXA PREVISTO]]&lt;TODAY()),"Vencida","Não Vencida")</f>
        <v>Não Vencida</v>
      </c>
      <c r="Q83" s="58" t="str">
        <f>IF(tbRegistroEntradas[[#This Row],[DATA DA COMPETÊNCIA]]=tbRegistroEntradas[[#This Row],[DATA DO CAIXA PREVISTO]],"Vista","Prazo")</f>
        <v>Prazo</v>
      </c>
      <c r="R83" s="58" t="str">
        <f>IF(tbRegistroEntradas[[#This Row],[DATA DE CAIXA REALIZADO]]&lt;&gt;"N/A","Em Dia","Com atraso")</f>
        <v>Em Dia</v>
      </c>
    </row>
    <row r="84" spans="1:18" s="52" customFormat="1" ht="14.4" customHeight="1" x14ac:dyDescent="0.3">
      <c r="A84" s="49">
        <v>44375</v>
      </c>
      <c r="B84" s="49">
        <f>A84-31</f>
        <v>44344</v>
      </c>
      <c r="C84" s="111">
        <f>(A84-B84)+B84-15</f>
        <v>44360</v>
      </c>
      <c r="D84" s="52" t="s">
        <v>63</v>
      </c>
      <c r="E84" s="52" t="s">
        <v>12</v>
      </c>
      <c r="F84" s="52" t="s">
        <v>16</v>
      </c>
      <c r="G84" s="52" t="s">
        <v>1001</v>
      </c>
      <c r="H84" s="5" t="s">
        <v>101</v>
      </c>
      <c r="I84" s="18">
        <v>5124</v>
      </c>
      <c r="J84" s="110" t="str">
        <f>IF(tbRegistroEntradas[[#This Row],[DATA DE CAIXA REALIZADO]]="N/A","0",UPPER(TEXT(tbRegistroEntradas[[#This Row],[DATA DE CAIXA REALIZADO]],"mmm")))</f>
        <v>JUN</v>
      </c>
      <c r="K84" s="57">
        <f>IF(tbRegistroEntradas[[#This Row],[DATA DE CAIXA REALIZADO]]="N/A",0,YEAR(tbRegistroEntradas[[#This Row],[DATA DE CAIXA REALIZADO]]))</f>
        <v>2021</v>
      </c>
      <c r="L84" s="58" t="str">
        <f>IF(tbRegistroEntradas[[#This Row],[DATA DA COMPETÊNCIA]]="N/A","0",UPPER(TEXT(tbRegistroEntradas[[#This Row],[DATA DA COMPETÊNCIA]],"mmm")))</f>
        <v>MAI</v>
      </c>
      <c r="M84" s="58">
        <f>IF(tbRegistroEntradas[[#This Row],[DATA DA COMPETÊNCIA]]="N/A",0,YEAR(tbRegistroEntradas[[#This Row],[DATA DA COMPETÊNCIA]]))</f>
        <v>2021</v>
      </c>
      <c r="N84" s="58" t="str">
        <f>IF(tbRegistroEntradas[[#This Row],[DATA DO CAIXA PREVISTO]]="N/A","0",UPPER(TEXT(tbRegistroEntradas[[#This Row],[DATA DO CAIXA PREVISTO]],"mmm")))</f>
        <v>JUN</v>
      </c>
      <c r="O84" s="58">
        <f>IF(tbRegistroEntradas[[#This Row],[DATA DO CAIXA PREVISTO]]="N/A",0,YEAR(tbRegistroEntradas[[#This Row],[DATA DO CAIXA PREVISTO]]))</f>
        <v>2021</v>
      </c>
      <c r="P84" s="58" t="str">
        <f ca="1">IF(AND(tbRegistroEntradas[[#This Row],[DATA DE CAIXA REALIZADO]]="N/A",tbRegistroEntradas[[#This Row],[DATA DO CAIXA PREVISTO]]&lt;TODAY()),"Vencida","Não Vencida")</f>
        <v>Não Vencida</v>
      </c>
      <c r="Q84" s="58" t="str">
        <f>IF(tbRegistroEntradas[[#This Row],[DATA DA COMPETÊNCIA]]=tbRegistroEntradas[[#This Row],[DATA DO CAIXA PREVISTO]],"Vista","Prazo")</f>
        <v>Prazo</v>
      </c>
      <c r="R84" s="58" t="str">
        <f>IF(tbRegistroEntradas[[#This Row],[DATA DE CAIXA REALIZADO]]&lt;&gt;"N/A","Em Dia","Com atraso")</f>
        <v>Em Dia</v>
      </c>
    </row>
    <row r="85" spans="1:18" s="52" customFormat="1" ht="14.4" customHeight="1" x14ac:dyDescent="0.3">
      <c r="A85" s="125">
        <v>44376</v>
      </c>
      <c r="B85" s="125">
        <f>A85-31</f>
        <v>44345</v>
      </c>
      <c r="C85" s="111">
        <f>(A85-B85)+B85-15</f>
        <v>44361</v>
      </c>
      <c r="D85" s="126" t="s">
        <v>65</v>
      </c>
      <c r="E85" s="126" t="s">
        <v>12</v>
      </c>
      <c r="F85" s="126" t="s">
        <v>18</v>
      </c>
      <c r="G85" s="126" t="s">
        <v>901</v>
      </c>
      <c r="H85" s="52" t="s">
        <v>121</v>
      </c>
      <c r="I85" s="127">
        <v>5850</v>
      </c>
      <c r="J85" s="110" t="str">
        <f>IF(tbRegistroEntradas[[#This Row],[DATA DE CAIXA REALIZADO]]="N/A","0",UPPER(TEXT(tbRegistroEntradas[[#This Row],[DATA DE CAIXA REALIZADO]],"mmm")))</f>
        <v>JUN</v>
      </c>
      <c r="K85" s="57">
        <f>IF(tbRegistroEntradas[[#This Row],[DATA DE CAIXA REALIZADO]]="N/A",0,YEAR(tbRegistroEntradas[[#This Row],[DATA DE CAIXA REALIZADO]]))</f>
        <v>2021</v>
      </c>
      <c r="L85" s="58" t="str">
        <f>IF(tbRegistroEntradas[[#This Row],[DATA DA COMPETÊNCIA]]="N/A","0",UPPER(TEXT(tbRegistroEntradas[[#This Row],[DATA DA COMPETÊNCIA]],"mmm")))</f>
        <v>MAI</v>
      </c>
      <c r="M85" s="58">
        <f>IF(tbRegistroEntradas[[#This Row],[DATA DA COMPETÊNCIA]]="N/A",0,YEAR(tbRegistroEntradas[[#This Row],[DATA DA COMPETÊNCIA]]))</f>
        <v>2021</v>
      </c>
      <c r="N85" s="58" t="str">
        <f>IF(tbRegistroEntradas[[#This Row],[DATA DO CAIXA PREVISTO]]="N/A","0",UPPER(TEXT(tbRegistroEntradas[[#This Row],[DATA DO CAIXA PREVISTO]],"mmm")))</f>
        <v>JUN</v>
      </c>
      <c r="O85" s="58">
        <f>IF(tbRegistroEntradas[[#This Row],[DATA DO CAIXA PREVISTO]]="N/A",0,YEAR(tbRegistroEntradas[[#This Row],[DATA DO CAIXA PREVISTO]]))</f>
        <v>2021</v>
      </c>
      <c r="P85" s="58" t="str">
        <f ca="1">IF(AND(tbRegistroEntradas[[#This Row],[DATA DE CAIXA REALIZADO]]="N/A",tbRegistroEntradas[[#This Row],[DATA DO CAIXA PREVISTO]]&lt;TODAY()),"Vencida","Não Vencida")</f>
        <v>Não Vencida</v>
      </c>
      <c r="Q85" s="58" t="str">
        <f>IF(tbRegistroEntradas[[#This Row],[DATA DA COMPETÊNCIA]]=tbRegistroEntradas[[#This Row],[DATA DO CAIXA PREVISTO]],"Vista","Prazo")</f>
        <v>Prazo</v>
      </c>
      <c r="R85" s="58" t="str">
        <f>IF(tbRegistroEntradas[[#This Row],[DATA DE CAIXA REALIZADO]]&lt;&gt;"N/A","Em Dia","Com atraso")</f>
        <v>Em Dia</v>
      </c>
    </row>
    <row r="86" spans="1:18" s="52" customFormat="1" ht="14.4" customHeight="1" x14ac:dyDescent="0.3">
      <c r="A86" s="49">
        <v>44377</v>
      </c>
      <c r="B86" s="49">
        <f>A86-31</f>
        <v>44346</v>
      </c>
      <c r="C86" s="111">
        <f>tbRegistroEntradas[[#This Row],[DATA DA COMPETÊNCIA]]</f>
        <v>44346</v>
      </c>
      <c r="D86" s="52" t="s">
        <v>66</v>
      </c>
      <c r="E86" s="52" t="s">
        <v>12</v>
      </c>
      <c r="F86" s="52" t="s">
        <v>18</v>
      </c>
      <c r="G86" s="52" t="s">
        <v>1020</v>
      </c>
      <c r="H86" s="52" t="s">
        <v>124</v>
      </c>
      <c r="I86" s="18">
        <v>7262</v>
      </c>
      <c r="J86" s="110" t="str">
        <f>IF(tbRegistroEntradas[[#This Row],[DATA DE CAIXA REALIZADO]]="N/A","0",UPPER(TEXT(tbRegistroEntradas[[#This Row],[DATA DE CAIXA REALIZADO]],"mmm")))</f>
        <v>JUN</v>
      </c>
      <c r="K86" s="57">
        <f>IF(tbRegistroEntradas[[#This Row],[DATA DE CAIXA REALIZADO]]="N/A",0,YEAR(tbRegistroEntradas[[#This Row],[DATA DE CAIXA REALIZADO]]))</f>
        <v>2021</v>
      </c>
      <c r="L86" s="58" t="str">
        <f>IF(tbRegistroEntradas[[#This Row],[DATA DA COMPETÊNCIA]]="N/A","0",UPPER(TEXT(tbRegistroEntradas[[#This Row],[DATA DA COMPETÊNCIA]],"mmm")))</f>
        <v>MAI</v>
      </c>
      <c r="M86" s="58">
        <f>IF(tbRegistroEntradas[[#This Row],[DATA DA COMPETÊNCIA]]="N/A",0,YEAR(tbRegistroEntradas[[#This Row],[DATA DA COMPETÊNCIA]]))</f>
        <v>2021</v>
      </c>
      <c r="N86" s="58" t="str">
        <f>IF(tbRegistroEntradas[[#This Row],[DATA DO CAIXA PREVISTO]]="N/A","0",UPPER(TEXT(tbRegistroEntradas[[#This Row],[DATA DO CAIXA PREVISTO]],"mmm")))</f>
        <v>MAI</v>
      </c>
      <c r="O86" s="58">
        <f>IF(tbRegistroEntradas[[#This Row],[DATA DO CAIXA PREVISTO]]="N/A",0,YEAR(tbRegistroEntradas[[#This Row],[DATA DO CAIXA PREVISTO]]))</f>
        <v>2021</v>
      </c>
      <c r="P86" s="58" t="str">
        <f ca="1">IF(AND(tbRegistroEntradas[[#This Row],[DATA DE CAIXA REALIZADO]]="N/A",tbRegistroEntradas[[#This Row],[DATA DO CAIXA PREVISTO]]&lt;TODAY()),"Vencida","Não Vencida")</f>
        <v>Não Vencida</v>
      </c>
      <c r="Q86" s="58" t="str">
        <f>IF(tbRegistroEntradas[[#This Row],[DATA DA COMPETÊNCIA]]=tbRegistroEntradas[[#This Row],[DATA DO CAIXA PREVISTO]],"Vista","Prazo")</f>
        <v>Vista</v>
      </c>
      <c r="R86" s="58" t="str">
        <f>IF(tbRegistroEntradas[[#This Row],[DATA DE CAIXA REALIZADO]]&lt;&gt;"N/A","Em Dia","Com atraso")</f>
        <v>Em Dia</v>
      </c>
    </row>
    <row r="87" spans="1:18" s="52" customFormat="1" ht="14.4" customHeight="1" x14ac:dyDescent="0.3">
      <c r="A87" s="125">
        <v>44380</v>
      </c>
      <c r="B87" s="125">
        <f>A87-31</f>
        <v>44349</v>
      </c>
      <c r="C87" s="111">
        <f>tbRegistroEntradas[[#This Row],[DATA DA COMPETÊNCIA]]</f>
        <v>44349</v>
      </c>
      <c r="D87" s="126" t="s">
        <v>61</v>
      </c>
      <c r="E87" s="126" t="s">
        <v>12</v>
      </c>
      <c r="F87" s="126" t="s">
        <v>18</v>
      </c>
      <c r="G87" s="126" t="s">
        <v>205</v>
      </c>
      <c r="H87" s="126" t="s">
        <v>83</v>
      </c>
      <c r="I87" s="127">
        <v>6936</v>
      </c>
      <c r="J87" s="110" t="str">
        <f>IF(tbRegistroEntradas[[#This Row],[DATA DE CAIXA REALIZADO]]="N/A","0",UPPER(TEXT(tbRegistroEntradas[[#This Row],[DATA DE CAIXA REALIZADO]],"mmm")))</f>
        <v>JUL</v>
      </c>
      <c r="K87" s="57">
        <f>IF(tbRegistroEntradas[[#This Row],[DATA DE CAIXA REALIZADO]]="N/A",0,YEAR(tbRegistroEntradas[[#This Row],[DATA DE CAIXA REALIZADO]]))</f>
        <v>2021</v>
      </c>
      <c r="L87" s="58" t="str">
        <f>IF(tbRegistroEntradas[[#This Row],[DATA DA COMPETÊNCIA]]="N/A","0",UPPER(TEXT(tbRegistroEntradas[[#This Row],[DATA DA COMPETÊNCIA]],"mmm")))</f>
        <v>JUN</v>
      </c>
      <c r="M87" s="58">
        <f>IF(tbRegistroEntradas[[#This Row],[DATA DA COMPETÊNCIA]]="N/A",0,YEAR(tbRegistroEntradas[[#This Row],[DATA DA COMPETÊNCIA]]))</f>
        <v>2021</v>
      </c>
      <c r="N87" s="58" t="str">
        <f>IF(tbRegistroEntradas[[#This Row],[DATA DO CAIXA PREVISTO]]="N/A","0",UPPER(TEXT(tbRegistroEntradas[[#This Row],[DATA DO CAIXA PREVISTO]],"mmm")))</f>
        <v>JUN</v>
      </c>
      <c r="O87" s="58">
        <f>IF(tbRegistroEntradas[[#This Row],[DATA DO CAIXA PREVISTO]]="N/A",0,YEAR(tbRegistroEntradas[[#This Row],[DATA DO CAIXA PREVISTO]]))</f>
        <v>2021</v>
      </c>
      <c r="P87" s="58" t="str">
        <f ca="1">IF(AND(tbRegistroEntradas[[#This Row],[DATA DE CAIXA REALIZADO]]="N/A",tbRegistroEntradas[[#This Row],[DATA DO CAIXA PREVISTO]]&lt;TODAY()),"Vencida","Não Vencida")</f>
        <v>Não Vencida</v>
      </c>
      <c r="Q87" s="58" t="str">
        <f>IF(tbRegistroEntradas[[#This Row],[DATA DA COMPETÊNCIA]]=tbRegistroEntradas[[#This Row],[DATA DO CAIXA PREVISTO]],"Vista","Prazo")</f>
        <v>Vista</v>
      </c>
      <c r="R87" s="58" t="str">
        <f>IF(tbRegistroEntradas[[#This Row],[DATA DE CAIXA REALIZADO]]&lt;&gt;"N/A","Em Dia","Com atraso")</f>
        <v>Em Dia</v>
      </c>
    </row>
    <row r="88" spans="1:18" s="52" customFormat="1" ht="14.4" customHeight="1" x14ac:dyDescent="0.3">
      <c r="A88" s="49">
        <v>44382</v>
      </c>
      <c r="B88" s="49">
        <f>A88-31</f>
        <v>44351</v>
      </c>
      <c r="C88" s="111">
        <f>tbRegistroEntradas[[#This Row],[DATA DA COMPETÊNCIA]]</f>
        <v>44351</v>
      </c>
      <c r="D88" s="52" t="s">
        <v>66</v>
      </c>
      <c r="E88" s="52" t="s">
        <v>12</v>
      </c>
      <c r="F88" s="52" t="s">
        <v>17</v>
      </c>
      <c r="G88" s="52" t="s">
        <v>986</v>
      </c>
      <c r="H88" s="52" t="s">
        <v>126</v>
      </c>
      <c r="I88" s="18">
        <v>2317</v>
      </c>
      <c r="J88" s="110" t="str">
        <f>IF(tbRegistroEntradas[[#This Row],[DATA DE CAIXA REALIZADO]]="N/A","0",UPPER(TEXT(tbRegistroEntradas[[#This Row],[DATA DE CAIXA REALIZADO]],"mmm")))</f>
        <v>JUL</v>
      </c>
      <c r="K88" s="57">
        <f>IF(tbRegistroEntradas[[#This Row],[DATA DE CAIXA REALIZADO]]="N/A",0,YEAR(tbRegistroEntradas[[#This Row],[DATA DE CAIXA REALIZADO]]))</f>
        <v>2021</v>
      </c>
      <c r="L88" s="58" t="str">
        <f>IF(tbRegistroEntradas[[#This Row],[DATA DA COMPETÊNCIA]]="N/A","0",UPPER(TEXT(tbRegistroEntradas[[#This Row],[DATA DA COMPETÊNCIA]],"mmm")))</f>
        <v>JUN</v>
      </c>
      <c r="M88" s="58">
        <f>IF(tbRegistroEntradas[[#This Row],[DATA DA COMPETÊNCIA]]="N/A",0,YEAR(tbRegistroEntradas[[#This Row],[DATA DA COMPETÊNCIA]]))</f>
        <v>2021</v>
      </c>
      <c r="N88" s="58" t="str">
        <f>IF(tbRegistroEntradas[[#This Row],[DATA DO CAIXA PREVISTO]]="N/A","0",UPPER(TEXT(tbRegistroEntradas[[#This Row],[DATA DO CAIXA PREVISTO]],"mmm")))</f>
        <v>JUN</v>
      </c>
      <c r="O88" s="58">
        <f>IF(tbRegistroEntradas[[#This Row],[DATA DO CAIXA PREVISTO]]="N/A",0,YEAR(tbRegistroEntradas[[#This Row],[DATA DO CAIXA PREVISTO]]))</f>
        <v>2021</v>
      </c>
      <c r="P88" s="58" t="str">
        <f ca="1">IF(AND(tbRegistroEntradas[[#This Row],[DATA DE CAIXA REALIZADO]]="N/A",tbRegistroEntradas[[#This Row],[DATA DO CAIXA PREVISTO]]&lt;TODAY()),"Vencida","Não Vencida")</f>
        <v>Não Vencida</v>
      </c>
      <c r="Q88" s="58" t="str">
        <f>IF(tbRegistroEntradas[[#This Row],[DATA DA COMPETÊNCIA]]=tbRegistroEntradas[[#This Row],[DATA DO CAIXA PREVISTO]],"Vista","Prazo")</f>
        <v>Vista</v>
      </c>
      <c r="R88" s="58" t="str">
        <f>IF(tbRegistroEntradas[[#This Row],[DATA DE CAIXA REALIZADO]]&lt;&gt;"N/A","Em Dia","Com atraso")</f>
        <v>Em Dia</v>
      </c>
    </row>
    <row r="89" spans="1:18" s="52" customFormat="1" ht="14.4" customHeight="1" x14ac:dyDescent="0.3">
      <c r="A89" s="125">
        <v>44384</v>
      </c>
      <c r="B89" s="125">
        <f>A89-31</f>
        <v>44353</v>
      </c>
      <c r="C89" s="111">
        <f>(A89-B89)+B89-15</f>
        <v>44369</v>
      </c>
      <c r="D89" s="126" t="s">
        <v>137</v>
      </c>
      <c r="E89" s="126" t="s">
        <v>12</v>
      </c>
      <c r="F89" s="126" t="s">
        <v>17</v>
      </c>
      <c r="G89" s="126" t="s">
        <v>969</v>
      </c>
      <c r="H89" s="52" t="s">
        <v>73</v>
      </c>
      <c r="I89" s="127">
        <v>1617</v>
      </c>
      <c r="J89" s="110" t="str">
        <f>IF(tbRegistroEntradas[[#This Row],[DATA DE CAIXA REALIZADO]]="N/A","0",UPPER(TEXT(tbRegistroEntradas[[#This Row],[DATA DE CAIXA REALIZADO]],"mmm")))</f>
        <v>JUL</v>
      </c>
      <c r="K89" s="57">
        <f>IF(tbRegistroEntradas[[#This Row],[DATA DE CAIXA REALIZADO]]="N/A",0,YEAR(tbRegistroEntradas[[#This Row],[DATA DE CAIXA REALIZADO]]))</f>
        <v>2021</v>
      </c>
      <c r="L89" s="58" t="str">
        <f>IF(tbRegistroEntradas[[#This Row],[DATA DA COMPETÊNCIA]]="N/A","0",UPPER(TEXT(tbRegistroEntradas[[#This Row],[DATA DA COMPETÊNCIA]],"mmm")))</f>
        <v>JUN</v>
      </c>
      <c r="M89" s="58">
        <f>IF(tbRegistroEntradas[[#This Row],[DATA DA COMPETÊNCIA]]="N/A",0,YEAR(tbRegistroEntradas[[#This Row],[DATA DA COMPETÊNCIA]]))</f>
        <v>2021</v>
      </c>
      <c r="N89" s="58" t="str">
        <f>IF(tbRegistroEntradas[[#This Row],[DATA DO CAIXA PREVISTO]]="N/A","0",UPPER(TEXT(tbRegistroEntradas[[#This Row],[DATA DO CAIXA PREVISTO]],"mmm")))</f>
        <v>JUN</v>
      </c>
      <c r="O89" s="58">
        <f>IF(tbRegistroEntradas[[#This Row],[DATA DO CAIXA PREVISTO]]="N/A",0,YEAR(tbRegistroEntradas[[#This Row],[DATA DO CAIXA PREVISTO]]))</f>
        <v>2021</v>
      </c>
      <c r="P89" s="58" t="str">
        <f ca="1">IF(AND(tbRegistroEntradas[[#This Row],[DATA DE CAIXA REALIZADO]]="N/A",tbRegistroEntradas[[#This Row],[DATA DO CAIXA PREVISTO]]&lt;TODAY()),"Vencida","Não Vencida")</f>
        <v>Não Vencida</v>
      </c>
      <c r="Q89" s="58" t="str">
        <f>IF(tbRegistroEntradas[[#This Row],[DATA DA COMPETÊNCIA]]=tbRegistroEntradas[[#This Row],[DATA DO CAIXA PREVISTO]],"Vista","Prazo")</f>
        <v>Prazo</v>
      </c>
      <c r="R89" s="58" t="str">
        <f>IF(tbRegistroEntradas[[#This Row],[DATA DE CAIXA REALIZADO]]&lt;&gt;"N/A","Em Dia","Com atraso")</f>
        <v>Em Dia</v>
      </c>
    </row>
    <row r="90" spans="1:18" s="52" customFormat="1" ht="14.4" customHeight="1" x14ac:dyDescent="0.3">
      <c r="A90" s="125">
        <v>44384</v>
      </c>
      <c r="B90" s="125">
        <f>A90-31</f>
        <v>44353</v>
      </c>
      <c r="C90" s="111">
        <f>(A90-B90)+B90-15</f>
        <v>44369</v>
      </c>
      <c r="D90" s="126" t="s">
        <v>61</v>
      </c>
      <c r="E90" s="126" t="s">
        <v>12</v>
      </c>
      <c r="F90" s="126" t="s">
        <v>19</v>
      </c>
      <c r="G90" s="126" t="s">
        <v>690</v>
      </c>
      <c r="H90" s="52" t="s">
        <v>84</v>
      </c>
      <c r="I90" s="127">
        <v>6558</v>
      </c>
      <c r="J90" s="110" t="str">
        <f>IF(tbRegistroEntradas[[#This Row],[DATA DE CAIXA REALIZADO]]="N/A","0",UPPER(TEXT(tbRegistroEntradas[[#This Row],[DATA DE CAIXA REALIZADO]],"mmm")))</f>
        <v>JUL</v>
      </c>
      <c r="K90" s="57">
        <f>IF(tbRegistroEntradas[[#This Row],[DATA DE CAIXA REALIZADO]]="N/A",0,YEAR(tbRegistroEntradas[[#This Row],[DATA DE CAIXA REALIZADO]]))</f>
        <v>2021</v>
      </c>
      <c r="L90" s="58" t="str">
        <f>IF(tbRegistroEntradas[[#This Row],[DATA DA COMPETÊNCIA]]="N/A","0",UPPER(TEXT(tbRegistroEntradas[[#This Row],[DATA DA COMPETÊNCIA]],"mmm")))</f>
        <v>JUN</v>
      </c>
      <c r="M90" s="58">
        <f>IF(tbRegistroEntradas[[#This Row],[DATA DA COMPETÊNCIA]]="N/A",0,YEAR(tbRegistroEntradas[[#This Row],[DATA DA COMPETÊNCIA]]))</f>
        <v>2021</v>
      </c>
      <c r="N90" s="58" t="str">
        <f>IF(tbRegistroEntradas[[#This Row],[DATA DO CAIXA PREVISTO]]="N/A","0",UPPER(TEXT(tbRegistroEntradas[[#This Row],[DATA DO CAIXA PREVISTO]],"mmm")))</f>
        <v>JUN</v>
      </c>
      <c r="O90" s="58">
        <f>IF(tbRegistroEntradas[[#This Row],[DATA DO CAIXA PREVISTO]]="N/A",0,YEAR(tbRegistroEntradas[[#This Row],[DATA DO CAIXA PREVISTO]]))</f>
        <v>2021</v>
      </c>
      <c r="P90" s="58" t="str">
        <f ca="1">IF(AND(tbRegistroEntradas[[#This Row],[DATA DE CAIXA REALIZADO]]="N/A",tbRegistroEntradas[[#This Row],[DATA DO CAIXA PREVISTO]]&lt;TODAY()),"Vencida","Não Vencida")</f>
        <v>Não Vencida</v>
      </c>
      <c r="Q90" s="58" t="str">
        <f>IF(tbRegistroEntradas[[#This Row],[DATA DA COMPETÊNCIA]]=tbRegistroEntradas[[#This Row],[DATA DO CAIXA PREVISTO]],"Vista","Prazo")</f>
        <v>Prazo</v>
      </c>
      <c r="R90" s="58" t="str">
        <f>IF(tbRegistroEntradas[[#This Row],[DATA DE CAIXA REALIZADO]]&lt;&gt;"N/A","Em Dia","Com atraso")</f>
        <v>Em Dia</v>
      </c>
    </row>
    <row r="91" spans="1:18" s="52" customFormat="1" ht="14.4" customHeight="1" x14ac:dyDescent="0.3">
      <c r="A91" s="49">
        <v>44387</v>
      </c>
      <c r="B91" s="49">
        <f>A91-31</f>
        <v>44356</v>
      </c>
      <c r="C91" s="111">
        <f>tbRegistroEntradas[[#This Row],[DATA DA COMPETÊNCIA]]</f>
        <v>44356</v>
      </c>
      <c r="D91" s="52" t="s">
        <v>64</v>
      </c>
      <c r="E91" s="52" t="s">
        <v>12</v>
      </c>
      <c r="F91" s="52" t="s">
        <v>17</v>
      </c>
      <c r="G91" s="52" t="s">
        <v>729</v>
      </c>
      <c r="H91" s="52" t="s">
        <v>112</v>
      </c>
      <c r="I91" s="18">
        <v>7866</v>
      </c>
      <c r="J91" s="110" t="str">
        <f>IF(tbRegistroEntradas[[#This Row],[DATA DE CAIXA REALIZADO]]="N/A","0",UPPER(TEXT(tbRegistroEntradas[[#This Row],[DATA DE CAIXA REALIZADO]],"mmm")))</f>
        <v>JUL</v>
      </c>
      <c r="K91" s="57">
        <f>IF(tbRegistroEntradas[[#This Row],[DATA DE CAIXA REALIZADO]]="N/A",0,YEAR(tbRegistroEntradas[[#This Row],[DATA DE CAIXA REALIZADO]]))</f>
        <v>2021</v>
      </c>
      <c r="L91" s="58" t="str">
        <f>IF(tbRegistroEntradas[[#This Row],[DATA DA COMPETÊNCIA]]="N/A","0",UPPER(TEXT(tbRegistroEntradas[[#This Row],[DATA DA COMPETÊNCIA]],"mmm")))</f>
        <v>JUN</v>
      </c>
      <c r="M91" s="58">
        <f>IF(tbRegistroEntradas[[#This Row],[DATA DA COMPETÊNCIA]]="N/A",0,YEAR(tbRegistroEntradas[[#This Row],[DATA DA COMPETÊNCIA]]))</f>
        <v>2021</v>
      </c>
      <c r="N91" s="58" t="str">
        <f>IF(tbRegistroEntradas[[#This Row],[DATA DO CAIXA PREVISTO]]="N/A","0",UPPER(TEXT(tbRegistroEntradas[[#This Row],[DATA DO CAIXA PREVISTO]],"mmm")))</f>
        <v>JUN</v>
      </c>
      <c r="O91" s="58">
        <f>IF(tbRegistroEntradas[[#This Row],[DATA DO CAIXA PREVISTO]]="N/A",0,YEAR(tbRegistroEntradas[[#This Row],[DATA DO CAIXA PREVISTO]]))</f>
        <v>2021</v>
      </c>
      <c r="P91" s="58" t="str">
        <f ca="1">IF(AND(tbRegistroEntradas[[#This Row],[DATA DE CAIXA REALIZADO]]="N/A",tbRegistroEntradas[[#This Row],[DATA DO CAIXA PREVISTO]]&lt;TODAY()),"Vencida","Não Vencida")</f>
        <v>Não Vencida</v>
      </c>
      <c r="Q91" s="58" t="str">
        <f>IF(tbRegistroEntradas[[#This Row],[DATA DA COMPETÊNCIA]]=tbRegistroEntradas[[#This Row],[DATA DO CAIXA PREVISTO]],"Vista","Prazo")</f>
        <v>Vista</v>
      </c>
      <c r="R91" s="58" t="str">
        <f>IF(tbRegistroEntradas[[#This Row],[DATA DE CAIXA REALIZADO]]&lt;&gt;"N/A","Em Dia","Com atraso")</f>
        <v>Em Dia</v>
      </c>
    </row>
    <row r="92" spans="1:18" s="52" customFormat="1" ht="14.4" customHeight="1" x14ac:dyDescent="0.3">
      <c r="A92" s="125">
        <v>44387</v>
      </c>
      <c r="B92" s="125">
        <f>A92-31</f>
        <v>44356</v>
      </c>
      <c r="C92" s="111">
        <f>(A92-B92)+B92-15</f>
        <v>44372</v>
      </c>
      <c r="D92" s="126" t="s">
        <v>137</v>
      </c>
      <c r="E92" s="126" t="s">
        <v>12</v>
      </c>
      <c r="F92" s="126" t="s">
        <v>19</v>
      </c>
      <c r="G92" s="126" t="s">
        <v>991</v>
      </c>
      <c r="H92" s="52" t="s">
        <v>105</v>
      </c>
      <c r="I92" s="127">
        <v>3130</v>
      </c>
      <c r="J92" s="110" t="str">
        <f>IF(tbRegistroEntradas[[#This Row],[DATA DE CAIXA REALIZADO]]="N/A","0",UPPER(TEXT(tbRegistroEntradas[[#This Row],[DATA DE CAIXA REALIZADO]],"mmm")))</f>
        <v>JUL</v>
      </c>
      <c r="K92" s="57">
        <f>IF(tbRegistroEntradas[[#This Row],[DATA DE CAIXA REALIZADO]]="N/A",0,YEAR(tbRegistroEntradas[[#This Row],[DATA DE CAIXA REALIZADO]]))</f>
        <v>2021</v>
      </c>
      <c r="L92" s="58" t="str">
        <f>IF(tbRegistroEntradas[[#This Row],[DATA DA COMPETÊNCIA]]="N/A","0",UPPER(TEXT(tbRegistroEntradas[[#This Row],[DATA DA COMPETÊNCIA]],"mmm")))</f>
        <v>JUN</v>
      </c>
      <c r="M92" s="58">
        <f>IF(tbRegistroEntradas[[#This Row],[DATA DA COMPETÊNCIA]]="N/A",0,YEAR(tbRegistroEntradas[[#This Row],[DATA DA COMPETÊNCIA]]))</f>
        <v>2021</v>
      </c>
      <c r="N92" s="58" t="str">
        <f>IF(tbRegistroEntradas[[#This Row],[DATA DO CAIXA PREVISTO]]="N/A","0",UPPER(TEXT(tbRegistroEntradas[[#This Row],[DATA DO CAIXA PREVISTO]],"mmm")))</f>
        <v>JUN</v>
      </c>
      <c r="O92" s="58">
        <f>IF(tbRegistroEntradas[[#This Row],[DATA DO CAIXA PREVISTO]]="N/A",0,YEAR(tbRegistroEntradas[[#This Row],[DATA DO CAIXA PREVISTO]]))</f>
        <v>2021</v>
      </c>
      <c r="P92" s="58" t="str">
        <f ca="1">IF(AND(tbRegistroEntradas[[#This Row],[DATA DE CAIXA REALIZADO]]="N/A",tbRegistroEntradas[[#This Row],[DATA DO CAIXA PREVISTO]]&lt;TODAY()),"Vencida","Não Vencida")</f>
        <v>Não Vencida</v>
      </c>
      <c r="Q92" s="58" t="str">
        <f>IF(tbRegistroEntradas[[#This Row],[DATA DA COMPETÊNCIA]]=tbRegistroEntradas[[#This Row],[DATA DO CAIXA PREVISTO]],"Vista","Prazo")</f>
        <v>Prazo</v>
      </c>
      <c r="R92" s="58" t="str">
        <f>IF(tbRegistroEntradas[[#This Row],[DATA DE CAIXA REALIZADO]]&lt;&gt;"N/A","Em Dia","Com atraso")</f>
        <v>Em Dia</v>
      </c>
    </row>
    <row r="93" spans="1:18" s="52" customFormat="1" ht="14.4" customHeight="1" x14ac:dyDescent="0.3">
      <c r="A93" s="125">
        <v>44387</v>
      </c>
      <c r="B93" s="125">
        <f>A93-31</f>
        <v>44356</v>
      </c>
      <c r="C93" s="111">
        <f>(A93-B93)+B93-15</f>
        <v>44372</v>
      </c>
      <c r="D93" s="126" t="s">
        <v>137</v>
      </c>
      <c r="E93" s="126" t="s">
        <v>12</v>
      </c>
      <c r="F93" s="126" t="s">
        <v>32</v>
      </c>
      <c r="G93" s="126" t="s">
        <v>980</v>
      </c>
      <c r="H93" s="52" t="s">
        <v>104</v>
      </c>
      <c r="I93" s="127">
        <v>5399</v>
      </c>
      <c r="J93" s="110" t="str">
        <f>IF(tbRegistroEntradas[[#This Row],[DATA DE CAIXA REALIZADO]]="N/A","0",UPPER(TEXT(tbRegistroEntradas[[#This Row],[DATA DE CAIXA REALIZADO]],"mmm")))</f>
        <v>JUL</v>
      </c>
      <c r="K93" s="57">
        <f>IF(tbRegistroEntradas[[#This Row],[DATA DE CAIXA REALIZADO]]="N/A",0,YEAR(tbRegistroEntradas[[#This Row],[DATA DE CAIXA REALIZADO]]))</f>
        <v>2021</v>
      </c>
      <c r="L93" s="58" t="str">
        <f>IF(tbRegistroEntradas[[#This Row],[DATA DA COMPETÊNCIA]]="N/A","0",UPPER(TEXT(tbRegistroEntradas[[#This Row],[DATA DA COMPETÊNCIA]],"mmm")))</f>
        <v>JUN</v>
      </c>
      <c r="M93" s="58">
        <f>IF(tbRegistroEntradas[[#This Row],[DATA DA COMPETÊNCIA]]="N/A",0,YEAR(tbRegistroEntradas[[#This Row],[DATA DA COMPETÊNCIA]]))</f>
        <v>2021</v>
      </c>
      <c r="N93" s="58" t="str">
        <f>IF(tbRegistroEntradas[[#This Row],[DATA DO CAIXA PREVISTO]]="N/A","0",UPPER(TEXT(tbRegistroEntradas[[#This Row],[DATA DO CAIXA PREVISTO]],"mmm")))</f>
        <v>JUN</v>
      </c>
      <c r="O93" s="58">
        <f>IF(tbRegistroEntradas[[#This Row],[DATA DO CAIXA PREVISTO]]="N/A",0,YEAR(tbRegistroEntradas[[#This Row],[DATA DO CAIXA PREVISTO]]))</f>
        <v>2021</v>
      </c>
      <c r="P93" s="58" t="str">
        <f ca="1">IF(AND(tbRegistroEntradas[[#This Row],[DATA DE CAIXA REALIZADO]]="N/A",tbRegistroEntradas[[#This Row],[DATA DO CAIXA PREVISTO]]&lt;TODAY()),"Vencida","Não Vencida")</f>
        <v>Não Vencida</v>
      </c>
      <c r="Q93" s="58" t="str">
        <f>IF(tbRegistroEntradas[[#This Row],[DATA DA COMPETÊNCIA]]=tbRegistroEntradas[[#This Row],[DATA DO CAIXA PREVISTO]],"Vista","Prazo")</f>
        <v>Prazo</v>
      </c>
      <c r="R93" s="58" t="str">
        <f>IF(tbRegistroEntradas[[#This Row],[DATA DE CAIXA REALIZADO]]&lt;&gt;"N/A","Em Dia","Com atraso")</f>
        <v>Em Dia</v>
      </c>
    </row>
    <row r="94" spans="1:18" s="52" customFormat="1" ht="14.4" customHeight="1" x14ac:dyDescent="0.3">
      <c r="A94" s="49">
        <v>44390</v>
      </c>
      <c r="B94" s="49">
        <f>A94-31</f>
        <v>44359</v>
      </c>
      <c r="C94" s="111">
        <f>(A94-B94)+B94-15</f>
        <v>44375</v>
      </c>
      <c r="D94" s="52" t="s">
        <v>138</v>
      </c>
      <c r="E94" s="52" t="s">
        <v>12</v>
      </c>
      <c r="F94" s="52" t="s">
        <v>17</v>
      </c>
      <c r="G94" s="52" t="s">
        <v>724</v>
      </c>
      <c r="H94" s="52" t="s">
        <v>68</v>
      </c>
      <c r="I94" s="18">
        <v>6392</v>
      </c>
      <c r="J94" s="110" t="str">
        <f>IF(tbRegistroEntradas[[#This Row],[DATA DE CAIXA REALIZADO]]="N/A","0",UPPER(TEXT(tbRegistroEntradas[[#This Row],[DATA DE CAIXA REALIZADO]],"mmm")))</f>
        <v>JUL</v>
      </c>
      <c r="K94" s="57">
        <f>IF(tbRegistroEntradas[[#This Row],[DATA DE CAIXA REALIZADO]]="N/A",0,YEAR(tbRegistroEntradas[[#This Row],[DATA DE CAIXA REALIZADO]]))</f>
        <v>2021</v>
      </c>
      <c r="L94" s="58" t="str">
        <f>IF(tbRegistroEntradas[[#This Row],[DATA DA COMPETÊNCIA]]="N/A","0",UPPER(TEXT(tbRegistroEntradas[[#This Row],[DATA DA COMPETÊNCIA]],"mmm")))</f>
        <v>JUN</v>
      </c>
      <c r="M94" s="58">
        <f>IF(tbRegistroEntradas[[#This Row],[DATA DA COMPETÊNCIA]]="N/A",0,YEAR(tbRegistroEntradas[[#This Row],[DATA DA COMPETÊNCIA]]))</f>
        <v>2021</v>
      </c>
      <c r="N94" s="58" t="str">
        <f>IF(tbRegistroEntradas[[#This Row],[DATA DO CAIXA PREVISTO]]="N/A","0",UPPER(TEXT(tbRegistroEntradas[[#This Row],[DATA DO CAIXA PREVISTO]],"mmm")))</f>
        <v>JUN</v>
      </c>
      <c r="O94" s="58">
        <f>IF(tbRegistroEntradas[[#This Row],[DATA DO CAIXA PREVISTO]]="N/A",0,YEAR(tbRegistroEntradas[[#This Row],[DATA DO CAIXA PREVISTO]]))</f>
        <v>2021</v>
      </c>
      <c r="P94" s="58" t="str">
        <f ca="1">IF(AND(tbRegistroEntradas[[#This Row],[DATA DE CAIXA REALIZADO]]="N/A",tbRegistroEntradas[[#This Row],[DATA DO CAIXA PREVISTO]]&lt;TODAY()),"Vencida","Não Vencida")</f>
        <v>Não Vencida</v>
      </c>
      <c r="Q94" s="58" t="str">
        <f>IF(tbRegistroEntradas[[#This Row],[DATA DA COMPETÊNCIA]]=tbRegistroEntradas[[#This Row],[DATA DO CAIXA PREVISTO]],"Vista","Prazo")</f>
        <v>Prazo</v>
      </c>
      <c r="R94" s="58" t="str">
        <f>IF(tbRegistroEntradas[[#This Row],[DATA DE CAIXA REALIZADO]]&lt;&gt;"N/A","Em Dia","Com atraso")</f>
        <v>Em Dia</v>
      </c>
    </row>
    <row r="95" spans="1:18" s="52" customFormat="1" ht="14.4" customHeight="1" x14ac:dyDescent="0.3">
      <c r="A95" s="125">
        <v>44393</v>
      </c>
      <c r="B95" s="125">
        <f>A95-31</f>
        <v>44362</v>
      </c>
      <c r="C95" s="111">
        <f>(A95-B95)+B95-15</f>
        <v>44378</v>
      </c>
      <c r="D95" s="126" t="s">
        <v>137</v>
      </c>
      <c r="E95" s="126" t="s">
        <v>12</v>
      </c>
      <c r="F95" s="126" t="s">
        <v>18</v>
      </c>
      <c r="G95" s="126" t="s">
        <v>775</v>
      </c>
      <c r="H95" s="52" t="s">
        <v>106</v>
      </c>
      <c r="I95" s="127">
        <v>4618</v>
      </c>
      <c r="J95" s="110" t="str">
        <f>IF(tbRegistroEntradas[[#This Row],[DATA DE CAIXA REALIZADO]]="N/A","0",UPPER(TEXT(tbRegistroEntradas[[#This Row],[DATA DE CAIXA REALIZADO]],"mmm")))</f>
        <v>JUL</v>
      </c>
      <c r="K95" s="57">
        <f>IF(tbRegistroEntradas[[#This Row],[DATA DE CAIXA REALIZADO]]="N/A",0,YEAR(tbRegistroEntradas[[#This Row],[DATA DE CAIXA REALIZADO]]))</f>
        <v>2021</v>
      </c>
      <c r="L95" s="58" t="str">
        <f>IF(tbRegistroEntradas[[#This Row],[DATA DA COMPETÊNCIA]]="N/A","0",UPPER(TEXT(tbRegistroEntradas[[#This Row],[DATA DA COMPETÊNCIA]],"mmm")))</f>
        <v>JUN</v>
      </c>
      <c r="M95" s="58">
        <f>IF(tbRegistroEntradas[[#This Row],[DATA DA COMPETÊNCIA]]="N/A",0,YEAR(tbRegistroEntradas[[#This Row],[DATA DA COMPETÊNCIA]]))</f>
        <v>2021</v>
      </c>
      <c r="N95" s="58" t="str">
        <f>IF(tbRegistroEntradas[[#This Row],[DATA DO CAIXA PREVISTO]]="N/A","0",UPPER(TEXT(tbRegistroEntradas[[#This Row],[DATA DO CAIXA PREVISTO]],"mmm")))</f>
        <v>JUL</v>
      </c>
      <c r="O95" s="58">
        <f>IF(tbRegistroEntradas[[#This Row],[DATA DO CAIXA PREVISTO]]="N/A",0,YEAR(tbRegistroEntradas[[#This Row],[DATA DO CAIXA PREVISTO]]))</f>
        <v>2021</v>
      </c>
      <c r="P95" s="58" t="str">
        <f ca="1">IF(AND(tbRegistroEntradas[[#This Row],[DATA DE CAIXA REALIZADO]]="N/A",tbRegistroEntradas[[#This Row],[DATA DO CAIXA PREVISTO]]&lt;TODAY()),"Vencida","Não Vencida")</f>
        <v>Não Vencida</v>
      </c>
      <c r="Q95" s="58" t="str">
        <f>IF(tbRegistroEntradas[[#This Row],[DATA DA COMPETÊNCIA]]=tbRegistroEntradas[[#This Row],[DATA DO CAIXA PREVISTO]],"Vista","Prazo")</f>
        <v>Prazo</v>
      </c>
      <c r="R95" s="58" t="str">
        <f>IF(tbRegistroEntradas[[#This Row],[DATA DE CAIXA REALIZADO]]&lt;&gt;"N/A","Em Dia","Com atraso")</f>
        <v>Em Dia</v>
      </c>
    </row>
    <row r="96" spans="1:18" s="52" customFormat="1" ht="14.4" customHeight="1" x14ac:dyDescent="0.3">
      <c r="A96" s="125">
        <v>44394</v>
      </c>
      <c r="B96" s="125">
        <f>A96-31</f>
        <v>44363</v>
      </c>
      <c r="C96" s="111">
        <f>(A96-B96)+B96-15</f>
        <v>44379</v>
      </c>
      <c r="D96" s="126" t="s">
        <v>64</v>
      </c>
      <c r="E96" s="126" t="s">
        <v>12</v>
      </c>
      <c r="F96" s="126" t="s">
        <v>17</v>
      </c>
      <c r="G96" s="126" t="s">
        <v>842</v>
      </c>
      <c r="H96" s="52" t="s">
        <v>113</v>
      </c>
      <c r="I96" s="127">
        <v>5268</v>
      </c>
      <c r="J96" s="110" t="str">
        <f>IF(tbRegistroEntradas[[#This Row],[DATA DE CAIXA REALIZADO]]="N/A","0",UPPER(TEXT(tbRegistroEntradas[[#This Row],[DATA DE CAIXA REALIZADO]],"mmm")))</f>
        <v>JUL</v>
      </c>
      <c r="K96" s="57">
        <f>IF(tbRegistroEntradas[[#This Row],[DATA DE CAIXA REALIZADO]]="N/A",0,YEAR(tbRegistroEntradas[[#This Row],[DATA DE CAIXA REALIZADO]]))</f>
        <v>2021</v>
      </c>
      <c r="L96" s="58" t="str">
        <f>IF(tbRegistroEntradas[[#This Row],[DATA DA COMPETÊNCIA]]="N/A","0",UPPER(TEXT(tbRegistroEntradas[[#This Row],[DATA DA COMPETÊNCIA]],"mmm")))</f>
        <v>JUN</v>
      </c>
      <c r="M96" s="58">
        <f>IF(tbRegistroEntradas[[#This Row],[DATA DA COMPETÊNCIA]]="N/A",0,YEAR(tbRegistroEntradas[[#This Row],[DATA DA COMPETÊNCIA]]))</f>
        <v>2021</v>
      </c>
      <c r="N96" s="58" t="str">
        <f>IF(tbRegistroEntradas[[#This Row],[DATA DO CAIXA PREVISTO]]="N/A","0",UPPER(TEXT(tbRegistroEntradas[[#This Row],[DATA DO CAIXA PREVISTO]],"mmm")))</f>
        <v>JUL</v>
      </c>
      <c r="O96" s="58">
        <f>IF(tbRegistroEntradas[[#This Row],[DATA DO CAIXA PREVISTO]]="N/A",0,YEAR(tbRegistroEntradas[[#This Row],[DATA DO CAIXA PREVISTO]]))</f>
        <v>2021</v>
      </c>
      <c r="P96" s="58" t="str">
        <f ca="1">IF(AND(tbRegistroEntradas[[#This Row],[DATA DE CAIXA REALIZADO]]="N/A",tbRegistroEntradas[[#This Row],[DATA DO CAIXA PREVISTO]]&lt;TODAY()),"Vencida","Não Vencida")</f>
        <v>Não Vencida</v>
      </c>
      <c r="Q96" s="58" t="str">
        <f>IF(tbRegistroEntradas[[#This Row],[DATA DA COMPETÊNCIA]]=tbRegistroEntradas[[#This Row],[DATA DO CAIXA PREVISTO]],"Vista","Prazo")</f>
        <v>Prazo</v>
      </c>
      <c r="R96" s="58" t="str">
        <f>IF(tbRegistroEntradas[[#This Row],[DATA DE CAIXA REALIZADO]]&lt;&gt;"N/A","Em Dia","Com atraso")</f>
        <v>Em Dia</v>
      </c>
    </row>
    <row r="97" spans="1:18" s="52" customFormat="1" ht="14.4" customHeight="1" x14ac:dyDescent="0.3">
      <c r="A97" s="125">
        <v>44395</v>
      </c>
      <c r="B97" s="125">
        <f>A97-31</f>
        <v>44364</v>
      </c>
      <c r="C97" s="111">
        <f>(A97-B97)+B97-15</f>
        <v>44380</v>
      </c>
      <c r="D97" s="126" t="s">
        <v>66</v>
      </c>
      <c r="E97" s="126" t="s">
        <v>12</v>
      </c>
      <c r="F97" s="126" t="s">
        <v>32</v>
      </c>
      <c r="G97" s="126" t="s">
        <v>1003</v>
      </c>
      <c r="H97" s="5" t="s">
        <v>127</v>
      </c>
      <c r="I97" s="127">
        <v>1792</v>
      </c>
      <c r="J97" s="110" t="str">
        <f>IF(tbRegistroEntradas[[#This Row],[DATA DE CAIXA REALIZADO]]="N/A","0",UPPER(TEXT(tbRegistroEntradas[[#This Row],[DATA DE CAIXA REALIZADO]],"mmm")))</f>
        <v>JUL</v>
      </c>
      <c r="K97" s="57">
        <f>IF(tbRegistroEntradas[[#This Row],[DATA DE CAIXA REALIZADO]]="N/A",0,YEAR(tbRegistroEntradas[[#This Row],[DATA DE CAIXA REALIZADO]]))</f>
        <v>2021</v>
      </c>
      <c r="L97" s="58" t="str">
        <f>IF(tbRegistroEntradas[[#This Row],[DATA DA COMPETÊNCIA]]="N/A","0",UPPER(TEXT(tbRegistroEntradas[[#This Row],[DATA DA COMPETÊNCIA]],"mmm")))</f>
        <v>JUN</v>
      </c>
      <c r="M97" s="58">
        <f>IF(tbRegistroEntradas[[#This Row],[DATA DA COMPETÊNCIA]]="N/A",0,YEAR(tbRegistroEntradas[[#This Row],[DATA DA COMPETÊNCIA]]))</f>
        <v>2021</v>
      </c>
      <c r="N97" s="58" t="str">
        <f>IF(tbRegistroEntradas[[#This Row],[DATA DO CAIXA PREVISTO]]="N/A","0",UPPER(TEXT(tbRegistroEntradas[[#This Row],[DATA DO CAIXA PREVISTO]],"mmm")))</f>
        <v>JUL</v>
      </c>
      <c r="O97" s="58">
        <f>IF(tbRegistroEntradas[[#This Row],[DATA DO CAIXA PREVISTO]]="N/A",0,YEAR(tbRegistroEntradas[[#This Row],[DATA DO CAIXA PREVISTO]]))</f>
        <v>2021</v>
      </c>
      <c r="P97" s="58" t="str">
        <f ca="1">IF(AND(tbRegistroEntradas[[#This Row],[DATA DE CAIXA REALIZADO]]="N/A",tbRegistroEntradas[[#This Row],[DATA DO CAIXA PREVISTO]]&lt;TODAY()),"Vencida","Não Vencida")</f>
        <v>Não Vencida</v>
      </c>
      <c r="Q97" s="58" t="str">
        <f>IF(tbRegistroEntradas[[#This Row],[DATA DA COMPETÊNCIA]]=tbRegistroEntradas[[#This Row],[DATA DO CAIXA PREVISTO]],"Vista","Prazo")</f>
        <v>Prazo</v>
      </c>
      <c r="R97" s="58" t="str">
        <f>IF(tbRegistroEntradas[[#This Row],[DATA DE CAIXA REALIZADO]]&lt;&gt;"N/A","Em Dia","Com atraso")</f>
        <v>Em Dia</v>
      </c>
    </row>
    <row r="98" spans="1:18" s="52" customFormat="1" ht="14.4" customHeight="1" x14ac:dyDescent="0.3">
      <c r="A98" s="125">
        <v>44397</v>
      </c>
      <c r="B98" s="125">
        <f>A98-31</f>
        <v>44366</v>
      </c>
      <c r="C98" s="111">
        <f>(A98-B98)+B98-15</f>
        <v>44382</v>
      </c>
      <c r="D98" s="126" t="s">
        <v>67</v>
      </c>
      <c r="E98" s="126" t="s">
        <v>12</v>
      </c>
      <c r="F98" s="126" t="s">
        <v>16</v>
      </c>
      <c r="G98" s="126" t="s">
        <v>1078</v>
      </c>
      <c r="H98" s="52" t="s">
        <v>70</v>
      </c>
      <c r="I98" s="127">
        <v>3773</v>
      </c>
      <c r="J98" s="110" t="str">
        <f>IF(tbRegistroEntradas[[#This Row],[DATA DE CAIXA REALIZADO]]="N/A","0",UPPER(TEXT(tbRegistroEntradas[[#This Row],[DATA DE CAIXA REALIZADO]],"mmm")))</f>
        <v>JUL</v>
      </c>
      <c r="K98" s="57">
        <f>IF(tbRegistroEntradas[[#This Row],[DATA DE CAIXA REALIZADO]]="N/A",0,YEAR(tbRegistroEntradas[[#This Row],[DATA DE CAIXA REALIZADO]]))</f>
        <v>2021</v>
      </c>
      <c r="L98" s="58" t="str">
        <f>IF(tbRegistroEntradas[[#This Row],[DATA DA COMPETÊNCIA]]="N/A","0",UPPER(TEXT(tbRegistroEntradas[[#This Row],[DATA DA COMPETÊNCIA]],"mmm")))</f>
        <v>JUN</v>
      </c>
      <c r="M98" s="58">
        <f>IF(tbRegistroEntradas[[#This Row],[DATA DA COMPETÊNCIA]]="N/A",0,YEAR(tbRegistroEntradas[[#This Row],[DATA DA COMPETÊNCIA]]))</f>
        <v>2021</v>
      </c>
      <c r="N98" s="58" t="str">
        <f>IF(tbRegistroEntradas[[#This Row],[DATA DO CAIXA PREVISTO]]="N/A","0",UPPER(TEXT(tbRegistroEntradas[[#This Row],[DATA DO CAIXA PREVISTO]],"mmm")))</f>
        <v>JUL</v>
      </c>
      <c r="O98" s="58">
        <f>IF(tbRegistroEntradas[[#This Row],[DATA DO CAIXA PREVISTO]]="N/A",0,YEAR(tbRegistroEntradas[[#This Row],[DATA DO CAIXA PREVISTO]]))</f>
        <v>2021</v>
      </c>
      <c r="P98" s="58" t="str">
        <f ca="1">IF(AND(tbRegistroEntradas[[#This Row],[DATA DE CAIXA REALIZADO]]="N/A",tbRegistroEntradas[[#This Row],[DATA DO CAIXA PREVISTO]]&lt;TODAY()),"Vencida","Não Vencida")</f>
        <v>Não Vencida</v>
      </c>
      <c r="Q98" s="58" t="str">
        <f>IF(tbRegistroEntradas[[#This Row],[DATA DA COMPETÊNCIA]]=tbRegistroEntradas[[#This Row],[DATA DO CAIXA PREVISTO]],"Vista","Prazo")</f>
        <v>Prazo</v>
      </c>
      <c r="R98" s="58" t="str">
        <f>IF(tbRegistroEntradas[[#This Row],[DATA DE CAIXA REALIZADO]]&lt;&gt;"N/A","Em Dia","Com atraso")</f>
        <v>Em Dia</v>
      </c>
    </row>
    <row r="99" spans="1:18" s="52" customFormat="1" ht="14.4" customHeight="1" x14ac:dyDescent="0.3">
      <c r="A99" s="49">
        <v>44404</v>
      </c>
      <c r="B99" s="49">
        <f>A99-31</f>
        <v>44373</v>
      </c>
      <c r="C99" s="111">
        <f>(A99-B99)+B99-15</f>
        <v>44389</v>
      </c>
      <c r="D99" s="52" t="s">
        <v>63</v>
      </c>
      <c r="E99" s="52" t="s">
        <v>12</v>
      </c>
      <c r="F99" s="52" t="s">
        <v>17</v>
      </c>
      <c r="G99" s="52" t="s">
        <v>930</v>
      </c>
      <c r="H99" s="52" t="s">
        <v>98</v>
      </c>
      <c r="I99" s="18">
        <v>5646</v>
      </c>
      <c r="J99" s="110" t="str">
        <f>IF(tbRegistroEntradas[[#This Row],[DATA DE CAIXA REALIZADO]]="N/A","0",UPPER(TEXT(tbRegistroEntradas[[#This Row],[DATA DE CAIXA REALIZADO]],"mmm")))</f>
        <v>JUL</v>
      </c>
      <c r="K99" s="57">
        <f>IF(tbRegistroEntradas[[#This Row],[DATA DE CAIXA REALIZADO]]="N/A",0,YEAR(tbRegistroEntradas[[#This Row],[DATA DE CAIXA REALIZADO]]))</f>
        <v>2021</v>
      </c>
      <c r="L99" s="58" t="str">
        <f>IF(tbRegistroEntradas[[#This Row],[DATA DA COMPETÊNCIA]]="N/A","0",UPPER(TEXT(tbRegistroEntradas[[#This Row],[DATA DA COMPETÊNCIA]],"mmm")))</f>
        <v>JUN</v>
      </c>
      <c r="M99" s="58">
        <f>IF(tbRegistroEntradas[[#This Row],[DATA DA COMPETÊNCIA]]="N/A",0,YEAR(tbRegistroEntradas[[#This Row],[DATA DA COMPETÊNCIA]]))</f>
        <v>2021</v>
      </c>
      <c r="N99" s="58" t="str">
        <f>IF(tbRegistroEntradas[[#This Row],[DATA DO CAIXA PREVISTO]]="N/A","0",UPPER(TEXT(tbRegistroEntradas[[#This Row],[DATA DO CAIXA PREVISTO]],"mmm")))</f>
        <v>JUL</v>
      </c>
      <c r="O99" s="58">
        <f>IF(tbRegistroEntradas[[#This Row],[DATA DO CAIXA PREVISTO]]="N/A",0,YEAR(tbRegistroEntradas[[#This Row],[DATA DO CAIXA PREVISTO]]))</f>
        <v>2021</v>
      </c>
      <c r="P99" s="58" t="str">
        <f ca="1">IF(AND(tbRegistroEntradas[[#This Row],[DATA DE CAIXA REALIZADO]]="N/A",tbRegistroEntradas[[#This Row],[DATA DO CAIXA PREVISTO]]&lt;TODAY()),"Vencida","Não Vencida")</f>
        <v>Não Vencida</v>
      </c>
      <c r="Q99" s="58" t="str">
        <f>IF(tbRegistroEntradas[[#This Row],[DATA DA COMPETÊNCIA]]=tbRegistroEntradas[[#This Row],[DATA DO CAIXA PREVISTO]],"Vista","Prazo")</f>
        <v>Prazo</v>
      </c>
      <c r="R99" s="58" t="str">
        <f>IF(tbRegistroEntradas[[#This Row],[DATA DE CAIXA REALIZADO]]&lt;&gt;"N/A","Em Dia","Com atraso")</f>
        <v>Em Dia</v>
      </c>
    </row>
    <row r="100" spans="1:18" s="52" customFormat="1" ht="14.4" customHeight="1" x14ac:dyDescent="0.3">
      <c r="A100" s="125">
        <v>44408</v>
      </c>
      <c r="B100" s="125">
        <f>A100-31</f>
        <v>44377</v>
      </c>
      <c r="C100" s="111">
        <f>tbRegistroEntradas[[#This Row],[DATA DA COMPETÊNCIA]]</f>
        <v>44377</v>
      </c>
      <c r="D100" s="126" t="s">
        <v>137</v>
      </c>
      <c r="E100" s="126" t="s">
        <v>12</v>
      </c>
      <c r="F100" s="126" t="s">
        <v>19</v>
      </c>
      <c r="G100" s="126" t="s">
        <v>710</v>
      </c>
      <c r="H100" s="52" t="s">
        <v>107</v>
      </c>
      <c r="I100" s="127">
        <v>3044</v>
      </c>
      <c r="J100" s="110" t="str">
        <f>IF(tbRegistroEntradas[[#This Row],[DATA DE CAIXA REALIZADO]]="N/A","0",UPPER(TEXT(tbRegistroEntradas[[#This Row],[DATA DE CAIXA REALIZADO]],"mmm")))</f>
        <v>JUL</v>
      </c>
      <c r="K100" s="57">
        <f>IF(tbRegistroEntradas[[#This Row],[DATA DE CAIXA REALIZADO]]="N/A",0,YEAR(tbRegistroEntradas[[#This Row],[DATA DE CAIXA REALIZADO]]))</f>
        <v>2021</v>
      </c>
      <c r="L100" s="58" t="str">
        <f>IF(tbRegistroEntradas[[#This Row],[DATA DA COMPETÊNCIA]]="N/A","0",UPPER(TEXT(tbRegistroEntradas[[#This Row],[DATA DA COMPETÊNCIA]],"mmm")))</f>
        <v>JUN</v>
      </c>
      <c r="M100" s="58">
        <f>IF(tbRegistroEntradas[[#This Row],[DATA DA COMPETÊNCIA]]="N/A",0,YEAR(tbRegistroEntradas[[#This Row],[DATA DA COMPETÊNCIA]]))</f>
        <v>2021</v>
      </c>
      <c r="N100" s="58" t="str">
        <f>IF(tbRegistroEntradas[[#This Row],[DATA DO CAIXA PREVISTO]]="N/A","0",UPPER(TEXT(tbRegistroEntradas[[#This Row],[DATA DO CAIXA PREVISTO]],"mmm")))</f>
        <v>JUN</v>
      </c>
      <c r="O100" s="58">
        <f>IF(tbRegistroEntradas[[#This Row],[DATA DO CAIXA PREVISTO]]="N/A",0,YEAR(tbRegistroEntradas[[#This Row],[DATA DO CAIXA PREVISTO]]))</f>
        <v>2021</v>
      </c>
      <c r="P100" s="58" t="str">
        <f ca="1">IF(AND(tbRegistroEntradas[[#This Row],[DATA DE CAIXA REALIZADO]]="N/A",tbRegistroEntradas[[#This Row],[DATA DO CAIXA PREVISTO]]&lt;TODAY()),"Vencida","Não Vencida")</f>
        <v>Não Vencida</v>
      </c>
      <c r="Q100" s="58" t="str">
        <f>IF(tbRegistroEntradas[[#This Row],[DATA DA COMPETÊNCIA]]=tbRegistroEntradas[[#This Row],[DATA DO CAIXA PREVISTO]],"Vista","Prazo")</f>
        <v>Vista</v>
      </c>
      <c r="R100" s="58" t="str">
        <f>IF(tbRegistroEntradas[[#This Row],[DATA DE CAIXA REALIZADO]]&lt;&gt;"N/A","Em Dia","Com atraso")</f>
        <v>Em Dia</v>
      </c>
    </row>
    <row r="101" spans="1:18" s="52" customFormat="1" ht="14.4" customHeight="1" x14ac:dyDescent="0.3">
      <c r="A101" s="125">
        <v>44412</v>
      </c>
      <c r="B101" s="125">
        <f>A101-31</f>
        <v>44381</v>
      </c>
      <c r="C101" s="111">
        <f>tbRegistroEntradas[[#This Row],[DATA DA COMPETÊNCIA]]</f>
        <v>44381</v>
      </c>
      <c r="D101" s="126" t="s">
        <v>65</v>
      </c>
      <c r="E101" s="126" t="s">
        <v>12</v>
      </c>
      <c r="F101" s="126" t="s">
        <v>19</v>
      </c>
      <c r="G101" s="126" t="s">
        <v>833</v>
      </c>
      <c r="H101" s="52" t="s">
        <v>122</v>
      </c>
      <c r="I101" s="127">
        <v>5103</v>
      </c>
      <c r="J101" s="110" t="str">
        <f>IF(tbRegistroEntradas[[#This Row],[DATA DE CAIXA REALIZADO]]="N/A","0",UPPER(TEXT(tbRegistroEntradas[[#This Row],[DATA DE CAIXA REALIZADO]],"mmm")))</f>
        <v>AGO</v>
      </c>
      <c r="K101" s="57">
        <f>IF(tbRegistroEntradas[[#This Row],[DATA DE CAIXA REALIZADO]]="N/A",0,YEAR(tbRegistroEntradas[[#This Row],[DATA DE CAIXA REALIZADO]]))</f>
        <v>2021</v>
      </c>
      <c r="L101" s="58" t="str">
        <f>IF(tbRegistroEntradas[[#This Row],[DATA DA COMPETÊNCIA]]="N/A","0",UPPER(TEXT(tbRegistroEntradas[[#This Row],[DATA DA COMPETÊNCIA]],"mmm")))</f>
        <v>JUL</v>
      </c>
      <c r="M101" s="58">
        <f>IF(tbRegistroEntradas[[#This Row],[DATA DA COMPETÊNCIA]]="N/A",0,YEAR(tbRegistroEntradas[[#This Row],[DATA DA COMPETÊNCIA]]))</f>
        <v>2021</v>
      </c>
      <c r="N101" s="58" t="str">
        <f>IF(tbRegistroEntradas[[#This Row],[DATA DO CAIXA PREVISTO]]="N/A","0",UPPER(TEXT(tbRegistroEntradas[[#This Row],[DATA DO CAIXA PREVISTO]],"mmm")))</f>
        <v>JUL</v>
      </c>
      <c r="O101" s="58">
        <f>IF(tbRegistroEntradas[[#This Row],[DATA DO CAIXA PREVISTO]]="N/A",0,YEAR(tbRegistroEntradas[[#This Row],[DATA DO CAIXA PREVISTO]]))</f>
        <v>2021</v>
      </c>
      <c r="P101" s="58" t="str">
        <f ca="1">IF(AND(tbRegistroEntradas[[#This Row],[DATA DE CAIXA REALIZADO]]="N/A",tbRegistroEntradas[[#This Row],[DATA DO CAIXA PREVISTO]]&lt;TODAY()),"Vencida","Não Vencida")</f>
        <v>Não Vencida</v>
      </c>
      <c r="Q101" s="58" t="str">
        <f>IF(tbRegistroEntradas[[#This Row],[DATA DA COMPETÊNCIA]]=tbRegistroEntradas[[#This Row],[DATA DO CAIXA PREVISTO]],"Vista","Prazo")</f>
        <v>Vista</v>
      </c>
      <c r="R101" s="58" t="str">
        <f>IF(tbRegistroEntradas[[#This Row],[DATA DE CAIXA REALIZADO]]&lt;&gt;"N/A","Em Dia","Com atraso")</f>
        <v>Em Dia</v>
      </c>
    </row>
    <row r="102" spans="1:18" s="52" customFormat="1" ht="14.4" customHeight="1" x14ac:dyDescent="0.3">
      <c r="A102" s="49">
        <v>44416</v>
      </c>
      <c r="B102" s="49">
        <f>A102-31</f>
        <v>44385</v>
      </c>
      <c r="C102" s="111">
        <f>tbRegistroEntradas[[#This Row],[DATA DA COMPETÊNCIA]]</f>
        <v>44385</v>
      </c>
      <c r="D102" s="52" t="s">
        <v>67</v>
      </c>
      <c r="E102" s="52" t="s">
        <v>12</v>
      </c>
      <c r="F102" s="52" t="s">
        <v>16</v>
      </c>
      <c r="G102" s="52" t="s">
        <v>873</v>
      </c>
      <c r="H102" s="52" t="s">
        <v>129</v>
      </c>
      <c r="I102" s="18">
        <v>6700</v>
      </c>
      <c r="J102" s="110" t="str">
        <f>IF(tbRegistroEntradas[[#This Row],[DATA DE CAIXA REALIZADO]]="N/A","0",UPPER(TEXT(tbRegistroEntradas[[#This Row],[DATA DE CAIXA REALIZADO]],"mmm")))</f>
        <v>AGO</v>
      </c>
      <c r="K102" s="57">
        <f>IF(tbRegistroEntradas[[#This Row],[DATA DE CAIXA REALIZADO]]="N/A",0,YEAR(tbRegistroEntradas[[#This Row],[DATA DE CAIXA REALIZADO]]))</f>
        <v>2021</v>
      </c>
      <c r="L102" s="58" t="str">
        <f>IF(tbRegistroEntradas[[#This Row],[DATA DA COMPETÊNCIA]]="N/A","0",UPPER(TEXT(tbRegistroEntradas[[#This Row],[DATA DA COMPETÊNCIA]],"mmm")))</f>
        <v>JUL</v>
      </c>
      <c r="M102" s="58">
        <f>IF(tbRegistroEntradas[[#This Row],[DATA DA COMPETÊNCIA]]="N/A",0,YEAR(tbRegistroEntradas[[#This Row],[DATA DA COMPETÊNCIA]]))</f>
        <v>2021</v>
      </c>
      <c r="N102" s="58" t="str">
        <f>IF(tbRegistroEntradas[[#This Row],[DATA DO CAIXA PREVISTO]]="N/A","0",UPPER(TEXT(tbRegistroEntradas[[#This Row],[DATA DO CAIXA PREVISTO]],"mmm")))</f>
        <v>JUL</v>
      </c>
      <c r="O102" s="58">
        <f>IF(tbRegistroEntradas[[#This Row],[DATA DO CAIXA PREVISTO]]="N/A",0,YEAR(tbRegistroEntradas[[#This Row],[DATA DO CAIXA PREVISTO]]))</f>
        <v>2021</v>
      </c>
      <c r="P102" s="58" t="str">
        <f ca="1">IF(AND(tbRegistroEntradas[[#This Row],[DATA DE CAIXA REALIZADO]]="N/A",tbRegistroEntradas[[#This Row],[DATA DO CAIXA PREVISTO]]&lt;TODAY()),"Vencida","Não Vencida")</f>
        <v>Não Vencida</v>
      </c>
      <c r="Q102" s="58" t="str">
        <f>IF(tbRegistroEntradas[[#This Row],[DATA DA COMPETÊNCIA]]=tbRegistroEntradas[[#This Row],[DATA DO CAIXA PREVISTO]],"Vista","Prazo")</f>
        <v>Vista</v>
      </c>
      <c r="R102" s="58" t="str">
        <f>IF(tbRegistroEntradas[[#This Row],[DATA DE CAIXA REALIZADO]]&lt;&gt;"N/A","Em Dia","Com atraso")</f>
        <v>Em Dia</v>
      </c>
    </row>
    <row r="103" spans="1:18" s="52" customFormat="1" ht="14.4" customHeight="1" x14ac:dyDescent="0.3">
      <c r="A103" s="125">
        <v>44418</v>
      </c>
      <c r="B103" s="125">
        <f>A103-31</f>
        <v>44387</v>
      </c>
      <c r="C103" s="111">
        <f>(A103-B103)+B103-15</f>
        <v>44403</v>
      </c>
      <c r="D103" s="126" t="s">
        <v>137</v>
      </c>
      <c r="E103" s="126" t="s">
        <v>12</v>
      </c>
      <c r="F103" s="126" t="s">
        <v>17</v>
      </c>
      <c r="G103" s="126" t="s">
        <v>1065</v>
      </c>
      <c r="H103" s="52" t="s">
        <v>73</v>
      </c>
      <c r="I103" s="127">
        <v>3243</v>
      </c>
      <c r="J103" s="110" t="str">
        <f>IF(tbRegistroEntradas[[#This Row],[DATA DE CAIXA REALIZADO]]="N/A","0",UPPER(TEXT(tbRegistroEntradas[[#This Row],[DATA DE CAIXA REALIZADO]],"mmm")))</f>
        <v>AGO</v>
      </c>
      <c r="K103" s="57">
        <f>IF(tbRegistroEntradas[[#This Row],[DATA DE CAIXA REALIZADO]]="N/A",0,YEAR(tbRegistroEntradas[[#This Row],[DATA DE CAIXA REALIZADO]]))</f>
        <v>2021</v>
      </c>
      <c r="L103" s="58" t="str">
        <f>IF(tbRegistroEntradas[[#This Row],[DATA DA COMPETÊNCIA]]="N/A","0",UPPER(TEXT(tbRegistroEntradas[[#This Row],[DATA DA COMPETÊNCIA]],"mmm")))</f>
        <v>JUL</v>
      </c>
      <c r="M103" s="58">
        <f>IF(tbRegistroEntradas[[#This Row],[DATA DA COMPETÊNCIA]]="N/A",0,YEAR(tbRegistroEntradas[[#This Row],[DATA DA COMPETÊNCIA]]))</f>
        <v>2021</v>
      </c>
      <c r="N103" s="58" t="str">
        <f>IF(tbRegistroEntradas[[#This Row],[DATA DO CAIXA PREVISTO]]="N/A","0",UPPER(TEXT(tbRegistroEntradas[[#This Row],[DATA DO CAIXA PREVISTO]],"mmm")))</f>
        <v>JUL</v>
      </c>
      <c r="O103" s="58">
        <f>IF(tbRegistroEntradas[[#This Row],[DATA DO CAIXA PREVISTO]]="N/A",0,YEAR(tbRegistroEntradas[[#This Row],[DATA DO CAIXA PREVISTO]]))</f>
        <v>2021</v>
      </c>
      <c r="P103" s="58" t="str">
        <f ca="1">IF(AND(tbRegistroEntradas[[#This Row],[DATA DE CAIXA REALIZADO]]="N/A",tbRegistroEntradas[[#This Row],[DATA DO CAIXA PREVISTO]]&lt;TODAY()),"Vencida","Não Vencida")</f>
        <v>Não Vencida</v>
      </c>
      <c r="Q103" s="58" t="str">
        <f>IF(tbRegistroEntradas[[#This Row],[DATA DA COMPETÊNCIA]]=tbRegistroEntradas[[#This Row],[DATA DO CAIXA PREVISTO]],"Vista","Prazo")</f>
        <v>Prazo</v>
      </c>
      <c r="R103" s="58" t="str">
        <f>IF(tbRegistroEntradas[[#This Row],[DATA DE CAIXA REALIZADO]]&lt;&gt;"N/A","Em Dia","Com atraso")</f>
        <v>Em Dia</v>
      </c>
    </row>
    <row r="104" spans="1:18" s="52" customFormat="1" ht="14.4" customHeight="1" x14ac:dyDescent="0.3">
      <c r="A104" s="49">
        <v>44419</v>
      </c>
      <c r="B104" s="49">
        <f>A104-31</f>
        <v>44388</v>
      </c>
      <c r="C104" s="111">
        <f>tbRegistroEntradas[[#This Row],[DATA DA COMPETÊNCIA]]</f>
        <v>44388</v>
      </c>
      <c r="D104" s="52" t="s">
        <v>66</v>
      </c>
      <c r="E104" s="52" t="s">
        <v>12</v>
      </c>
      <c r="F104" s="52" t="s">
        <v>32</v>
      </c>
      <c r="G104" s="52" t="s">
        <v>827</v>
      </c>
      <c r="H104" s="52" t="s">
        <v>128</v>
      </c>
      <c r="I104" s="18">
        <v>609</v>
      </c>
      <c r="J104" s="110" t="str">
        <f>IF(tbRegistroEntradas[[#This Row],[DATA DE CAIXA REALIZADO]]="N/A","0",UPPER(TEXT(tbRegistroEntradas[[#This Row],[DATA DE CAIXA REALIZADO]],"mmm")))</f>
        <v>AGO</v>
      </c>
      <c r="K104" s="57">
        <f>IF(tbRegistroEntradas[[#This Row],[DATA DE CAIXA REALIZADO]]="N/A",0,YEAR(tbRegistroEntradas[[#This Row],[DATA DE CAIXA REALIZADO]]))</f>
        <v>2021</v>
      </c>
      <c r="L104" s="58" t="str">
        <f>IF(tbRegistroEntradas[[#This Row],[DATA DA COMPETÊNCIA]]="N/A","0",UPPER(TEXT(tbRegistroEntradas[[#This Row],[DATA DA COMPETÊNCIA]],"mmm")))</f>
        <v>JUL</v>
      </c>
      <c r="M104" s="58">
        <f>IF(tbRegistroEntradas[[#This Row],[DATA DA COMPETÊNCIA]]="N/A",0,YEAR(tbRegistroEntradas[[#This Row],[DATA DA COMPETÊNCIA]]))</f>
        <v>2021</v>
      </c>
      <c r="N104" s="58" t="str">
        <f>IF(tbRegistroEntradas[[#This Row],[DATA DO CAIXA PREVISTO]]="N/A","0",UPPER(TEXT(tbRegistroEntradas[[#This Row],[DATA DO CAIXA PREVISTO]],"mmm")))</f>
        <v>JUL</v>
      </c>
      <c r="O104" s="58">
        <f>IF(tbRegistroEntradas[[#This Row],[DATA DO CAIXA PREVISTO]]="N/A",0,YEAR(tbRegistroEntradas[[#This Row],[DATA DO CAIXA PREVISTO]]))</f>
        <v>2021</v>
      </c>
      <c r="P104" s="58" t="str">
        <f ca="1">IF(AND(tbRegistroEntradas[[#This Row],[DATA DE CAIXA REALIZADO]]="N/A",tbRegistroEntradas[[#This Row],[DATA DO CAIXA PREVISTO]]&lt;TODAY()),"Vencida","Não Vencida")</f>
        <v>Não Vencida</v>
      </c>
      <c r="Q104" s="58" t="str">
        <f>IF(tbRegistroEntradas[[#This Row],[DATA DA COMPETÊNCIA]]=tbRegistroEntradas[[#This Row],[DATA DO CAIXA PREVISTO]],"Vista","Prazo")</f>
        <v>Vista</v>
      </c>
      <c r="R104" s="58" t="str">
        <f>IF(tbRegistroEntradas[[#This Row],[DATA DE CAIXA REALIZADO]]&lt;&gt;"N/A","Em Dia","Com atraso")</f>
        <v>Em Dia</v>
      </c>
    </row>
    <row r="105" spans="1:18" s="52" customFormat="1" ht="14.4" customHeight="1" x14ac:dyDescent="0.3">
      <c r="A105" s="125">
        <v>44423</v>
      </c>
      <c r="B105" s="125">
        <f>A105-31</f>
        <v>44392</v>
      </c>
      <c r="C105" s="111">
        <f>tbRegistroEntradas[[#This Row],[DATA DA COMPETÊNCIA]]</f>
        <v>44392</v>
      </c>
      <c r="D105" s="126" t="s">
        <v>61</v>
      </c>
      <c r="E105" s="126" t="s">
        <v>12</v>
      </c>
      <c r="F105" s="126" t="s">
        <v>18</v>
      </c>
      <c r="G105" s="126" t="s">
        <v>670</v>
      </c>
      <c r="H105" s="5" t="s">
        <v>85</v>
      </c>
      <c r="I105" s="127">
        <v>6232</v>
      </c>
      <c r="J105" s="110" t="str">
        <f>IF(tbRegistroEntradas[[#This Row],[DATA DE CAIXA REALIZADO]]="N/A","0",UPPER(TEXT(tbRegistroEntradas[[#This Row],[DATA DE CAIXA REALIZADO]],"mmm")))</f>
        <v>AGO</v>
      </c>
      <c r="K105" s="57">
        <f>IF(tbRegistroEntradas[[#This Row],[DATA DE CAIXA REALIZADO]]="N/A",0,YEAR(tbRegistroEntradas[[#This Row],[DATA DE CAIXA REALIZADO]]))</f>
        <v>2021</v>
      </c>
      <c r="L105" s="58" t="str">
        <f>IF(tbRegistroEntradas[[#This Row],[DATA DA COMPETÊNCIA]]="N/A","0",UPPER(TEXT(tbRegistroEntradas[[#This Row],[DATA DA COMPETÊNCIA]],"mmm")))</f>
        <v>JUL</v>
      </c>
      <c r="M105" s="58">
        <f>IF(tbRegistroEntradas[[#This Row],[DATA DA COMPETÊNCIA]]="N/A",0,YEAR(tbRegistroEntradas[[#This Row],[DATA DA COMPETÊNCIA]]))</f>
        <v>2021</v>
      </c>
      <c r="N105" s="58" t="str">
        <f>IF(tbRegistroEntradas[[#This Row],[DATA DO CAIXA PREVISTO]]="N/A","0",UPPER(TEXT(tbRegistroEntradas[[#This Row],[DATA DO CAIXA PREVISTO]],"mmm")))</f>
        <v>JUL</v>
      </c>
      <c r="O105" s="58">
        <f>IF(tbRegistroEntradas[[#This Row],[DATA DO CAIXA PREVISTO]]="N/A",0,YEAR(tbRegistroEntradas[[#This Row],[DATA DO CAIXA PREVISTO]]))</f>
        <v>2021</v>
      </c>
      <c r="P105" s="58" t="str">
        <f ca="1">IF(AND(tbRegistroEntradas[[#This Row],[DATA DE CAIXA REALIZADO]]="N/A",tbRegistroEntradas[[#This Row],[DATA DO CAIXA PREVISTO]]&lt;TODAY()),"Vencida","Não Vencida")</f>
        <v>Não Vencida</v>
      </c>
      <c r="Q105" s="58" t="str">
        <f>IF(tbRegistroEntradas[[#This Row],[DATA DA COMPETÊNCIA]]=tbRegistroEntradas[[#This Row],[DATA DO CAIXA PREVISTO]],"Vista","Prazo")</f>
        <v>Vista</v>
      </c>
      <c r="R105" s="58" t="str">
        <f>IF(tbRegistroEntradas[[#This Row],[DATA DE CAIXA REALIZADO]]&lt;&gt;"N/A","Em Dia","Com atraso")</f>
        <v>Em Dia</v>
      </c>
    </row>
    <row r="106" spans="1:18" s="52" customFormat="1" ht="14.4" customHeight="1" x14ac:dyDescent="0.3">
      <c r="A106" s="49">
        <v>44423</v>
      </c>
      <c r="B106" s="49">
        <f>A106-31</f>
        <v>44392</v>
      </c>
      <c r="C106" s="111">
        <f>(A106-B106)+B106-15</f>
        <v>44408</v>
      </c>
      <c r="D106" s="52" t="s">
        <v>66</v>
      </c>
      <c r="E106" s="52" t="s">
        <v>12</v>
      </c>
      <c r="F106" s="52" t="s">
        <v>16</v>
      </c>
      <c r="G106" s="52" t="s">
        <v>847</v>
      </c>
      <c r="H106" s="52" t="s">
        <v>90</v>
      </c>
      <c r="I106" s="18">
        <v>735</v>
      </c>
      <c r="J106" s="110" t="str">
        <f>IF(tbRegistroEntradas[[#This Row],[DATA DE CAIXA REALIZADO]]="N/A","0",UPPER(TEXT(tbRegistroEntradas[[#This Row],[DATA DE CAIXA REALIZADO]],"mmm")))</f>
        <v>AGO</v>
      </c>
      <c r="K106" s="57">
        <f>IF(tbRegistroEntradas[[#This Row],[DATA DE CAIXA REALIZADO]]="N/A",0,YEAR(tbRegistroEntradas[[#This Row],[DATA DE CAIXA REALIZADO]]))</f>
        <v>2021</v>
      </c>
      <c r="L106" s="58" t="str">
        <f>IF(tbRegistroEntradas[[#This Row],[DATA DA COMPETÊNCIA]]="N/A","0",UPPER(TEXT(tbRegistroEntradas[[#This Row],[DATA DA COMPETÊNCIA]],"mmm")))</f>
        <v>JUL</v>
      </c>
      <c r="M106" s="58">
        <f>IF(tbRegistroEntradas[[#This Row],[DATA DA COMPETÊNCIA]]="N/A",0,YEAR(tbRegistroEntradas[[#This Row],[DATA DA COMPETÊNCIA]]))</f>
        <v>2021</v>
      </c>
      <c r="N106" s="58" t="str">
        <f>IF(tbRegistroEntradas[[#This Row],[DATA DO CAIXA PREVISTO]]="N/A","0",UPPER(TEXT(tbRegistroEntradas[[#This Row],[DATA DO CAIXA PREVISTO]],"mmm")))</f>
        <v>JUL</v>
      </c>
      <c r="O106" s="58">
        <f>IF(tbRegistroEntradas[[#This Row],[DATA DO CAIXA PREVISTO]]="N/A",0,YEAR(tbRegistroEntradas[[#This Row],[DATA DO CAIXA PREVISTO]]))</f>
        <v>2021</v>
      </c>
      <c r="P106" s="58" t="str">
        <f ca="1">IF(AND(tbRegistroEntradas[[#This Row],[DATA DE CAIXA REALIZADO]]="N/A",tbRegistroEntradas[[#This Row],[DATA DO CAIXA PREVISTO]]&lt;TODAY()),"Vencida","Não Vencida")</f>
        <v>Não Vencida</v>
      </c>
      <c r="Q106" s="58" t="str">
        <f>IF(tbRegistroEntradas[[#This Row],[DATA DA COMPETÊNCIA]]=tbRegistroEntradas[[#This Row],[DATA DO CAIXA PREVISTO]],"Vista","Prazo")</f>
        <v>Prazo</v>
      </c>
      <c r="R106" s="58" t="str">
        <f>IF(tbRegistroEntradas[[#This Row],[DATA DE CAIXA REALIZADO]]&lt;&gt;"N/A","Em Dia","Com atraso")</f>
        <v>Em Dia</v>
      </c>
    </row>
    <row r="107" spans="1:18" s="52" customFormat="1" ht="14.4" customHeight="1" x14ac:dyDescent="0.3">
      <c r="A107" s="49">
        <v>44425</v>
      </c>
      <c r="B107" s="49">
        <f>A107-31</f>
        <v>44394</v>
      </c>
      <c r="C107" s="111">
        <f>tbRegistroEntradas[[#This Row],[DATA DA COMPETÊNCIA]]</f>
        <v>44394</v>
      </c>
      <c r="D107" s="52" t="s">
        <v>66</v>
      </c>
      <c r="E107" s="52" t="s">
        <v>12</v>
      </c>
      <c r="F107" s="52" t="s">
        <v>19</v>
      </c>
      <c r="G107" s="52" t="s">
        <v>672</v>
      </c>
      <c r="H107" s="52" t="s">
        <v>125</v>
      </c>
      <c r="I107" s="18">
        <v>7988</v>
      </c>
      <c r="J107" s="110" t="str">
        <f>IF(tbRegistroEntradas[[#This Row],[DATA DE CAIXA REALIZADO]]="N/A","0",UPPER(TEXT(tbRegistroEntradas[[#This Row],[DATA DE CAIXA REALIZADO]],"mmm")))</f>
        <v>AGO</v>
      </c>
      <c r="K107" s="57">
        <f>IF(tbRegistroEntradas[[#This Row],[DATA DE CAIXA REALIZADO]]="N/A",0,YEAR(tbRegistroEntradas[[#This Row],[DATA DE CAIXA REALIZADO]]))</f>
        <v>2021</v>
      </c>
      <c r="L107" s="58" t="str">
        <f>IF(tbRegistroEntradas[[#This Row],[DATA DA COMPETÊNCIA]]="N/A","0",UPPER(TEXT(tbRegistroEntradas[[#This Row],[DATA DA COMPETÊNCIA]],"mmm")))</f>
        <v>JUL</v>
      </c>
      <c r="M107" s="58">
        <f>IF(tbRegistroEntradas[[#This Row],[DATA DA COMPETÊNCIA]]="N/A",0,YEAR(tbRegistroEntradas[[#This Row],[DATA DA COMPETÊNCIA]]))</f>
        <v>2021</v>
      </c>
      <c r="N107" s="58" t="str">
        <f>IF(tbRegistroEntradas[[#This Row],[DATA DO CAIXA PREVISTO]]="N/A","0",UPPER(TEXT(tbRegistroEntradas[[#This Row],[DATA DO CAIXA PREVISTO]],"mmm")))</f>
        <v>JUL</v>
      </c>
      <c r="O107" s="58">
        <f>IF(tbRegistroEntradas[[#This Row],[DATA DO CAIXA PREVISTO]]="N/A",0,YEAR(tbRegistroEntradas[[#This Row],[DATA DO CAIXA PREVISTO]]))</f>
        <v>2021</v>
      </c>
      <c r="P107" s="58" t="str">
        <f ca="1">IF(AND(tbRegistroEntradas[[#This Row],[DATA DE CAIXA REALIZADO]]="N/A",tbRegistroEntradas[[#This Row],[DATA DO CAIXA PREVISTO]]&lt;TODAY()),"Vencida","Não Vencida")</f>
        <v>Não Vencida</v>
      </c>
      <c r="Q107" s="58" t="str">
        <f>IF(tbRegistroEntradas[[#This Row],[DATA DA COMPETÊNCIA]]=tbRegistroEntradas[[#This Row],[DATA DO CAIXA PREVISTO]],"Vista","Prazo")</f>
        <v>Vista</v>
      </c>
      <c r="R107" s="58" t="str">
        <f>IF(tbRegistroEntradas[[#This Row],[DATA DE CAIXA REALIZADO]]&lt;&gt;"N/A","Em Dia","Com atraso")</f>
        <v>Em Dia</v>
      </c>
    </row>
    <row r="108" spans="1:18" s="52" customFormat="1" ht="14.4" customHeight="1" x14ac:dyDescent="0.3">
      <c r="A108" s="49">
        <v>44427</v>
      </c>
      <c r="B108" s="49">
        <f>A108-31</f>
        <v>44396</v>
      </c>
      <c r="C108" s="111">
        <f>tbRegistroEntradas[[#This Row],[DATA DA COMPETÊNCIA]]</f>
        <v>44396</v>
      </c>
      <c r="D108" s="52" t="s">
        <v>65</v>
      </c>
      <c r="E108" s="52" t="s">
        <v>12</v>
      </c>
      <c r="F108" s="52" t="s">
        <v>19</v>
      </c>
      <c r="G108" s="52" t="s">
        <v>1010</v>
      </c>
      <c r="H108" s="52" t="s">
        <v>117</v>
      </c>
      <c r="I108" s="18">
        <v>6958</v>
      </c>
      <c r="J108" s="110" t="str">
        <f>IF(tbRegistroEntradas[[#This Row],[DATA DE CAIXA REALIZADO]]="N/A","0",UPPER(TEXT(tbRegistroEntradas[[#This Row],[DATA DE CAIXA REALIZADO]],"mmm")))</f>
        <v>AGO</v>
      </c>
      <c r="K108" s="57">
        <f>IF(tbRegistroEntradas[[#This Row],[DATA DE CAIXA REALIZADO]]="N/A",0,YEAR(tbRegistroEntradas[[#This Row],[DATA DE CAIXA REALIZADO]]))</f>
        <v>2021</v>
      </c>
      <c r="L108" s="58" t="str">
        <f>IF(tbRegistroEntradas[[#This Row],[DATA DA COMPETÊNCIA]]="N/A","0",UPPER(TEXT(tbRegistroEntradas[[#This Row],[DATA DA COMPETÊNCIA]],"mmm")))</f>
        <v>JUL</v>
      </c>
      <c r="M108" s="58">
        <f>IF(tbRegistroEntradas[[#This Row],[DATA DA COMPETÊNCIA]]="N/A",0,YEAR(tbRegistroEntradas[[#This Row],[DATA DA COMPETÊNCIA]]))</f>
        <v>2021</v>
      </c>
      <c r="N108" s="58" t="str">
        <f>IF(tbRegistroEntradas[[#This Row],[DATA DO CAIXA PREVISTO]]="N/A","0",UPPER(TEXT(tbRegistroEntradas[[#This Row],[DATA DO CAIXA PREVISTO]],"mmm")))</f>
        <v>JUL</v>
      </c>
      <c r="O108" s="58">
        <f>IF(tbRegistroEntradas[[#This Row],[DATA DO CAIXA PREVISTO]]="N/A",0,YEAR(tbRegistroEntradas[[#This Row],[DATA DO CAIXA PREVISTO]]))</f>
        <v>2021</v>
      </c>
      <c r="P108" s="58" t="str">
        <f ca="1">IF(AND(tbRegistroEntradas[[#This Row],[DATA DE CAIXA REALIZADO]]="N/A",tbRegistroEntradas[[#This Row],[DATA DO CAIXA PREVISTO]]&lt;TODAY()),"Vencida","Não Vencida")</f>
        <v>Não Vencida</v>
      </c>
      <c r="Q108" s="58" t="str">
        <f>IF(tbRegistroEntradas[[#This Row],[DATA DA COMPETÊNCIA]]=tbRegistroEntradas[[#This Row],[DATA DO CAIXA PREVISTO]],"Vista","Prazo")</f>
        <v>Vista</v>
      </c>
      <c r="R108" s="58" t="str">
        <f>IF(tbRegistroEntradas[[#This Row],[DATA DE CAIXA REALIZADO]]&lt;&gt;"N/A","Em Dia","Com atraso")</f>
        <v>Em Dia</v>
      </c>
    </row>
    <row r="109" spans="1:18" s="52" customFormat="1" ht="14.4" customHeight="1" x14ac:dyDescent="0.3">
      <c r="A109" s="49">
        <v>44428</v>
      </c>
      <c r="B109" s="49">
        <f>A109-31</f>
        <v>44397</v>
      </c>
      <c r="C109" s="111">
        <f>tbRegistroEntradas[[#This Row],[DATA DA COMPETÊNCIA]]</f>
        <v>44397</v>
      </c>
      <c r="D109" s="52" t="s">
        <v>66</v>
      </c>
      <c r="E109" s="52" t="s">
        <v>12</v>
      </c>
      <c r="F109" s="52" t="s">
        <v>19</v>
      </c>
      <c r="G109" s="52" t="s">
        <v>838</v>
      </c>
      <c r="H109" s="52" t="s">
        <v>123</v>
      </c>
      <c r="I109" s="18">
        <v>2651</v>
      </c>
      <c r="J109" s="110" t="str">
        <f>IF(tbRegistroEntradas[[#This Row],[DATA DE CAIXA REALIZADO]]="N/A","0",UPPER(TEXT(tbRegistroEntradas[[#This Row],[DATA DE CAIXA REALIZADO]],"mmm")))</f>
        <v>AGO</v>
      </c>
      <c r="K109" s="57">
        <f>IF(tbRegistroEntradas[[#This Row],[DATA DE CAIXA REALIZADO]]="N/A",0,YEAR(tbRegistroEntradas[[#This Row],[DATA DE CAIXA REALIZADO]]))</f>
        <v>2021</v>
      </c>
      <c r="L109" s="58" t="str">
        <f>IF(tbRegistroEntradas[[#This Row],[DATA DA COMPETÊNCIA]]="N/A","0",UPPER(TEXT(tbRegistroEntradas[[#This Row],[DATA DA COMPETÊNCIA]],"mmm")))</f>
        <v>JUL</v>
      </c>
      <c r="M109" s="58">
        <f>IF(tbRegistroEntradas[[#This Row],[DATA DA COMPETÊNCIA]]="N/A",0,YEAR(tbRegistroEntradas[[#This Row],[DATA DA COMPETÊNCIA]]))</f>
        <v>2021</v>
      </c>
      <c r="N109" s="58" t="str">
        <f>IF(tbRegistroEntradas[[#This Row],[DATA DO CAIXA PREVISTO]]="N/A","0",UPPER(TEXT(tbRegistroEntradas[[#This Row],[DATA DO CAIXA PREVISTO]],"mmm")))</f>
        <v>JUL</v>
      </c>
      <c r="O109" s="58">
        <f>IF(tbRegistroEntradas[[#This Row],[DATA DO CAIXA PREVISTO]]="N/A",0,YEAR(tbRegistroEntradas[[#This Row],[DATA DO CAIXA PREVISTO]]))</f>
        <v>2021</v>
      </c>
      <c r="P109" s="58" t="str">
        <f ca="1">IF(AND(tbRegistroEntradas[[#This Row],[DATA DE CAIXA REALIZADO]]="N/A",tbRegistroEntradas[[#This Row],[DATA DO CAIXA PREVISTO]]&lt;TODAY()),"Vencida","Não Vencida")</f>
        <v>Não Vencida</v>
      </c>
      <c r="Q109" s="58" t="str">
        <f>IF(tbRegistroEntradas[[#This Row],[DATA DA COMPETÊNCIA]]=tbRegistroEntradas[[#This Row],[DATA DO CAIXA PREVISTO]],"Vista","Prazo")</f>
        <v>Vista</v>
      </c>
      <c r="R109" s="58" t="str">
        <f>IF(tbRegistroEntradas[[#This Row],[DATA DE CAIXA REALIZADO]]&lt;&gt;"N/A","Em Dia","Com atraso")</f>
        <v>Em Dia</v>
      </c>
    </row>
    <row r="110" spans="1:18" s="52" customFormat="1" ht="14.4" customHeight="1" x14ac:dyDescent="0.3">
      <c r="A110" s="49">
        <v>44433</v>
      </c>
      <c r="B110" s="49">
        <f>A110-31</f>
        <v>44402</v>
      </c>
      <c r="C110" s="111">
        <f>tbRegistroEntradas[[#This Row],[DATA DA COMPETÊNCIA]]</f>
        <v>44402</v>
      </c>
      <c r="D110" s="52" t="s">
        <v>66</v>
      </c>
      <c r="E110" s="52" t="s">
        <v>12</v>
      </c>
      <c r="F110" s="52" t="s">
        <v>16</v>
      </c>
      <c r="G110" s="52" t="s">
        <v>741</v>
      </c>
      <c r="H110" s="52" t="s">
        <v>124</v>
      </c>
      <c r="I110" s="18">
        <v>1536</v>
      </c>
      <c r="J110" s="110" t="str">
        <f>IF(tbRegistroEntradas[[#This Row],[DATA DE CAIXA REALIZADO]]="N/A","0",UPPER(TEXT(tbRegistroEntradas[[#This Row],[DATA DE CAIXA REALIZADO]],"mmm")))</f>
        <v>AGO</v>
      </c>
      <c r="K110" s="57">
        <f>IF(tbRegistroEntradas[[#This Row],[DATA DE CAIXA REALIZADO]]="N/A",0,YEAR(tbRegistroEntradas[[#This Row],[DATA DE CAIXA REALIZADO]]))</f>
        <v>2021</v>
      </c>
      <c r="L110" s="58" t="str">
        <f>IF(tbRegistroEntradas[[#This Row],[DATA DA COMPETÊNCIA]]="N/A","0",UPPER(TEXT(tbRegistroEntradas[[#This Row],[DATA DA COMPETÊNCIA]],"mmm")))</f>
        <v>JUL</v>
      </c>
      <c r="M110" s="58">
        <f>IF(tbRegistroEntradas[[#This Row],[DATA DA COMPETÊNCIA]]="N/A",0,YEAR(tbRegistroEntradas[[#This Row],[DATA DA COMPETÊNCIA]]))</f>
        <v>2021</v>
      </c>
      <c r="N110" s="58" t="str">
        <f>IF(tbRegistroEntradas[[#This Row],[DATA DO CAIXA PREVISTO]]="N/A","0",UPPER(TEXT(tbRegistroEntradas[[#This Row],[DATA DO CAIXA PREVISTO]],"mmm")))</f>
        <v>JUL</v>
      </c>
      <c r="O110" s="58">
        <f>IF(tbRegistroEntradas[[#This Row],[DATA DO CAIXA PREVISTO]]="N/A",0,YEAR(tbRegistroEntradas[[#This Row],[DATA DO CAIXA PREVISTO]]))</f>
        <v>2021</v>
      </c>
      <c r="P110" s="58" t="str">
        <f ca="1">IF(AND(tbRegistroEntradas[[#This Row],[DATA DE CAIXA REALIZADO]]="N/A",tbRegistroEntradas[[#This Row],[DATA DO CAIXA PREVISTO]]&lt;TODAY()),"Vencida","Não Vencida")</f>
        <v>Não Vencida</v>
      </c>
      <c r="Q110" s="58" t="str">
        <f>IF(tbRegistroEntradas[[#This Row],[DATA DA COMPETÊNCIA]]=tbRegistroEntradas[[#This Row],[DATA DO CAIXA PREVISTO]],"Vista","Prazo")</f>
        <v>Vista</v>
      </c>
      <c r="R110" s="58" t="str">
        <f>IF(tbRegistroEntradas[[#This Row],[DATA DE CAIXA REALIZADO]]&lt;&gt;"N/A","Em Dia","Com atraso")</f>
        <v>Em Dia</v>
      </c>
    </row>
    <row r="111" spans="1:18" s="52" customFormat="1" ht="14.4" customHeight="1" x14ac:dyDescent="0.3">
      <c r="A111" s="125">
        <v>44433</v>
      </c>
      <c r="B111" s="125">
        <f>A111-31</f>
        <v>44402</v>
      </c>
      <c r="C111" s="111">
        <f>(A111-B111)+B111-15</f>
        <v>44418</v>
      </c>
      <c r="D111" s="126" t="s">
        <v>61</v>
      </c>
      <c r="E111" s="126" t="s">
        <v>12</v>
      </c>
      <c r="F111" s="126" t="s">
        <v>17</v>
      </c>
      <c r="G111" s="126" t="s">
        <v>1063</v>
      </c>
      <c r="H111" s="52" t="s">
        <v>86</v>
      </c>
      <c r="I111" s="127">
        <v>7998</v>
      </c>
      <c r="J111" s="110" t="str">
        <f>IF(tbRegistroEntradas[[#This Row],[DATA DE CAIXA REALIZADO]]="N/A","0",UPPER(TEXT(tbRegistroEntradas[[#This Row],[DATA DE CAIXA REALIZADO]],"mmm")))</f>
        <v>AGO</v>
      </c>
      <c r="K111" s="57">
        <f>IF(tbRegistroEntradas[[#This Row],[DATA DE CAIXA REALIZADO]]="N/A",0,YEAR(tbRegistroEntradas[[#This Row],[DATA DE CAIXA REALIZADO]]))</f>
        <v>2021</v>
      </c>
      <c r="L111" s="58" t="str">
        <f>IF(tbRegistroEntradas[[#This Row],[DATA DA COMPETÊNCIA]]="N/A","0",UPPER(TEXT(tbRegistroEntradas[[#This Row],[DATA DA COMPETÊNCIA]],"mmm")))</f>
        <v>JUL</v>
      </c>
      <c r="M111" s="58">
        <f>IF(tbRegistroEntradas[[#This Row],[DATA DA COMPETÊNCIA]]="N/A",0,YEAR(tbRegistroEntradas[[#This Row],[DATA DA COMPETÊNCIA]]))</f>
        <v>2021</v>
      </c>
      <c r="N111" s="58" t="str">
        <f>IF(tbRegistroEntradas[[#This Row],[DATA DO CAIXA PREVISTO]]="N/A","0",UPPER(TEXT(tbRegistroEntradas[[#This Row],[DATA DO CAIXA PREVISTO]],"mmm")))</f>
        <v>AGO</v>
      </c>
      <c r="O111" s="58">
        <f>IF(tbRegistroEntradas[[#This Row],[DATA DO CAIXA PREVISTO]]="N/A",0,YEAR(tbRegistroEntradas[[#This Row],[DATA DO CAIXA PREVISTO]]))</f>
        <v>2021</v>
      </c>
      <c r="P111" s="58" t="str">
        <f ca="1">IF(AND(tbRegistroEntradas[[#This Row],[DATA DE CAIXA REALIZADO]]="N/A",tbRegistroEntradas[[#This Row],[DATA DO CAIXA PREVISTO]]&lt;TODAY()),"Vencida","Não Vencida")</f>
        <v>Não Vencida</v>
      </c>
      <c r="Q111" s="58" t="str">
        <f>IF(tbRegistroEntradas[[#This Row],[DATA DA COMPETÊNCIA]]=tbRegistroEntradas[[#This Row],[DATA DO CAIXA PREVISTO]],"Vista","Prazo")</f>
        <v>Prazo</v>
      </c>
      <c r="R111" s="58" t="str">
        <f>IF(tbRegistroEntradas[[#This Row],[DATA DE CAIXA REALIZADO]]&lt;&gt;"N/A","Em Dia","Com atraso")</f>
        <v>Em Dia</v>
      </c>
    </row>
    <row r="112" spans="1:18" s="52" customFormat="1" ht="14.4" customHeight="1" x14ac:dyDescent="0.3">
      <c r="A112" s="125">
        <v>44434</v>
      </c>
      <c r="B112" s="125">
        <f>A112-31</f>
        <v>44403</v>
      </c>
      <c r="C112" s="111">
        <f>(A112-B112)+B112-15</f>
        <v>44419</v>
      </c>
      <c r="D112" s="126" t="s">
        <v>65</v>
      </c>
      <c r="E112" s="126" t="s">
        <v>12</v>
      </c>
      <c r="F112" s="126" t="s">
        <v>17</v>
      </c>
      <c r="G112" s="126" t="s">
        <v>923</v>
      </c>
      <c r="H112" s="52" t="s">
        <v>116</v>
      </c>
      <c r="I112" s="127">
        <v>2644</v>
      </c>
      <c r="J112" s="110" t="str">
        <f>IF(tbRegistroEntradas[[#This Row],[DATA DE CAIXA REALIZADO]]="N/A","0",UPPER(TEXT(tbRegistroEntradas[[#This Row],[DATA DE CAIXA REALIZADO]],"mmm")))</f>
        <v>AGO</v>
      </c>
      <c r="K112" s="57">
        <f>IF(tbRegistroEntradas[[#This Row],[DATA DE CAIXA REALIZADO]]="N/A",0,YEAR(tbRegistroEntradas[[#This Row],[DATA DE CAIXA REALIZADO]]))</f>
        <v>2021</v>
      </c>
      <c r="L112" s="58" t="str">
        <f>IF(tbRegistroEntradas[[#This Row],[DATA DA COMPETÊNCIA]]="N/A","0",UPPER(TEXT(tbRegistroEntradas[[#This Row],[DATA DA COMPETÊNCIA]],"mmm")))</f>
        <v>JUL</v>
      </c>
      <c r="M112" s="58">
        <f>IF(tbRegistroEntradas[[#This Row],[DATA DA COMPETÊNCIA]]="N/A",0,YEAR(tbRegistroEntradas[[#This Row],[DATA DA COMPETÊNCIA]]))</f>
        <v>2021</v>
      </c>
      <c r="N112" s="58" t="str">
        <f>IF(tbRegistroEntradas[[#This Row],[DATA DO CAIXA PREVISTO]]="N/A","0",UPPER(TEXT(tbRegistroEntradas[[#This Row],[DATA DO CAIXA PREVISTO]],"mmm")))</f>
        <v>AGO</v>
      </c>
      <c r="O112" s="58">
        <f>IF(tbRegistroEntradas[[#This Row],[DATA DO CAIXA PREVISTO]]="N/A",0,YEAR(tbRegistroEntradas[[#This Row],[DATA DO CAIXA PREVISTO]]))</f>
        <v>2021</v>
      </c>
      <c r="P112" s="58" t="str">
        <f ca="1">IF(AND(tbRegistroEntradas[[#This Row],[DATA DE CAIXA REALIZADO]]="N/A",tbRegistroEntradas[[#This Row],[DATA DO CAIXA PREVISTO]]&lt;TODAY()),"Vencida","Não Vencida")</f>
        <v>Não Vencida</v>
      </c>
      <c r="Q112" s="58" t="str">
        <f>IF(tbRegistroEntradas[[#This Row],[DATA DA COMPETÊNCIA]]=tbRegistroEntradas[[#This Row],[DATA DO CAIXA PREVISTO]],"Vista","Prazo")</f>
        <v>Prazo</v>
      </c>
      <c r="R112" s="58" t="str">
        <f>IF(tbRegistroEntradas[[#This Row],[DATA DE CAIXA REALIZADO]]&lt;&gt;"N/A","Em Dia","Com atraso")</f>
        <v>Em Dia</v>
      </c>
    </row>
    <row r="113" spans="1:18" s="52" customFormat="1" ht="14.4" customHeight="1" x14ac:dyDescent="0.3">
      <c r="A113" s="49">
        <v>44436</v>
      </c>
      <c r="B113" s="49">
        <f>A113-31</f>
        <v>44405</v>
      </c>
      <c r="C113" s="111">
        <f>(A113-B113)+B113-15</f>
        <v>44421</v>
      </c>
      <c r="D113" s="52" t="s">
        <v>67</v>
      </c>
      <c r="E113" s="52" t="s">
        <v>12</v>
      </c>
      <c r="F113" s="52" t="s">
        <v>17</v>
      </c>
      <c r="G113" s="52" t="s">
        <v>879</v>
      </c>
      <c r="H113" s="52" t="s">
        <v>130</v>
      </c>
      <c r="I113" s="18">
        <v>2242</v>
      </c>
      <c r="J113" s="110" t="str">
        <f>IF(tbRegistroEntradas[[#This Row],[DATA DE CAIXA REALIZADO]]="N/A","0",UPPER(TEXT(tbRegistroEntradas[[#This Row],[DATA DE CAIXA REALIZADO]],"mmm")))</f>
        <v>AGO</v>
      </c>
      <c r="K113" s="57">
        <f>IF(tbRegistroEntradas[[#This Row],[DATA DE CAIXA REALIZADO]]="N/A",0,YEAR(tbRegistroEntradas[[#This Row],[DATA DE CAIXA REALIZADO]]))</f>
        <v>2021</v>
      </c>
      <c r="L113" s="58" t="str">
        <f>IF(tbRegistroEntradas[[#This Row],[DATA DA COMPETÊNCIA]]="N/A","0",UPPER(TEXT(tbRegistroEntradas[[#This Row],[DATA DA COMPETÊNCIA]],"mmm")))</f>
        <v>JUL</v>
      </c>
      <c r="M113" s="58">
        <f>IF(tbRegistroEntradas[[#This Row],[DATA DA COMPETÊNCIA]]="N/A",0,YEAR(tbRegistroEntradas[[#This Row],[DATA DA COMPETÊNCIA]]))</f>
        <v>2021</v>
      </c>
      <c r="N113" s="58" t="str">
        <f>IF(tbRegistroEntradas[[#This Row],[DATA DO CAIXA PREVISTO]]="N/A","0",UPPER(TEXT(tbRegistroEntradas[[#This Row],[DATA DO CAIXA PREVISTO]],"mmm")))</f>
        <v>AGO</v>
      </c>
      <c r="O113" s="58">
        <f>IF(tbRegistroEntradas[[#This Row],[DATA DO CAIXA PREVISTO]]="N/A",0,YEAR(tbRegistroEntradas[[#This Row],[DATA DO CAIXA PREVISTO]]))</f>
        <v>2021</v>
      </c>
      <c r="P113" s="58" t="str">
        <f ca="1">IF(AND(tbRegistroEntradas[[#This Row],[DATA DE CAIXA REALIZADO]]="N/A",tbRegistroEntradas[[#This Row],[DATA DO CAIXA PREVISTO]]&lt;TODAY()),"Vencida","Não Vencida")</f>
        <v>Não Vencida</v>
      </c>
      <c r="Q113" s="58" t="str">
        <f>IF(tbRegistroEntradas[[#This Row],[DATA DA COMPETÊNCIA]]=tbRegistroEntradas[[#This Row],[DATA DO CAIXA PREVISTO]],"Vista","Prazo")</f>
        <v>Prazo</v>
      </c>
      <c r="R113" s="58" t="str">
        <f>IF(tbRegistroEntradas[[#This Row],[DATA DE CAIXA REALIZADO]]&lt;&gt;"N/A","Em Dia","Com atraso")</f>
        <v>Em Dia</v>
      </c>
    </row>
    <row r="114" spans="1:18" s="52" customFormat="1" ht="14.4" customHeight="1" x14ac:dyDescent="0.3">
      <c r="A114" s="125">
        <v>44436</v>
      </c>
      <c r="B114" s="125">
        <f>A114-31</f>
        <v>44405</v>
      </c>
      <c r="C114" s="111">
        <f>(A114-B114)+B114-15</f>
        <v>44421</v>
      </c>
      <c r="D114" s="126" t="s">
        <v>138</v>
      </c>
      <c r="E114" s="126" t="s">
        <v>12</v>
      </c>
      <c r="F114" s="126" t="s">
        <v>16</v>
      </c>
      <c r="G114" s="126" t="s">
        <v>835</v>
      </c>
      <c r="H114" s="52" t="s">
        <v>75</v>
      </c>
      <c r="I114" s="127">
        <v>1569</v>
      </c>
      <c r="J114" s="110" t="str">
        <f>IF(tbRegistroEntradas[[#This Row],[DATA DE CAIXA REALIZADO]]="N/A","0",UPPER(TEXT(tbRegistroEntradas[[#This Row],[DATA DE CAIXA REALIZADO]],"mmm")))</f>
        <v>AGO</v>
      </c>
      <c r="K114" s="57">
        <f>IF(tbRegistroEntradas[[#This Row],[DATA DE CAIXA REALIZADO]]="N/A",0,YEAR(tbRegistroEntradas[[#This Row],[DATA DE CAIXA REALIZADO]]))</f>
        <v>2021</v>
      </c>
      <c r="L114" s="58" t="str">
        <f>IF(tbRegistroEntradas[[#This Row],[DATA DA COMPETÊNCIA]]="N/A","0",UPPER(TEXT(tbRegistroEntradas[[#This Row],[DATA DA COMPETÊNCIA]],"mmm")))</f>
        <v>JUL</v>
      </c>
      <c r="M114" s="58">
        <f>IF(tbRegistroEntradas[[#This Row],[DATA DA COMPETÊNCIA]]="N/A",0,YEAR(tbRegistroEntradas[[#This Row],[DATA DA COMPETÊNCIA]]))</f>
        <v>2021</v>
      </c>
      <c r="N114" s="58" t="str">
        <f>IF(tbRegistroEntradas[[#This Row],[DATA DO CAIXA PREVISTO]]="N/A","0",UPPER(TEXT(tbRegistroEntradas[[#This Row],[DATA DO CAIXA PREVISTO]],"mmm")))</f>
        <v>AGO</v>
      </c>
      <c r="O114" s="58">
        <f>IF(tbRegistroEntradas[[#This Row],[DATA DO CAIXA PREVISTO]]="N/A",0,YEAR(tbRegistroEntradas[[#This Row],[DATA DO CAIXA PREVISTO]]))</f>
        <v>2021</v>
      </c>
      <c r="P114" s="58" t="str">
        <f ca="1">IF(AND(tbRegistroEntradas[[#This Row],[DATA DE CAIXA REALIZADO]]="N/A",tbRegistroEntradas[[#This Row],[DATA DO CAIXA PREVISTO]]&lt;TODAY()),"Vencida","Não Vencida")</f>
        <v>Não Vencida</v>
      </c>
      <c r="Q114" s="58" t="str">
        <f>IF(tbRegistroEntradas[[#This Row],[DATA DA COMPETÊNCIA]]=tbRegistroEntradas[[#This Row],[DATA DO CAIXA PREVISTO]],"Vista","Prazo")</f>
        <v>Prazo</v>
      </c>
      <c r="R114" s="58" t="str">
        <f>IF(tbRegistroEntradas[[#This Row],[DATA DE CAIXA REALIZADO]]&lt;&gt;"N/A","Em Dia","Com atraso")</f>
        <v>Em Dia</v>
      </c>
    </row>
    <row r="115" spans="1:18" s="52" customFormat="1" ht="14.4" customHeight="1" x14ac:dyDescent="0.3">
      <c r="A115" s="49">
        <v>44440</v>
      </c>
      <c r="B115" s="49">
        <f>A115-31</f>
        <v>44409</v>
      </c>
      <c r="C115" s="111">
        <f>(A115-B115)+B115-15</f>
        <v>44425</v>
      </c>
      <c r="D115" s="52" t="s">
        <v>65</v>
      </c>
      <c r="E115" s="52" t="s">
        <v>12</v>
      </c>
      <c r="F115" s="52" t="s">
        <v>19</v>
      </c>
      <c r="G115" s="52" t="s">
        <v>742</v>
      </c>
      <c r="H115" s="52" t="s">
        <v>118</v>
      </c>
      <c r="I115" s="18">
        <v>4016</v>
      </c>
      <c r="J115" s="110" t="str">
        <f>IF(tbRegistroEntradas[[#This Row],[DATA DE CAIXA REALIZADO]]="N/A","0",UPPER(TEXT(tbRegistroEntradas[[#This Row],[DATA DE CAIXA REALIZADO]],"mmm")))</f>
        <v>SET</v>
      </c>
      <c r="K115" s="57">
        <f>IF(tbRegistroEntradas[[#This Row],[DATA DE CAIXA REALIZADO]]="N/A",0,YEAR(tbRegistroEntradas[[#This Row],[DATA DE CAIXA REALIZADO]]))</f>
        <v>2021</v>
      </c>
      <c r="L115" s="58" t="str">
        <f>IF(tbRegistroEntradas[[#This Row],[DATA DA COMPETÊNCIA]]="N/A","0",UPPER(TEXT(tbRegistroEntradas[[#This Row],[DATA DA COMPETÊNCIA]],"mmm")))</f>
        <v>AGO</v>
      </c>
      <c r="M115" s="58">
        <f>IF(tbRegistroEntradas[[#This Row],[DATA DA COMPETÊNCIA]]="N/A",0,YEAR(tbRegistroEntradas[[#This Row],[DATA DA COMPETÊNCIA]]))</f>
        <v>2021</v>
      </c>
      <c r="N115" s="58" t="str">
        <f>IF(tbRegistroEntradas[[#This Row],[DATA DO CAIXA PREVISTO]]="N/A","0",UPPER(TEXT(tbRegistroEntradas[[#This Row],[DATA DO CAIXA PREVISTO]],"mmm")))</f>
        <v>AGO</v>
      </c>
      <c r="O115" s="58">
        <f>IF(tbRegistroEntradas[[#This Row],[DATA DO CAIXA PREVISTO]]="N/A",0,YEAR(tbRegistroEntradas[[#This Row],[DATA DO CAIXA PREVISTO]]))</f>
        <v>2021</v>
      </c>
      <c r="P115" s="58" t="str">
        <f ca="1">IF(AND(tbRegistroEntradas[[#This Row],[DATA DE CAIXA REALIZADO]]="N/A",tbRegistroEntradas[[#This Row],[DATA DO CAIXA PREVISTO]]&lt;TODAY()),"Vencida","Não Vencida")</f>
        <v>Não Vencida</v>
      </c>
      <c r="Q115" s="58" t="str">
        <f>IF(tbRegistroEntradas[[#This Row],[DATA DA COMPETÊNCIA]]=tbRegistroEntradas[[#This Row],[DATA DO CAIXA PREVISTO]],"Vista","Prazo")</f>
        <v>Prazo</v>
      </c>
      <c r="R115" s="58" t="str">
        <f>IF(tbRegistroEntradas[[#This Row],[DATA DE CAIXA REALIZADO]]&lt;&gt;"N/A","Em Dia","Com atraso")</f>
        <v>Em Dia</v>
      </c>
    </row>
    <row r="116" spans="1:18" s="52" customFormat="1" ht="14.4" customHeight="1" x14ac:dyDescent="0.3">
      <c r="A116" s="125">
        <v>44441</v>
      </c>
      <c r="B116" s="125">
        <f>A116-31</f>
        <v>44410</v>
      </c>
      <c r="C116" s="111">
        <f>(A116-B116)+B116-15</f>
        <v>44426</v>
      </c>
      <c r="D116" s="126" t="s">
        <v>61</v>
      </c>
      <c r="E116" s="126" t="s">
        <v>12</v>
      </c>
      <c r="F116" s="126" t="s">
        <v>19</v>
      </c>
      <c r="G116" s="126" t="s">
        <v>856</v>
      </c>
      <c r="H116" s="52" t="s">
        <v>87</v>
      </c>
      <c r="I116" s="127">
        <v>158</v>
      </c>
      <c r="J116" s="110" t="str">
        <f>IF(tbRegistroEntradas[[#This Row],[DATA DE CAIXA REALIZADO]]="N/A","0",UPPER(TEXT(tbRegistroEntradas[[#This Row],[DATA DE CAIXA REALIZADO]],"mmm")))</f>
        <v>SET</v>
      </c>
      <c r="K116" s="57">
        <f>IF(tbRegistroEntradas[[#This Row],[DATA DE CAIXA REALIZADO]]="N/A",0,YEAR(tbRegistroEntradas[[#This Row],[DATA DE CAIXA REALIZADO]]))</f>
        <v>2021</v>
      </c>
      <c r="L116" s="58" t="str">
        <f>IF(tbRegistroEntradas[[#This Row],[DATA DA COMPETÊNCIA]]="N/A","0",UPPER(TEXT(tbRegistroEntradas[[#This Row],[DATA DA COMPETÊNCIA]],"mmm")))</f>
        <v>AGO</v>
      </c>
      <c r="M116" s="58">
        <f>IF(tbRegistroEntradas[[#This Row],[DATA DA COMPETÊNCIA]]="N/A",0,YEAR(tbRegistroEntradas[[#This Row],[DATA DA COMPETÊNCIA]]))</f>
        <v>2021</v>
      </c>
      <c r="N116" s="58" t="str">
        <f>IF(tbRegistroEntradas[[#This Row],[DATA DO CAIXA PREVISTO]]="N/A","0",UPPER(TEXT(tbRegistroEntradas[[#This Row],[DATA DO CAIXA PREVISTO]],"mmm")))</f>
        <v>AGO</v>
      </c>
      <c r="O116" s="58">
        <f>IF(tbRegistroEntradas[[#This Row],[DATA DO CAIXA PREVISTO]]="N/A",0,YEAR(tbRegistroEntradas[[#This Row],[DATA DO CAIXA PREVISTO]]))</f>
        <v>2021</v>
      </c>
      <c r="P116" s="58" t="str">
        <f ca="1">IF(AND(tbRegistroEntradas[[#This Row],[DATA DE CAIXA REALIZADO]]="N/A",tbRegistroEntradas[[#This Row],[DATA DO CAIXA PREVISTO]]&lt;TODAY()),"Vencida","Não Vencida")</f>
        <v>Não Vencida</v>
      </c>
      <c r="Q116" s="58" t="str">
        <f>IF(tbRegistroEntradas[[#This Row],[DATA DA COMPETÊNCIA]]=tbRegistroEntradas[[#This Row],[DATA DO CAIXA PREVISTO]],"Vista","Prazo")</f>
        <v>Prazo</v>
      </c>
      <c r="R116" s="58" t="str">
        <f>IF(tbRegistroEntradas[[#This Row],[DATA DE CAIXA REALIZADO]]&lt;&gt;"N/A","Em Dia","Com atraso")</f>
        <v>Em Dia</v>
      </c>
    </row>
    <row r="117" spans="1:18" s="52" customFormat="1" ht="14.4" customHeight="1" x14ac:dyDescent="0.3">
      <c r="A117" s="125">
        <v>44445</v>
      </c>
      <c r="B117" s="125">
        <f>A117-31</f>
        <v>44414</v>
      </c>
      <c r="C117" s="111">
        <f>(A117-B117)+B117-15</f>
        <v>44430</v>
      </c>
      <c r="D117" s="126" t="s">
        <v>138</v>
      </c>
      <c r="E117" s="126" t="s">
        <v>12</v>
      </c>
      <c r="F117" s="126" t="s">
        <v>17</v>
      </c>
      <c r="G117" s="126" t="s">
        <v>758</v>
      </c>
      <c r="H117" s="52" t="s">
        <v>76</v>
      </c>
      <c r="I117" s="127">
        <v>1015</v>
      </c>
      <c r="J117" s="110" t="str">
        <f>IF(tbRegistroEntradas[[#This Row],[DATA DE CAIXA REALIZADO]]="N/A","0",UPPER(TEXT(tbRegistroEntradas[[#This Row],[DATA DE CAIXA REALIZADO]],"mmm")))</f>
        <v>SET</v>
      </c>
      <c r="K117" s="57">
        <f>IF(tbRegistroEntradas[[#This Row],[DATA DE CAIXA REALIZADO]]="N/A",0,YEAR(tbRegistroEntradas[[#This Row],[DATA DE CAIXA REALIZADO]]))</f>
        <v>2021</v>
      </c>
      <c r="L117" s="58" t="str">
        <f>IF(tbRegistroEntradas[[#This Row],[DATA DA COMPETÊNCIA]]="N/A","0",UPPER(TEXT(tbRegistroEntradas[[#This Row],[DATA DA COMPETÊNCIA]],"mmm")))</f>
        <v>AGO</v>
      </c>
      <c r="M117" s="58">
        <f>IF(tbRegistroEntradas[[#This Row],[DATA DA COMPETÊNCIA]]="N/A",0,YEAR(tbRegistroEntradas[[#This Row],[DATA DA COMPETÊNCIA]]))</f>
        <v>2021</v>
      </c>
      <c r="N117" s="58" t="str">
        <f>IF(tbRegistroEntradas[[#This Row],[DATA DO CAIXA PREVISTO]]="N/A","0",UPPER(TEXT(tbRegistroEntradas[[#This Row],[DATA DO CAIXA PREVISTO]],"mmm")))</f>
        <v>AGO</v>
      </c>
      <c r="O117" s="58">
        <f>IF(tbRegistroEntradas[[#This Row],[DATA DO CAIXA PREVISTO]]="N/A",0,YEAR(tbRegistroEntradas[[#This Row],[DATA DO CAIXA PREVISTO]]))</f>
        <v>2021</v>
      </c>
      <c r="P117" s="58" t="str">
        <f ca="1">IF(AND(tbRegistroEntradas[[#This Row],[DATA DE CAIXA REALIZADO]]="N/A",tbRegistroEntradas[[#This Row],[DATA DO CAIXA PREVISTO]]&lt;TODAY()),"Vencida","Não Vencida")</f>
        <v>Não Vencida</v>
      </c>
      <c r="Q117" s="58" t="str">
        <f>IF(tbRegistroEntradas[[#This Row],[DATA DA COMPETÊNCIA]]=tbRegistroEntradas[[#This Row],[DATA DO CAIXA PREVISTO]],"Vista","Prazo")</f>
        <v>Prazo</v>
      </c>
      <c r="R117" s="58" t="str">
        <f>IF(tbRegistroEntradas[[#This Row],[DATA DE CAIXA REALIZADO]]&lt;&gt;"N/A","Em Dia","Com atraso")</f>
        <v>Em Dia</v>
      </c>
    </row>
    <row r="118" spans="1:18" s="52" customFormat="1" ht="14.4" customHeight="1" x14ac:dyDescent="0.3">
      <c r="A118" s="112">
        <v>44455.360243055555</v>
      </c>
      <c r="B118" s="114">
        <v>44418</v>
      </c>
      <c r="C118" s="41">
        <v>44433.73027777778</v>
      </c>
      <c r="D118" s="55" t="s">
        <v>137</v>
      </c>
      <c r="E118" s="55" t="s">
        <v>12</v>
      </c>
      <c r="F118" s="55" t="s">
        <v>17</v>
      </c>
      <c r="G118" s="55" t="s">
        <v>143</v>
      </c>
      <c r="H118" s="52" t="s">
        <v>105</v>
      </c>
      <c r="I118" s="119">
        <v>1133</v>
      </c>
      <c r="J118" s="55" t="str">
        <f>IF(tbRegistroEntradas[[#This Row],[DATA DE CAIXA REALIZADO]]="N/A","0",UPPER(TEXT(tbRegistroEntradas[[#This Row],[DATA DE CAIXA REALIZADO]],"mmm")))</f>
        <v>SET</v>
      </c>
      <c r="K118" s="57">
        <f>IF(tbRegistroEntradas[[#This Row],[DATA DE CAIXA REALIZADO]]="N/A",0,YEAR(tbRegistroEntradas[[#This Row],[DATA DE CAIXA REALIZADO]]))</f>
        <v>2021</v>
      </c>
      <c r="L118" s="79" t="str">
        <f>IF(tbRegistroEntradas[[#This Row],[DATA DA COMPETÊNCIA]]="N/A","0",UPPER(TEXT(tbRegistroEntradas[[#This Row],[DATA DA COMPETÊNCIA]],"mmm")))</f>
        <v>AGO</v>
      </c>
      <c r="M118" s="79">
        <f>IF(tbRegistroEntradas[[#This Row],[DATA DA COMPETÊNCIA]]="N/A",0,YEAR(tbRegistroEntradas[[#This Row],[DATA DA COMPETÊNCIA]]))</f>
        <v>2021</v>
      </c>
      <c r="N118" s="84" t="str">
        <f>IF(tbRegistroEntradas[[#This Row],[DATA DO CAIXA PREVISTO]]="N/A","0",UPPER(TEXT(tbRegistroEntradas[[#This Row],[DATA DO CAIXA PREVISTO]],"mmm")))</f>
        <v>AGO</v>
      </c>
      <c r="O118" s="84">
        <f>IF(tbRegistroEntradas[[#This Row],[DATA DO CAIXA PREVISTO]]="N/A",0,YEAR(tbRegistroEntradas[[#This Row],[DATA DO CAIXA PREVISTO]]))</f>
        <v>2021</v>
      </c>
      <c r="P118" s="58" t="str">
        <f ca="1">IF(AND(tbRegistroEntradas[[#This Row],[DATA DE CAIXA REALIZADO]]="N/A",tbRegistroEntradas[[#This Row],[DATA DO CAIXA PREVISTO]]&lt;TODAY()),"Vencida","Não Vencida")</f>
        <v>Não Vencida</v>
      </c>
      <c r="Q118" s="58" t="str">
        <f>IF(tbRegistroEntradas[[#This Row],[DATA DA COMPETÊNCIA]]=tbRegistroEntradas[[#This Row],[DATA DO CAIXA PREVISTO]],"Vista","Prazo")</f>
        <v>Prazo</v>
      </c>
      <c r="R118" s="58" t="str">
        <f>IF(tbRegistroEntradas[[#This Row],[DATA DE CAIXA REALIZADO]]&lt;&gt;"N/A","Em Dia","Com atraso")</f>
        <v>Em Dia</v>
      </c>
    </row>
    <row r="119" spans="1:18" s="52" customFormat="1" ht="14.4" customHeight="1" x14ac:dyDescent="0.3">
      <c r="A119" s="125">
        <v>44451</v>
      </c>
      <c r="B119" s="125">
        <f>A119-31</f>
        <v>44420</v>
      </c>
      <c r="C119" s="111">
        <f>tbRegistroEntradas[[#This Row],[DATA DA COMPETÊNCIA]]</f>
        <v>44420</v>
      </c>
      <c r="D119" s="126" t="s">
        <v>61</v>
      </c>
      <c r="E119" s="126" t="s">
        <v>12</v>
      </c>
      <c r="F119" s="126" t="s">
        <v>32</v>
      </c>
      <c r="G119" s="126" t="s">
        <v>750</v>
      </c>
      <c r="H119" s="52" t="s">
        <v>88</v>
      </c>
      <c r="I119" s="127">
        <v>3467</v>
      </c>
      <c r="J119" s="110" t="str">
        <f>IF(tbRegistroEntradas[[#This Row],[DATA DE CAIXA REALIZADO]]="N/A","0",UPPER(TEXT(tbRegistroEntradas[[#This Row],[DATA DE CAIXA REALIZADO]],"mmm")))</f>
        <v>SET</v>
      </c>
      <c r="K119" s="57">
        <f>IF(tbRegistroEntradas[[#This Row],[DATA DE CAIXA REALIZADO]]="N/A",0,YEAR(tbRegistroEntradas[[#This Row],[DATA DE CAIXA REALIZADO]]))</f>
        <v>2021</v>
      </c>
      <c r="L119" s="58" t="str">
        <f>IF(tbRegistroEntradas[[#This Row],[DATA DA COMPETÊNCIA]]="N/A","0",UPPER(TEXT(tbRegistroEntradas[[#This Row],[DATA DA COMPETÊNCIA]],"mmm")))</f>
        <v>AGO</v>
      </c>
      <c r="M119" s="58">
        <f>IF(tbRegistroEntradas[[#This Row],[DATA DA COMPETÊNCIA]]="N/A",0,YEAR(tbRegistroEntradas[[#This Row],[DATA DA COMPETÊNCIA]]))</f>
        <v>2021</v>
      </c>
      <c r="N119" s="58" t="str">
        <f>IF(tbRegistroEntradas[[#This Row],[DATA DO CAIXA PREVISTO]]="N/A","0",UPPER(TEXT(tbRegistroEntradas[[#This Row],[DATA DO CAIXA PREVISTO]],"mmm")))</f>
        <v>AGO</v>
      </c>
      <c r="O119" s="58">
        <f>IF(tbRegistroEntradas[[#This Row],[DATA DO CAIXA PREVISTO]]="N/A",0,YEAR(tbRegistroEntradas[[#This Row],[DATA DO CAIXA PREVISTO]]))</f>
        <v>2021</v>
      </c>
      <c r="P119" s="58" t="str">
        <f ca="1">IF(AND(tbRegistroEntradas[[#This Row],[DATA DE CAIXA REALIZADO]]="N/A",tbRegistroEntradas[[#This Row],[DATA DO CAIXA PREVISTO]]&lt;TODAY()),"Vencida","Não Vencida")</f>
        <v>Não Vencida</v>
      </c>
      <c r="Q119" s="58" t="str">
        <f>IF(tbRegistroEntradas[[#This Row],[DATA DA COMPETÊNCIA]]=tbRegistroEntradas[[#This Row],[DATA DO CAIXA PREVISTO]],"Vista","Prazo")</f>
        <v>Vista</v>
      </c>
      <c r="R119" s="58" t="str">
        <f>IF(tbRegistroEntradas[[#This Row],[DATA DE CAIXA REALIZADO]]&lt;&gt;"N/A","Em Dia","Com atraso")</f>
        <v>Em Dia</v>
      </c>
    </row>
    <row r="120" spans="1:18" s="52" customFormat="1" ht="14.4" customHeight="1" x14ac:dyDescent="0.3">
      <c r="A120" s="113">
        <v>44446.921076388891</v>
      </c>
      <c r="B120" s="115">
        <v>44421</v>
      </c>
      <c r="C120" s="44">
        <v>44446.081932870373</v>
      </c>
      <c r="D120" s="116" t="s">
        <v>63</v>
      </c>
      <c r="E120" s="116" t="s">
        <v>12</v>
      </c>
      <c r="F120" s="116" t="s">
        <v>19</v>
      </c>
      <c r="G120" s="116" t="s">
        <v>144</v>
      </c>
      <c r="H120" s="52" t="s">
        <v>102</v>
      </c>
      <c r="I120" s="120">
        <v>160</v>
      </c>
      <c r="J120" s="55" t="str">
        <f>IF(tbRegistroEntradas[[#This Row],[DATA DE CAIXA REALIZADO]]="N/A","0",UPPER(TEXT(tbRegistroEntradas[[#This Row],[DATA DE CAIXA REALIZADO]],"mmm")))</f>
        <v>SET</v>
      </c>
      <c r="K120" s="57">
        <f>IF(tbRegistroEntradas[[#This Row],[DATA DE CAIXA REALIZADO]]="N/A",0,YEAR(tbRegistroEntradas[[#This Row],[DATA DE CAIXA REALIZADO]]))</f>
        <v>2021</v>
      </c>
      <c r="L120" s="79" t="str">
        <f>IF(tbRegistroEntradas[[#This Row],[DATA DA COMPETÊNCIA]]="N/A","0",UPPER(TEXT(tbRegistroEntradas[[#This Row],[DATA DA COMPETÊNCIA]],"mmm")))</f>
        <v>AGO</v>
      </c>
      <c r="M120" s="79">
        <f>IF(tbRegistroEntradas[[#This Row],[DATA DA COMPETÊNCIA]]="N/A",0,YEAR(tbRegistroEntradas[[#This Row],[DATA DA COMPETÊNCIA]]))</f>
        <v>2021</v>
      </c>
      <c r="N120" s="84" t="str">
        <f>IF(tbRegistroEntradas[[#This Row],[DATA DO CAIXA PREVISTO]]="N/A","0",UPPER(TEXT(tbRegistroEntradas[[#This Row],[DATA DO CAIXA PREVISTO]],"mmm")))</f>
        <v>SET</v>
      </c>
      <c r="O120" s="84">
        <f>IF(tbRegistroEntradas[[#This Row],[DATA DO CAIXA PREVISTO]]="N/A",0,YEAR(tbRegistroEntradas[[#This Row],[DATA DO CAIXA PREVISTO]]))</f>
        <v>2021</v>
      </c>
      <c r="P120" s="58" t="str">
        <f ca="1">IF(AND(tbRegistroEntradas[[#This Row],[DATA DE CAIXA REALIZADO]]="N/A",tbRegistroEntradas[[#This Row],[DATA DO CAIXA PREVISTO]]&lt;TODAY()),"Vencida","Não Vencida")</f>
        <v>Não Vencida</v>
      </c>
      <c r="Q120" s="58" t="str">
        <f>IF(tbRegistroEntradas[[#This Row],[DATA DA COMPETÊNCIA]]=tbRegistroEntradas[[#This Row],[DATA DO CAIXA PREVISTO]],"Vista","Prazo")</f>
        <v>Prazo</v>
      </c>
      <c r="R120" s="58" t="str">
        <f>IF(tbRegistroEntradas[[#This Row],[DATA DE CAIXA REALIZADO]]&lt;&gt;"N/A","Em Dia","Com atraso")</f>
        <v>Em Dia</v>
      </c>
    </row>
    <row r="121" spans="1:18" s="52" customFormat="1" ht="14.4" customHeight="1" x14ac:dyDescent="0.3">
      <c r="A121" s="49">
        <v>44453</v>
      </c>
      <c r="B121" s="49">
        <f>A121-31</f>
        <v>44422</v>
      </c>
      <c r="C121" s="111">
        <f>(A121-B121)+B121-15</f>
        <v>44438</v>
      </c>
      <c r="D121" s="52" t="s">
        <v>65</v>
      </c>
      <c r="E121" s="52" t="s">
        <v>12</v>
      </c>
      <c r="F121" s="52" t="s">
        <v>17</v>
      </c>
      <c r="G121" s="52" t="s">
        <v>686</v>
      </c>
      <c r="H121" s="52" t="s">
        <v>89</v>
      </c>
      <c r="I121" s="18">
        <v>4644</v>
      </c>
      <c r="J121" s="110" t="str">
        <f>IF(tbRegistroEntradas[[#This Row],[DATA DE CAIXA REALIZADO]]="N/A","0",UPPER(TEXT(tbRegistroEntradas[[#This Row],[DATA DE CAIXA REALIZADO]],"mmm")))</f>
        <v>SET</v>
      </c>
      <c r="K121" s="57">
        <f>IF(tbRegistroEntradas[[#This Row],[DATA DE CAIXA REALIZADO]]="N/A",0,YEAR(tbRegistroEntradas[[#This Row],[DATA DE CAIXA REALIZADO]]))</f>
        <v>2021</v>
      </c>
      <c r="L121" s="58" t="str">
        <f>IF(tbRegistroEntradas[[#This Row],[DATA DA COMPETÊNCIA]]="N/A","0",UPPER(TEXT(tbRegistroEntradas[[#This Row],[DATA DA COMPETÊNCIA]],"mmm")))</f>
        <v>AGO</v>
      </c>
      <c r="M121" s="58">
        <f>IF(tbRegistroEntradas[[#This Row],[DATA DA COMPETÊNCIA]]="N/A",0,YEAR(tbRegistroEntradas[[#This Row],[DATA DA COMPETÊNCIA]]))</f>
        <v>2021</v>
      </c>
      <c r="N121" s="58" t="str">
        <f>IF(tbRegistroEntradas[[#This Row],[DATA DO CAIXA PREVISTO]]="N/A","0",UPPER(TEXT(tbRegistroEntradas[[#This Row],[DATA DO CAIXA PREVISTO]],"mmm")))</f>
        <v>AGO</v>
      </c>
      <c r="O121" s="58">
        <f>IF(tbRegistroEntradas[[#This Row],[DATA DO CAIXA PREVISTO]]="N/A",0,YEAR(tbRegistroEntradas[[#This Row],[DATA DO CAIXA PREVISTO]]))</f>
        <v>2021</v>
      </c>
      <c r="P121" s="58" t="str">
        <f ca="1">IF(AND(tbRegistroEntradas[[#This Row],[DATA DE CAIXA REALIZADO]]="N/A",tbRegistroEntradas[[#This Row],[DATA DO CAIXA PREVISTO]]&lt;TODAY()),"Vencida","Não Vencida")</f>
        <v>Não Vencida</v>
      </c>
      <c r="Q121" s="58" t="str">
        <f>IF(tbRegistroEntradas[[#This Row],[DATA DA COMPETÊNCIA]]=tbRegistroEntradas[[#This Row],[DATA DO CAIXA PREVISTO]],"Vista","Prazo")</f>
        <v>Prazo</v>
      </c>
      <c r="R121" s="58" t="str">
        <f>IF(tbRegistroEntradas[[#This Row],[DATA DE CAIXA REALIZADO]]&lt;&gt;"N/A","Em Dia","Com atraso")</f>
        <v>Em Dia</v>
      </c>
    </row>
    <row r="122" spans="1:18" s="52" customFormat="1" ht="14.4" customHeight="1" x14ac:dyDescent="0.3">
      <c r="A122" s="125">
        <v>44454</v>
      </c>
      <c r="B122" s="125">
        <f>A122-31</f>
        <v>44423</v>
      </c>
      <c r="C122" s="111">
        <f>(A122-B122)+B122-15</f>
        <v>44439</v>
      </c>
      <c r="D122" s="126" t="s">
        <v>65</v>
      </c>
      <c r="E122" s="126" t="s">
        <v>12</v>
      </c>
      <c r="F122" s="126" t="s">
        <v>19</v>
      </c>
      <c r="G122" s="126" t="s">
        <v>1031</v>
      </c>
      <c r="H122" s="52" t="s">
        <v>119</v>
      </c>
      <c r="I122" s="127">
        <v>3516</v>
      </c>
      <c r="J122" s="110" t="str">
        <f>IF(tbRegistroEntradas[[#This Row],[DATA DE CAIXA REALIZADO]]="N/A","0",UPPER(TEXT(tbRegistroEntradas[[#This Row],[DATA DE CAIXA REALIZADO]],"mmm")))</f>
        <v>SET</v>
      </c>
      <c r="K122" s="57">
        <f>IF(tbRegistroEntradas[[#This Row],[DATA DE CAIXA REALIZADO]]="N/A",0,YEAR(tbRegistroEntradas[[#This Row],[DATA DE CAIXA REALIZADO]]))</f>
        <v>2021</v>
      </c>
      <c r="L122" s="58" t="str">
        <f>IF(tbRegistroEntradas[[#This Row],[DATA DA COMPETÊNCIA]]="N/A","0",UPPER(TEXT(tbRegistroEntradas[[#This Row],[DATA DA COMPETÊNCIA]],"mmm")))</f>
        <v>AGO</v>
      </c>
      <c r="M122" s="58">
        <f>IF(tbRegistroEntradas[[#This Row],[DATA DA COMPETÊNCIA]]="N/A",0,YEAR(tbRegistroEntradas[[#This Row],[DATA DA COMPETÊNCIA]]))</f>
        <v>2021</v>
      </c>
      <c r="N122" s="58" t="str">
        <f>IF(tbRegistroEntradas[[#This Row],[DATA DO CAIXA PREVISTO]]="N/A","0",UPPER(TEXT(tbRegistroEntradas[[#This Row],[DATA DO CAIXA PREVISTO]],"mmm")))</f>
        <v>AGO</v>
      </c>
      <c r="O122" s="58">
        <f>IF(tbRegistroEntradas[[#This Row],[DATA DO CAIXA PREVISTO]]="N/A",0,YEAR(tbRegistroEntradas[[#This Row],[DATA DO CAIXA PREVISTO]]))</f>
        <v>2021</v>
      </c>
      <c r="P122" s="58" t="str">
        <f ca="1">IF(AND(tbRegistroEntradas[[#This Row],[DATA DE CAIXA REALIZADO]]="N/A",tbRegistroEntradas[[#This Row],[DATA DO CAIXA PREVISTO]]&lt;TODAY()),"Vencida","Não Vencida")</f>
        <v>Não Vencida</v>
      </c>
      <c r="Q122" s="58" t="str">
        <f>IF(tbRegistroEntradas[[#This Row],[DATA DA COMPETÊNCIA]]=tbRegistroEntradas[[#This Row],[DATA DO CAIXA PREVISTO]],"Vista","Prazo")</f>
        <v>Prazo</v>
      </c>
      <c r="R122" s="58" t="str">
        <f>IF(tbRegistroEntradas[[#This Row],[DATA DE CAIXA REALIZADO]]&lt;&gt;"N/A","Em Dia","Com atraso")</f>
        <v>Em Dia</v>
      </c>
    </row>
    <row r="123" spans="1:18" s="52" customFormat="1" ht="14.4" customHeight="1" x14ac:dyDescent="0.3">
      <c r="A123" s="125">
        <v>44455</v>
      </c>
      <c r="B123" s="125">
        <f>A123-31</f>
        <v>44424</v>
      </c>
      <c r="C123" s="111">
        <f>(A123-B123)+B123-15</f>
        <v>44440</v>
      </c>
      <c r="D123" s="126" t="s">
        <v>66</v>
      </c>
      <c r="E123" s="126" t="s">
        <v>12</v>
      </c>
      <c r="F123" s="126" t="s">
        <v>17</v>
      </c>
      <c r="G123" s="126" t="s">
        <v>972</v>
      </c>
      <c r="H123" s="52" t="s">
        <v>126</v>
      </c>
      <c r="I123" s="127">
        <v>4361</v>
      </c>
      <c r="J123" s="110" t="str">
        <f>IF(tbRegistroEntradas[[#This Row],[DATA DE CAIXA REALIZADO]]="N/A","0",UPPER(TEXT(tbRegistroEntradas[[#This Row],[DATA DE CAIXA REALIZADO]],"mmm")))</f>
        <v>SET</v>
      </c>
      <c r="K123" s="57">
        <f>IF(tbRegistroEntradas[[#This Row],[DATA DE CAIXA REALIZADO]]="N/A",0,YEAR(tbRegistroEntradas[[#This Row],[DATA DE CAIXA REALIZADO]]))</f>
        <v>2021</v>
      </c>
      <c r="L123" s="58" t="str">
        <f>IF(tbRegistroEntradas[[#This Row],[DATA DA COMPETÊNCIA]]="N/A","0",UPPER(TEXT(tbRegistroEntradas[[#This Row],[DATA DA COMPETÊNCIA]],"mmm")))</f>
        <v>AGO</v>
      </c>
      <c r="M123" s="58">
        <f>IF(tbRegistroEntradas[[#This Row],[DATA DA COMPETÊNCIA]]="N/A",0,YEAR(tbRegistroEntradas[[#This Row],[DATA DA COMPETÊNCIA]]))</f>
        <v>2021</v>
      </c>
      <c r="N123" s="58" t="str">
        <f>IF(tbRegistroEntradas[[#This Row],[DATA DO CAIXA PREVISTO]]="N/A","0",UPPER(TEXT(tbRegistroEntradas[[#This Row],[DATA DO CAIXA PREVISTO]],"mmm")))</f>
        <v>SET</v>
      </c>
      <c r="O123" s="58">
        <f>IF(tbRegistroEntradas[[#This Row],[DATA DO CAIXA PREVISTO]]="N/A",0,YEAR(tbRegistroEntradas[[#This Row],[DATA DO CAIXA PREVISTO]]))</f>
        <v>2021</v>
      </c>
      <c r="P123" s="58" t="str">
        <f ca="1">IF(AND(tbRegistroEntradas[[#This Row],[DATA DE CAIXA REALIZADO]]="N/A",tbRegistroEntradas[[#This Row],[DATA DO CAIXA PREVISTO]]&lt;TODAY()),"Vencida","Não Vencida")</f>
        <v>Não Vencida</v>
      </c>
      <c r="Q123" s="58" t="str">
        <f>IF(tbRegistroEntradas[[#This Row],[DATA DA COMPETÊNCIA]]=tbRegistroEntradas[[#This Row],[DATA DO CAIXA PREVISTO]],"Vista","Prazo")</f>
        <v>Prazo</v>
      </c>
      <c r="R123" s="58" t="str">
        <f>IF(tbRegistroEntradas[[#This Row],[DATA DE CAIXA REALIZADO]]&lt;&gt;"N/A","Em Dia","Com atraso")</f>
        <v>Em Dia</v>
      </c>
    </row>
    <row r="124" spans="1:18" s="52" customFormat="1" ht="14.4" customHeight="1" x14ac:dyDescent="0.3">
      <c r="A124" s="112">
        <v>44468.497534722221</v>
      </c>
      <c r="B124" s="114">
        <v>44425</v>
      </c>
      <c r="C124" s="41">
        <v>44462.085752314815</v>
      </c>
      <c r="D124" s="55" t="s">
        <v>67</v>
      </c>
      <c r="E124" s="55" t="s">
        <v>12</v>
      </c>
      <c r="F124" s="55" t="s">
        <v>19</v>
      </c>
      <c r="G124" s="55" t="s">
        <v>145</v>
      </c>
      <c r="H124" s="5" t="s">
        <v>132</v>
      </c>
      <c r="I124" s="119">
        <v>2937</v>
      </c>
      <c r="J124" s="55" t="str">
        <f>IF(tbRegistroEntradas[[#This Row],[DATA DE CAIXA REALIZADO]]="N/A","0",UPPER(TEXT(tbRegistroEntradas[[#This Row],[DATA DE CAIXA REALIZADO]],"mmm")))</f>
        <v>SET</v>
      </c>
      <c r="K124" s="58">
        <f>IF(tbRegistroEntradas[[#This Row],[DATA DE CAIXA REALIZADO]]="N/A",0,YEAR(tbRegistroEntradas[[#This Row],[DATA DE CAIXA REALIZADO]]))</f>
        <v>2021</v>
      </c>
      <c r="L124" s="79" t="str">
        <f>IF(tbRegistroEntradas[[#This Row],[DATA DA COMPETÊNCIA]]="N/A","0",UPPER(TEXT(tbRegistroEntradas[[#This Row],[DATA DA COMPETÊNCIA]],"mmm")))</f>
        <v>AGO</v>
      </c>
      <c r="M124" s="79">
        <f>IF(tbRegistroEntradas[[#This Row],[DATA DA COMPETÊNCIA]]="N/A",0,YEAR(tbRegistroEntradas[[#This Row],[DATA DA COMPETÊNCIA]]))</f>
        <v>2021</v>
      </c>
      <c r="N124" s="84" t="str">
        <f>IF(tbRegistroEntradas[[#This Row],[DATA DO CAIXA PREVISTO]]="N/A","0",UPPER(TEXT(tbRegistroEntradas[[#This Row],[DATA DO CAIXA PREVISTO]],"mmm")))</f>
        <v>SET</v>
      </c>
      <c r="O124" s="84">
        <f>IF(tbRegistroEntradas[[#This Row],[DATA DO CAIXA PREVISTO]]="N/A",0,YEAR(tbRegistroEntradas[[#This Row],[DATA DO CAIXA PREVISTO]]))</f>
        <v>2021</v>
      </c>
      <c r="P124" s="58" t="str">
        <f ca="1">IF(AND(tbRegistroEntradas[[#This Row],[DATA DE CAIXA REALIZADO]]="N/A",tbRegistroEntradas[[#This Row],[DATA DO CAIXA PREVISTO]]&lt;TODAY()),"Vencida","Não Vencida")</f>
        <v>Não Vencida</v>
      </c>
      <c r="Q124" s="58" t="str">
        <f>IF(tbRegistroEntradas[[#This Row],[DATA DA COMPETÊNCIA]]=tbRegistroEntradas[[#This Row],[DATA DO CAIXA PREVISTO]],"Vista","Prazo")</f>
        <v>Prazo</v>
      </c>
      <c r="R124" s="58" t="str">
        <f>IF(tbRegistroEntradas[[#This Row],[DATA DE CAIXA REALIZADO]]&lt;&gt;"N/A","Em Dia","Com atraso")</f>
        <v>Em Dia</v>
      </c>
    </row>
    <row r="125" spans="1:18" s="52" customFormat="1" ht="14.4" customHeight="1" x14ac:dyDescent="0.3">
      <c r="A125" s="49">
        <v>44457</v>
      </c>
      <c r="B125" s="49">
        <f>A125-31</f>
        <v>44426</v>
      </c>
      <c r="C125" s="111">
        <f>tbRegistroEntradas[[#This Row],[DATA DA COMPETÊNCIA]]</f>
        <v>44426</v>
      </c>
      <c r="D125" s="52" t="s">
        <v>67</v>
      </c>
      <c r="E125" s="52" t="s">
        <v>12</v>
      </c>
      <c r="F125" s="52" t="s">
        <v>17</v>
      </c>
      <c r="G125" s="52" t="s">
        <v>872</v>
      </c>
      <c r="H125" s="52" t="s">
        <v>133</v>
      </c>
      <c r="I125" s="18">
        <v>4039</v>
      </c>
      <c r="J125" s="110" t="str">
        <f>IF(tbRegistroEntradas[[#This Row],[DATA DE CAIXA REALIZADO]]="N/A","0",UPPER(TEXT(tbRegistroEntradas[[#This Row],[DATA DE CAIXA REALIZADO]],"mmm")))</f>
        <v>SET</v>
      </c>
      <c r="K125" s="57">
        <f>IF(tbRegistroEntradas[[#This Row],[DATA DE CAIXA REALIZADO]]="N/A",0,YEAR(tbRegistroEntradas[[#This Row],[DATA DE CAIXA REALIZADO]]))</f>
        <v>2021</v>
      </c>
      <c r="L125" s="58" t="str">
        <f>IF(tbRegistroEntradas[[#This Row],[DATA DA COMPETÊNCIA]]="N/A","0",UPPER(TEXT(tbRegistroEntradas[[#This Row],[DATA DA COMPETÊNCIA]],"mmm")))</f>
        <v>AGO</v>
      </c>
      <c r="M125" s="58">
        <f>IF(tbRegistroEntradas[[#This Row],[DATA DA COMPETÊNCIA]]="N/A",0,YEAR(tbRegistroEntradas[[#This Row],[DATA DA COMPETÊNCIA]]))</f>
        <v>2021</v>
      </c>
      <c r="N125" s="58" t="str">
        <f>IF(tbRegistroEntradas[[#This Row],[DATA DO CAIXA PREVISTO]]="N/A","0",UPPER(TEXT(tbRegistroEntradas[[#This Row],[DATA DO CAIXA PREVISTO]],"mmm")))</f>
        <v>AGO</v>
      </c>
      <c r="O125" s="58">
        <f>IF(tbRegistroEntradas[[#This Row],[DATA DO CAIXA PREVISTO]]="N/A",0,YEAR(tbRegistroEntradas[[#This Row],[DATA DO CAIXA PREVISTO]]))</f>
        <v>2021</v>
      </c>
      <c r="P125" s="58" t="str">
        <f ca="1">IF(AND(tbRegistroEntradas[[#This Row],[DATA DE CAIXA REALIZADO]]="N/A",tbRegistroEntradas[[#This Row],[DATA DO CAIXA PREVISTO]]&lt;TODAY()),"Vencida","Não Vencida")</f>
        <v>Não Vencida</v>
      </c>
      <c r="Q125" s="58" t="str">
        <f>IF(tbRegistroEntradas[[#This Row],[DATA DA COMPETÊNCIA]]=tbRegistroEntradas[[#This Row],[DATA DO CAIXA PREVISTO]],"Vista","Prazo")</f>
        <v>Vista</v>
      </c>
      <c r="R125" s="58" t="str">
        <f>IF(tbRegistroEntradas[[#This Row],[DATA DE CAIXA REALIZADO]]&lt;&gt;"N/A","Em Dia","Com atraso")</f>
        <v>Em Dia</v>
      </c>
    </row>
    <row r="126" spans="1:18" s="52" customFormat="1" ht="14.4" customHeight="1" x14ac:dyDescent="0.3">
      <c r="A126" s="49">
        <v>44458</v>
      </c>
      <c r="B126" s="49">
        <f>A126-31</f>
        <v>44427</v>
      </c>
      <c r="C126" s="111">
        <f>tbRegistroEntradas[[#This Row],[DATA DA COMPETÊNCIA]]</f>
        <v>44427</v>
      </c>
      <c r="D126" s="52" t="s">
        <v>65</v>
      </c>
      <c r="E126" s="52" t="s">
        <v>12</v>
      </c>
      <c r="F126" s="52" t="s">
        <v>16</v>
      </c>
      <c r="G126" s="52" t="s">
        <v>887</v>
      </c>
      <c r="H126" s="52" t="s">
        <v>120</v>
      </c>
      <c r="I126" s="18">
        <v>2599</v>
      </c>
      <c r="J126" s="110" t="str">
        <f>IF(tbRegistroEntradas[[#This Row],[DATA DE CAIXA REALIZADO]]="N/A","0",UPPER(TEXT(tbRegistroEntradas[[#This Row],[DATA DE CAIXA REALIZADO]],"mmm")))</f>
        <v>SET</v>
      </c>
      <c r="K126" s="57">
        <f>IF(tbRegistroEntradas[[#This Row],[DATA DE CAIXA REALIZADO]]="N/A",0,YEAR(tbRegistroEntradas[[#This Row],[DATA DE CAIXA REALIZADO]]))</f>
        <v>2021</v>
      </c>
      <c r="L126" s="58" t="str">
        <f>IF(tbRegistroEntradas[[#This Row],[DATA DA COMPETÊNCIA]]="N/A","0",UPPER(TEXT(tbRegistroEntradas[[#This Row],[DATA DA COMPETÊNCIA]],"mmm")))</f>
        <v>AGO</v>
      </c>
      <c r="M126" s="58">
        <f>IF(tbRegistroEntradas[[#This Row],[DATA DA COMPETÊNCIA]]="N/A",0,YEAR(tbRegistroEntradas[[#This Row],[DATA DA COMPETÊNCIA]]))</f>
        <v>2021</v>
      </c>
      <c r="N126" s="58" t="str">
        <f>IF(tbRegistroEntradas[[#This Row],[DATA DO CAIXA PREVISTO]]="N/A","0",UPPER(TEXT(tbRegistroEntradas[[#This Row],[DATA DO CAIXA PREVISTO]],"mmm")))</f>
        <v>AGO</v>
      </c>
      <c r="O126" s="58">
        <f>IF(tbRegistroEntradas[[#This Row],[DATA DO CAIXA PREVISTO]]="N/A",0,YEAR(tbRegistroEntradas[[#This Row],[DATA DO CAIXA PREVISTO]]))</f>
        <v>2021</v>
      </c>
      <c r="P126" s="58" t="str">
        <f ca="1">IF(AND(tbRegistroEntradas[[#This Row],[DATA DE CAIXA REALIZADO]]="N/A",tbRegistroEntradas[[#This Row],[DATA DO CAIXA PREVISTO]]&lt;TODAY()),"Vencida","Não Vencida")</f>
        <v>Não Vencida</v>
      </c>
      <c r="Q126" s="58" t="str">
        <f>IF(tbRegistroEntradas[[#This Row],[DATA DA COMPETÊNCIA]]=tbRegistroEntradas[[#This Row],[DATA DO CAIXA PREVISTO]],"Vista","Prazo")</f>
        <v>Vista</v>
      </c>
      <c r="R126" s="58" t="str">
        <f>IF(tbRegistroEntradas[[#This Row],[DATA DE CAIXA REALIZADO]]&lt;&gt;"N/A","Em Dia","Com atraso")</f>
        <v>Em Dia</v>
      </c>
    </row>
    <row r="127" spans="1:18" s="52" customFormat="1" ht="14.4" customHeight="1" x14ac:dyDescent="0.3">
      <c r="A127" s="49">
        <v>44458</v>
      </c>
      <c r="B127" s="49">
        <f>A127-31</f>
        <v>44427</v>
      </c>
      <c r="C127" s="111">
        <f>(A127-B127)+B127-15</f>
        <v>44443</v>
      </c>
      <c r="D127" s="52" t="s">
        <v>66</v>
      </c>
      <c r="E127" s="52" t="s">
        <v>12</v>
      </c>
      <c r="F127" s="52" t="s">
        <v>18</v>
      </c>
      <c r="G127" s="52" t="s">
        <v>796</v>
      </c>
      <c r="H127" s="5" t="s">
        <v>127</v>
      </c>
      <c r="I127" s="18">
        <v>5194</v>
      </c>
      <c r="J127" s="110" t="str">
        <f>IF(tbRegistroEntradas[[#This Row],[DATA DE CAIXA REALIZADO]]="N/A","0",UPPER(TEXT(tbRegistroEntradas[[#This Row],[DATA DE CAIXA REALIZADO]],"mmm")))</f>
        <v>SET</v>
      </c>
      <c r="K127" s="57">
        <f>IF(tbRegistroEntradas[[#This Row],[DATA DE CAIXA REALIZADO]]="N/A",0,YEAR(tbRegistroEntradas[[#This Row],[DATA DE CAIXA REALIZADO]]))</f>
        <v>2021</v>
      </c>
      <c r="L127" s="58" t="str">
        <f>IF(tbRegistroEntradas[[#This Row],[DATA DA COMPETÊNCIA]]="N/A","0",UPPER(TEXT(tbRegistroEntradas[[#This Row],[DATA DA COMPETÊNCIA]],"mmm")))</f>
        <v>AGO</v>
      </c>
      <c r="M127" s="58">
        <f>IF(tbRegistroEntradas[[#This Row],[DATA DA COMPETÊNCIA]]="N/A",0,YEAR(tbRegistroEntradas[[#This Row],[DATA DA COMPETÊNCIA]]))</f>
        <v>2021</v>
      </c>
      <c r="N127" s="58" t="str">
        <f>IF(tbRegistroEntradas[[#This Row],[DATA DO CAIXA PREVISTO]]="N/A","0",UPPER(TEXT(tbRegistroEntradas[[#This Row],[DATA DO CAIXA PREVISTO]],"mmm")))</f>
        <v>SET</v>
      </c>
      <c r="O127" s="58">
        <f>IF(tbRegistroEntradas[[#This Row],[DATA DO CAIXA PREVISTO]]="N/A",0,YEAR(tbRegistroEntradas[[#This Row],[DATA DO CAIXA PREVISTO]]))</f>
        <v>2021</v>
      </c>
      <c r="P127" s="58" t="str">
        <f ca="1">IF(AND(tbRegistroEntradas[[#This Row],[DATA DE CAIXA REALIZADO]]="N/A",tbRegistroEntradas[[#This Row],[DATA DO CAIXA PREVISTO]]&lt;TODAY()),"Vencida","Não Vencida")</f>
        <v>Não Vencida</v>
      </c>
      <c r="Q127" s="58" t="str">
        <f>IF(tbRegistroEntradas[[#This Row],[DATA DA COMPETÊNCIA]]=tbRegistroEntradas[[#This Row],[DATA DO CAIXA PREVISTO]],"Vista","Prazo")</f>
        <v>Prazo</v>
      </c>
      <c r="R127" s="58" t="str">
        <f>IF(tbRegistroEntradas[[#This Row],[DATA DE CAIXA REALIZADO]]&lt;&gt;"N/A","Em Dia","Com atraso")</f>
        <v>Em Dia</v>
      </c>
    </row>
    <row r="128" spans="1:18" s="52" customFormat="1" ht="14.4" customHeight="1" x14ac:dyDescent="0.3">
      <c r="A128" s="113">
        <v>44481.930995370371</v>
      </c>
      <c r="B128" s="115">
        <v>44430</v>
      </c>
      <c r="C128" s="44">
        <v>44481.930995370371</v>
      </c>
      <c r="D128" s="116" t="s">
        <v>61</v>
      </c>
      <c r="E128" s="116" t="s">
        <v>12</v>
      </c>
      <c r="F128" s="116" t="s">
        <v>32</v>
      </c>
      <c r="G128" s="116" t="s">
        <v>146</v>
      </c>
      <c r="H128" s="116" t="s">
        <v>71</v>
      </c>
      <c r="I128" s="120">
        <v>807</v>
      </c>
      <c r="J128" s="55" t="str">
        <f>IF(tbRegistroEntradas[[#This Row],[DATA DE CAIXA REALIZADO]]="N/A","0",UPPER(TEXT(tbRegistroEntradas[[#This Row],[DATA DE CAIXA REALIZADO]],"mmm")))</f>
        <v>OUT</v>
      </c>
      <c r="K128" s="58">
        <f>IF(tbRegistroEntradas[[#This Row],[DATA DE CAIXA REALIZADO]]="N/A",0,YEAR(tbRegistroEntradas[[#This Row],[DATA DE CAIXA REALIZADO]]))</f>
        <v>2021</v>
      </c>
      <c r="L128" s="79" t="str">
        <f>IF(tbRegistroEntradas[[#This Row],[DATA DA COMPETÊNCIA]]="N/A","0",UPPER(TEXT(tbRegistroEntradas[[#This Row],[DATA DA COMPETÊNCIA]],"mmm")))</f>
        <v>AGO</v>
      </c>
      <c r="M128" s="79">
        <f>IF(tbRegistroEntradas[[#This Row],[DATA DA COMPETÊNCIA]]="N/A",0,YEAR(tbRegistroEntradas[[#This Row],[DATA DA COMPETÊNCIA]]))</f>
        <v>2021</v>
      </c>
      <c r="N128" s="84" t="str">
        <f>IF(tbRegistroEntradas[[#This Row],[DATA DO CAIXA PREVISTO]]="N/A","0",UPPER(TEXT(tbRegistroEntradas[[#This Row],[DATA DO CAIXA PREVISTO]],"mmm")))</f>
        <v>OUT</v>
      </c>
      <c r="O128" s="84">
        <f>IF(tbRegistroEntradas[[#This Row],[DATA DO CAIXA PREVISTO]]="N/A",0,YEAR(tbRegistroEntradas[[#This Row],[DATA DO CAIXA PREVISTO]]))</f>
        <v>2021</v>
      </c>
      <c r="P128" s="58" t="str">
        <f ca="1">IF(AND(tbRegistroEntradas[[#This Row],[DATA DE CAIXA REALIZADO]]="N/A",tbRegistroEntradas[[#This Row],[DATA DO CAIXA PREVISTO]]&lt;TODAY()),"Vencida","Não Vencida")</f>
        <v>Não Vencida</v>
      </c>
      <c r="Q128" s="58" t="str">
        <f>IF(tbRegistroEntradas[[#This Row],[DATA DA COMPETÊNCIA]]=tbRegistroEntradas[[#This Row],[DATA DO CAIXA PREVISTO]],"Vista","Prazo")</f>
        <v>Prazo</v>
      </c>
      <c r="R128" s="58" t="str">
        <f>IF(tbRegistroEntradas[[#This Row],[DATA DE CAIXA REALIZADO]]&lt;&gt;"N/A","Em Dia","Com atraso")</f>
        <v>Em Dia</v>
      </c>
    </row>
    <row r="129" spans="1:18" s="52" customFormat="1" ht="14.4" customHeight="1" x14ac:dyDescent="0.3">
      <c r="A129" s="125">
        <v>44461</v>
      </c>
      <c r="B129" s="125">
        <f>A129-31</f>
        <v>44430</v>
      </c>
      <c r="C129" s="111">
        <f>(A129-B129)+B129-15</f>
        <v>44446</v>
      </c>
      <c r="D129" s="126" t="s">
        <v>64</v>
      </c>
      <c r="E129" s="126" t="s">
        <v>12</v>
      </c>
      <c r="F129" s="126" t="s">
        <v>19</v>
      </c>
      <c r="G129" s="126" t="s">
        <v>943</v>
      </c>
      <c r="H129" s="52" t="s">
        <v>114</v>
      </c>
      <c r="I129" s="127">
        <v>6080</v>
      </c>
      <c r="J129" s="110" t="str">
        <f>IF(tbRegistroEntradas[[#This Row],[DATA DE CAIXA REALIZADO]]="N/A","0",UPPER(TEXT(tbRegistroEntradas[[#This Row],[DATA DE CAIXA REALIZADO]],"mmm")))</f>
        <v>SET</v>
      </c>
      <c r="K129" s="57">
        <f>IF(tbRegistroEntradas[[#This Row],[DATA DE CAIXA REALIZADO]]="N/A",0,YEAR(tbRegistroEntradas[[#This Row],[DATA DE CAIXA REALIZADO]]))</f>
        <v>2021</v>
      </c>
      <c r="L129" s="58" t="str">
        <f>IF(tbRegistroEntradas[[#This Row],[DATA DA COMPETÊNCIA]]="N/A","0",UPPER(TEXT(tbRegistroEntradas[[#This Row],[DATA DA COMPETÊNCIA]],"mmm")))</f>
        <v>AGO</v>
      </c>
      <c r="M129" s="58">
        <f>IF(tbRegistroEntradas[[#This Row],[DATA DA COMPETÊNCIA]]="N/A",0,YEAR(tbRegistroEntradas[[#This Row],[DATA DA COMPETÊNCIA]]))</f>
        <v>2021</v>
      </c>
      <c r="N129" s="58" t="str">
        <f>IF(tbRegistroEntradas[[#This Row],[DATA DO CAIXA PREVISTO]]="N/A","0",UPPER(TEXT(tbRegistroEntradas[[#This Row],[DATA DO CAIXA PREVISTO]],"mmm")))</f>
        <v>SET</v>
      </c>
      <c r="O129" s="58">
        <f>IF(tbRegistroEntradas[[#This Row],[DATA DO CAIXA PREVISTO]]="N/A",0,YEAR(tbRegistroEntradas[[#This Row],[DATA DO CAIXA PREVISTO]]))</f>
        <v>2021</v>
      </c>
      <c r="P129" s="58" t="str">
        <f ca="1">IF(AND(tbRegistroEntradas[[#This Row],[DATA DE CAIXA REALIZADO]]="N/A",tbRegistroEntradas[[#This Row],[DATA DO CAIXA PREVISTO]]&lt;TODAY()),"Vencida","Não Vencida")</f>
        <v>Não Vencida</v>
      </c>
      <c r="Q129" s="58" t="str">
        <f>IF(tbRegistroEntradas[[#This Row],[DATA DA COMPETÊNCIA]]=tbRegistroEntradas[[#This Row],[DATA DO CAIXA PREVISTO]],"Vista","Prazo")</f>
        <v>Prazo</v>
      </c>
      <c r="R129" s="58" t="str">
        <f>IF(tbRegistroEntradas[[#This Row],[DATA DE CAIXA REALIZADO]]&lt;&gt;"N/A","Em Dia","Com atraso")</f>
        <v>Em Dia</v>
      </c>
    </row>
    <row r="130" spans="1:18" s="52" customFormat="1" ht="14.4" customHeight="1" x14ac:dyDescent="0.3">
      <c r="A130" s="125">
        <v>44462</v>
      </c>
      <c r="B130" s="125">
        <f>A130-31</f>
        <v>44431</v>
      </c>
      <c r="C130" s="111">
        <f>(A130-B130)+B130-15</f>
        <v>44447</v>
      </c>
      <c r="D130" s="126" t="s">
        <v>137</v>
      </c>
      <c r="E130" s="126" t="s">
        <v>12</v>
      </c>
      <c r="F130" s="126" t="s">
        <v>17</v>
      </c>
      <c r="G130" s="126" t="s">
        <v>681</v>
      </c>
      <c r="H130" s="52" t="s">
        <v>104</v>
      </c>
      <c r="I130" s="127">
        <v>891</v>
      </c>
      <c r="J130" s="110" t="str">
        <f>IF(tbRegistroEntradas[[#This Row],[DATA DE CAIXA REALIZADO]]="N/A","0",UPPER(TEXT(tbRegistroEntradas[[#This Row],[DATA DE CAIXA REALIZADO]],"mmm")))</f>
        <v>SET</v>
      </c>
      <c r="K130" s="57">
        <f>IF(tbRegistroEntradas[[#This Row],[DATA DE CAIXA REALIZADO]]="N/A",0,YEAR(tbRegistroEntradas[[#This Row],[DATA DE CAIXA REALIZADO]]))</f>
        <v>2021</v>
      </c>
      <c r="L130" s="58" t="str">
        <f>IF(tbRegistroEntradas[[#This Row],[DATA DA COMPETÊNCIA]]="N/A","0",UPPER(TEXT(tbRegistroEntradas[[#This Row],[DATA DA COMPETÊNCIA]],"mmm")))</f>
        <v>AGO</v>
      </c>
      <c r="M130" s="58">
        <f>IF(tbRegistroEntradas[[#This Row],[DATA DA COMPETÊNCIA]]="N/A",0,YEAR(tbRegistroEntradas[[#This Row],[DATA DA COMPETÊNCIA]]))</f>
        <v>2021</v>
      </c>
      <c r="N130" s="58" t="str">
        <f>IF(tbRegistroEntradas[[#This Row],[DATA DO CAIXA PREVISTO]]="N/A","0",UPPER(TEXT(tbRegistroEntradas[[#This Row],[DATA DO CAIXA PREVISTO]],"mmm")))</f>
        <v>SET</v>
      </c>
      <c r="O130" s="58">
        <f>IF(tbRegistroEntradas[[#This Row],[DATA DO CAIXA PREVISTO]]="N/A",0,YEAR(tbRegistroEntradas[[#This Row],[DATA DO CAIXA PREVISTO]]))</f>
        <v>2021</v>
      </c>
      <c r="P130" s="58" t="str">
        <f ca="1">IF(AND(tbRegistroEntradas[[#This Row],[DATA DE CAIXA REALIZADO]]="N/A",tbRegistroEntradas[[#This Row],[DATA DO CAIXA PREVISTO]]&lt;TODAY()),"Vencida","Não Vencida")</f>
        <v>Não Vencida</v>
      </c>
      <c r="Q130" s="58" t="str">
        <f>IF(tbRegistroEntradas[[#This Row],[DATA DA COMPETÊNCIA]]=tbRegistroEntradas[[#This Row],[DATA DO CAIXA PREVISTO]],"Vista","Prazo")</f>
        <v>Prazo</v>
      </c>
      <c r="R130" s="58" t="str">
        <f>IF(tbRegistroEntradas[[#This Row],[DATA DE CAIXA REALIZADO]]&lt;&gt;"N/A","Em Dia","Com atraso")</f>
        <v>Em Dia</v>
      </c>
    </row>
    <row r="131" spans="1:18" s="52" customFormat="1" ht="14.4" customHeight="1" x14ac:dyDescent="0.3">
      <c r="A131" s="112">
        <v>44475.490034722221</v>
      </c>
      <c r="B131" s="114">
        <v>44433</v>
      </c>
      <c r="C131" s="41">
        <v>44475.490034722221</v>
      </c>
      <c r="D131" s="55" t="s">
        <v>61</v>
      </c>
      <c r="E131" s="55" t="s">
        <v>12</v>
      </c>
      <c r="F131" s="55" t="s">
        <v>17</v>
      </c>
      <c r="G131" s="55" t="s">
        <v>147</v>
      </c>
      <c r="H131" s="55" t="s">
        <v>79</v>
      </c>
      <c r="I131" s="119">
        <v>2612</v>
      </c>
      <c r="J131" s="55" t="str">
        <f>IF(tbRegistroEntradas[[#This Row],[DATA DE CAIXA REALIZADO]]="N/A","0",UPPER(TEXT(tbRegistroEntradas[[#This Row],[DATA DE CAIXA REALIZADO]],"mmm")))</f>
        <v>OUT</v>
      </c>
      <c r="K131" s="58">
        <f>IF(tbRegistroEntradas[[#This Row],[DATA DE CAIXA REALIZADO]]="N/A",0,YEAR(tbRegistroEntradas[[#This Row],[DATA DE CAIXA REALIZADO]]))</f>
        <v>2021</v>
      </c>
      <c r="L131" s="79" t="str">
        <f>IF(tbRegistroEntradas[[#This Row],[DATA DA COMPETÊNCIA]]="N/A","0",UPPER(TEXT(tbRegistroEntradas[[#This Row],[DATA DA COMPETÊNCIA]],"mmm")))</f>
        <v>AGO</v>
      </c>
      <c r="M131" s="79">
        <f>IF(tbRegistroEntradas[[#This Row],[DATA DA COMPETÊNCIA]]="N/A",0,YEAR(tbRegistroEntradas[[#This Row],[DATA DA COMPETÊNCIA]]))</f>
        <v>2021</v>
      </c>
      <c r="N131" s="84" t="str">
        <f>IF(tbRegistroEntradas[[#This Row],[DATA DO CAIXA PREVISTO]]="N/A","0",UPPER(TEXT(tbRegistroEntradas[[#This Row],[DATA DO CAIXA PREVISTO]],"mmm")))</f>
        <v>OUT</v>
      </c>
      <c r="O131" s="84">
        <f>IF(tbRegistroEntradas[[#This Row],[DATA DO CAIXA PREVISTO]]="N/A",0,YEAR(tbRegistroEntradas[[#This Row],[DATA DO CAIXA PREVISTO]]))</f>
        <v>2021</v>
      </c>
      <c r="P131" s="58" t="str">
        <f ca="1">IF(AND(tbRegistroEntradas[[#This Row],[DATA DE CAIXA REALIZADO]]="N/A",tbRegistroEntradas[[#This Row],[DATA DO CAIXA PREVISTO]]&lt;TODAY()),"Vencida","Não Vencida")</f>
        <v>Não Vencida</v>
      </c>
      <c r="Q131" s="58" t="str">
        <f>IF(tbRegistroEntradas[[#This Row],[DATA DA COMPETÊNCIA]]=tbRegistroEntradas[[#This Row],[DATA DO CAIXA PREVISTO]],"Vista","Prazo")</f>
        <v>Prazo</v>
      </c>
      <c r="R131" s="58" t="str">
        <f>IF(tbRegistroEntradas[[#This Row],[DATA DE CAIXA REALIZADO]]&lt;&gt;"N/A","Em Dia","Com atraso")</f>
        <v>Em Dia</v>
      </c>
    </row>
    <row r="132" spans="1:18" s="52" customFormat="1" ht="14.4" customHeight="1" x14ac:dyDescent="0.3">
      <c r="A132" s="125">
        <v>44465</v>
      </c>
      <c r="B132" s="125">
        <f>A132-31</f>
        <v>44434</v>
      </c>
      <c r="C132" s="111">
        <f>(A132-B132)+B132-15</f>
        <v>44450</v>
      </c>
      <c r="D132" s="126" t="s">
        <v>138</v>
      </c>
      <c r="E132" s="126" t="s">
        <v>12</v>
      </c>
      <c r="F132" s="126" t="s">
        <v>19</v>
      </c>
      <c r="G132" s="126" t="s">
        <v>858</v>
      </c>
      <c r="H132" s="52" t="s">
        <v>77</v>
      </c>
      <c r="I132" s="127">
        <v>2701</v>
      </c>
      <c r="J132" s="110" t="str">
        <f>IF(tbRegistroEntradas[[#This Row],[DATA DE CAIXA REALIZADO]]="N/A","0",UPPER(TEXT(tbRegistroEntradas[[#This Row],[DATA DE CAIXA REALIZADO]],"mmm")))</f>
        <v>SET</v>
      </c>
      <c r="K132" s="57">
        <f>IF(tbRegistroEntradas[[#This Row],[DATA DE CAIXA REALIZADO]]="N/A",0,YEAR(tbRegistroEntradas[[#This Row],[DATA DE CAIXA REALIZADO]]))</f>
        <v>2021</v>
      </c>
      <c r="L132" s="58" t="str">
        <f>IF(tbRegistroEntradas[[#This Row],[DATA DA COMPETÊNCIA]]="N/A","0",UPPER(TEXT(tbRegistroEntradas[[#This Row],[DATA DA COMPETÊNCIA]],"mmm")))</f>
        <v>AGO</v>
      </c>
      <c r="M132" s="58">
        <f>IF(tbRegistroEntradas[[#This Row],[DATA DA COMPETÊNCIA]]="N/A",0,YEAR(tbRegistroEntradas[[#This Row],[DATA DA COMPETÊNCIA]]))</f>
        <v>2021</v>
      </c>
      <c r="N132" s="58" t="str">
        <f>IF(tbRegistroEntradas[[#This Row],[DATA DO CAIXA PREVISTO]]="N/A","0",UPPER(TEXT(tbRegistroEntradas[[#This Row],[DATA DO CAIXA PREVISTO]],"mmm")))</f>
        <v>SET</v>
      </c>
      <c r="O132" s="58">
        <f>IF(tbRegistroEntradas[[#This Row],[DATA DO CAIXA PREVISTO]]="N/A",0,YEAR(tbRegistroEntradas[[#This Row],[DATA DO CAIXA PREVISTO]]))</f>
        <v>2021</v>
      </c>
      <c r="P132" s="58" t="str">
        <f ca="1">IF(AND(tbRegistroEntradas[[#This Row],[DATA DE CAIXA REALIZADO]]="N/A",tbRegistroEntradas[[#This Row],[DATA DO CAIXA PREVISTO]]&lt;TODAY()),"Vencida","Não Vencida")</f>
        <v>Não Vencida</v>
      </c>
      <c r="Q132" s="58" t="str">
        <f>IF(tbRegistroEntradas[[#This Row],[DATA DA COMPETÊNCIA]]=tbRegistroEntradas[[#This Row],[DATA DO CAIXA PREVISTO]],"Vista","Prazo")</f>
        <v>Prazo</v>
      </c>
      <c r="R132" s="58" t="str">
        <f>IF(tbRegistroEntradas[[#This Row],[DATA DE CAIXA REALIZADO]]&lt;&gt;"N/A","Em Dia","Com atraso")</f>
        <v>Em Dia</v>
      </c>
    </row>
    <row r="133" spans="1:18" s="52" customFormat="1" ht="14.4" customHeight="1" x14ac:dyDescent="0.3">
      <c r="A133" s="113">
        <v>44515.754606481481</v>
      </c>
      <c r="B133" s="115">
        <v>44435</v>
      </c>
      <c r="C133" s="44">
        <v>44491.597361111111</v>
      </c>
      <c r="D133" s="115" t="s">
        <v>62</v>
      </c>
      <c r="E133" s="116" t="s">
        <v>12</v>
      </c>
      <c r="F133" s="116" t="s">
        <v>19</v>
      </c>
      <c r="G133" s="116" t="s">
        <v>148</v>
      </c>
      <c r="H133" s="144" t="s">
        <v>72</v>
      </c>
      <c r="I133" s="120">
        <v>2483</v>
      </c>
      <c r="J133" s="55" t="str">
        <f>IF(tbRegistroEntradas[[#This Row],[DATA DE CAIXA REALIZADO]]="N/A","0",UPPER(TEXT(tbRegistroEntradas[[#This Row],[DATA DE CAIXA REALIZADO]],"mmm")))</f>
        <v>NOV</v>
      </c>
      <c r="K133" s="58">
        <f>IF(tbRegistroEntradas[[#This Row],[DATA DE CAIXA REALIZADO]]="N/A",0,YEAR(tbRegistroEntradas[[#This Row],[DATA DE CAIXA REALIZADO]]))</f>
        <v>2021</v>
      </c>
      <c r="L133" s="79" t="str">
        <f>IF(tbRegistroEntradas[[#This Row],[DATA DA COMPETÊNCIA]]="N/A","0",UPPER(TEXT(tbRegistroEntradas[[#This Row],[DATA DA COMPETÊNCIA]],"mmm")))</f>
        <v>AGO</v>
      </c>
      <c r="M133" s="79">
        <f>IF(tbRegistroEntradas[[#This Row],[DATA DA COMPETÊNCIA]]="N/A",0,YEAR(tbRegistroEntradas[[#This Row],[DATA DA COMPETÊNCIA]]))</f>
        <v>2021</v>
      </c>
      <c r="N133" s="84" t="str">
        <f>IF(tbRegistroEntradas[[#This Row],[DATA DO CAIXA PREVISTO]]="N/A","0",UPPER(TEXT(tbRegistroEntradas[[#This Row],[DATA DO CAIXA PREVISTO]],"mmm")))</f>
        <v>OUT</v>
      </c>
      <c r="O133" s="84">
        <f>IF(tbRegistroEntradas[[#This Row],[DATA DO CAIXA PREVISTO]]="N/A",0,YEAR(tbRegistroEntradas[[#This Row],[DATA DO CAIXA PREVISTO]]))</f>
        <v>2021</v>
      </c>
      <c r="P133" s="58" t="str">
        <f ca="1">IF(AND(tbRegistroEntradas[[#This Row],[DATA DE CAIXA REALIZADO]]="N/A",tbRegistroEntradas[[#This Row],[DATA DO CAIXA PREVISTO]]&lt;TODAY()),"Vencida","Não Vencida")</f>
        <v>Não Vencida</v>
      </c>
      <c r="Q133" s="58" t="str">
        <f>IF(tbRegistroEntradas[[#This Row],[DATA DA COMPETÊNCIA]]=tbRegistroEntradas[[#This Row],[DATA DO CAIXA PREVISTO]],"Vista","Prazo")</f>
        <v>Prazo</v>
      </c>
      <c r="R133" s="58" t="str">
        <f>IF(tbRegistroEntradas[[#This Row],[DATA DE CAIXA REALIZADO]]&lt;&gt;"N/A","Em Dia","Com atraso")</f>
        <v>Em Dia</v>
      </c>
    </row>
    <row r="134" spans="1:18" s="52" customFormat="1" ht="14.4" customHeight="1" x14ac:dyDescent="0.3">
      <c r="A134" s="125">
        <v>44467</v>
      </c>
      <c r="B134" s="125">
        <f>A134-31</f>
        <v>44436</v>
      </c>
      <c r="C134" s="111">
        <f>(A134-B134)+B134-15</f>
        <v>44452</v>
      </c>
      <c r="D134" s="126" t="s">
        <v>67</v>
      </c>
      <c r="E134" s="126" t="s">
        <v>12</v>
      </c>
      <c r="F134" s="126" t="s">
        <v>19</v>
      </c>
      <c r="G134" s="126" t="s">
        <v>732</v>
      </c>
      <c r="H134" s="52" t="s">
        <v>131</v>
      </c>
      <c r="I134" s="127">
        <v>1716</v>
      </c>
      <c r="J134" s="110" t="str">
        <f>IF(tbRegistroEntradas[[#This Row],[DATA DE CAIXA REALIZADO]]="N/A","0",UPPER(TEXT(tbRegistroEntradas[[#This Row],[DATA DE CAIXA REALIZADO]],"mmm")))</f>
        <v>SET</v>
      </c>
      <c r="K134" s="57">
        <f>IF(tbRegistroEntradas[[#This Row],[DATA DE CAIXA REALIZADO]]="N/A",0,YEAR(tbRegistroEntradas[[#This Row],[DATA DE CAIXA REALIZADO]]))</f>
        <v>2021</v>
      </c>
      <c r="L134" s="58" t="str">
        <f>IF(tbRegistroEntradas[[#This Row],[DATA DA COMPETÊNCIA]]="N/A","0",UPPER(TEXT(tbRegistroEntradas[[#This Row],[DATA DA COMPETÊNCIA]],"mmm")))</f>
        <v>AGO</v>
      </c>
      <c r="M134" s="58">
        <f>IF(tbRegistroEntradas[[#This Row],[DATA DA COMPETÊNCIA]]="N/A",0,YEAR(tbRegistroEntradas[[#This Row],[DATA DA COMPETÊNCIA]]))</f>
        <v>2021</v>
      </c>
      <c r="N134" s="58" t="str">
        <f>IF(tbRegistroEntradas[[#This Row],[DATA DO CAIXA PREVISTO]]="N/A","0",UPPER(TEXT(tbRegistroEntradas[[#This Row],[DATA DO CAIXA PREVISTO]],"mmm")))</f>
        <v>SET</v>
      </c>
      <c r="O134" s="58">
        <f>IF(tbRegistroEntradas[[#This Row],[DATA DO CAIXA PREVISTO]]="N/A",0,YEAR(tbRegistroEntradas[[#This Row],[DATA DO CAIXA PREVISTO]]))</f>
        <v>2021</v>
      </c>
      <c r="P134" s="58" t="str">
        <f ca="1">IF(AND(tbRegistroEntradas[[#This Row],[DATA DE CAIXA REALIZADO]]="N/A",tbRegistroEntradas[[#This Row],[DATA DO CAIXA PREVISTO]]&lt;TODAY()),"Vencida","Não Vencida")</f>
        <v>Não Vencida</v>
      </c>
      <c r="Q134" s="58" t="str">
        <f>IF(tbRegistroEntradas[[#This Row],[DATA DA COMPETÊNCIA]]=tbRegistroEntradas[[#This Row],[DATA DO CAIXA PREVISTO]],"Vista","Prazo")</f>
        <v>Prazo</v>
      </c>
      <c r="R134" s="58" t="str">
        <f>IF(tbRegistroEntradas[[#This Row],[DATA DE CAIXA REALIZADO]]&lt;&gt;"N/A","Em Dia","Com atraso")</f>
        <v>Em Dia</v>
      </c>
    </row>
    <row r="135" spans="1:18" s="52" customFormat="1" ht="14.4" customHeight="1" x14ac:dyDescent="0.3">
      <c r="A135" s="125">
        <v>44468</v>
      </c>
      <c r="B135" s="125">
        <f>A135-31</f>
        <v>44437</v>
      </c>
      <c r="C135" s="111">
        <f>(A135-B135)+B135-15</f>
        <v>44453</v>
      </c>
      <c r="D135" s="126" t="s">
        <v>66</v>
      </c>
      <c r="E135" s="126" t="s">
        <v>12</v>
      </c>
      <c r="F135" s="126" t="s">
        <v>18</v>
      </c>
      <c r="G135" s="126" t="s">
        <v>823</v>
      </c>
      <c r="H135" s="52" t="s">
        <v>128</v>
      </c>
      <c r="I135" s="127">
        <v>3566</v>
      </c>
      <c r="J135" s="110" t="str">
        <f>IF(tbRegistroEntradas[[#This Row],[DATA DE CAIXA REALIZADO]]="N/A","0",UPPER(TEXT(tbRegistroEntradas[[#This Row],[DATA DE CAIXA REALIZADO]],"mmm")))</f>
        <v>SET</v>
      </c>
      <c r="K135" s="57">
        <f>IF(tbRegistroEntradas[[#This Row],[DATA DE CAIXA REALIZADO]]="N/A",0,YEAR(tbRegistroEntradas[[#This Row],[DATA DE CAIXA REALIZADO]]))</f>
        <v>2021</v>
      </c>
      <c r="L135" s="58" t="str">
        <f>IF(tbRegistroEntradas[[#This Row],[DATA DA COMPETÊNCIA]]="N/A","0",UPPER(TEXT(tbRegistroEntradas[[#This Row],[DATA DA COMPETÊNCIA]],"mmm")))</f>
        <v>AGO</v>
      </c>
      <c r="M135" s="58">
        <f>IF(tbRegistroEntradas[[#This Row],[DATA DA COMPETÊNCIA]]="N/A",0,YEAR(tbRegistroEntradas[[#This Row],[DATA DA COMPETÊNCIA]]))</f>
        <v>2021</v>
      </c>
      <c r="N135" s="58" t="str">
        <f>IF(tbRegistroEntradas[[#This Row],[DATA DO CAIXA PREVISTO]]="N/A","0",UPPER(TEXT(tbRegistroEntradas[[#This Row],[DATA DO CAIXA PREVISTO]],"mmm")))</f>
        <v>SET</v>
      </c>
      <c r="O135" s="58">
        <f>IF(tbRegistroEntradas[[#This Row],[DATA DO CAIXA PREVISTO]]="N/A",0,YEAR(tbRegistroEntradas[[#This Row],[DATA DO CAIXA PREVISTO]]))</f>
        <v>2021</v>
      </c>
      <c r="P135" s="58" t="str">
        <f ca="1">IF(AND(tbRegistroEntradas[[#This Row],[DATA DE CAIXA REALIZADO]]="N/A",tbRegistroEntradas[[#This Row],[DATA DO CAIXA PREVISTO]]&lt;TODAY()),"Vencida","Não Vencida")</f>
        <v>Não Vencida</v>
      </c>
      <c r="Q135" s="58" t="str">
        <f>IF(tbRegistroEntradas[[#This Row],[DATA DA COMPETÊNCIA]]=tbRegistroEntradas[[#This Row],[DATA DO CAIXA PREVISTO]],"Vista","Prazo")</f>
        <v>Prazo</v>
      </c>
      <c r="R135" s="58" t="str">
        <f>IF(tbRegistroEntradas[[#This Row],[DATA DE CAIXA REALIZADO]]&lt;&gt;"N/A","Em Dia","Com atraso")</f>
        <v>Em Dia</v>
      </c>
    </row>
    <row r="136" spans="1:18" s="52" customFormat="1" ht="14.4" customHeight="1" x14ac:dyDescent="0.3">
      <c r="A136" s="112">
        <v>44548.201388888891</v>
      </c>
      <c r="B136" s="114">
        <v>44440</v>
      </c>
      <c r="C136" s="111">
        <f>tbRegistroEntradas[[#This Row],[DATA DA COMPETÊNCIA]]</f>
        <v>44440</v>
      </c>
      <c r="D136" s="114" t="s">
        <v>64</v>
      </c>
      <c r="E136" s="55" t="s">
        <v>12</v>
      </c>
      <c r="F136" s="55" t="s">
        <v>17</v>
      </c>
      <c r="G136" s="55" t="s">
        <v>149</v>
      </c>
      <c r="H136" s="52" t="s">
        <v>115</v>
      </c>
      <c r="I136" s="119">
        <v>4387</v>
      </c>
      <c r="J136" s="55" t="str">
        <f>IF(tbRegistroEntradas[[#This Row],[DATA DE CAIXA REALIZADO]]="N/A","0",UPPER(TEXT(tbRegistroEntradas[[#This Row],[DATA DE CAIXA REALIZADO]],"mmm")))</f>
        <v>DEZ</v>
      </c>
      <c r="K136" s="58">
        <f>IF(tbRegistroEntradas[[#This Row],[DATA DE CAIXA REALIZADO]]="N/A",0,YEAR(tbRegistroEntradas[[#This Row],[DATA DE CAIXA REALIZADO]]))</f>
        <v>2021</v>
      </c>
      <c r="L136" s="79" t="str">
        <f>IF(tbRegistroEntradas[[#This Row],[DATA DA COMPETÊNCIA]]="N/A","0",UPPER(TEXT(tbRegistroEntradas[[#This Row],[DATA DA COMPETÊNCIA]],"mmm")))</f>
        <v>SET</v>
      </c>
      <c r="M136" s="79">
        <f>IF(tbRegistroEntradas[[#This Row],[DATA DA COMPETÊNCIA]]="N/A",0,YEAR(tbRegistroEntradas[[#This Row],[DATA DA COMPETÊNCIA]]))</f>
        <v>2021</v>
      </c>
      <c r="N136" s="84" t="str">
        <f>IF(tbRegistroEntradas[[#This Row],[DATA DO CAIXA PREVISTO]]="N/A","0",UPPER(TEXT(tbRegistroEntradas[[#This Row],[DATA DO CAIXA PREVISTO]],"mmm")))</f>
        <v>SET</v>
      </c>
      <c r="O136" s="84">
        <f>IF(tbRegistroEntradas[[#This Row],[DATA DO CAIXA PREVISTO]]="N/A",0,YEAR(tbRegistroEntradas[[#This Row],[DATA DO CAIXA PREVISTO]]))</f>
        <v>2021</v>
      </c>
      <c r="P136" s="58" t="str">
        <f ca="1">IF(AND(tbRegistroEntradas[[#This Row],[DATA DE CAIXA REALIZADO]]="N/A",tbRegistroEntradas[[#This Row],[DATA DO CAIXA PREVISTO]]&lt;TODAY()),"Vencida","Não Vencida")</f>
        <v>Não Vencida</v>
      </c>
      <c r="Q136" s="58" t="str">
        <f>IF(tbRegistroEntradas[[#This Row],[DATA DA COMPETÊNCIA]]=tbRegistroEntradas[[#This Row],[DATA DO CAIXA PREVISTO]],"Vista","Prazo")</f>
        <v>Vista</v>
      </c>
      <c r="R136" s="58" t="str">
        <f>IF(tbRegistroEntradas[[#This Row],[DATA DE CAIXA REALIZADO]]&lt;&gt;"N/A","Em Dia","Com atraso")</f>
        <v>Em Dia</v>
      </c>
    </row>
    <row r="137" spans="1:18" s="52" customFormat="1" ht="14.4" customHeight="1" x14ac:dyDescent="0.3">
      <c r="A137" s="125">
        <v>44471</v>
      </c>
      <c r="B137" s="125">
        <f>A137-31</f>
        <v>44440</v>
      </c>
      <c r="C137" s="111">
        <f>(A137-B137)+B137-15</f>
        <v>44456</v>
      </c>
      <c r="D137" s="126" t="s">
        <v>137</v>
      </c>
      <c r="E137" s="126" t="s">
        <v>12</v>
      </c>
      <c r="F137" s="126" t="s">
        <v>18</v>
      </c>
      <c r="G137" s="126" t="s">
        <v>998</v>
      </c>
      <c r="H137" s="52" t="s">
        <v>106</v>
      </c>
      <c r="I137" s="127">
        <v>1208</v>
      </c>
      <c r="J137" s="110" t="str">
        <f>IF(tbRegistroEntradas[[#This Row],[DATA DE CAIXA REALIZADO]]="N/A","0",UPPER(TEXT(tbRegistroEntradas[[#This Row],[DATA DE CAIXA REALIZADO]],"mmm")))</f>
        <v>OUT</v>
      </c>
      <c r="K137" s="57">
        <f>IF(tbRegistroEntradas[[#This Row],[DATA DE CAIXA REALIZADO]]="N/A",0,YEAR(tbRegistroEntradas[[#This Row],[DATA DE CAIXA REALIZADO]]))</f>
        <v>2021</v>
      </c>
      <c r="L137" s="58" t="str">
        <f>IF(tbRegistroEntradas[[#This Row],[DATA DA COMPETÊNCIA]]="N/A","0",UPPER(TEXT(tbRegistroEntradas[[#This Row],[DATA DA COMPETÊNCIA]],"mmm")))</f>
        <v>SET</v>
      </c>
      <c r="M137" s="58">
        <f>IF(tbRegistroEntradas[[#This Row],[DATA DA COMPETÊNCIA]]="N/A",0,YEAR(tbRegistroEntradas[[#This Row],[DATA DA COMPETÊNCIA]]))</f>
        <v>2021</v>
      </c>
      <c r="N137" s="58" t="str">
        <f>IF(tbRegistroEntradas[[#This Row],[DATA DO CAIXA PREVISTO]]="N/A","0",UPPER(TEXT(tbRegistroEntradas[[#This Row],[DATA DO CAIXA PREVISTO]],"mmm")))</f>
        <v>SET</v>
      </c>
      <c r="O137" s="58">
        <f>IF(tbRegistroEntradas[[#This Row],[DATA DO CAIXA PREVISTO]]="N/A",0,YEAR(tbRegistroEntradas[[#This Row],[DATA DO CAIXA PREVISTO]]))</f>
        <v>2021</v>
      </c>
      <c r="P137" s="58" t="str">
        <f ca="1">IF(AND(tbRegistroEntradas[[#This Row],[DATA DE CAIXA REALIZADO]]="N/A",tbRegistroEntradas[[#This Row],[DATA DO CAIXA PREVISTO]]&lt;TODAY()),"Vencida","Não Vencida")</f>
        <v>Não Vencida</v>
      </c>
      <c r="Q137" s="58" t="str">
        <f>IF(tbRegistroEntradas[[#This Row],[DATA DA COMPETÊNCIA]]=tbRegistroEntradas[[#This Row],[DATA DO CAIXA PREVISTO]],"Vista","Prazo")</f>
        <v>Prazo</v>
      </c>
      <c r="R137" s="58" t="str">
        <f>IF(tbRegistroEntradas[[#This Row],[DATA DE CAIXA REALIZADO]]&lt;&gt;"N/A","Em Dia","Com atraso")</f>
        <v>Em Dia</v>
      </c>
    </row>
    <row r="138" spans="1:18" s="52" customFormat="1" ht="14.4" customHeight="1" x14ac:dyDescent="0.3">
      <c r="A138" s="113">
        <v>44465.688402777778</v>
      </c>
      <c r="B138" s="115">
        <v>44441</v>
      </c>
      <c r="C138" s="44">
        <v>44465.688402777778</v>
      </c>
      <c r="D138" s="116" t="s">
        <v>64</v>
      </c>
      <c r="E138" s="116" t="s">
        <v>12</v>
      </c>
      <c r="F138" s="116" t="s">
        <v>19</v>
      </c>
      <c r="G138" s="116" t="s">
        <v>150</v>
      </c>
      <c r="H138" s="52" t="s">
        <v>74</v>
      </c>
      <c r="I138" s="120">
        <v>4268</v>
      </c>
      <c r="J138" s="55" t="str">
        <f>IF(tbRegistroEntradas[[#This Row],[DATA DE CAIXA REALIZADO]]="N/A","0",UPPER(TEXT(tbRegistroEntradas[[#This Row],[DATA DE CAIXA REALIZADO]],"mmm")))</f>
        <v>SET</v>
      </c>
      <c r="K138" s="58">
        <f>IF(tbRegistroEntradas[[#This Row],[DATA DE CAIXA REALIZADO]]="N/A",0,YEAR(tbRegistroEntradas[[#This Row],[DATA DE CAIXA REALIZADO]]))</f>
        <v>2021</v>
      </c>
      <c r="L138" s="79" t="str">
        <f>IF(tbRegistroEntradas[[#This Row],[DATA DA COMPETÊNCIA]]="N/A","0",UPPER(TEXT(tbRegistroEntradas[[#This Row],[DATA DA COMPETÊNCIA]],"mmm")))</f>
        <v>SET</v>
      </c>
      <c r="M138" s="79">
        <f>IF(tbRegistroEntradas[[#This Row],[DATA DA COMPETÊNCIA]]="N/A",0,YEAR(tbRegistroEntradas[[#This Row],[DATA DA COMPETÊNCIA]]))</f>
        <v>2021</v>
      </c>
      <c r="N138" s="84" t="str">
        <f>IF(tbRegistroEntradas[[#This Row],[DATA DO CAIXA PREVISTO]]="N/A","0",UPPER(TEXT(tbRegistroEntradas[[#This Row],[DATA DO CAIXA PREVISTO]],"mmm")))</f>
        <v>SET</v>
      </c>
      <c r="O138" s="84">
        <f>IF(tbRegistroEntradas[[#This Row],[DATA DO CAIXA PREVISTO]]="N/A",0,YEAR(tbRegistroEntradas[[#This Row],[DATA DO CAIXA PREVISTO]]))</f>
        <v>2021</v>
      </c>
      <c r="P138" s="58" t="str">
        <f ca="1">IF(AND(tbRegistroEntradas[[#This Row],[DATA DE CAIXA REALIZADO]]="N/A",tbRegistroEntradas[[#This Row],[DATA DO CAIXA PREVISTO]]&lt;TODAY()),"Vencida","Não Vencida")</f>
        <v>Não Vencida</v>
      </c>
      <c r="Q138" s="58" t="str">
        <f>IF(tbRegistroEntradas[[#This Row],[DATA DA COMPETÊNCIA]]=tbRegistroEntradas[[#This Row],[DATA DO CAIXA PREVISTO]],"Vista","Prazo")</f>
        <v>Prazo</v>
      </c>
      <c r="R138" s="58" t="str">
        <f>IF(tbRegistroEntradas[[#This Row],[DATA DE CAIXA REALIZADO]]&lt;&gt;"N/A","Em Dia","Com atraso")</f>
        <v>Em Dia</v>
      </c>
    </row>
    <row r="139" spans="1:18" s="52" customFormat="1" ht="14.4" customHeight="1" x14ac:dyDescent="0.3">
      <c r="A139" s="125">
        <v>44472</v>
      </c>
      <c r="B139" s="125">
        <f>A139-31</f>
        <v>44441</v>
      </c>
      <c r="C139" s="111">
        <f>(A139-B139)+B139-15</f>
        <v>44457</v>
      </c>
      <c r="D139" s="126" t="s">
        <v>61</v>
      </c>
      <c r="E139" s="126" t="s">
        <v>12</v>
      </c>
      <c r="F139" s="126" t="s">
        <v>17</v>
      </c>
      <c r="G139" s="126" t="s">
        <v>978</v>
      </c>
      <c r="H139" s="52" t="s">
        <v>71</v>
      </c>
      <c r="I139" s="127">
        <v>7152</v>
      </c>
      <c r="J139" s="110" t="str">
        <f>IF(tbRegistroEntradas[[#This Row],[DATA DE CAIXA REALIZADO]]="N/A","0",UPPER(TEXT(tbRegistroEntradas[[#This Row],[DATA DE CAIXA REALIZADO]],"mmm")))</f>
        <v>OUT</v>
      </c>
      <c r="K139" s="57">
        <f>IF(tbRegistroEntradas[[#This Row],[DATA DE CAIXA REALIZADO]]="N/A",0,YEAR(tbRegistroEntradas[[#This Row],[DATA DE CAIXA REALIZADO]]))</f>
        <v>2021</v>
      </c>
      <c r="L139" s="58" t="str">
        <f>IF(tbRegistroEntradas[[#This Row],[DATA DA COMPETÊNCIA]]="N/A","0",UPPER(TEXT(tbRegistroEntradas[[#This Row],[DATA DA COMPETÊNCIA]],"mmm")))</f>
        <v>SET</v>
      </c>
      <c r="M139" s="58">
        <f>IF(tbRegistroEntradas[[#This Row],[DATA DA COMPETÊNCIA]]="N/A",0,YEAR(tbRegistroEntradas[[#This Row],[DATA DA COMPETÊNCIA]]))</f>
        <v>2021</v>
      </c>
      <c r="N139" s="58" t="str">
        <f>IF(tbRegistroEntradas[[#This Row],[DATA DO CAIXA PREVISTO]]="N/A","0",UPPER(TEXT(tbRegistroEntradas[[#This Row],[DATA DO CAIXA PREVISTO]],"mmm")))</f>
        <v>SET</v>
      </c>
      <c r="O139" s="58">
        <f>IF(tbRegistroEntradas[[#This Row],[DATA DO CAIXA PREVISTO]]="N/A",0,YEAR(tbRegistroEntradas[[#This Row],[DATA DO CAIXA PREVISTO]]))</f>
        <v>2021</v>
      </c>
      <c r="P139" s="58" t="str">
        <f ca="1">IF(AND(tbRegistroEntradas[[#This Row],[DATA DE CAIXA REALIZADO]]="N/A",tbRegistroEntradas[[#This Row],[DATA DO CAIXA PREVISTO]]&lt;TODAY()),"Vencida","Não Vencida")</f>
        <v>Não Vencida</v>
      </c>
      <c r="Q139" s="58" t="str">
        <f>IF(tbRegistroEntradas[[#This Row],[DATA DA COMPETÊNCIA]]=tbRegistroEntradas[[#This Row],[DATA DO CAIXA PREVISTO]],"Vista","Prazo")</f>
        <v>Prazo</v>
      </c>
      <c r="R139" s="58" t="str">
        <f>IF(tbRegistroEntradas[[#This Row],[DATA DE CAIXA REALIZADO]]&lt;&gt;"N/A","Em Dia","Com atraso")</f>
        <v>Em Dia</v>
      </c>
    </row>
    <row r="140" spans="1:18" s="52" customFormat="1" ht="14.4" customHeight="1" x14ac:dyDescent="0.3">
      <c r="A140" s="125">
        <v>44475</v>
      </c>
      <c r="B140" s="125">
        <f>A140-31</f>
        <v>44444</v>
      </c>
      <c r="C140" s="111">
        <f>(A140-B140)+B140-15</f>
        <v>44460</v>
      </c>
      <c r="D140" s="126" t="s">
        <v>66</v>
      </c>
      <c r="E140" s="126" t="s">
        <v>12</v>
      </c>
      <c r="F140" s="126" t="s">
        <v>18</v>
      </c>
      <c r="G140" s="126" t="s">
        <v>1103</v>
      </c>
      <c r="H140" s="52" t="s">
        <v>90</v>
      </c>
      <c r="I140" s="127">
        <v>4220</v>
      </c>
      <c r="J140" s="110" t="str">
        <f>IF(tbRegistroEntradas[[#This Row],[DATA DE CAIXA REALIZADO]]="N/A","0",UPPER(TEXT(tbRegistroEntradas[[#This Row],[DATA DE CAIXA REALIZADO]],"mmm")))</f>
        <v>OUT</v>
      </c>
      <c r="K140" s="57">
        <f>IF(tbRegistroEntradas[[#This Row],[DATA DE CAIXA REALIZADO]]="N/A",0,YEAR(tbRegistroEntradas[[#This Row],[DATA DE CAIXA REALIZADO]]))</f>
        <v>2021</v>
      </c>
      <c r="L140" s="58" t="str">
        <f>IF(tbRegistroEntradas[[#This Row],[DATA DA COMPETÊNCIA]]="N/A","0",UPPER(TEXT(tbRegistroEntradas[[#This Row],[DATA DA COMPETÊNCIA]],"mmm")))</f>
        <v>SET</v>
      </c>
      <c r="M140" s="58">
        <f>IF(tbRegistroEntradas[[#This Row],[DATA DA COMPETÊNCIA]]="N/A",0,YEAR(tbRegistroEntradas[[#This Row],[DATA DA COMPETÊNCIA]]))</f>
        <v>2021</v>
      </c>
      <c r="N140" s="58" t="str">
        <f>IF(tbRegistroEntradas[[#This Row],[DATA DO CAIXA PREVISTO]]="N/A","0",UPPER(TEXT(tbRegistroEntradas[[#This Row],[DATA DO CAIXA PREVISTO]],"mmm")))</f>
        <v>SET</v>
      </c>
      <c r="O140" s="58">
        <f>IF(tbRegistroEntradas[[#This Row],[DATA DO CAIXA PREVISTO]]="N/A",0,YEAR(tbRegistroEntradas[[#This Row],[DATA DO CAIXA PREVISTO]]))</f>
        <v>2021</v>
      </c>
      <c r="P140" s="58" t="str">
        <f ca="1">IF(AND(tbRegistroEntradas[[#This Row],[DATA DE CAIXA REALIZADO]]="N/A",tbRegistroEntradas[[#This Row],[DATA DO CAIXA PREVISTO]]&lt;TODAY()),"Vencida","Não Vencida")</f>
        <v>Não Vencida</v>
      </c>
      <c r="Q140" s="58" t="str">
        <f>IF(tbRegistroEntradas[[#This Row],[DATA DA COMPETÊNCIA]]=tbRegistroEntradas[[#This Row],[DATA DO CAIXA PREVISTO]],"Vista","Prazo")</f>
        <v>Prazo</v>
      </c>
      <c r="R140" s="58" t="str">
        <f>IF(tbRegistroEntradas[[#This Row],[DATA DE CAIXA REALIZADO]]&lt;&gt;"N/A","Em Dia","Com atraso")</f>
        <v>Em Dia</v>
      </c>
    </row>
    <row r="141" spans="1:18" s="52" customFormat="1" ht="14.4" customHeight="1" x14ac:dyDescent="0.3">
      <c r="A141" s="125">
        <v>44476</v>
      </c>
      <c r="B141" s="125">
        <f>A141-31</f>
        <v>44445</v>
      </c>
      <c r="C141" s="111">
        <f>(A141-B141)+B141-15</f>
        <v>44461</v>
      </c>
      <c r="D141" s="126" t="s">
        <v>65</v>
      </c>
      <c r="E141" s="126" t="s">
        <v>12</v>
      </c>
      <c r="F141" s="126" t="s">
        <v>32</v>
      </c>
      <c r="G141" s="126" t="s">
        <v>755</v>
      </c>
      <c r="H141" s="52" t="s">
        <v>121</v>
      </c>
      <c r="I141" s="127">
        <v>4576</v>
      </c>
      <c r="J141" s="110" t="str">
        <f>IF(tbRegistroEntradas[[#This Row],[DATA DE CAIXA REALIZADO]]="N/A","0",UPPER(TEXT(tbRegistroEntradas[[#This Row],[DATA DE CAIXA REALIZADO]],"mmm")))</f>
        <v>OUT</v>
      </c>
      <c r="K141" s="57">
        <f>IF(tbRegistroEntradas[[#This Row],[DATA DE CAIXA REALIZADO]]="N/A",0,YEAR(tbRegistroEntradas[[#This Row],[DATA DE CAIXA REALIZADO]]))</f>
        <v>2021</v>
      </c>
      <c r="L141" s="58" t="str">
        <f>IF(tbRegistroEntradas[[#This Row],[DATA DA COMPETÊNCIA]]="N/A","0",UPPER(TEXT(tbRegistroEntradas[[#This Row],[DATA DA COMPETÊNCIA]],"mmm")))</f>
        <v>SET</v>
      </c>
      <c r="M141" s="58">
        <f>IF(tbRegistroEntradas[[#This Row],[DATA DA COMPETÊNCIA]]="N/A",0,YEAR(tbRegistroEntradas[[#This Row],[DATA DA COMPETÊNCIA]]))</f>
        <v>2021</v>
      </c>
      <c r="N141" s="58" t="str">
        <f>IF(tbRegistroEntradas[[#This Row],[DATA DO CAIXA PREVISTO]]="N/A","0",UPPER(TEXT(tbRegistroEntradas[[#This Row],[DATA DO CAIXA PREVISTO]],"mmm")))</f>
        <v>SET</v>
      </c>
      <c r="O141" s="58">
        <f>IF(tbRegistroEntradas[[#This Row],[DATA DO CAIXA PREVISTO]]="N/A",0,YEAR(tbRegistroEntradas[[#This Row],[DATA DO CAIXA PREVISTO]]))</f>
        <v>2021</v>
      </c>
      <c r="P141" s="58" t="str">
        <f ca="1">IF(AND(tbRegistroEntradas[[#This Row],[DATA DE CAIXA REALIZADO]]="N/A",tbRegistroEntradas[[#This Row],[DATA DO CAIXA PREVISTO]]&lt;TODAY()),"Vencida","Não Vencida")</f>
        <v>Não Vencida</v>
      </c>
      <c r="Q141" s="58" t="str">
        <f>IF(tbRegistroEntradas[[#This Row],[DATA DA COMPETÊNCIA]]=tbRegistroEntradas[[#This Row],[DATA DO CAIXA PREVISTO]],"Vista","Prazo")</f>
        <v>Prazo</v>
      </c>
      <c r="R141" s="58" t="str">
        <f>IF(tbRegistroEntradas[[#This Row],[DATA DE CAIXA REALIZADO]]&lt;&gt;"N/A","Em Dia","Com atraso")</f>
        <v>Em Dia</v>
      </c>
    </row>
    <row r="142" spans="1:18" s="52" customFormat="1" ht="14.4" customHeight="1" x14ac:dyDescent="0.3">
      <c r="A142" s="125">
        <v>44476</v>
      </c>
      <c r="B142" s="125">
        <f>A142-31</f>
        <v>44445</v>
      </c>
      <c r="C142" s="111">
        <f>(A142-B142)+B142-15</f>
        <v>44461</v>
      </c>
      <c r="D142" s="126" t="s">
        <v>63</v>
      </c>
      <c r="E142" s="126" t="s">
        <v>12</v>
      </c>
      <c r="F142" s="126" t="s">
        <v>16</v>
      </c>
      <c r="G142" s="126" t="s">
        <v>911</v>
      </c>
      <c r="H142" s="52" t="s">
        <v>103</v>
      </c>
      <c r="I142" s="127">
        <v>5380</v>
      </c>
      <c r="J142" s="110" t="str">
        <f>IF(tbRegistroEntradas[[#This Row],[DATA DE CAIXA REALIZADO]]="N/A","0",UPPER(TEXT(tbRegistroEntradas[[#This Row],[DATA DE CAIXA REALIZADO]],"mmm")))</f>
        <v>OUT</v>
      </c>
      <c r="K142" s="57">
        <f>IF(tbRegistroEntradas[[#This Row],[DATA DE CAIXA REALIZADO]]="N/A",0,YEAR(tbRegistroEntradas[[#This Row],[DATA DE CAIXA REALIZADO]]))</f>
        <v>2021</v>
      </c>
      <c r="L142" s="58" t="str">
        <f>IF(tbRegistroEntradas[[#This Row],[DATA DA COMPETÊNCIA]]="N/A","0",UPPER(TEXT(tbRegistroEntradas[[#This Row],[DATA DA COMPETÊNCIA]],"mmm")))</f>
        <v>SET</v>
      </c>
      <c r="M142" s="58">
        <f>IF(tbRegistroEntradas[[#This Row],[DATA DA COMPETÊNCIA]]="N/A",0,YEAR(tbRegistroEntradas[[#This Row],[DATA DA COMPETÊNCIA]]))</f>
        <v>2021</v>
      </c>
      <c r="N142" s="58" t="str">
        <f>IF(tbRegistroEntradas[[#This Row],[DATA DO CAIXA PREVISTO]]="N/A","0",UPPER(TEXT(tbRegistroEntradas[[#This Row],[DATA DO CAIXA PREVISTO]],"mmm")))</f>
        <v>SET</v>
      </c>
      <c r="O142" s="58">
        <f>IF(tbRegistroEntradas[[#This Row],[DATA DO CAIXA PREVISTO]]="N/A",0,YEAR(tbRegistroEntradas[[#This Row],[DATA DO CAIXA PREVISTO]]))</f>
        <v>2021</v>
      </c>
      <c r="P142" s="58" t="str">
        <f ca="1">IF(AND(tbRegistroEntradas[[#This Row],[DATA DE CAIXA REALIZADO]]="N/A",tbRegistroEntradas[[#This Row],[DATA DO CAIXA PREVISTO]]&lt;TODAY()),"Vencida","Não Vencida")</f>
        <v>Não Vencida</v>
      </c>
      <c r="Q142" s="58" t="str">
        <f>IF(tbRegistroEntradas[[#This Row],[DATA DA COMPETÊNCIA]]=tbRegistroEntradas[[#This Row],[DATA DO CAIXA PREVISTO]],"Vista","Prazo")</f>
        <v>Prazo</v>
      </c>
      <c r="R142" s="58" t="str">
        <f>IF(tbRegistroEntradas[[#This Row],[DATA DE CAIXA REALIZADO]]&lt;&gt;"N/A","Em Dia","Com atraso")</f>
        <v>Em Dia</v>
      </c>
    </row>
    <row r="143" spans="1:18" s="52" customFormat="1" ht="14.4" customHeight="1" x14ac:dyDescent="0.3">
      <c r="A143" s="125">
        <v>44476</v>
      </c>
      <c r="B143" s="125">
        <f>A143-31</f>
        <v>44445</v>
      </c>
      <c r="C143" s="111">
        <f>(A143-B143)+B143-15</f>
        <v>44461</v>
      </c>
      <c r="D143" s="126" t="s">
        <v>137</v>
      </c>
      <c r="E143" s="126" t="s">
        <v>12</v>
      </c>
      <c r="F143" s="126" t="s">
        <v>17</v>
      </c>
      <c r="G143" s="126" t="s">
        <v>749</v>
      </c>
      <c r="H143" s="52" t="s">
        <v>107</v>
      </c>
      <c r="I143" s="127">
        <v>6802</v>
      </c>
      <c r="J143" s="110" t="str">
        <f>IF(tbRegistroEntradas[[#This Row],[DATA DE CAIXA REALIZADO]]="N/A","0",UPPER(TEXT(tbRegistroEntradas[[#This Row],[DATA DE CAIXA REALIZADO]],"mmm")))</f>
        <v>OUT</v>
      </c>
      <c r="K143" s="57">
        <f>IF(tbRegistroEntradas[[#This Row],[DATA DE CAIXA REALIZADO]]="N/A",0,YEAR(tbRegistroEntradas[[#This Row],[DATA DE CAIXA REALIZADO]]))</f>
        <v>2021</v>
      </c>
      <c r="L143" s="58" t="str">
        <f>IF(tbRegistroEntradas[[#This Row],[DATA DA COMPETÊNCIA]]="N/A","0",UPPER(TEXT(tbRegistroEntradas[[#This Row],[DATA DA COMPETÊNCIA]],"mmm")))</f>
        <v>SET</v>
      </c>
      <c r="M143" s="58">
        <f>IF(tbRegistroEntradas[[#This Row],[DATA DA COMPETÊNCIA]]="N/A",0,YEAR(tbRegistroEntradas[[#This Row],[DATA DA COMPETÊNCIA]]))</f>
        <v>2021</v>
      </c>
      <c r="N143" s="58" t="str">
        <f>IF(tbRegistroEntradas[[#This Row],[DATA DO CAIXA PREVISTO]]="N/A","0",UPPER(TEXT(tbRegistroEntradas[[#This Row],[DATA DO CAIXA PREVISTO]],"mmm")))</f>
        <v>SET</v>
      </c>
      <c r="O143" s="58">
        <f>IF(tbRegistroEntradas[[#This Row],[DATA DO CAIXA PREVISTO]]="N/A",0,YEAR(tbRegistroEntradas[[#This Row],[DATA DO CAIXA PREVISTO]]))</f>
        <v>2021</v>
      </c>
      <c r="P143" s="58" t="str">
        <f ca="1">IF(AND(tbRegistroEntradas[[#This Row],[DATA DE CAIXA REALIZADO]]="N/A",tbRegistroEntradas[[#This Row],[DATA DO CAIXA PREVISTO]]&lt;TODAY()),"Vencida","Não Vencida")</f>
        <v>Não Vencida</v>
      </c>
      <c r="Q143" s="58" t="str">
        <f>IF(tbRegistroEntradas[[#This Row],[DATA DA COMPETÊNCIA]]=tbRegistroEntradas[[#This Row],[DATA DO CAIXA PREVISTO]],"Vista","Prazo")</f>
        <v>Prazo</v>
      </c>
      <c r="R143" s="58" t="str">
        <f>IF(tbRegistroEntradas[[#This Row],[DATA DE CAIXA REALIZADO]]&lt;&gt;"N/A","Em Dia","Com atraso")</f>
        <v>Em Dia</v>
      </c>
    </row>
    <row r="144" spans="1:18" s="52" customFormat="1" ht="14.4" customHeight="1" x14ac:dyDescent="0.3">
      <c r="A144" s="112">
        <v>44476.979722222219</v>
      </c>
      <c r="B144" s="114">
        <v>44445</v>
      </c>
      <c r="C144" s="41">
        <v>44476.979722222219</v>
      </c>
      <c r="D144" s="55" t="s">
        <v>65</v>
      </c>
      <c r="E144" s="55" t="s">
        <v>12</v>
      </c>
      <c r="F144" s="55" t="s">
        <v>19</v>
      </c>
      <c r="G144" s="55" t="s">
        <v>151</v>
      </c>
      <c r="H144" s="52" t="s">
        <v>117</v>
      </c>
      <c r="I144" s="119">
        <v>3761</v>
      </c>
      <c r="J144" s="55" t="str">
        <f>IF(tbRegistroEntradas[[#This Row],[DATA DE CAIXA REALIZADO]]="N/A","0",UPPER(TEXT(tbRegistroEntradas[[#This Row],[DATA DE CAIXA REALIZADO]],"mmm")))</f>
        <v>OUT</v>
      </c>
      <c r="K144" s="58">
        <f>IF(tbRegistroEntradas[[#This Row],[DATA DE CAIXA REALIZADO]]="N/A",0,YEAR(tbRegistroEntradas[[#This Row],[DATA DE CAIXA REALIZADO]]))</f>
        <v>2021</v>
      </c>
      <c r="L144" s="79" t="str">
        <f>IF(tbRegistroEntradas[[#This Row],[DATA DA COMPETÊNCIA]]="N/A","0",UPPER(TEXT(tbRegistroEntradas[[#This Row],[DATA DA COMPETÊNCIA]],"mmm")))</f>
        <v>SET</v>
      </c>
      <c r="M144" s="79">
        <f>IF(tbRegistroEntradas[[#This Row],[DATA DA COMPETÊNCIA]]="N/A",0,YEAR(tbRegistroEntradas[[#This Row],[DATA DA COMPETÊNCIA]]))</f>
        <v>2021</v>
      </c>
      <c r="N144" s="84" t="str">
        <f>IF(tbRegistroEntradas[[#This Row],[DATA DO CAIXA PREVISTO]]="N/A","0",UPPER(TEXT(tbRegistroEntradas[[#This Row],[DATA DO CAIXA PREVISTO]],"mmm")))</f>
        <v>OUT</v>
      </c>
      <c r="O144" s="84">
        <f>IF(tbRegistroEntradas[[#This Row],[DATA DO CAIXA PREVISTO]]="N/A",0,YEAR(tbRegistroEntradas[[#This Row],[DATA DO CAIXA PREVISTO]]))</f>
        <v>2021</v>
      </c>
      <c r="P144" s="58" t="str">
        <f ca="1">IF(AND(tbRegistroEntradas[[#This Row],[DATA DE CAIXA REALIZADO]]="N/A",tbRegistroEntradas[[#This Row],[DATA DO CAIXA PREVISTO]]&lt;TODAY()),"Vencida","Não Vencida")</f>
        <v>Não Vencida</v>
      </c>
      <c r="Q144" s="58" t="str">
        <f>IF(tbRegistroEntradas[[#This Row],[DATA DA COMPETÊNCIA]]=tbRegistroEntradas[[#This Row],[DATA DO CAIXA PREVISTO]],"Vista","Prazo")</f>
        <v>Prazo</v>
      </c>
      <c r="R144" s="58" t="str">
        <f>IF(tbRegistroEntradas[[#This Row],[DATA DE CAIXA REALIZADO]]&lt;&gt;"N/A","Em Dia","Com atraso")</f>
        <v>Em Dia</v>
      </c>
    </row>
    <row r="145" spans="1:18" s="52" customFormat="1" ht="14.4" customHeight="1" x14ac:dyDescent="0.3">
      <c r="A145" s="125">
        <v>44477</v>
      </c>
      <c r="B145" s="125">
        <f>A145-31</f>
        <v>44446</v>
      </c>
      <c r="C145" s="111">
        <f>(A145-B145)+B145-15</f>
        <v>44462</v>
      </c>
      <c r="D145" s="126" t="s">
        <v>138</v>
      </c>
      <c r="E145" s="126" t="s">
        <v>12</v>
      </c>
      <c r="F145" s="126" t="s">
        <v>16</v>
      </c>
      <c r="G145" s="126" t="s">
        <v>1100</v>
      </c>
      <c r="H145" s="52" t="s">
        <v>78</v>
      </c>
      <c r="I145" s="127">
        <v>7117</v>
      </c>
      <c r="J145" s="110" t="str">
        <f>IF(tbRegistroEntradas[[#This Row],[DATA DE CAIXA REALIZADO]]="N/A","0",UPPER(TEXT(tbRegistroEntradas[[#This Row],[DATA DE CAIXA REALIZADO]],"mmm")))</f>
        <v>OUT</v>
      </c>
      <c r="K145" s="57">
        <f>IF(tbRegistroEntradas[[#This Row],[DATA DE CAIXA REALIZADO]]="N/A",0,YEAR(tbRegistroEntradas[[#This Row],[DATA DE CAIXA REALIZADO]]))</f>
        <v>2021</v>
      </c>
      <c r="L145" s="58" t="str">
        <f>IF(tbRegistroEntradas[[#This Row],[DATA DA COMPETÊNCIA]]="N/A","0",UPPER(TEXT(tbRegistroEntradas[[#This Row],[DATA DA COMPETÊNCIA]],"mmm")))</f>
        <v>SET</v>
      </c>
      <c r="M145" s="58">
        <f>IF(tbRegistroEntradas[[#This Row],[DATA DA COMPETÊNCIA]]="N/A",0,YEAR(tbRegistroEntradas[[#This Row],[DATA DA COMPETÊNCIA]]))</f>
        <v>2021</v>
      </c>
      <c r="N145" s="58" t="str">
        <f>IF(tbRegistroEntradas[[#This Row],[DATA DO CAIXA PREVISTO]]="N/A","0",UPPER(TEXT(tbRegistroEntradas[[#This Row],[DATA DO CAIXA PREVISTO]],"mmm")))</f>
        <v>SET</v>
      </c>
      <c r="O145" s="58">
        <f>IF(tbRegistroEntradas[[#This Row],[DATA DO CAIXA PREVISTO]]="N/A",0,YEAR(tbRegistroEntradas[[#This Row],[DATA DO CAIXA PREVISTO]]))</f>
        <v>2021</v>
      </c>
      <c r="P145" s="58" t="str">
        <f ca="1">IF(AND(tbRegistroEntradas[[#This Row],[DATA DE CAIXA REALIZADO]]="N/A",tbRegistroEntradas[[#This Row],[DATA DO CAIXA PREVISTO]]&lt;TODAY()),"Vencida","Não Vencida")</f>
        <v>Não Vencida</v>
      </c>
      <c r="Q145" s="58" t="str">
        <f>IF(tbRegistroEntradas[[#This Row],[DATA DA COMPETÊNCIA]]=tbRegistroEntradas[[#This Row],[DATA DO CAIXA PREVISTO]],"Vista","Prazo")</f>
        <v>Prazo</v>
      </c>
      <c r="R145" s="58" t="str">
        <f>IF(tbRegistroEntradas[[#This Row],[DATA DE CAIXA REALIZADO]]&lt;&gt;"N/A","Em Dia","Com atraso")</f>
        <v>Em Dia</v>
      </c>
    </row>
    <row r="146" spans="1:18" s="52" customFormat="1" ht="14.4" customHeight="1" x14ac:dyDescent="0.3">
      <c r="A146" s="125">
        <v>44478</v>
      </c>
      <c r="B146" s="125">
        <f>A146-31</f>
        <v>44447</v>
      </c>
      <c r="C146" s="111">
        <f>tbRegistroEntradas[[#This Row],[DATA DA COMPETÊNCIA]]</f>
        <v>44447</v>
      </c>
      <c r="D146" s="126" t="s">
        <v>138</v>
      </c>
      <c r="E146" s="126" t="s">
        <v>12</v>
      </c>
      <c r="F146" s="126" t="s">
        <v>17</v>
      </c>
      <c r="G146" s="126" t="s">
        <v>1080</v>
      </c>
      <c r="H146" s="52" t="s">
        <v>135</v>
      </c>
      <c r="I146" s="127">
        <v>2169</v>
      </c>
      <c r="J146" s="110" t="str">
        <f>IF(tbRegistroEntradas[[#This Row],[DATA DE CAIXA REALIZADO]]="N/A","0",UPPER(TEXT(tbRegistroEntradas[[#This Row],[DATA DE CAIXA REALIZADO]],"mmm")))</f>
        <v>OUT</v>
      </c>
      <c r="K146" s="57">
        <f>IF(tbRegistroEntradas[[#This Row],[DATA DE CAIXA REALIZADO]]="N/A",0,YEAR(tbRegistroEntradas[[#This Row],[DATA DE CAIXA REALIZADO]]))</f>
        <v>2021</v>
      </c>
      <c r="L146" s="58" t="str">
        <f>IF(tbRegistroEntradas[[#This Row],[DATA DA COMPETÊNCIA]]="N/A","0",UPPER(TEXT(tbRegistroEntradas[[#This Row],[DATA DA COMPETÊNCIA]],"mmm")))</f>
        <v>SET</v>
      </c>
      <c r="M146" s="58">
        <f>IF(tbRegistroEntradas[[#This Row],[DATA DA COMPETÊNCIA]]="N/A",0,YEAR(tbRegistroEntradas[[#This Row],[DATA DA COMPETÊNCIA]]))</f>
        <v>2021</v>
      </c>
      <c r="N146" s="58" t="str">
        <f>IF(tbRegistroEntradas[[#This Row],[DATA DO CAIXA PREVISTO]]="N/A","0",UPPER(TEXT(tbRegistroEntradas[[#This Row],[DATA DO CAIXA PREVISTO]],"mmm")))</f>
        <v>SET</v>
      </c>
      <c r="O146" s="58">
        <f>IF(tbRegistroEntradas[[#This Row],[DATA DO CAIXA PREVISTO]]="N/A",0,YEAR(tbRegistroEntradas[[#This Row],[DATA DO CAIXA PREVISTO]]))</f>
        <v>2021</v>
      </c>
      <c r="P146" s="58" t="str">
        <f ca="1">IF(AND(tbRegistroEntradas[[#This Row],[DATA DE CAIXA REALIZADO]]="N/A",tbRegistroEntradas[[#This Row],[DATA DO CAIXA PREVISTO]]&lt;TODAY()),"Vencida","Não Vencida")</f>
        <v>Não Vencida</v>
      </c>
      <c r="Q146" s="58" t="str">
        <f>IF(tbRegistroEntradas[[#This Row],[DATA DA COMPETÊNCIA]]=tbRegistroEntradas[[#This Row],[DATA DO CAIXA PREVISTO]],"Vista","Prazo")</f>
        <v>Vista</v>
      </c>
      <c r="R146" s="58" t="str">
        <f>IF(tbRegistroEntradas[[#This Row],[DATA DE CAIXA REALIZADO]]&lt;&gt;"N/A","Em Dia","Com atraso")</f>
        <v>Em Dia</v>
      </c>
    </row>
    <row r="147" spans="1:18" s="52" customFormat="1" ht="14.4" customHeight="1" x14ac:dyDescent="0.3">
      <c r="A147" s="113" t="s">
        <v>141</v>
      </c>
      <c r="B147" s="115">
        <v>44449</v>
      </c>
      <c r="C147" s="111">
        <f>tbRegistroEntradas[[#This Row],[DATA DA COMPETÊNCIA]]</f>
        <v>44449</v>
      </c>
      <c r="D147" s="116" t="s">
        <v>67</v>
      </c>
      <c r="E147" s="116" t="s">
        <v>12</v>
      </c>
      <c r="F147" s="116" t="s">
        <v>19</v>
      </c>
      <c r="G147" s="116" t="s">
        <v>152</v>
      </c>
      <c r="H147" s="52" t="s">
        <v>134</v>
      </c>
      <c r="I147" s="120">
        <v>4983</v>
      </c>
      <c r="J147" s="55" t="str">
        <f>IF(tbRegistroEntradas[[#This Row],[DATA DE CAIXA REALIZADO]]="N/A","0",UPPER(TEXT(tbRegistroEntradas[[#This Row],[DATA DE CAIXA REALIZADO]],"mmm")))</f>
        <v>0</v>
      </c>
      <c r="K147" s="58">
        <f>IF(tbRegistroEntradas[[#This Row],[DATA DE CAIXA REALIZADO]]="N/A",0,YEAR(tbRegistroEntradas[[#This Row],[DATA DE CAIXA REALIZADO]]))</f>
        <v>0</v>
      </c>
      <c r="L147" s="79" t="str">
        <f>IF(tbRegistroEntradas[[#This Row],[DATA DA COMPETÊNCIA]]="N/A","0",UPPER(TEXT(tbRegistroEntradas[[#This Row],[DATA DA COMPETÊNCIA]],"mmm")))</f>
        <v>SET</v>
      </c>
      <c r="M147" s="79">
        <f>IF(tbRegistroEntradas[[#This Row],[DATA DA COMPETÊNCIA]]="N/A",0,YEAR(tbRegistroEntradas[[#This Row],[DATA DA COMPETÊNCIA]]))</f>
        <v>2021</v>
      </c>
      <c r="N147" s="84" t="str">
        <f>IF(tbRegistroEntradas[[#This Row],[DATA DO CAIXA PREVISTO]]="N/A","0",UPPER(TEXT(tbRegistroEntradas[[#This Row],[DATA DO CAIXA PREVISTO]],"mmm")))</f>
        <v>SET</v>
      </c>
      <c r="O147" s="84">
        <f>IF(tbRegistroEntradas[[#This Row],[DATA DO CAIXA PREVISTO]]="N/A",0,YEAR(tbRegistroEntradas[[#This Row],[DATA DO CAIXA PREVISTO]]))</f>
        <v>2021</v>
      </c>
      <c r="P147" s="58" t="str">
        <f ca="1">IF(AND(tbRegistroEntradas[[#This Row],[DATA DE CAIXA REALIZADO]]="N/A",tbRegistroEntradas[[#This Row],[DATA DO CAIXA PREVISTO]]&lt;TODAY()),"Vencida","Não Vencida")</f>
        <v>Vencida</v>
      </c>
      <c r="Q147" s="58" t="str">
        <f>IF(tbRegistroEntradas[[#This Row],[DATA DA COMPETÊNCIA]]=tbRegistroEntradas[[#This Row],[DATA DO CAIXA PREVISTO]],"Vista","Prazo")</f>
        <v>Vista</v>
      </c>
      <c r="R147" s="58" t="str">
        <f>IF(tbRegistroEntradas[[#This Row],[DATA DE CAIXA REALIZADO]]&lt;&gt;"N/A","Em Dia","Com atraso")</f>
        <v>Com atraso</v>
      </c>
    </row>
    <row r="148" spans="1:18" s="52" customFormat="1" ht="14.4" customHeight="1" x14ac:dyDescent="0.3">
      <c r="A148" s="125">
        <v>44480</v>
      </c>
      <c r="B148" s="125">
        <f>A148-31</f>
        <v>44449</v>
      </c>
      <c r="C148" s="111">
        <f>(A148-B148)+B148-15</f>
        <v>44465</v>
      </c>
      <c r="D148" s="126" t="s">
        <v>66</v>
      </c>
      <c r="E148" s="126" t="s">
        <v>12</v>
      </c>
      <c r="F148" s="126" t="s">
        <v>16</v>
      </c>
      <c r="G148" s="126" t="s">
        <v>950</v>
      </c>
      <c r="H148" s="126" t="s">
        <v>125</v>
      </c>
      <c r="I148" s="127">
        <v>6652</v>
      </c>
      <c r="J148" s="110" t="str">
        <f>IF(tbRegistroEntradas[[#This Row],[DATA DE CAIXA REALIZADO]]="N/A","0",UPPER(TEXT(tbRegistroEntradas[[#This Row],[DATA DE CAIXA REALIZADO]],"mmm")))</f>
        <v>OUT</v>
      </c>
      <c r="K148" s="57">
        <f>IF(tbRegistroEntradas[[#This Row],[DATA DE CAIXA REALIZADO]]="N/A",0,YEAR(tbRegistroEntradas[[#This Row],[DATA DE CAIXA REALIZADO]]))</f>
        <v>2021</v>
      </c>
      <c r="L148" s="58" t="str">
        <f>IF(tbRegistroEntradas[[#This Row],[DATA DA COMPETÊNCIA]]="N/A","0",UPPER(TEXT(tbRegistroEntradas[[#This Row],[DATA DA COMPETÊNCIA]],"mmm")))</f>
        <v>SET</v>
      </c>
      <c r="M148" s="58">
        <f>IF(tbRegistroEntradas[[#This Row],[DATA DA COMPETÊNCIA]]="N/A",0,YEAR(tbRegistroEntradas[[#This Row],[DATA DA COMPETÊNCIA]]))</f>
        <v>2021</v>
      </c>
      <c r="N148" s="58" t="str">
        <f>IF(tbRegistroEntradas[[#This Row],[DATA DO CAIXA PREVISTO]]="N/A","0",UPPER(TEXT(tbRegistroEntradas[[#This Row],[DATA DO CAIXA PREVISTO]],"mmm")))</f>
        <v>SET</v>
      </c>
      <c r="O148" s="58">
        <f>IF(tbRegistroEntradas[[#This Row],[DATA DO CAIXA PREVISTO]]="N/A",0,YEAR(tbRegistroEntradas[[#This Row],[DATA DO CAIXA PREVISTO]]))</f>
        <v>2021</v>
      </c>
      <c r="P148" s="58" t="str">
        <f ca="1">IF(AND(tbRegistroEntradas[[#This Row],[DATA DE CAIXA REALIZADO]]="N/A",tbRegistroEntradas[[#This Row],[DATA DO CAIXA PREVISTO]]&lt;TODAY()),"Vencida","Não Vencida")</f>
        <v>Não Vencida</v>
      </c>
      <c r="Q148" s="58" t="str">
        <f>IF(tbRegistroEntradas[[#This Row],[DATA DA COMPETÊNCIA]]=tbRegistroEntradas[[#This Row],[DATA DO CAIXA PREVISTO]],"Vista","Prazo")</f>
        <v>Prazo</v>
      </c>
      <c r="R148" s="58" t="str">
        <f>IF(tbRegistroEntradas[[#This Row],[DATA DE CAIXA REALIZADO]]&lt;&gt;"N/A","Em Dia","Com atraso")</f>
        <v>Em Dia</v>
      </c>
    </row>
    <row r="149" spans="1:18" s="52" customFormat="1" ht="14.4" customHeight="1" x14ac:dyDescent="0.3">
      <c r="A149" s="125">
        <v>44481</v>
      </c>
      <c r="B149" s="125">
        <f>A149-31</f>
        <v>44450</v>
      </c>
      <c r="C149" s="111">
        <f>(A149-B149)+B149-15</f>
        <v>44466</v>
      </c>
      <c r="D149" s="126" t="s">
        <v>64</v>
      </c>
      <c r="E149" s="126" t="s">
        <v>12</v>
      </c>
      <c r="F149" s="126" t="s">
        <v>18</v>
      </c>
      <c r="G149" s="126" t="s">
        <v>464</v>
      </c>
      <c r="H149" s="52" t="s">
        <v>108</v>
      </c>
      <c r="I149" s="127">
        <v>600</v>
      </c>
      <c r="J149" s="110" t="str">
        <f>IF(tbRegistroEntradas[[#This Row],[DATA DE CAIXA REALIZADO]]="N/A","0",UPPER(TEXT(tbRegistroEntradas[[#This Row],[DATA DE CAIXA REALIZADO]],"mmm")))</f>
        <v>OUT</v>
      </c>
      <c r="K149" s="57">
        <f>IF(tbRegistroEntradas[[#This Row],[DATA DE CAIXA REALIZADO]]="N/A",0,YEAR(tbRegistroEntradas[[#This Row],[DATA DE CAIXA REALIZADO]]))</f>
        <v>2021</v>
      </c>
      <c r="L149" s="58" t="str">
        <f>IF(tbRegistroEntradas[[#This Row],[DATA DA COMPETÊNCIA]]="N/A","0",UPPER(TEXT(tbRegistroEntradas[[#This Row],[DATA DA COMPETÊNCIA]],"mmm")))</f>
        <v>SET</v>
      </c>
      <c r="M149" s="58">
        <f>IF(tbRegistroEntradas[[#This Row],[DATA DA COMPETÊNCIA]]="N/A",0,YEAR(tbRegistroEntradas[[#This Row],[DATA DA COMPETÊNCIA]]))</f>
        <v>2021</v>
      </c>
      <c r="N149" s="58" t="str">
        <f>IF(tbRegistroEntradas[[#This Row],[DATA DO CAIXA PREVISTO]]="N/A","0",UPPER(TEXT(tbRegistroEntradas[[#This Row],[DATA DO CAIXA PREVISTO]],"mmm")))</f>
        <v>SET</v>
      </c>
      <c r="O149" s="58">
        <f>IF(tbRegistroEntradas[[#This Row],[DATA DO CAIXA PREVISTO]]="N/A",0,YEAR(tbRegistroEntradas[[#This Row],[DATA DO CAIXA PREVISTO]]))</f>
        <v>2021</v>
      </c>
      <c r="P149" s="58" t="str">
        <f ca="1">IF(AND(tbRegistroEntradas[[#This Row],[DATA DE CAIXA REALIZADO]]="N/A",tbRegistroEntradas[[#This Row],[DATA DO CAIXA PREVISTO]]&lt;TODAY()),"Vencida","Não Vencida")</f>
        <v>Não Vencida</v>
      </c>
      <c r="Q149" s="58" t="str">
        <f>IF(tbRegistroEntradas[[#This Row],[DATA DA COMPETÊNCIA]]=tbRegistroEntradas[[#This Row],[DATA DO CAIXA PREVISTO]],"Vista","Prazo")</f>
        <v>Prazo</v>
      </c>
      <c r="R149" s="58" t="str">
        <f>IF(tbRegistroEntradas[[#This Row],[DATA DE CAIXA REALIZADO]]&lt;&gt;"N/A","Em Dia","Com atraso")</f>
        <v>Em Dia</v>
      </c>
    </row>
    <row r="150" spans="1:18" s="52" customFormat="1" ht="14.4" customHeight="1" x14ac:dyDescent="0.3">
      <c r="A150" s="125">
        <v>44482</v>
      </c>
      <c r="B150" s="125">
        <f>A150-31</f>
        <v>44451</v>
      </c>
      <c r="C150" s="111">
        <f>(A150-B150)+B150-15</f>
        <v>44467</v>
      </c>
      <c r="D150" s="126" t="s">
        <v>67</v>
      </c>
      <c r="E150" s="126" t="s">
        <v>12</v>
      </c>
      <c r="F150" s="126" t="s">
        <v>17</v>
      </c>
      <c r="G150" s="126" t="s">
        <v>789</v>
      </c>
      <c r="H150" s="52" t="s">
        <v>70</v>
      </c>
      <c r="I150" s="127">
        <v>2106</v>
      </c>
      <c r="J150" s="110" t="str">
        <f>IF(tbRegistroEntradas[[#This Row],[DATA DE CAIXA REALIZADO]]="N/A","0",UPPER(TEXT(tbRegistroEntradas[[#This Row],[DATA DE CAIXA REALIZADO]],"mmm")))</f>
        <v>OUT</v>
      </c>
      <c r="K150" s="57">
        <f>IF(tbRegistroEntradas[[#This Row],[DATA DE CAIXA REALIZADO]]="N/A",0,YEAR(tbRegistroEntradas[[#This Row],[DATA DE CAIXA REALIZADO]]))</f>
        <v>2021</v>
      </c>
      <c r="L150" s="58" t="str">
        <f>IF(tbRegistroEntradas[[#This Row],[DATA DA COMPETÊNCIA]]="N/A","0",UPPER(TEXT(tbRegistroEntradas[[#This Row],[DATA DA COMPETÊNCIA]],"mmm")))</f>
        <v>SET</v>
      </c>
      <c r="M150" s="58">
        <f>IF(tbRegistroEntradas[[#This Row],[DATA DA COMPETÊNCIA]]="N/A",0,YEAR(tbRegistroEntradas[[#This Row],[DATA DA COMPETÊNCIA]]))</f>
        <v>2021</v>
      </c>
      <c r="N150" s="58" t="str">
        <f>IF(tbRegistroEntradas[[#This Row],[DATA DO CAIXA PREVISTO]]="N/A","0",UPPER(TEXT(tbRegistroEntradas[[#This Row],[DATA DO CAIXA PREVISTO]],"mmm")))</f>
        <v>SET</v>
      </c>
      <c r="O150" s="58">
        <f>IF(tbRegistroEntradas[[#This Row],[DATA DO CAIXA PREVISTO]]="N/A",0,YEAR(tbRegistroEntradas[[#This Row],[DATA DO CAIXA PREVISTO]]))</f>
        <v>2021</v>
      </c>
      <c r="P150" s="58" t="str">
        <f ca="1">IF(AND(tbRegistroEntradas[[#This Row],[DATA DE CAIXA REALIZADO]]="N/A",tbRegistroEntradas[[#This Row],[DATA DO CAIXA PREVISTO]]&lt;TODAY()),"Vencida","Não Vencida")</f>
        <v>Não Vencida</v>
      </c>
      <c r="Q150" s="58" t="str">
        <f>IF(tbRegistroEntradas[[#This Row],[DATA DA COMPETÊNCIA]]=tbRegistroEntradas[[#This Row],[DATA DO CAIXA PREVISTO]],"Vista","Prazo")</f>
        <v>Prazo</v>
      </c>
      <c r="R150" s="58" t="str">
        <f>IF(tbRegistroEntradas[[#This Row],[DATA DE CAIXA REALIZADO]]&lt;&gt;"N/A","Em Dia","Com atraso")</f>
        <v>Em Dia</v>
      </c>
    </row>
    <row r="151" spans="1:18" s="52" customFormat="1" ht="14.4" customHeight="1" x14ac:dyDescent="0.3">
      <c r="A151" s="112">
        <v>44458.551898148151</v>
      </c>
      <c r="B151" s="114">
        <v>44451</v>
      </c>
      <c r="C151" s="41">
        <v>44458.551898148151</v>
      </c>
      <c r="D151" s="55" t="s">
        <v>61</v>
      </c>
      <c r="E151" s="55" t="s">
        <v>12</v>
      </c>
      <c r="F151" s="55" t="s">
        <v>16</v>
      </c>
      <c r="G151" s="55" t="s">
        <v>153</v>
      </c>
      <c r="H151" s="126" t="s">
        <v>79</v>
      </c>
      <c r="I151" s="119">
        <v>2502</v>
      </c>
      <c r="J151" s="55" t="str">
        <f>IF(tbRegistroEntradas[[#This Row],[DATA DE CAIXA REALIZADO]]="N/A","0",UPPER(TEXT(tbRegistroEntradas[[#This Row],[DATA DE CAIXA REALIZADO]],"mmm")))</f>
        <v>SET</v>
      </c>
      <c r="K151" s="58">
        <f>IF(tbRegistroEntradas[[#This Row],[DATA DE CAIXA REALIZADO]]="N/A",0,YEAR(tbRegistroEntradas[[#This Row],[DATA DE CAIXA REALIZADO]]))</f>
        <v>2021</v>
      </c>
      <c r="L151" s="79" t="str">
        <f>IF(tbRegistroEntradas[[#This Row],[DATA DA COMPETÊNCIA]]="N/A","0",UPPER(TEXT(tbRegistroEntradas[[#This Row],[DATA DA COMPETÊNCIA]],"mmm")))</f>
        <v>SET</v>
      </c>
      <c r="M151" s="79">
        <f>IF(tbRegistroEntradas[[#This Row],[DATA DA COMPETÊNCIA]]="N/A",0,YEAR(tbRegistroEntradas[[#This Row],[DATA DA COMPETÊNCIA]]))</f>
        <v>2021</v>
      </c>
      <c r="N151" s="84" t="str">
        <f>IF(tbRegistroEntradas[[#This Row],[DATA DO CAIXA PREVISTO]]="N/A","0",UPPER(TEXT(tbRegistroEntradas[[#This Row],[DATA DO CAIXA PREVISTO]],"mmm")))</f>
        <v>SET</v>
      </c>
      <c r="O151" s="84">
        <f>IF(tbRegistroEntradas[[#This Row],[DATA DO CAIXA PREVISTO]]="N/A",0,YEAR(tbRegistroEntradas[[#This Row],[DATA DO CAIXA PREVISTO]]))</f>
        <v>2021</v>
      </c>
      <c r="P151" s="58" t="str">
        <f ca="1">IF(AND(tbRegistroEntradas[[#This Row],[DATA DE CAIXA REALIZADO]]="N/A",tbRegistroEntradas[[#This Row],[DATA DO CAIXA PREVISTO]]&lt;TODAY()),"Vencida","Não Vencida")</f>
        <v>Não Vencida</v>
      </c>
      <c r="Q151" s="58" t="str">
        <f>IF(tbRegistroEntradas[[#This Row],[DATA DA COMPETÊNCIA]]=tbRegistroEntradas[[#This Row],[DATA DO CAIXA PREVISTO]],"Vista","Prazo")</f>
        <v>Prazo</v>
      </c>
      <c r="R151" s="58" t="str">
        <f>IF(tbRegistroEntradas[[#This Row],[DATA DE CAIXA REALIZADO]]&lt;&gt;"N/A","Em Dia","Com atraso")</f>
        <v>Em Dia</v>
      </c>
    </row>
    <row r="152" spans="1:18" s="52" customFormat="1" ht="14.4" customHeight="1" x14ac:dyDescent="0.3">
      <c r="A152" s="125">
        <v>44485</v>
      </c>
      <c r="B152" s="125">
        <f>A152-31</f>
        <v>44454</v>
      </c>
      <c r="C152" s="111">
        <f>tbRegistroEntradas[[#This Row],[DATA DA COMPETÊNCIA]]</f>
        <v>44454</v>
      </c>
      <c r="D152" s="126" t="s">
        <v>61</v>
      </c>
      <c r="E152" s="126" t="s">
        <v>12</v>
      </c>
      <c r="F152" s="126" t="s">
        <v>19</v>
      </c>
      <c r="G152" s="126" t="s">
        <v>934</v>
      </c>
      <c r="H152" s="126" t="s">
        <v>80</v>
      </c>
      <c r="I152" s="127">
        <v>4803</v>
      </c>
      <c r="J152" s="110" t="str">
        <f>IF(tbRegistroEntradas[[#This Row],[DATA DE CAIXA REALIZADO]]="N/A","0",UPPER(TEXT(tbRegistroEntradas[[#This Row],[DATA DE CAIXA REALIZADO]],"mmm")))</f>
        <v>OUT</v>
      </c>
      <c r="K152" s="57">
        <f>IF(tbRegistroEntradas[[#This Row],[DATA DE CAIXA REALIZADO]]="N/A",0,YEAR(tbRegistroEntradas[[#This Row],[DATA DE CAIXA REALIZADO]]))</f>
        <v>2021</v>
      </c>
      <c r="L152" s="58" t="str">
        <f>IF(tbRegistroEntradas[[#This Row],[DATA DA COMPETÊNCIA]]="N/A","0",UPPER(TEXT(tbRegistroEntradas[[#This Row],[DATA DA COMPETÊNCIA]],"mmm")))</f>
        <v>SET</v>
      </c>
      <c r="M152" s="58">
        <f>IF(tbRegistroEntradas[[#This Row],[DATA DA COMPETÊNCIA]]="N/A",0,YEAR(tbRegistroEntradas[[#This Row],[DATA DA COMPETÊNCIA]]))</f>
        <v>2021</v>
      </c>
      <c r="N152" s="58" t="str">
        <f>IF(tbRegistroEntradas[[#This Row],[DATA DO CAIXA PREVISTO]]="N/A","0",UPPER(TEXT(tbRegistroEntradas[[#This Row],[DATA DO CAIXA PREVISTO]],"mmm")))</f>
        <v>SET</v>
      </c>
      <c r="O152" s="58">
        <f>IF(tbRegistroEntradas[[#This Row],[DATA DO CAIXA PREVISTO]]="N/A",0,YEAR(tbRegistroEntradas[[#This Row],[DATA DO CAIXA PREVISTO]]))</f>
        <v>2021</v>
      </c>
      <c r="P152" s="58" t="str">
        <f ca="1">IF(AND(tbRegistroEntradas[[#This Row],[DATA DE CAIXA REALIZADO]]="N/A",tbRegistroEntradas[[#This Row],[DATA DO CAIXA PREVISTO]]&lt;TODAY()),"Vencida","Não Vencida")</f>
        <v>Não Vencida</v>
      </c>
      <c r="Q152" s="58" t="str">
        <f>IF(tbRegistroEntradas[[#This Row],[DATA DA COMPETÊNCIA]]=tbRegistroEntradas[[#This Row],[DATA DO CAIXA PREVISTO]],"Vista","Prazo")</f>
        <v>Vista</v>
      </c>
      <c r="R152" s="58" t="str">
        <f>IF(tbRegistroEntradas[[#This Row],[DATA DE CAIXA REALIZADO]]&lt;&gt;"N/A","Em Dia","Com atraso")</f>
        <v>Em Dia</v>
      </c>
    </row>
    <row r="153" spans="1:18" s="52" customFormat="1" ht="14.4" customHeight="1" x14ac:dyDescent="0.3">
      <c r="A153" s="113">
        <v>44465.663368055553</v>
      </c>
      <c r="B153" s="115">
        <v>44455</v>
      </c>
      <c r="C153" s="44">
        <v>44463.856608796297</v>
      </c>
      <c r="D153" s="116" t="s">
        <v>61</v>
      </c>
      <c r="E153" s="116" t="s">
        <v>12</v>
      </c>
      <c r="F153" s="116" t="s">
        <v>19</v>
      </c>
      <c r="G153" s="116" t="s">
        <v>154</v>
      </c>
      <c r="H153" s="52" t="s">
        <v>81</v>
      </c>
      <c r="I153" s="120">
        <v>2337</v>
      </c>
      <c r="J153" s="55" t="str">
        <f>IF(tbRegistroEntradas[[#This Row],[DATA DE CAIXA REALIZADO]]="N/A","0",UPPER(TEXT(tbRegistroEntradas[[#This Row],[DATA DE CAIXA REALIZADO]],"mmm")))</f>
        <v>SET</v>
      </c>
      <c r="K153" s="58">
        <f>IF(tbRegistroEntradas[[#This Row],[DATA DE CAIXA REALIZADO]]="N/A",0,YEAR(tbRegistroEntradas[[#This Row],[DATA DE CAIXA REALIZADO]]))</f>
        <v>2021</v>
      </c>
      <c r="L153" s="79" t="str">
        <f>IF(tbRegistroEntradas[[#This Row],[DATA DA COMPETÊNCIA]]="N/A","0",UPPER(TEXT(tbRegistroEntradas[[#This Row],[DATA DA COMPETÊNCIA]],"mmm")))</f>
        <v>SET</v>
      </c>
      <c r="M153" s="79">
        <f>IF(tbRegistroEntradas[[#This Row],[DATA DA COMPETÊNCIA]]="N/A",0,YEAR(tbRegistroEntradas[[#This Row],[DATA DA COMPETÊNCIA]]))</f>
        <v>2021</v>
      </c>
      <c r="N153" s="84" t="str">
        <f>IF(tbRegistroEntradas[[#This Row],[DATA DO CAIXA PREVISTO]]="N/A","0",UPPER(TEXT(tbRegistroEntradas[[#This Row],[DATA DO CAIXA PREVISTO]],"mmm")))</f>
        <v>SET</v>
      </c>
      <c r="O153" s="84">
        <f>IF(tbRegistroEntradas[[#This Row],[DATA DO CAIXA PREVISTO]]="N/A",0,YEAR(tbRegistroEntradas[[#This Row],[DATA DO CAIXA PREVISTO]]))</f>
        <v>2021</v>
      </c>
      <c r="P153" s="58" t="str">
        <f ca="1">IF(AND(tbRegistroEntradas[[#This Row],[DATA DE CAIXA REALIZADO]]="N/A",tbRegistroEntradas[[#This Row],[DATA DO CAIXA PREVISTO]]&lt;TODAY()),"Vencida","Não Vencida")</f>
        <v>Não Vencida</v>
      </c>
      <c r="Q153" s="58" t="str">
        <f>IF(tbRegistroEntradas[[#This Row],[DATA DA COMPETÊNCIA]]=tbRegistroEntradas[[#This Row],[DATA DO CAIXA PREVISTO]],"Vista","Prazo")</f>
        <v>Prazo</v>
      </c>
      <c r="R153" s="58" t="str">
        <f>IF(tbRegistroEntradas[[#This Row],[DATA DE CAIXA REALIZADO]]&lt;&gt;"N/A","Em Dia","Com atraso")</f>
        <v>Em Dia</v>
      </c>
    </row>
    <row r="154" spans="1:18" s="52" customFormat="1" ht="14.4" customHeight="1" x14ac:dyDescent="0.3">
      <c r="A154" s="125">
        <v>44491</v>
      </c>
      <c r="B154" s="125">
        <f>A154-31</f>
        <v>44460</v>
      </c>
      <c r="C154" s="111">
        <f>(A154-B154)+B154-15</f>
        <v>44476</v>
      </c>
      <c r="D154" s="126" t="s">
        <v>66</v>
      </c>
      <c r="E154" s="126" t="s">
        <v>12</v>
      </c>
      <c r="F154" s="126" t="s">
        <v>32</v>
      </c>
      <c r="G154" s="126" t="s">
        <v>802</v>
      </c>
      <c r="H154" s="52" t="s">
        <v>123</v>
      </c>
      <c r="I154" s="127">
        <v>869</v>
      </c>
      <c r="J154" s="110" t="str">
        <f>IF(tbRegistroEntradas[[#This Row],[DATA DE CAIXA REALIZADO]]="N/A","0",UPPER(TEXT(tbRegistroEntradas[[#This Row],[DATA DE CAIXA REALIZADO]],"mmm")))</f>
        <v>OUT</v>
      </c>
      <c r="K154" s="57">
        <f>IF(tbRegistroEntradas[[#This Row],[DATA DE CAIXA REALIZADO]]="N/A",0,YEAR(tbRegistroEntradas[[#This Row],[DATA DE CAIXA REALIZADO]]))</f>
        <v>2021</v>
      </c>
      <c r="L154" s="58" t="str">
        <f>IF(tbRegistroEntradas[[#This Row],[DATA DA COMPETÊNCIA]]="N/A","0",UPPER(TEXT(tbRegistroEntradas[[#This Row],[DATA DA COMPETÊNCIA]],"mmm")))</f>
        <v>SET</v>
      </c>
      <c r="M154" s="58">
        <f>IF(tbRegistroEntradas[[#This Row],[DATA DA COMPETÊNCIA]]="N/A",0,YEAR(tbRegistroEntradas[[#This Row],[DATA DA COMPETÊNCIA]]))</f>
        <v>2021</v>
      </c>
      <c r="N154" s="58" t="str">
        <f>IF(tbRegistroEntradas[[#This Row],[DATA DO CAIXA PREVISTO]]="N/A","0",UPPER(TEXT(tbRegistroEntradas[[#This Row],[DATA DO CAIXA PREVISTO]],"mmm")))</f>
        <v>OUT</v>
      </c>
      <c r="O154" s="58">
        <f>IF(tbRegistroEntradas[[#This Row],[DATA DO CAIXA PREVISTO]]="N/A",0,YEAR(tbRegistroEntradas[[#This Row],[DATA DO CAIXA PREVISTO]]))</f>
        <v>2021</v>
      </c>
      <c r="P154" s="58" t="str">
        <f ca="1">IF(AND(tbRegistroEntradas[[#This Row],[DATA DE CAIXA REALIZADO]]="N/A",tbRegistroEntradas[[#This Row],[DATA DO CAIXA PREVISTO]]&lt;TODAY()),"Vencida","Não Vencida")</f>
        <v>Não Vencida</v>
      </c>
      <c r="Q154" s="58" t="str">
        <f>IF(tbRegistroEntradas[[#This Row],[DATA DA COMPETÊNCIA]]=tbRegistroEntradas[[#This Row],[DATA DO CAIXA PREVISTO]],"Vista","Prazo")</f>
        <v>Prazo</v>
      </c>
      <c r="R154" s="58" t="str">
        <f>IF(tbRegistroEntradas[[#This Row],[DATA DE CAIXA REALIZADO]]&lt;&gt;"N/A","Em Dia","Com atraso")</f>
        <v>Em Dia</v>
      </c>
    </row>
    <row r="155" spans="1:18" s="52" customFormat="1" ht="14.4" customHeight="1" x14ac:dyDescent="0.3">
      <c r="A155" s="112">
        <v>44471.987673611111</v>
      </c>
      <c r="B155" s="114">
        <v>44462</v>
      </c>
      <c r="C155" s="41">
        <v>44471.987673611111</v>
      </c>
      <c r="D155" s="55" t="s">
        <v>65</v>
      </c>
      <c r="E155" s="55" t="s">
        <v>12</v>
      </c>
      <c r="F155" s="55" t="s">
        <v>18</v>
      </c>
      <c r="G155" s="55" t="s">
        <v>155</v>
      </c>
      <c r="H155" s="52" t="s">
        <v>116</v>
      </c>
      <c r="I155" s="119">
        <v>3125</v>
      </c>
      <c r="J155" s="55" t="str">
        <f>IF(tbRegistroEntradas[[#This Row],[DATA DE CAIXA REALIZADO]]="N/A","0",UPPER(TEXT(tbRegistroEntradas[[#This Row],[DATA DE CAIXA REALIZADO]],"mmm")))</f>
        <v>OUT</v>
      </c>
      <c r="K155" s="58">
        <f>IF(tbRegistroEntradas[[#This Row],[DATA DE CAIXA REALIZADO]]="N/A",0,YEAR(tbRegistroEntradas[[#This Row],[DATA DE CAIXA REALIZADO]]))</f>
        <v>2021</v>
      </c>
      <c r="L155" s="79" t="str">
        <f>IF(tbRegistroEntradas[[#This Row],[DATA DA COMPETÊNCIA]]="N/A","0",UPPER(TEXT(tbRegistroEntradas[[#This Row],[DATA DA COMPETÊNCIA]],"mmm")))</f>
        <v>SET</v>
      </c>
      <c r="M155" s="79">
        <f>IF(tbRegistroEntradas[[#This Row],[DATA DA COMPETÊNCIA]]="N/A",0,YEAR(tbRegistroEntradas[[#This Row],[DATA DA COMPETÊNCIA]]))</f>
        <v>2021</v>
      </c>
      <c r="N155" s="84" t="str">
        <f>IF(tbRegistroEntradas[[#This Row],[DATA DO CAIXA PREVISTO]]="N/A","0",UPPER(TEXT(tbRegistroEntradas[[#This Row],[DATA DO CAIXA PREVISTO]],"mmm")))</f>
        <v>OUT</v>
      </c>
      <c r="O155" s="84">
        <f>IF(tbRegistroEntradas[[#This Row],[DATA DO CAIXA PREVISTO]]="N/A",0,YEAR(tbRegistroEntradas[[#This Row],[DATA DO CAIXA PREVISTO]]))</f>
        <v>2021</v>
      </c>
      <c r="P155" s="58" t="str">
        <f ca="1">IF(AND(tbRegistroEntradas[[#This Row],[DATA DE CAIXA REALIZADO]]="N/A",tbRegistroEntradas[[#This Row],[DATA DO CAIXA PREVISTO]]&lt;TODAY()),"Vencida","Não Vencida")</f>
        <v>Não Vencida</v>
      </c>
      <c r="Q155" s="58" t="str">
        <f>IF(tbRegistroEntradas[[#This Row],[DATA DA COMPETÊNCIA]]=tbRegistroEntradas[[#This Row],[DATA DO CAIXA PREVISTO]],"Vista","Prazo")</f>
        <v>Prazo</v>
      </c>
      <c r="R155" s="58" t="str">
        <f>IF(tbRegistroEntradas[[#This Row],[DATA DE CAIXA REALIZADO]]&lt;&gt;"N/A","Em Dia","Com atraso")</f>
        <v>Em Dia</v>
      </c>
    </row>
    <row r="156" spans="1:18" s="52" customFormat="1" ht="14.4" customHeight="1" x14ac:dyDescent="0.3">
      <c r="A156" s="113">
        <v>44517.628171296295</v>
      </c>
      <c r="B156" s="115">
        <v>44465</v>
      </c>
      <c r="C156" s="111">
        <f>tbRegistroEntradas[[#This Row],[DATA DA COMPETÊNCIA]]</f>
        <v>44465</v>
      </c>
      <c r="D156" s="116" t="s">
        <v>65</v>
      </c>
      <c r="E156" s="116" t="s">
        <v>12</v>
      </c>
      <c r="F156" s="116" t="s">
        <v>19</v>
      </c>
      <c r="G156" s="116" t="s">
        <v>156</v>
      </c>
      <c r="H156" s="52" t="s">
        <v>118</v>
      </c>
      <c r="I156" s="120">
        <v>1201</v>
      </c>
      <c r="J156" s="55" t="str">
        <f>IF(tbRegistroEntradas[[#This Row],[DATA DE CAIXA REALIZADO]]="N/A","0",UPPER(TEXT(tbRegistroEntradas[[#This Row],[DATA DE CAIXA REALIZADO]],"mmm")))</f>
        <v>NOV</v>
      </c>
      <c r="K156" s="58">
        <f>IF(tbRegistroEntradas[[#This Row],[DATA DE CAIXA REALIZADO]]="N/A",0,YEAR(tbRegistroEntradas[[#This Row],[DATA DE CAIXA REALIZADO]]))</f>
        <v>2021</v>
      </c>
      <c r="L156" s="79" t="str">
        <f>IF(tbRegistroEntradas[[#This Row],[DATA DA COMPETÊNCIA]]="N/A","0",UPPER(TEXT(tbRegistroEntradas[[#This Row],[DATA DA COMPETÊNCIA]],"mmm")))</f>
        <v>SET</v>
      </c>
      <c r="M156" s="79">
        <f>IF(tbRegistroEntradas[[#This Row],[DATA DA COMPETÊNCIA]]="N/A",0,YEAR(tbRegistroEntradas[[#This Row],[DATA DA COMPETÊNCIA]]))</f>
        <v>2021</v>
      </c>
      <c r="N156" s="84" t="str">
        <f>IF(tbRegistroEntradas[[#This Row],[DATA DO CAIXA PREVISTO]]="N/A","0",UPPER(TEXT(tbRegistroEntradas[[#This Row],[DATA DO CAIXA PREVISTO]],"mmm")))</f>
        <v>SET</v>
      </c>
      <c r="O156" s="84">
        <f>IF(tbRegistroEntradas[[#This Row],[DATA DO CAIXA PREVISTO]]="N/A",0,YEAR(tbRegistroEntradas[[#This Row],[DATA DO CAIXA PREVISTO]]))</f>
        <v>2021</v>
      </c>
      <c r="P156" s="58" t="str">
        <f ca="1">IF(AND(tbRegistroEntradas[[#This Row],[DATA DE CAIXA REALIZADO]]="N/A",tbRegistroEntradas[[#This Row],[DATA DO CAIXA PREVISTO]]&lt;TODAY()),"Vencida","Não Vencida")</f>
        <v>Não Vencida</v>
      </c>
      <c r="Q156" s="58" t="str">
        <f>IF(tbRegistroEntradas[[#This Row],[DATA DA COMPETÊNCIA]]=tbRegistroEntradas[[#This Row],[DATA DO CAIXA PREVISTO]],"Vista","Prazo")</f>
        <v>Vista</v>
      </c>
      <c r="R156" s="58" t="str">
        <f>IF(tbRegistroEntradas[[#This Row],[DATA DE CAIXA REALIZADO]]&lt;&gt;"N/A","Em Dia","Com atraso")</f>
        <v>Em Dia</v>
      </c>
    </row>
    <row r="157" spans="1:18" s="52" customFormat="1" ht="14.4" customHeight="1" x14ac:dyDescent="0.3">
      <c r="A157" s="112">
        <v>44494.143287037034</v>
      </c>
      <c r="B157" s="114">
        <v>44466</v>
      </c>
      <c r="C157" s="41">
        <v>44479.800775462965</v>
      </c>
      <c r="D157" s="55" t="s">
        <v>62</v>
      </c>
      <c r="E157" s="55" t="s">
        <v>12</v>
      </c>
      <c r="F157" s="55" t="s">
        <v>17</v>
      </c>
      <c r="G157" s="55" t="s">
        <v>157</v>
      </c>
      <c r="H157" s="110" t="s">
        <v>91</v>
      </c>
      <c r="I157" s="119">
        <v>4380</v>
      </c>
      <c r="J157" s="55" t="str">
        <f>IF(tbRegistroEntradas[[#This Row],[DATA DE CAIXA REALIZADO]]="N/A","0",UPPER(TEXT(tbRegistroEntradas[[#This Row],[DATA DE CAIXA REALIZADO]],"mmm")))</f>
        <v>OUT</v>
      </c>
      <c r="K157" s="58">
        <f>IF(tbRegistroEntradas[[#This Row],[DATA DE CAIXA REALIZADO]]="N/A",0,YEAR(tbRegistroEntradas[[#This Row],[DATA DE CAIXA REALIZADO]]))</f>
        <v>2021</v>
      </c>
      <c r="L157" s="79" t="str">
        <f>IF(tbRegistroEntradas[[#This Row],[DATA DA COMPETÊNCIA]]="N/A","0",UPPER(TEXT(tbRegistroEntradas[[#This Row],[DATA DA COMPETÊNCIA]],"mmm")))</f>
        <v>SET</v>
      </c>
      <c r="M157" s="79">
        <f>IF(tbRegistroEntradas[[#This Row],[DATA DA COMPETÊNCIA]]="N/A",0,YEAR(tbRegistroEntradas[[#This Row],[DATA DA COMPETÊNCIA]]))</f>
        <v>2021</v>
      </c>
      <c r="N157" s="84" t="str">
        <f>IF(tbRegistroEntradas[[#This Row],[DATA DO CAIXA PREVISTO]]="N/A","0",UPPER(TEXT(tbRegistroEntradas[[#This Row],[DATA DO CAIXA PREVISTO]],"mmm")))</f>
        <v>OUT</v>
      </c>
      <c r="O157" s="84">
        <f>IF(tbRegistroEntradas[[#This Row],[DATA DO CAIXA PREVISTO]]="N/A",0,YEAR(tbRegistroEntradas[[#This Row],[DATA DO CAIXA PREVISTO]]))</f>
        <v>2021</v>
      </c>
      <c r="P157" s="58" t="str">
        <f ca="1">IF(AND(tbRegistroEntradas[[#This Row],[DATA DE CAIXA REALIZADO]]="N/A",tbRegistroEntradas[[#This Row],[DATA DO CAIXA PREVISTO]]&lt;TODAY()),"Vencida","Não Vencida")</f>
        <v>Não Vencida</v>
      </c>
      <c r="Q157" s="58" t="str">
        <f>IF(tbRegistroEntradas[[#This Row],[DATA DA COMPETÊNCIA]]=tbRegistroEntradas[[#This Row],[DATA DO CAIXA PREVISTO]],"Vista","Prazo")</f>
        <v>Prazo</v>
      </c>
      <c r="R157" s="58" t="str">
        <f>IF(tbRegistroEntradas[[#This Row],[DATA DE CAIXA REALIZADO]]&lt;&gt;"N/A","Em Dia","Com atraso")</f>
        <v>Em Dia</v>
      </c>
    </row>
    <row r="158" spans="1:18" s="52" customFormat="1" ht="14.4" customHeight="1" x14ac:dyDescent="0.3">
      <c r="A158" s="125">
        <v>44498</v>
      </c>
      <c r="B158" s="125">
        <f>A158-31</f>
        <v>44467</v>
      </c>
      <c r="C158" s="111">
        <f>tbRegistroEntradas[[#This Row],[DATA DA COMPETÊNCIA]]</f>
        <v>44467</v>
      </c>
      <c r="D158" s="126" t="s">
        <v>138</v>
      </c>
      <c r="E158" s="126" t="s">
        <v>12</v>
      </c>
      <c r="F158" s="126" t="s">
        <v>19</v>
      </c>
      <c r="G158" s="126" t="s">
        <v>812</v>
      </c>
      <c r="H158" s="52" t="s">
        <v>136</v>
      </c>
      <c r="I158" s="127">
        <v>6603</v>
      </c>
      <c r="J158" s="110" t="str">
        <f>IF(tbRegistroEntradas[[#This Row],[DATA DE CAIXA REALIZADO]]="N/A","0",UPPER(TEXT(tbRegistroEntradas[[#This Row],[DATA DE CAIXA REALIZADO]],"mmm")))</f>
        <v>OUT</v>
      </c>
      <c r="K158" s="57">
        <f>IF(tbRegistroEntradas[[#This Row],[DATA DE CAIXA REALIZADO]]="N/A",0,YEAR(tbRegistroEntradas[[#This Row],[DATA DE CAIXA REALIZADO]]))</f>
        <v>2021</v>
      </c>
      <c r="L158" s="58" t="str">
        <f>IF(tbRegistroEntradas[[#This Row],[DATA DA COMPETÊNCIA]]="N/A","0",UPPER(TEXT(tbRegistroEntradas[[#This Row],[DATA DA COMPETÊNCIA]],"mmm")))</f>
        <v>SET</v>
      </c>
      <c r="M158" s="58">
        <f>IF(tbRegistroEntradas[[#This Row],[DATA DA COMPETÊNCIA]]="N/A",0,YEAR(tbRegistroEntradas[[#This Row],[DATA DA COMPETÊNCIA]]))</f>
        <v>2021</v>
      </c>
      <c r="N158" s="58" t="str">
        <f>IF(tbRegistroEntradas[[#This Row],[DATA DO CAIXA PREVISTO]]="N/A","0",UPPER(TEXT(tbRegistroEntradas[[#This Row],[DATA DO CAIXA PREVISTO]],"mmm")))</f>
        <v>SET</v>
      </c>
      <c r="O158" s="58">
        <f>IF(tbRegistroEntradas[[#This Row],[DATA DO CAIXA PREVISTO]]="N/A",0,YEAR(tbRegistroEntradas[[#This Row],[DATA DO CAIXA PREVISTO]]))</f>
        <v>2021</v>
      </c>
      <c r="P158" s="58" t="str">
        <f ca="1">IF(AND(tbRegistroEntradas[[#This Row],[DATA DE CAIXA REALIZADO]]="N/A",tbRegistroEntradas[[#This Row],[DATA DO CAIXA PREVISTO]]&lt;TODAY()),"Vencida","Não Vencida")</f>
        <v>Não Vencida</v>
      </c>
      <c r="Q158" s="58" t="str">
        <f>IF(tbRegistroEntradas[[#This Row],[DATA DA COMPETÊNCIA]]=tbRegistroEntradas[[#This Row],[DATA DO CAIXA PREVISTO]],"Vista","Prazo")</f>
        <v>Vista</v>
      </c>
      <c r="R158" s="58" t="str">
        <f>IF(tbRegistroEntradas[[#This Row],[DATA DE CAIXA REALIZADO]]&lt;&gt;"N/A","Em Dia","Com atraso")</f>
        <v>Em Dia</v>
      </c>
    </row>
    <row r="159" spans="1:18" s="52" customFormat="1" ht="14.4" customHeight="1" x14ac:dyDescent="0.3">
      <c r="A159" s="125">
        <v>44498</v>
      </c>
      <c r="B159" s="125">
        <f>A159-31</f>
        <v>44467</v>
      </c>
      <c r="C159" s="111">
        <f>(A159-B159)+B159-15</f>
        <v>44483</v>
      </c>
      <c r="D159" s="126" t="s">
        <v>138</v>
      </c>
      <c r="E159" s="126" t="s">
        <v>12</v>
      </c>
      <c r="F159" s="126" t="s">
        <v>18</v>
      </c>
      <c r="G159" s="126" t="s">
        <v>1013</v>
      </c>
      <c r="H159" s="126" t="s">
        <v>68</v>
      </c>
      <c r="I159" s="127">
        <v>4604</v>
      </c>
      <c r="J159" s="110" t="str">
        <f>IF(tbRegistroEntradas[[#This Row],[DATA DE CAIXA REALIZADO]]="N/A","0",UPPER(TEXT(tbRegistroEntradas[[#This Row],[DATA DE CAIXA REALIZADO]],"mmm")))</f>
        <v>OUT</v>
      </c>
      <c r="K159" s="57">
        <f>IF(tbRegistroEntradas[[#This Row],[DATA DE CAIXA REALIZADO]]="N/A",0,YEAR(tbRegistroEntradas[[#This Row],[DATA DE CAIXA REALIZADO]]))</f>
        <v>2021</v>
      </c>
      <c r="L159" s="58" t="str">
        <f>IF(tbRegistroEntradas[[#This Row],[DATA DA COMPETÊNCIA]]="N/A","0",UPPER(TEXT(tbRegistroEntradas[[#This Row],[DATA DA COMPETÊNCIA]],"mmm")))</f>
        <v>SET</v>
      </c>
      <c r="M159" s="58">
        <f>IF(tbRegistroEntradas[[#This Row],[DATA DA COMPETÊNCIA]]="N/A",0,YEAR(tbRegistroEntradas[[#This Row],[DATA DA COMPETÊNCIA]]))</f>
        <v>2021</v>
      </c>
      <c r="N159" s="58" t="str">
        <f>IF(tbRegistroEntradas[[#This Row],[DATA DO CAIXA PREVISTO]]="N/A","0",UPPER(TEXT(tbRegistroEntradas[[#This Row],[DATA DO CAIXA PREVISTO]],"mmm")))</f>
        <v>OUT</v>
      </c>
      <c r="O159" s="58">
        <f>IF(tbRegistroEntradas[[#This Row],[DATA DO CAIXA PREVISTO]]="N/A",0,YEAR(tbRegistroEntradas[[#This Row],[DATA DO CAIXA PREVISTO]]))</f>
        <v>2021</v>
      </c>
      <c r="P159" s="58" t="str">
        <f ca="1">IF(AND(tbRegistroEntradas[[#This Row],[DATA DE CAIXA REALIZADO]]="N/A",tbRegistroEntradas[[#This Row],[DATA DO CAIXA PREVISTO]]&lt;TODAY()),"Vencida","Não Vencida")</f>
        <v>Não Vencida</v>
      </c>
      <c r="Q159" s="58" t="str">
        <f>IF(tbRegistroEntradas[[#This Row],[DATA DA COMPETÊNCIA]]=tbRegistroEntradas[[#This Row],[DATA DO CAIXA PREVISTO]],"Vista","Prazo")</f>
        <v>Prazo</v>
      </c>
      <c r="R159" s="58" t="str">
        <f>IF(tbRegistroEntradas[[#This Row],[DATA DE CAIXA REALIZADO]]&lt;&gt;"N/A","Em Dia","Com atraso")</f>
        <v>Em Dia</v>
      </c>
    </row>
    <row r="160" spans="1:18" s="52" customFormat="1" ht="14.4" customHeight="1" x14ac:dyDescent="0.3">
      <c r="A160" s="113">
        <v>44480.580092592594</v>
      </c>
      <c r="B160" s="115">
        <v>44469</v>
      </c>
      <c r="C160" s="44">
        <v>44480.580092592594</v>
      </c>
      <c r="D160" s="116" t="s">
        <v>61</v>
      </c>
      <c r="E160" s="116" t="s">
        <v>12</v>
      </c>
      <c r="F160" s="116" t="s">
        <v>18</v>
      </c>
      <c r="G160" s="116" t="s">
        <v>158</v>
      </c>
      <c r="H160" s="52" t="s">
        <v>82</v>
      </c>
      <c r="I160" s="120">
        <v>919</v>
      </c>
      <c r="J160" s="55" t="str">
        <f>IF(tbRegistroEntradas[[#This Row],[DATA DE CAIXA REALIZADO]]="N/A","0",UPPER(TEXT(tbRegistroEntradas[[#This Row],[DATA DE CAIXA REALIZADO]],"mmm")))</f>
        <v>OUT</v>
      </c>
      <c r="K160" s="58">
        <f>IF(tbRegistroEntradas[[#This Row],[DATA DE CAIXA REALIZADO]]="N/A",0,YEAR(tbRegistroEntradas[[#This Row],[DATA DE CAIXA REALIZADO]]))</f>
        <v>2021</v>
      </c>
      <c r="L160" s="79" t="str">
        <f>IF(tbRegistroEntradas[[#This Row],[DATA DA COMPETÊNCIA]]="N/A","0",UPPER(TEXT(tbRegistroEntradas[[#This Row],[DATA DA COMPETÊNCIA]],"mmm")))</f>
        <v>SET</v>
      </c>
      <c r="M160" s="79">
        <f>IF(tbRegistroEntradas[[#This Row],[DATA DA COMPETÊNCIA]]="N/A",0,YEAR(tbRegistroEntradas[[#This Row],[DATA DA COMPETÊNCIA]]))</f>
        <v>2021</v>
      </c>
      <c r="N160" s="84" t="str">
        <f>IF(tbRegistroEntradas[[#This Row],[DATA DO CAIXA PREVISTO]]="N/A","0",UPPER(TEXT(tbRegistroEntradas[[#This Row],[DATA DO CAIXA PREVISTO]],"mmm")))</f>
        <v>OUT</v>
      </c>
      <c r="O160" s="84">
        <f>IF(tbRegistroEntradas[[#This Row],[DATA DO CAIXA PREVISTO]]="N/A",0,YEAR(tbRegistroEntradas[[#This Row],[DATA DO CAIXA PREVISTO]]))</f>
        <v>2021</v>
      </c>
      <c r="P160" s="58" t="str">
        <f ca="1">IF(AND(tbRegistroEntradas[[#This Row],[DATA DE CAIXA REALIZADO]]="N/A",tbRegistroEntradas[[#This Row],[DATA DO CAIXA PREVISTO]]&lt;TODAY()),"Vencida","Não Vencida")</f>
        <v>Não Vencida</v>
      </c>
      <c r="Q160" s="58" t="str">
        <f>IF(tbRegistroEntradas[[#This Row],[DATA DA COMPETÊNCIA]]=tbRegistroEntradas[[#This Row],[DATA DO CAIXA PREVISTO]],"Vista","Prazo")</f>
        <v>Prazo</v>
      </c>
      <c r="R160" s="58" t="str">
        <f>IF(tbRegistroEntradas[[#This Row],[DATA DE CAIXA REALIZADO]]&lt;&gt;"N/A","Em Dia","Com atraso")</f>
        <v>Em Dia</v>
      </c>
    </row>
    <row r="161" spans="1:18" s="52" customFormat="1" ht="14.4" customHeight="1" x14ac:dyDescent="0.3">
      <c r="A161" s="112">
        <v>44486.995081018518</v>
      </c>
      <c r="B161" s="114">
        <v>44473</v>
      </c>
      <c r="C161" s="41">
        <v>44486.995081018518</v>
      </c>
      <c r="D161" s="55" t="s">
        <v>61</v>
      </c>
      <c r="E161" s="55" t="s">
        <v>12</v>
      </c>
      <c r="F161" s="55" t="s">
        <v>32</v>
      </c>
      <c r="G161" s="55" t="s">
        <v>159</v>
      </c>
      <c r="H161" s="52" t="s">
        <v>83</v>
      </c>
      <c r="I161" s="119">
        <v>4590</v>
      </c>
      <c r="J161" s="55" t="str">
        <f>IF(tbRegistroEntradas[[#This Row],[DATA DE CAIXA REALIZADO]]="N/A","0",UPPER(TEXT(tbRegistroEntradas[[#This Row],[DATA DE CAIXA REALIZADO]],"mmm")))</f>
        <v>OUT</v>
      </c>
      <c r="K161" s="58">
        <f>IF(tbRegistroEntradas[[#This Row],[DATA DE CAIXA REALIZADO]]="N/A",0,YEAR(tbRegistroEntradas[[#This Row],[DATA DE CAIXA REALIZADO]]))</f>
        <v>2021</v>
      </c>
      <c r="L161" s="79" t="str">
        <f>IF(tbRegistroEntradas[[#This Row],[DATA DA COMPETÊNCIA]]="N/A","0",UPPER(TEXT(tbRegistroEntradas[[#This Row],[DATA DA COMPETÊNCIA]],"mmm")))</f>
        <v>OUT</v>
      </c>
      <c r="M161" s="79">
        <f>IF(tbRegistroEntradas[[#This Row],[DATA DA COMPETÊNCIA]]="N/A",0,YEAR(tbRegistroEntradas[[#This Row],[DATA DA COMPETÊNCIA]]))</f>
        <v>2021</v>
      </c>
      <c r="N161" s="84" t="str">
        <f>IF(tbRegistroEntradas[[#This Row],[DATA DO CAIXA PREVISTO]]="N/A","0",UPPER(TEXT(tbRegistroEntradas[[#This Row],[DATA DO CAIXA PREVISTO]],"mmm")))</f>
        <v>OUT</v>
      </c>
      <c r="O161" s="84">
        <f>IF(tbRegistroEntradas[[#This Row],[DATA DO CAIXA PREVISTO]]="N/A",0,YEAR(tbRegistroEntradas[[#This Row],[DATA DO CAIXA PREVISTO]]))</f>
        <v>2021</v>
      </c>
      <c r="P161" s="58" t="str">
        <f ca="1">IF(AND(tbRegistroEntradas[[#This Row],[DATA DE CAIXA REALIZADO]]="N/A",tbRegistroEntradas[[#This Row],[DATA DO CAIXA PREVISTO]]&lt;TODAY()),"Vencida","Não Vencida")</f>
        <v>Não Vencida</v>
      </c>
      <c r="Q161" s="58" t="str">
        <f>IF(tbRegistroEntradas[[#This Row],[DATA DA COMPETÊNCIA]]=tbRegistroEntradas[[#This Row],[DATA DO CAIXA PREVISTO]],"Vista","Prazo")</f>
        <v>Prazo</v>
      </c>
      <c r="R161" s="58" t="str">
        <f>IF(tbRegistroEntradas[[#This Row],[DATA DE CAIXA REALIZADO]]&lt;&gt;"N/A","Em Dia","Com atraso")</f>
        <v>Em Dia</v>
      </c>
    </row>
    <row r="162" spans="1:18" s="52" customFormat="1" ht="14.4" customHeight="1" x14ac:dyDescent="0.3">
      <c r="A162" s="125">
        <v>44506</v>
      </c>
      <c r="B162" s="125">
        <f>A162-31</f>
        <v>44475</v>
      </c>
      <c r="C162" s="111">
        <f>tbRegistroEntradas[[#This Row],[DATA DA COMPETÊNCIA]]</f>
        <v>44475</v>
      </c>
      <c r="D162" s="126" t="s">
        <v>66</v>
      </c>
      <c r="E162" s="126" t="s">
        <v>12</v>
      </c>
      <c r="F162" s="126" t="s">
        <v>16</v>
      </c>
      <c r="G162" s="126" t="s">
        <v>833</v>
      </c>
      <c r="H162" s="52" t="s">
        <v>124</v>
      </c>
      <c r="I162" s="127">
        <v>2604</v>
      </c>
      <c r="J162" s="110" t="str">
        <f>IF(tbRegistroEntradas[[#This Row],[DATA DE CAIXA REALIZADO]]="N/A","0",UPPER(TEXT(tbRegistroEntradas[[#This Row],[DATA DE CAIXA REALIZADO]],"mmm")))</f>
        <v>NOV</v>
      </c>
      <c r="K162" s="57">
        <f>IF(tbRegistroEntradas[[#This Row],[DATA DE CAIXA REALIZADO]]="N/A",0,YEAR(tbRegistroEntradas[[#This Row],[DATA DE CAIXA REALIZADO]]))</f>
        <v>2021</v>
      </c>
      <c r="L162" s="58" t="str">
        <f>IF(tbRegistroEntradas[[#This Row],[DATA DA COMPETÊNCIA]]="N/A","0",UPPER(TEXT(tbRegistroEntradas[[#This Row],[DATA DA COMPETÊNCIA]],"mmm")))</f>
        <v>OUT</v>
      </c>
      <c r="M162" s="58">
        <f>IF(tbRegistroEntradas[[#This Row],[DATA DA COMPETÊNCIA]]="N/A",0,YEAR(tbRegistroEntradas[[#This Row],[DATA DA COMPETÊNCIA]]))</f>
        <v>2021</v>
      </c>
      <c r="N162" s="58" t="str">
        <f>IF(tbRegistroEntradas[[#This Row],[DATA DO CAIXA PREVISTO]]="N/A","0",UPPER(TEXT(tbRegistroEntradas[[#This Row],[DATA DO CAIXA PREVISTO]],"mmm")))</f>
        <v>OUT</v>
      </c>
      <c r="O162" s="58">
        <f>IF(tbRegistroEntradas[[#This Row],[DATA DO CAIXA PREVISTO]]="N/A",0,YEAR(tbRegistroEntradas[[#This Row],[DATA DO CAIXA PREVISTO]]))</f>
        <v>2021</v>
      </c>
      <c r="P162" s="58" t="str">
        <f ca="1">IF(AND(tbRegistroEntradas[[#This Row],[DATA DE CAIXA REALIZADO]]="N/A",tbRegistroEntradas[[#This Row],[DATA DO CAIXA PREVISTO]]&lt;TODAY()),"Vencida","Não Vencida")</f>
        <v>Não Vencida</v>
      </c>
      <c r="Q162" s="58" t="str">
        <f>IF(tbRegistroEntradas[[#This Row],[DATA DA COMPETÊNCIA]]=tbRegistroEntradas[[#This Row],[DATA DO CAIXA PREVISTO]],"Vista","Prazo")</f>
        <v>Vista</v>
      </c>
      <c r="R162" s="58" t="str">
        <f>IF(tbRegistroEntradas[[#This Row],[DATA DE CAIXA REALIZADO]]&lt;&gt;"N/A","Em Dia","Com atraso")</f>
        <v>Em Dia</v>
      </c>
    </row>
    <row r="163" spans="1:18" s="52" customFormat="1" ht="14.4" customHeight="1" x14ac:dyDescent="0.3">
      <c r="A163" s="113">
        <v>44513.454386574071</v>
      </c>
      <c r="B163" s="115">
        <v>44476</v>
      </c>
      <c r="C163" s="44">
        <v>44513.454386574071</v>
      </c>
      <c r="D163" s="116" t="s">
        <v>63</v>
      </c>
      <c r="E163" s="116" t="s">
        <v>12</v>
      </c>
      <c r="F163" s="116" t="s">
        <v>16</v>
      </c>
      <c r="G163" s="116" t="s">
        <v>160</v>
      </c>
      <c r="H163" s="52" t="s">
        <v>69</v>
      </c>
      <c r="I163" s="120">
        <v>1958</v>
      </c>
      <c r="J163" s="55" t="str">
        <f>IF(tbRegistroEntradas[[#This Row],[DATA DE CAIXA REALIZADO]]="N/A","0",UPPER(TEXT(tbRegistroEntradas[[#This Row],[DATA DE CAIXA REALIZADO]],"mmm")))</f>
        <v>NOV</v>
      </c>
      <c r="K163" s="58">
        <f>IF(tbRegistroEntradas[[#This Row],[DATA DE CAIXA REALIZADO]]="N/A",0,YEAR(tbRegistroEntradas[[#This Row],[DATA DE CAIXA REALIZADO]]))</f>
        <v>2021</v>
      </c>
      <c r="L163" s="79" t="str">
        <f>IF(tbRegistroEntradas[[#This Row],[DATA DA COMPETÊNCIA]]="N/A","0",UPPER(TEXT(tbRegistroEntradas[[#This Row],[DATA DA COMPETÊNCIA]],"mmm")))</f>
        <v>OUT</v>
      </c>
      <c r="M163" s="79">
        <f>IF(tbRegistroEntradas[[#This Row],[DATA DA COMPETÊNCIA]]="N/A",0,YEAR(tbRegistroEntradas[[#This Row],[DATA DA COMPETÊNCIA]]))</f>
        <v>2021</v>
      </c>
      <c r="N163" s="84" t="str">
        <f>IF(tbRegistroEntradas[[#This Row],[DATA DO CAIXA PREVISTO]]="N/A","0",UPPER(TEXT(tbRegistroEntradas[[#This Row],[DATA DO CAIXA PREVISTO]],"mmm")))</f>
        <v>NOV</v>
      </c>
      <c r="O163" s="84">
        <f>IF(tbRegistroEntradas[[#This Row],[DATA DO CAIXA PREVISTO]]="N/A",0,YEAR(tbRegistroEntradas[[#This Row],[DATA DO CAIXA PREVISTO]]))</f>
        <v>2021</v>
      </c>
      <c r="P163" s="58" t="str">
        <f ca="1">IF(AND(tbRegistroEntradas[[#This Row],[DATA DE CAIXA REALIZADO]]="N/A",tbRegistroEntradas[[#This Row],[DATA DO CAIXA PREVISTO]]&lt;TODAY()),"Vencida","Não Vencida")</f>
        <v>Não Vencida</v>
      </c>
      <c r="Q163" s="58" t="str">
        <f>IF(tbRegistroEntradas[[#This Row],[DATA DA COMPETÊNCIA]]=tbRegistroEntradas[[#This Row],[DATA DO CAIXA PREVISTO]],"Vista","Prazo")</f>
        <v>Prazo</v>
      </c>
      <c r="R163" s="58" t="str">
        <f>IF(tbRegistroEntradas[[#This Row],[DATA DE CAIXA REALIZADO]]&lt;&gt;"N/A","Em Dia","Com atraso")</f>
        <v>Em Dia</v>
      </c>
    </row>
    <row r="164" spans="1:18" s="52" customFormat="1" ht="14.4" customHeight="1" x14ac:dyDescent="0.3">
      <c r="A164" s="125">
        <v>44508</v>
      </c>
      <c r="B164" s="125">
        <f>A164-31</f>
        <v>44477</v>
      </c>
      <c r="C164" s="111">
        <f>tbRegistroEntradas[[#This Row],[DATA DA COMPETÊNCIA]]</f>
        <v>44477</v>
      </c>
      <c r="D164" s="126" t="s">
        <v>138</v>
      </c>
      <c r="E164" s="126" t="s">
        <v>12</v>
      </c>
      <c r="F164" s="126" t="s">
        <v>32</v>
      </c>
      <c r="G164" s="126" t="s">
        <v>885</v>
      </c>
      <c r="H164" s="52" t="s">
        <v>75</v>
      </c>
      <c r="I164" s="127">
        <v>6786</v>
      </c>
      <c r="J164" s="110" t="str">
        <f>IF(tbRegistroEntradas[[#This Row],[DATA DE CAIXA REALIZADO]]="N/A","0",UPPER(TEXT(tbRegistroEntradas[[#This Row],[DATA DE CAIXA REALIZADO]],"mmm")))</f>
        <v>NOV</v>
      </c>
      <c r="K164" s="57">
        <f>IF(tbRegistroEntradas[[#This Row],[DATA DE CAIXA REALIZADO]]="N/A",0,YEAR(tbRegistroEntradas[[#This Row],[DATA DE CAIXA REALIZADO]]))</f>
        <v>2021</v>
      </c>
      <c r="L164" s="58" t="str">
        <f>IF(tbRegistroEntradas[[#This Row],[DATA DA COMPETÊNCIA]]="N/A","0",UPPER(TEXT(tbRegistroEntradas[[#This Row],[DATA DA COMPETÊNCIA]],"mmm")))</f>
        <v>OUT</v>
      </c>
      <c r="M164" s="58">
        <f>IF(tbRegistroEntradas[[#This Row],[DATA DA COMPETÊNCIA]]="N/A",0,YEAR(tbRegistroEntradas[[#This Row],[DATA DA COMPETÊNCIA]]))</f>
        <v>2021</v>
      </c>
      <c r="N164" s="58" t="str">
        <f>IF(tbRegistroEntradas[[#This Row],[DATA DO CAIXA PREVISTO]]="N/A","0",UPPER(TEXT(tbRegistroEntradas[[#This Row],[DATA DO CAIXA PREVISTO]],"mmm")))</f>
        <v>OUT</v>
      </c>
      <c r="O164" s="58">
        <f>IF(tbRegistroEntradas[[#This Row],[DATA DO CAIXA PREVISTO]]="N/A",0,YEAR(tbRegistroEntradas[[#This Row],[DATA DO CAIXA PREVISTO]]))</f>
        <v>2021</v>
      </c>
      <c r="P164" s="58" t="str">
        <f ca="1">IF(AND(tbRegistroEntradas[[#This Row],[DATA DE CAIXA REALIZADO]]="N/A",tbRegistroEntradas[[#This Row],[DATA DO CAIXA PREVISTO]]&lt;TODAY()),"Vencida","Não Vencida")</f>
        <v>Não Vencida</v>
      </c>
      <c r="Q164" s="58" t="str">
        <f>IF(tbRegistroEntradas[[#This Row],[DATA DA COMPETÊNCIA]]=tbRegistroEntradas[[#This Row],[DATA DO CAIXA PREVISTO]],"Vista","Prazo")</f>
        <v>Vista</v>
      </c>
      <c r="R164" s="58" t="str">
        <f>IF(tbRegistroEntradas[[#This Row],[DATA DE CAIXA REALIZADO]]&lt;&gt;"N/A","Em Dia","Com atraso")</f>
        <v>Em Dia</v>
      </c>
    </row>
    <row r="165" spans="1:18" s="52" customFormat="1" ht="14.4" customHeight="1" x14ac:dyDescent="0.3">
      <c r="A165" s="112" t="s">
        <v>141</v>
      </c>
      <c r="B165" s="114">
        <v>44478</v>
      </c>
      <c r="C165" s="41">
        <v>44504.298495370371</v>
      </c>
      <c r="D165" s="55" t="s">
        <v>66</v>
      </c>
      <c r="E165" s="55" t="s">
        <v>12</v>
      </c>
      <c r="F165" s="55" t="s">
        <v>17</v>
      </c>
      <c r="G165" s="55" t="s">
        <v>161</v>
      </c>
      <c r="H165" s="52" t="s">
        <v>126</v>
      </c>
      <c r="I165" s="119">
        <v>1171</v>
      </c>
      <c r="J165" s="55" t="str">
        <f>IF(tbRegistroEntradas[[#This Row],[DATA DE CAIXA REALIZADO]]="N/A","0",UPPER(TEXT(tbRegistroEntradas[[#This Row],[DATA DE CAIXA REALIZADO]],"mmm")))</f>
        <v>0</v>
      </c>
      <c r="K165" s="58">
        <f>IF(tbRegistroEntradas[[#This Row],[DATA DE CAIXA REALIZADO]]="N/A",0,YEAR(tbRegistroEntradas[[#This Row],[DATA DE CAIXA REALIZADO]]))</f>
        <v>0</v>
      </c>
      <c r="L165" s="79" t="str">
        <f>IF(tbRegistroEntradas[[#This Row],[DATA DA COMPETÊNCIA]]="N/A","0",UPPER(TEXT(tbRegistroEntradas[[#This Row],[DATA DA COMPETÊNCIA]],"mmm")))</f>
        <v>OUT</v>
      </c>
      <c r="M165" s="79">
        <f>IF(tbRegistroEntradas[[#This Row],[DATA DA COMPETÊNCIA]]="N/A",0,YEAR(tbRegistroEntradas[[#This Row],[DATA DA COMPETÊNCIA]]))</f>
        <v>2021</v>
      </c>
      <c r="N165" s="84" t="str">
        <f>IF(tbRegistroEntradas[[#This Row],[DATA DO CAIXA PREVISTO]]="N/A","0",UPPER(TEXT(tbRegistroEntradas[[#This Row],[DATA DO CAIXA PREVISTO]],"mmm")))</f>
        <v>NOV</v>
      </c>
      <c r="O165" s="84">
        <f>IF(tbRegistroEntradas[[#This Row],[DATA DO CAIXA PREVISTO]]="N/A",0,YEAR(tbRegistroEntradas[[#This Row],[DATA DO CAIXA PREVISTO]]))</f>
        <v>2021</v>
      </c>
      <c r="P165" s="58" t="str">
        <f ca="1">IF(AND(tbRegistroEntradas[[#This Row],[DATA DE CAIXA REALIZADO]]="N/A",tbRegistroEntradas[[#This Row],[DATA DO CAIXA PREVISTO]]&lt;TODAY()),"Vencida","Não Vencida")</f>
        <v>Vencida</v>
      </c>
      <c r="Q165" s="58" t="str">
        <f>IF(tbRegistroEntradas[[#This Row],[DATA DA COMPETÊNCIA]]=tbRegistroEntradas[[#This Row],[DATA DO CAIXA PREVISTO]],"Vista","Prazo")</f>
        <v>Prazo</v>
      </c>
      <c r="R165" s="58" t="str">
        <f>IF(tbRegistroEntradas[[#This Row],[DATA DE CAIXA REALIZADO]]&lt;&gt;"N/A","Em Dia","Com atraso")</f>
        <v>Com atraso</v>
      </c>
    </row>
    <row r="166" spans="1:18" s="52" customFormat="1" ht="14.4" customHeight="1" x14ac:dyDescent="0.3">
      <c r="A166" s="113">
        <v>44595.960625</v>
      </c>
      <c r="B166" s="115">
        <v>44480</v>
      </c>
      <c r="C166" s="44">
        <v>44521.909363425926</v>
      </c>
      <c r="D166" s="116" t="s">
        <v>64</v>
      </c>
      <c r="E166" s="116" t="s">
        <v>12</v>
      </c>
      <c r="F166" s="116" t="s">
        <v>19</v>
      </c>
      <c r="G166" s="116" t="s">
        <v>162</v>
      </c>
      <c r="H166" s="126" t="s">
        <v>109</v>
      </c>
      <c r="I166" s="120">
        <v>2587</v>
      </c>
      <c r="J166" s="55" t="str">
        <f>IF(tbRegistroEntradas[[#This Row],[DATA DE CAIXA REALIZADO]]="N/A","0",UPPER(TEXT(tbRegistroEntradas[[#This Row],[DATA DE CAIXA REALIZADO]],"mmm")))</f>
        <v>FEV</v>
      </c>
      <c r="K166" s="58">
        <f>IF(tbRegistroEntradas[[#This Row],[DATA DE CAIXA REALIZADO]]="N/A",0,YEAR(tbRegistroEntradas[[#This Row],[DATA DE CAIXA REALIZADO]]))</f>
        <v>2022</v>
      </c>
      <c r="L166" s="79" t="str">
        <f>IF(tbRegistroEntradas[[#This Row],[DATA DA COMPETÊNCIA]]="N/A","0",UPPER(TEXT(tbRegistroEntradas[[#This Row],[DATA DA COMPETÊNCIA]],"mmm")))</f>
        <v>OUT</v>
      </c>
      <c r="M166" s="79">
        <f>IF(tbRegistroEntradas[[#This Row],[DATA DA COMPETÊNCIA]]="N/A",0,YEAR(tbRegistroEntradas[[#This Row],[DATA DA COMPETÊNCIA]]))</f>
        <v>2021</v>
      </c>
      <c r="N166" s="84" t="str">
        <f>IF(tbRegistroEntradas[[#This Row],[DATA DO CAIXA PREVISTO]]="N/A","0",UPPER(TEXT(tbRegistroEntradas[[#This Row],[DATA DO CAIXA PREVISTO]],"mmm")))</f>
        <v>NOV</v>
      </c>
      <c r="O166" s="84">
        <f>IF(tbRegistroEntradas[[#This Row],[DATA DO CAIXA PREVISTO]]="N/A",0,YEAR(tbRegistroEntradas[[#This Row],[DATA DO CAIXA PREVISTO]]))</f>
        <v>2021</v>
      </c>
      <c r="P166" s="58" t="str">
        <f ca="1">IF(AND(tbRegistroEntradas[[#This Row],[DATA DE CAIXA REALIZADO]]="N/A",tbRegistroEntradas[[#This Row],[DATA DO CAIXA PREVISTO]]&lt;TODAY()),"Vencida","Não Vencida")</f>
        <v>Não Vencida</v>
      </c>
      <c r="Q166" s="58" t="str">
        <f>IF(tbRegistroEntradas[[#This Row],[DATA DA COMPETÊNCIA]]=tbRegistroEntradas[[#This Row],[DATA DO CAIXA PREVISTO]],"Vista","Prazo")</f>
        <v>Prazo</v>
      </c>
      <c r="R166" s="58" t="str">
        <f>IF(tbRegistroEntradas[[#This Row],[DATA DE CAIXA REALIZADO]]&lt;&gt;"N/A","Em Dia","Com atraso")</f>
        <v>Em Dia</v>
      </c>
    </row>
    <row r="167" spans="1:18" s="52" customFormat="1" ht="14.4" customHeight="1" x14ac:dyDescent="0.3">
      <c r="A167" s="125">
        <v>44514</v>
      </c>
      <c r="B167" s="125">
        <f>A167-31</f>
        <v>44483</v>
      </c>
      <c r="C167" s="111">
        <f>(A167-B167)+B167-15</f>
        <v>44499</v>
      </c>
      <c r="D167" s="126" t="s">
        <v>138</v>
      </c>
      <c r="E167" s="126" t="s">
        <v>12</v>
      </c>
      <c r="F167" s="126" t="s">
        <v>32</v>
      </c>
      <c r="G167" s="126" t="s">
        <v>849</v>
      </c>
      <c r="H167" s="52" t="s">
        <v>76</v>
      </c>
      <c r="I167" s="127">
        <v>1009</v>
      </c>
      <c r="J167" s="110" t="str">
        <f>IF(tbRegistroEntradas[[#This Row],[DATA DE CAIXA REALIZADO]]="N/A","0",UPPER(TEXT(tbRegistroEntradas[[#This Row],[DATA DE CAIXA REALIZADO]],"mmm")))</f>
        <v>NOV</v>
      </c>
      <c r="K167" s="57">
        <f>IF(tbRegistroEntradas[[#This Row],[DATA DE CAIXA REALIZADO]]="N/A",0,YEAR(tbRegistroEntradas[[#This Row],[DATA DE CAIXA REALIZADO]]))</f>
        <v>2021</v>
      </c>
      <c r="L167" s="58" t="str">
        <f>IF(tbRegistroEntradas[[#This Row],[DATA DA COMPETÊNCIA]]="N/A","0",UPPER(TEXT(tbRegistroEntradas[[#This Row],[DATA DA COMPETÊNCIA]],"mmm")))</f>
        <v>OUT</v>
      </c>
      <c r="M167" s="58">
        <f>IF(tbRegistroEntradas[[#This Row],[DATA DA COMPETÊNCIA]]="N/A",0,YEAR(tbRegistroEntradas[[#This Row],[DATA DA COMPETÊNCIA]]))</f>
        <v>2021</v>
      </c>
      <c r="N167" s="58" t="str">
        <f>IF(tbRegistroEntradas[[#This Row],[DATA DO CAIXA PREVISTO]]="N/A","0",UPPER(TEXT(tbRegistroEntradas[[#This Row],[DATA DO CAIXA PREVISTO]],"mmm")))</f>
        <v>OUT</v>
      </c>
      <c r="O167" s="58">
        <f>IF(tbRegistroEntradas[[#This Row],[DATA DO CAIXA PREVISTO]]="N/A",0,YEAR(tbRegistroEntradas[[#This Row],[DATA DO CAIXA PREVISTO]]))</f>
        <v>2021</v>
      </c>
      <c r="P167" s="58" t="str">
        <f ca="1">IF(AND(tbRegistroEntradas[[#This Row],[DATA DE CAIXA REALIZADO]]="N/A",tbRegistroEntradas[[#This Row],[DATA DO CAIXA PREVISTO]]&lt;TODAY()),"Vencida","Não Vencida")</f>
        <v>Não Vencida</v>
      </c>
      <c r="Q167" s="58" t="str">
        <f>IF(tbRegistroEntradas[[#This Row],[DATA DA COMPETÊNCIA]]=tbRegistroEntradas[[#This Row],[DATA DO CAIXA PREVISTO]],"Vista","Prazo")</f>
        <v>Prazo</v>
      </c>
      <c r="R167" s="58" t="str">
        <f>IF(tbRegistroEntradas[[#This Row],[DATA DE CAIXA REALIZADO]]&lt;&gt;"N/A","Em Dia","Com atraso")</f>
        <v>Em Dia</v>
      </c>
    </row>
    <row r="168" spans="1:18" s="52" customFormat="1" ht="14.4" customHeight="1" x14ac:dyDescent="0.3">
      <c r="A168" s="112">
        <v>44506.105358796296</v>
      </c>
      <c r="B168" s="114">
        <v>44484</v>
      </c>
      <c r="C168" s="41">
        <v>44506.105358796296</v>
      </c>
      <c r="D168" s="55" t="s">
        <v>62</v>
      </c>
      <c r="E168" s="55" t="s">
        <v>12</v>
      </c>
      <c r="F168" s="55" t="s">
        <v>19</v>
      </c>
      <c r="G168" s="55" t="s">
        <v>163</v>
      </c>
      <c r="H168" s="110" t="s">
        <v>92</v>
      </c>
      <c r="I168" s="119">
        <v>3425</v>
      </c>
      <c r="J168" s="55" t="str">
        <f>IF(tbRegistroEntradas[[#This Row],[DATA DE CAIXA REALIZADO]]="N/A","0",UPPER(TEXT(tbRegistroEntradas[[#This Row],[DATA DE CAIXA REALIZADO]],"mmm")))</f>
        <v>NOV</v>
      </c>
      <c r="K168" s="58">
        <f>IF(tbRegistroEntradas[[#This Row],[DATA DE CAIXA REALIZADO]]="N/A",0,YEAR(tbRegistroEntradas[[#This Row],[DATA DE CAIXA REALIZADO]]))</f>
        <v>2021</v>
      </c>
      <c r="L168" s="79" t="str">
        <f>IF(tbRegistroEntradas[[#This Row],[DATA DA COMPETÊNCIA]]="N/A","0",UPPER(TEXT(tbRegistroEntradas[[#This Row],[DATA DA COMPETÊNCIA]],"mmm")))</f>
        <v>OUT</v>
      </c>
      <c r="M168" s="79">
        <f>IF(tbRegistroEntradas[[#This Row],[DATA DA COMPETÊNCIA]]="N/A",0,YEAR(tbRegistroEntradas[[#This Row],[DATA DA COMPETÊNCIA]]))</f>
        <v>2021</v>
      </c>
      <c r="N168" s="84" t="str">
        <f>IF(tbRegistroEntradas[[#This Row],[DATA DO CAIXA PREVISTO]]="N/A","0",UPPER(TEXT(tbRegistroEntradas[[#This Row],[DATA DO CAIXA PREVISTO]],"mmm")))</f>
        <v>NOV</v>
      </c>
      <c r="O168" s="84">
        <f>IF(tbRegistroEntradas[[#This Row],[DATA DO CAIXA PREVISTO]]="N/A",0,YEAR(tbRegistroEntradas[[#This Row],[DATA DO CAIXA PREVISTO]]))</f>
        <v>2021</v>
      </c>
      <c r="P168" s="58" t="str">
        <f ca="1">IF(AND(tbRegistroEntradas[[#This Row],[DATA DE CAIXA REALIZADO]]="N/A",tbRegistroEntradas[[#This Row],[DATA DO CAIXA PREVISTO]]&lt;TODAY()),"Vencida","Não Vencida")</f>
        <v>Não Vencida</v>
      </c>
      <c r="Q168" s="58" t="str">
        <f>IF(tbRegistroEntradas[[#This Row],[DATA DA COMPETÊNCIA]]=tbRegistroEntradas[[#This Row],[DATA DO CAIXA PREVISTO]],"Vista","Prazo")</f>
        <v>Prazo</v>
      </c>
      <c r="R168" s="58" t="str">
        <f>IF(tbRegistroEntradas[[#This Row],[DATA DE CAIXA REALIZADO]]&lt;&gt;"N/A","Em Dia","Com atraso")</f>
        <v>Em Dia</v>
      </c>
    </row>
    <row r="169" spans="1:18" s="52" customFormat="1" ht="14.4" customHeight="1" x14ac:dyDescent="0.3">
      <c r="A169" s="113">
        <v>44518.775636574072</v>
      </c>
      <c r="B169" s="115">
        <v>44487</v>
      </c>
      <c r="C169" s="44">
        <v>44518.775636574072</v>
      </c>
      <c r="D169" s="116" t="s">
        <v>137</v>
      </c>
      <c r="E169" s="116" t="s">
        <v>12</v>
      </c>
      <c r="F169" s="116" t="s">
        <v>32</v>
      </c>
      <c r="G169" s="116" t="s">
        <v>164</v>
      </c>
      <c r="H169" s="126" t="s">
        <v>105</v>
      </c>
      <c r="I169" s="120">
        <v>4454</v>
      </c>
      <c r="J169" s="55" t="str">
        <f>IF(tbRegistroEntradas[[#This Row],[DATA DE CAIXA REALIZADO]]="N/A","0",UPPER(TEXT(tbRegistroEntradas[[#This Row],[DATA DE CAIXA REALIZADO]],"mmm")))</f>
        <v>NOV</v>
      </c>
      <c r="K169" s="58">
        <f>IF(tbRegistroEntradas[[#This Row],[DATA DE CAIXA REALIZADO]]="N/A",0,YEAR(tbRegistroEntradas[[#This Row],[DATA DE CAIXA REALIZADO]]))</f>
        <v>2021</v>
      </c>
      <c r="L169" s="79" t="str">
        <f>IF(tbRegistroEntradas[[#This Row],[DATA DA COMPETÊNCIA]]="N/A","0",UPPER(TEXT(tbRegistroEntradas[[#This Row],[DATA DA COMPETÊNCIA]],"mmm")))</f>
        <v>OUT</v>
      </c>
      <c r="M169" s="79">
        <f>IF(tbRegistroEntradas[[#This Row],[DATA DA COMPETÊNCIA]]="N/A",0,YEAR(tbRegistroEntradas[[#This Row],[DATA DA COMPETÊNCIA]]))</f>
        <v>2021</v>
      </c>
      <c r="N169" s="84" t="str">
        <f>IF(tbRegistroEntradas[[#This Row],[DATA DO CAIXA PREVISTO]]="N/A","0",UPPER(TEXT(tbRegistroEntradas[[#This Row],[DATA DO CAIXA PREVISTO]],"mmm")))</f>
        <v>NOV</v>
      </c>
      <c r="O169" s="84">
        <f>IF(tbRegistroEntradas[[#This Row],[DATA DO CAIXA PREVISTO]]="N/A",0,YEAR(tbRegistroEntradas[[#This Row],[DATA DO CAIXA PREVISTO]]))</f>
        <v>2021</v>
      </c>
      <c r="P169" s="58" t="str">
        <f ca="1">IF(AND(tbRegistroEntradas[[#This Row],[DATA DE CAIXA REALIZADO]]="N/A",tbRegistroEntradas[[#This Row],[DATA DO CAIXA PREVISTO]]&lt;TODAY()),"Vencida","Não Vencida")</f>
        <v>Não Vencida</v>
      </c>
      <c r="Q169" s="58" t="str">
        <f>IF(tbRegistroEntradas[[#This Row],[DATA DA COMPETÊNCIA]]=tbRegistroEntradas[[#This Row],[DATA DO CAIXA PREVISTO]],"Vista","Prazo")</f>
        <v>Prazo</v>
      </c>
      <c r="R169" s="58" t="str">
        <f>IF(tbRegistroEntradas[[#This Row],[DATA DE CAIXA REALIZADO]]&lt;&gt;"N/A","Em Dia","Com atraso")</f>
        <v>Em Dia</v>
      </c>
    </row>
    <row r="170" spans="1:18" s="52" customFormat="1" ht="14.4" customHeight="1" x14ac:dyDescent="0.3">
      <c r="A170" s="125">
        <v>44518</v>
      </c>
      <c r="B170" s="125">
        <f>A170-31</f>
        <v>44487</v>
      </c>
      <c r="C170" s="111">
        <f>(A170-B170)+B170-15</f>
        <v>44503</v>
      </c>
      <c r="D170" s="126" t="s">
        <v>137</v>
      </c>
      <c r="E170" s="126" t="s">
        <v>12</v>
      </c>
      <c r="F170" s="126" t="s">
        <v>18</v>
      </c>
      <c r="G170" s="126" t="s">
        <v>1022</v>
      </c>
      <c r="H170" s="52" t="s">
        <v>73</v>
      </c>
      <c r="I170" s="127">
        <v>3977</v>
      </c>
      <c r="J170" s="110" t="str">
        <f>IF(tbRegistroEntradas[[#This Row],[DATA DE CAIXA REALIZADO]]="N/A","0",UPPER(TEXT(tbRegistroEntradas[[#This Row],[DATA DE CAIXA REALIZADO]],"mmm")))</f>
        <v>NOV</v>
      </c>
      <c r="K170" s="57">
        <f>IF(tbRegistroEntradas[[#This Row],[DATA DE CAIXA REALIZADO]]="N/A",0,YEAR(tbRegistroEntradas[[#This Row],[DATA DE CAIXA REALIZADO]]))</f>
        <v>2021</v>
      </c>
      <c r="L170" s="58" t="str">
        <f>IF(tbRegistroEntradas[[#This Row],[DATA DA COMPETÊNCIA]]="N/A","0",UPPER(TEXT(tbRegistroEntradas[[#This Row],[DATA DA COMPETÊNCIA]],"mmm")))</f>
        <v>OUT</v>
      </c>
      <c r="M170" s="58">
        <f>IF(tbRegistroEntradas[[#This Row],[DATA DA COMPETÊNCIA]]="N/A",0,YEAR(tbRegistroEntradas[[#This Row],[DATA DA COMPETÊNCIA]]))</f>
        <v>2021</v>
      </c>
      <c r="N170" s="58" t="str">
        <f>IF(tbRegistroEntradas[[#This Row],[DATA DO CAIXA PREVISTO]]="N/A","0",UPPER(TEXT(tbRegistroEntradas[[#This Row],[DATA DO CAIXA PREVISTO]],"mmm")))</f>
        <v>NOV</v>
      </c>
      <c r="O170" s="58">
        <f>IF(tbRegistroEntradas[[#This Row],[DATA DO CAIXA PREVISTO]]="N/A",0,YEAR(tbRegistroEntradas[[#This Row],[DATA DO CAIXA PREVISTO]]))</f>
        <v>2021</v>
      </c>
      <c r="P170" s="58" t="str">
        <f ca="1">IF(AND(tbRegistroEntradas[[#This Row],[DATA DE CAIXA REALIZADO]]="N/A",tbRegistroEntradas[[#This Row],[DATA DO CAIXA PREVISTO]]&lt;TODAY()),"Vencida","Não Vencida")</f>
        <v>Não Vencida</v>
      </c>
      <c r="Q170" s="58" t="str">
        <f>IF(tbRegistroEntradas[[#This Row],[DATA DA COMPETÊNCIA]]=tbRegistroEntradas[[#This Row],[DATA DO CAIXA PREVISTO]],"Vista","Prazo")</f>
        <v>Prazo</v>
      </c>
      <c r="R170" s="58" t="str">
        <f>IF(tbRegistroEntradas[[#This Row],[DATA DE CAIXA REALIZADO]]&lt;&gt;"N/A","Em Dia","Com atraso")</f>
        <v>Em Dia</v>
      </c>
    </row>
    <row r="171" spans="1:18" s="52" customFormat="1" ht="14.4" customHeight="1" x14ac:dyDescent="0.3">
      <c r="A171" s="112">
        <v>44498.453877314816</v>
      </c>
      <c r="B171" s="114">
        <v>44491</v>
      </c>
      <c r="C171" s="41">
        <v>44498.453877314816</v>
      </c>
      <c r="D171" s="116" t="s">
        <v>137</v>
      </c>
      <c r="E171" s="55" t="s">
        <v>12</v>
      </c>
      <c r="F171" s="55" t="s">
        <v>17</v>
      </c>
      <c r="G171" s="55" t="s">
        <v>165</v>
      </c>
      <c r="H171" s="126" t="s">
        <v>104</v>
      </c>
      <c r="I171" s="119">
        <v>2134</v>
      </c>
      <c r="J171" s="55" t="str">
        <f>IF(tbRegistroEntradas[[#This Row],[DATA DE CAIXA REALIZADO]]="N/A","0",UPPER(TEXT(tbRegistroEntradas[[#This Row],[DATA DE CAIXA REALIZADO]],"mmm")))</f>
        <v>OUT</v>
      </c>
      <c r="K171" s="58">
        <f>IF(tbRegistroEntradas[[#This Row],[DATA DE CAIXA REALIZADO]]="N/A",0,YEAR(tbRegistroEntradas[[#This Row],[DATA DE CAIXA REALIZADO]]))</f>
        <v>2021</v>
      </c>
      <c r="L171" s="79" t="str">
        <f>IF(tbRegistroEntradas[[#This Row],[DATA DA COMPETÊNCIA]]="N/A","0",UPPER(TEXT(tbRegistroEntradas[[#This Row],[DATA DA COMPETÊNCIA]],"mmm")))</f>
        <v>OUT</v>
      </c>
      <c r="M171" s="79">
        <f>IF(tbRegistroEntradas[[#This Row],[DATA DA COMPETÊNCIA]]="N/A",0,YEAR(tbRegistroEntradas[[#This Row],[DATA DA COMPETÊNCIA]]))</f>
        <v>2021</v>
      </c>
      <c r="N171" s="84" t="str">
        <f>IF(tbRegistroEntradas[[#This Row],[DATA DO CAIXA PREVISTO]]="N/A","0",UPPER(TEXT(tbRegistroEntradas[[#This Row],[DATA DO CAIXA PREVISTO]],"mmm")))</f>
        <v>OUT</v>
      </c>
      <c r="O171" s="84">
        <f>IF(tbRegistroEntradas[[#This Row],[DATA DO CAIXA PREVISTO]]="N/A",0,YEAR(tbRegistroEntradas[[#This Row],[DATA DO CAIXA PREVISTO]]))</f>
        <v>2021</v>
      </c>
      <c r="P171" s="58" t="str">
        <f ca="1">IF(AND(tbRegistroEntradas[[#This Row],[DATA DE CAIXA REALIZADO]]="N/A",tbRegistroEntradas[[#This Row],[DATA DO CAIXA PREVISTO]]&lt;TODAY()),"Vencida","Não Vencida")</f>
        <v>Não Vencida</v>
      </c>
      <c r="Q171" s="58" t="str">
        <f>IF(tbRegistroEntradas[[#This Row],[DATA DA COMPETÊNCIA]]=tbRegistroEntradas[[#This Row],[DATA DO CAIXA PREVISTO]],"Vista","Prazo")</f>
        <v>Prazo</v>
      </c>
      <c r="R171" s="58" t="str">
        <f>IF(tbRegistroEntradas[[#This Row],[DATA DE CAIXA REALIZADO]]&lt;&gt;"N/A","Em Dia","Com atraso")</f>
        <v>Em Dia</v>
      </c>
    </row>
    <row r="172" spans="1:18" s="52" customFormat="1" ht="14.4" customHeight="1" x14ac:dyDescent="0.3">
      <c r="A172" s="125">
        <v>44522</v>
      </c>
      <c r="B172" s="125">
        <f>A172-31</f>
        <v>44491</v>
      </c>
      <c r="C172" s="111">
        <f>(A172-B172)+B172-15</f>
        <v>44507</v>
      </c>
      <c r="D172" s="126" t="s">
        <v>61</v>
      </c>
      <c r="E172" s="126" t="s">
        <v>12</v>
      </c>
      <c r="F172" s="126" t="s">
        <v>18</v>
      </c>
      <c r="G172" s="126" t="s">
        <v>807</v>
      </c>
      <c r="H172" s="52" t="s">
        <v>84</v>
      </c>
      <c r="I172" s="127">
        <v>3591</v>
      </c>
      <c r="J172" s="110" t="str">
        <f>IF(tbRegistroEntradas[[#This Row],[DATA DE CAIXA REALIZADO]]="N/A","0",UPPER(TEXT(tbRegistroEntradas[[#This Row],[DATA DE CAIXA REALIZADO]],"mmm")))</f>
        <v>NOV</v>
      </c>
      <c r="K172" s="57">
        <f>IF(tbRegistroEntradas[[#This Row],[DATA DE CAIXA REALIZADO]]="N/A",0,YEAR(tbRegistroEntradas[[#This Row],[DATA DE CAIXA REALIZADO]]))</f>
        <v>2021</v>
      </c>
      <c r="L172" s="58" t="str">
        <f>IF(tbRegistroEntradas[[#This Row],[DATA DA COMPETÊNCIA]]="N/A","0",UPPER(TEXT(tbRegistroEntradas[[#This Row],[DATA DA COMPETÊNCIA]],"mmm")))</f>
        <v>OUT</v>
      </c>
      <c r="M172" s="58">
        <f>IF(tbRegistroEntradas[[#This Row],[DATA DA COMPETÊNCIA]]="N/A",0,YEAR(tbRegistroEntradas[[#This Row],[DATA DA COMPETÊNCIA]]))</f>
        <v>2021</v>
      </c>
      <c r="N172" s="58" t="str">
        <f>IF(tbRegistroEntradas[[#This Row],[DATA DO CAIXA PREVISTO]]="N/A","0",UPPER(TEXT(tbRegistroEntradas[[#This Row],[DATA DO CAIXA PREVISTO]],"mmm")))</f>
        <v>NOV</v>
      </c>
      <c r="O172" s="58">
        <f>IF(tbRegistroEntradas[[#This Row],[DATA DO CAIXA PREVISTO]]="N/A",0,YEAR(tbRegistroEntradas[[#This Row],[DATA DO CAIXA PREVISTO]]))</f>
        <v>2021</v>
      </c>
      <c r="P172" s="58" t="str">
        <f ca="1">IF(AND(tbRegistroEntradas[[#This Row],[DATA DE CAIXA REALIZADO]]="N/A",tbRegistroEntradas[[#This Row],[DATA DO CAIXA PREVISTO]]&lt;TODAY()),"Vencida","Não Vencida")</f>
        <v>Não Vencida</v>
      </c>
      <c r="Q172" s="58" t="str">
        <f>IF(tbRegistroEntradas[[#This Row],[DATA DA COMPETÊNCIA]]=tbRegistroEntradas[[#This Row],[DATA DO CAIXA PREVISTO]],"Vista","Prazo")</f>
        <v>Prazo</v>
      </c>
      <c r="R172" s="58" t="str">
        <f>IF(tbRegistroEntradas[[#This Row],[DATA DE CAIXA REALIZADO]]&lt;&gt;"N/A","Em Dia","Com atraso")</f>
        <v>Em Dia</v>
      </c>
    </row>
    <row r="173" spans="1:18" s="52" customFormat="1" ht="14.4" customHeight="1" x14ac:dyDescent="0.3">
      <c r="A173" s="125">
        <v>44523</v>
      </c>
      <c r="B173" s="125">
        <f>A173-31</f>
        <v>44492</v>
      </c>
      <c r="C173" s="111">
        <f>tbRegistroEntradas[[#This Row],[DATA DA COMPETÊNCIA]]</f>
        <v>44492</v>
      </c>
      <c r="D173" s="126" t="s">
        <v>64</v>
      </c>
      <c r="E173" s="126" t="s">
        <v>12</v>
      </c>
      <c r="F173" s="126" t="s">
        <v>17</v>
      </c>
      <c r="G173" s="126" t="s">
        <v>194</v>
      </c>
      <c r="H173" s="52" t="s">
        <v>110</v>
      </c>
      <c r="I173" s="127">
        <v>6939</v>
      </c>
      <c r="J173" s="110" t="str">
        <f>IF(tbRegistroEntradas[[#This Row],[DATA DE CAIXA REALIZADO]]="N/A","0",UPPER(TEXT(tbRegistroEntradas[[#This Row],[DATA DE CAIXA REALIZADO]],"mmm")))</f>
        <v>NOV</v>
      </c>
      <c r="K173" s="57">
        <f>IF(tbRegistroEntradas[[#This Row],[DATA DE CAIXA REALIZADO]]="N/A",0,YEAR(tbRegistroEntradas[[#This Row],[DATA DE CAIXA REALIZADO]]))</f>
        <v>2021</v>
      </c>
      <c r="L173" s="58" t="str">
        <f>IF(tbRegistroEntradas[[#This Row],[DATA DA COMPETÊNCIA]]="N/A","0",UPPER(TEXT(tbRegistroEntradas[[#This Row],[DATA DA COMPETÊNCIA]],"mmm")))</f>
        <v>OUT</v>
      </c>
      <c r="M173" s="58">
        <f>IF(tbRegistroEntradas[[#This Row],[DATA DA COMPETÊNCIA]]="N/A",0,YEAR(tbRegistroEntradas[[#This Row],[DATA DA COMPETÊNCIA]]))</f>
        <v>2021</v>
      </c>
      <c r="N173" s="58" t="str">
        <f>IF(tbRegistroEntradas[[#This Row],[DATA DO CAIXA PREVISTO]]="N/A","0",UPPER(TEXT(tbRegistroEntradas[[#This Row],[DATA DO CAIXA PREVISTO]],"mmm")))</f>
        <v>OUT</v>
      </c>
      <c r="O173" s="58">
        <f>IF(tbRegistroEntradas[[#This Row],[DATA DO CAIXA PREVISTO]]="N/A",0,YEAR(tbRegistroEntradas[[#This Row],[DATA DO CAIXA PREVISTO]]))</f>
        <v>2021</v>
      </c>
      <c r="P173" s="58" t="str">
        <f ca="1">IF(AND(tbRegistroEntradas[[#This Row],[DATA DE CAIXA REALIZADO]]="N/A",tbRegistroEntradas[[#This Row],[DATA DO CAIXA PREVISTO]]&lt;TODAY()),"Vencida","Não Vencida")</f>
        <v>Não Vencida</v>
      </c>
      <c r="Q173" s="58" t="str">
        <f>IF(tbRegistroEntradas[[#This Row],[DATA DA COMPETÊNCIA]]=tbRegistroEntradas[[#This Row],[DATA DO CAIXA PREVISTO]],"Vista","Prazo")</f>
        <v>Vista</v>
      </c>
      <c r="R173" s="58" t="str">
        <f>IF(tbRegistroEntradas[[#This Row],[DATA DE CAIXA REALIZADO]]&lt;&gt;"N/A","Em Dia","Com atraso")</f>
        <v>Em Dia</v>
      </c>
    </row>
    <row r="174" spans="1:18" s="52" customFormat="1" ht="14.4" customHeight="1" x14ac:dyDescent="0.3">
      <c r="A174" s="125">
        <v>44524</v>
      </c>
      <c r="B174" s="125">
        <f>A174-31</f>
        <v>44493</v>
      </c>
      <c r="C174" s="111">
        <f>(A174-B174)+B174-15</f>
        <v>44509</v>
      </c>
      <c r="D174" s="126" t="s">
        <v>63</v>
      </c>
      <c r="E174" s="126" t="s">
        <v>12</v>
      </c>
      <c r="F174" s="126" t="s">
        <v>19</v>
      </c>
      <c r="G174" s="126" t="s">
        <v>718</v>
      </c>
      <c r="H174" s="52" t="s">
        <v>99</v>
      </c>
      <c r="I174" s="127">
        <v>1026</v>
      </c>
      <c r="J174" s="110" t="str">
        <f>IF(tbRegistroEntradas[[#This Row],[DATA DE CAIXA REALIZADO]]="N/A","0",UPPER(TEXT(tbRegistroEntradas[[#This Row],[DATA DE CAIXA REALIZADO]],"mmm")))</f>
        <v>NOV</v>
      </c>
      <c r="K174" s="57">
        <f>IF(tbRegistroEntradas[[#This Row],[DATA DE CAIXA REALIZADO]]="N/A",0,YEAR(tbRegistroEntradas[[#This Row],[DATA DE CAIXA REALIZADO]]))</f>
        <v>2021</v>
      </c>
      <c r="L174" s="58" t="str">
        <f>IF(tbRegistroEntradas[[#This Row],[DATA DA COMPETÊNCIA]]="N/A","0",UPPER(TEXT(tbRegistroEntradas[[#This Row],[DATA DA COMPETÊNCIA]],"mmm")))</f>
        <v>OUT</v>
      </c>
      <c r="M174" s="58">
        <f>IF(tbRegistroEntradas[[#This Row],[DATA DA COMPETÊNCIA]]="N/A",0,YEAR(tbRegistroEntradas[[#This Row],[DATA DA COMPETÊNCIA]]))</f>
        <v>2021</v>
      </c>
      <c r="N174" s="58" t="str">
        <f>IF(tbRegistroEntradas[[#This Row],[DATA DO CAIXA PREVISTO]]="N/A","0",UPPER(TEXT(tbRegistroEntradas[[#This Row],[DATA DO CAIXA PREVISTO]],"mmm")))</f>
        <v>NOV</v>
      </c>
      <c r="O174" s="58">
        <f>IF(tbRegistroEntradas[[#This Row],[DATA DO CAIXA PREVISTO]]="N/A",0,YEAR(tbRegistroEntradas[[#This Row],[DATA DO CAIXA PREVISTO]]))</f>
        <v>2021</v>
      </c>
      <c r="P174" s="58" t="str">
        <f ca="1">IF(AND(tbRegistroEntradas[[#This Row],[DATA DE CAIXA REALIZADO]]="N/A",tbRegistroEntradas[[#This Row],[DATA DO CAIXA PREVISTO]]&lt;TODAY()),"Vencida","Não Vencida")</f>
        <v>Não Vencida</v>
      </c>
      <c r="Q174" s="58" t="str">
        <f>IF(tbRegistroEntradas[[#This Row],[DATA DA COMPETÊNCIA]]=tbRegistroEntradas[[#This Row],[DATA DO CAIXA PREVISTO]],"Vista","Prazo")</f>
        <v>Prazo</v>
      </c>
      <c r="R174" s="58" t="str">
        <f>IF(tbRegistroEntradas[[#This Row],[DATA DE CAIXA REALIZADO]]&lt;&gt;"N/A","Em Dia","Com atraso")</f>
        <v>Em Dia</v>
      </c>
    </row>
    <row r="175" spans="1:18" s="52" customFormat="1" ht="14.4" customHeight="1" x14ac:dyDescent="0.3">
      <c r="A175" s="112">
        <v>44529.089409722219</v>
      </c>
      <c r="B175" s="114">
        <v>44493</v>
      </c>
      <c r="C175" s="41">
        <v>44529.089409722219</v>
      </c>
      <c r="D175" s="55" t="s">
        <v>138</v>
      </c>
      <c r="E175" s="55" t="s">
        <v>12</v>
      </c>
      <c r="F175" s="55" t="s">
        <v>18</v>
      </c>
      <c r="G175" s="55" t="s">
        <v>167</v>
      </c>
      <c r="H175" s="52" t="s">
        <v>77</v>
      </c>
      <c r="I175" s="119">
        <v>2023</v>
      </c>
      <c r="J175" s="55" t="str">
        <f>IF(tbRegistroEntradas[[#This Row],[DATA DE CAIXA REALIZADO]]="N/A","0",UPPER(TEXT(tbRegistroEntradas[[#This Row],[DATA DE CAIXA REALIZADO]],"mmm")))</f>
        <v>NOV</v>
      </c>
      <c r="K175" s="58">
        <f>IF(tbRegistroEntradas[[#This Row],[DATA DE CAIXA REALIZADO]]="N/A",0,YEAR(tbRegistroEntradas[[#This Row],[DATA DE CAIXA REALIZADO]]))</f>
        <v>2021</v>
      </c>
      <c r="L175" s="79" t="str">
        <f>IF(tbRegistroEntradas[[#This Row],[DATA DA COMPETÊNCIA]]="N/A","0",UPPER(TEXT(tbRegistroEntradas[[#This Row],[DATA DA COMPETÊNCIA]],"mmm")))</f>
        <v>OUT</v>
      </c>
      <c r="M175" s="79">
        <f>IF(tbRegistroEntradas[[#This Row],[DATA DA COMPETÊNCIA]]="N/A",0,YEAR(tbRegistroEntradas[[#This Row],[DATA DA COMPETÊNCIA]]))</f>
        <v>2021</v>
      </c>
      <c r="N175" s="84" t="str">
        <f>IF(tbRegistroEntradas[[#This Row],[DATA DO CAIXA PREVISTO]]="N/A","0",UPPER(TEXT(tbRegistroEntradas[[#This Row],[DATA DO CAIXA PREVISTO]],"mmm")))</f>
        <v>NOV</v>
      </c>
      <c r="O175" s="84">
        <f>IF(tbRegistroEntradas[[#This Row],[DATA DO CAIXA PREVISTO]]="N/A",0,YEAR(tbRegistroEntradas[[#This Row],[DATA DO CAIXA PREVISTO]]))</f>
        <v>2021</v>
      </c>
      <c r="P175" s="58" t="str">
        <f ca="1">IF(AND(tbRegistroEntradas[[#This Row],[DATA DE CAIXA REALIZADO]]="N/A",tbRegistroEntradas[[#This Row],[DATA DO CAIXA PREVISTO]]&lt;TODAY()),"Vencida","Não Vencida")</f>
        <v>Não Vencida</v>
      </c>
      <c r="Q175" s="58" t="str">
        <f>IF(tbRegistroEntradas[[#This Row],[DATA DA COMPETÊNCIA]]=tbRegistroEntradas[[#This Row],[DATA DO CAIXA PREVISTO]],"Vista","Prazo")</f>
        <v>Prazo</v>
      </c>
      <c r="R175" s="58" t="str">
        <f>IF(tbRegistroEntradas[[#This Row],[DATA DE CAIXA REALIZADO]]&lt;&gt;"N/A","Em Dia","Com atraso")</f>
        <v>Em Dia</v>
      </c>
    </row>
    <row r="176" spans="1:18" s="52" customFormat="1" ht="14.4" customHeight="1" x14ac:dyDescent="0.3">
      <c r="A176" s="113">
        <v>44547.43236111111</v>
      </c>
      <c r="B176" s="115">
        <v>44493</v>
      </c>
      <c r="C176" s="44">
        <v>44519.598252314812</v>
      </c>
      <c r="D176" s="116" t="s">
        <v>63</v>
      </c>
      <c r="E176" s="116" t="s">
        <v>12</v>
      </c>
      <c r="F176" s="116" t="s">
        <v>16</v>
      </c>
      <c r="G176" s="116" t="s">
        <v>166</v>
      </c>
      <c r="H176" s="52" t="s">
        <v>100</v>
      </c>
      <c r="I176" s="120">
        <v>257</v>
      </c>
      <c r="J176" s="55" t="str">
        <f>IF(tbRegistroEntradas[[#This Row],[DATA DE CAIXA REALIZADO]]="N/A","0",UPPER(TEXT(tbRegistroEntradas[[#This Row],[DATA DE CAIXA REALIZADO]],"mmm")))</f>
        <v>DEZ</v>
      </c>
      <c r="K176" s="58">
        <f>IF(tbRegistroEntradas[[#This Row],[DATA DE CAIXA REALIZADO]]="N/A",0,YEAR(tbRegistroEntradas[[#This Row],[DATA DE CAIXA REALIZADO]]))</f>
        <v>2021</v>
      </c>
      <c r="L176" s="79" t="str">
        <f>IF(tbRegistroEntradas[[#This Row],[DATA DA COMPETÊNCIA]]="N/A","0",UPPER(TEXT(tbRegistroEntradas[[#This Row],[DATA DA COMPETÊNCIA]],"mmm")))</f>
        <v>OUT</v>
      </c>
      <c r="M176" s="79">
        <f>IF(tbRegistroEntradas[[#This Row],[DATA DA COMPETÊNCIA]]="N/A",0,YEAR(tbRegistroEntradas[[#This Row],[DATA DA COMPETÊNCIA]]))</f>
        <v>2021</v>
      </c>
      <c r="N176" s="84" t="str">
        <f>IF(tbRegistroEntradas[[#This Row],[DATA DO CAIXA PREVISTO]]="N/A","0",UPPER(TEXT(tbRegistroEntradas[[#This Row],[DATA DO CAIXA PREVISTO]],"mmm")))</f>
        <v>NOV</v>
      </c>
      <c r="O176" s="84">
        <f>IF(tbRegistroEntradas[[#This Row],[DATA DO CAIXA PREVISTO]]="N/A",0,YEAR(tbRegistroEntradas[[#This Row],[DATA DO CAIXA PREVISTO]]))</f>
        <v>2021</v>
      </c>
      <c r="P176" s="58" t="str">
        <f ca="1">IF(AND(tbRegistroEntradas[[#This Row],[DATA DE CAIXA REALIZADO]]="N/A",tbRegistroEntradas[[#This Row],[DATA DO CAIXA PREVISTO]]&lt;TODAY()),"Vencida","Não Vencida")</f>
        <v>Não Vencida</v>
      </c>
      <c r="Q176" s="58" t="str">
        <f>IF(tbRegistroEntradas[[#This Row],[DATA DA COMPETÊNCIA]]=tbRegistroEntradas[[#This Row],[DATA DO CAIXA PREVISTO]],"Vista","Prazo")</f>
        <v>Prazo</v>
      </c>
      <c r="R176" s="58" t="str">
        <f>IF(tbRegistroEntradas[[#This Row],[DATA DE CAIXA REALIZADO]]&lt;&gt;"N/A","Em Dia","Com atraso")</f>
        <v>Em Dia</v>
      </c>
    </row>
    <row r="177" spans="1:18" s="52" customFormat="1" ht="14.4" customHeight="1" x14ac:dyDescent="0.3">
      <c r="A177" s="113">
        <v>44552.729189814818</v>
      </c>
      <c r="B177" s="115">
        <v>44495</v>
      </c>
      <c r="C177" s="44">
        <v>44552.729189814818</v>
      </c>
      <c r="D177" s="116" t="s">
        <v>138</v>
      </c>
      <c r="E177" s="116" t="s">
        <v>12</v>
      </c>
      <c r="F177" s="116" t="s">
        <v>19</v>
      </c>
      <c r="G177" s="116" t="s">
        <v>168</v>
      </c>
      <c r="H177" s="52" t="s">
        <v>78</v>
      </c>
      <c r="I177" s="120">
        <v>3696</v>
      </c>
      <c r="J177" s="55" t="str">
        <f>IF(tbRegistroEntradas[[#This Row],[DATA DE CAIXA REALIZADO]]="N/A","0",UPPER(TEXT(tbRegistroEntradas[[#This Row],[DATA DE CAIXA REALIZADO]],"mmm")))</f>
        <v>DEZ</v>
      </c>
      <c r="K177" s="58">
        <f>IF(tbRegistroEntradas[[#This Row],[DATA DE CAIXA REALIZADO]]="N/A",0,YEAR(tbRegistroEntradas[[#This Row],[DATA DE CAIXA REALIZADO]]))</f>
        <v>2021</v>
      </c>
      <c r="L177" s="79" t="str">
        <f>IF(tbRegistroEntradas[[#This Row],[DATA DA COMPETÊNCIA]]="N/A","0",UPPER(TEXT(tbRegistroEntradas[[#This Row],[DATA DA COMPETÊNCIA]],"mmm")))</f>
        <v>OUT</v>
      </c>
      <c r="M177" s="79">
        <f>IF(tbRegistroEntradas[[#This Row],[DATA DA COMPETÊNCIA]]="N/A",0,YEAR(tbRegistroEntradas[[#This Row],[DATA DA COMPETÊNCIA]]))</f>
        <v>2021</v>
      </c>
      <c r="N177" s="84" t="str">
        <f>IF(tbRegistroEntradas[[#This Row],[DATA DO CAIXA PREVISTO]]="N/A","0",UPPER(TEXT(tbRegistroEntradas[[#This Row],[DATA DO CAIXA PREVISTO]],"mmm")))</f>
        <v>DEZ</v>
      </c>
      <c r="O177" s="84">
        <f>IF(tbRegistroEntradas[[#This Row],[DATA DO CAIXA PREVISTO]]="N/A",0,YEAR(tbRegistroEntradas[[#This Row],[DATA DO CAIXA PREVISTO]]))</f>
        <v>2021</v>
      </c>
      <c r="P177" s="58" t="str">
        <f ca="1">IF(AND(tbRegistroEntradas[[#This Row],[DATA DE CAIXA REALIZADO]]="N/A",tbRegistroEntradas[[#This Row],[DATA DO CAIXA PREVISTO]]&lt;TODAY()),"Vencida","Não Vencida")</f>
        <v>Não Vencida</v>
      </c>
      <c r="Q177" s="58" t="str">
        <f>IF(tbRegistroEntradas[[#This Row],[DATA DA COMPETÊNCIA]]=tbRegistroEntradas[[#This Row],[DATA DO CAIXA PREVISTO]],"Vista","Prazo")</f>
        <v>Prazo</v>
      </c>
      <c r="R177" s="58" t="str">
        <f>IF(tbRegistroEntradas[[#This Row],[DATA DE CAIXA REALIZADO]]&lt;&gt;"N/A","Em Dia","Com atraso")</f>
        <v>Em Dia</v>
      </c>
    </row>
    <row r="178" spans="1:18" s="52" customFormat="1" ht="14.4" customHeight="1" x14ac:dyDescent="0.3">
      <c r="A178" s="112">
        <v>44513.461099537039</v>
      </c>
      <c r="B178" s="114">
        <v>44499</v>
      </c>
      <c r="C178" s="41">
        <v>44513.461099537039</v>
      </c>
      <c r="D178" s="55" t="s">
        <v>65</v>
      </c>
      <c r="E178" s="55" t="s">
        <v>12</v>
      </c>
      <c r="F178" s="55" t="s">
        <v>18</v>
      </c>
      <c r="G178" s="55" t="s">
        <v>169</v>
      </c>
      <c r="H178" s="52" t="s">
        <v>89</v>
      </c>
      <c r="I178" s="119">
        <v>4446</v>
      </c>
      <c r="J178" s="55" t="str">
        <f>IF(tbRegistroEntradas[[#This Row],[DATA DE CAIXA REALIZADO]]="N/A","0",UPPER(TEXT(tbRegistroEntradas[[#This Row],[DATA DE CAIXA REALIZADO]],"mmm")))</f>
        <v>NOV</v>
      </c>
      <c r="K178" s="58">
        <f>IF(tbRegistroEntradas[[#This Row],[DATA DE CAIXA REALIZADO]]="N/A",0,YEAR(tbRegistroEntradas[[#This Row],[DATA DE CAIXA REALIZADO]]))</f>
        <v>2021</v>
      </c>
      <c r="L178" s="79" t="str">
        <f>IF(tbRegistroEntradas[[#This Row],[DATA DA COMPETÊNCIA]]="N/A","0",UPPER(TEXT(tbRegistroEntradas[[#This Row],[DATA DA COMPETÊNCIA]],"mmm")))</f>
        <v>OUT</v>
      </c>
      <c r="M178" s="79">
        <f>IF(tbRegistroEntradas[[#This Row],[DATA DA COMPETÊNCIA]]="N/A",0,YEAR(tbRegistroEntradas[[#This Row],[DATA DA COMPETÊNCIA]]))</f>
        <v>2021</v>
      </c>
      <c r="N178" s="84" t="str">
        <f>IF(tbRegistroEntradas[[#This Row],[DATA DO CAIXA PREVISTO]]="N/A","0",UPPER(TEXT(tbRegistroEntradas[[#This Row],[DATA DO CAIXA PREVISTO]],"mmm")))</f>
        <v>NOV</v>
      </c>
      <c r="O178" s="84">
        <f>IF(tbRegistroEntradas[[#This Row],[DATA DO CAIXA PREVISTO]]="N/A",0,YEAR(tbRegistroEntradas[[#This Row],[DATA DO CAIXA PREVISTO]]))</f>
        <v>2021</v>
      </c>
      <c r="P178" s="58" t="str">
        <f ca="1">IF(AND(tbRegistroEntradas[[#This Row],[DATA DE CAIXA REALIZADO]]="N/A",tbRegistroEntradas[[#This Row],[DATA DO CAIXA PREVISTO]]&lt;TODAY()),"Vencida","Não Vencida")</f>
        <v>Não Vencida</v>
      </c>
      <c r="Q178" s="58" t="str">
        <f>IF(tbRegistroEntradas[[#This Row],[DATA DA COMPETÊNCIA]]=tbRegistroEntradas[[#This Row],[DATA DO CAIXA PREVISTO]],"Vista","Prazo")</f>
        <v>Prazo</v>
      </c>
      <c r="R178" s="58" t="str">
        <f>IF(tbRegistroEntradas[[#This Row],[DATA DE CAIXA REALIZADO]]&lt;&gt;"N/A","Em Dia","Com atraso")</f>
        <v>Em Dia</v>
      </c>
    </row>
    <row r="179" spans="1:18" s="52" customFormat="1" ht="14.4" customHeight="1" x14ac:dyDescent="0.3">
      <c r="A179" s="125">
        <v>44531</v>
      </c>
      <c r="B179" s="125">
        <f>A179-31</f>
        <v>44500</v>
      </c>
      <c r="C179" s="111">
        <f>(A179-B179)+B179-15</f>
        <v>44516</v>
      </c>
      <c r="D179" s="126" t="s">
        <v>65</v>
      </c>
      <c r="E179" s="126" t="s">
        <v>12</v>
      </c>
      <c r="F179" s="126" t="s">
        <v>32</v>
      </c>
      <c r="G179" s="126" t="s">
        <v>219</v>
      </c>
      <c r="H179" s="52" t="s">
        <v>122</v>
      </c>
      <c r="I179" s="127">
        <v>5562</v>
      </c>
      <c r="J179" s="110" t="str">
        <f>IF(tbRegistroEntradas[[#This Row],[DATA DE CAIXA REALIZADO]]="N/A","0",UPPER(TEXT(tbRegistroEntradas[[#This Row],[DATA DE CAIXA REALIZADO]],"mmm")))</f>
        <v>DEZ</v>
      </c>
      <c r="K179" s="57">
        <f>IF(tbRegistroEntradas[[#This Row],[DATA DE CAIXA REALIZADO]]="N/A",0,YEAR(tbRegistroEntradas[[#This Row],[DATA DE CAIXA REALIZADO]]))</f>
        <v>2021</v>
      </c>
      <c r="L179" s="58" t="str">
        <f>IF(tbRegistroEntradas[[#This Row],[DATA DA COMPETÊNCIA]]="N/A","0",UPPER(TEXT(tbRegistroEntradas[[#This Row],[DATA DA COMPETÊNCIA]],"mmm")))</f>
        <v>OUT</v>
      </c>
      <c r="M179" s="58">
        <f>IF(tbRegistroEntradas[[#This Row],[DATA DA COMPETÊNCIA]]="N/A",0,YEAR(tbRegistroEntradas[[#This Row],[DATA DA COMPETÊNCIA]]))</f>
        <v>2021</v>
      </c>
      <c r="N179" s="58" t="str">
        <f>IF(tbRegistroEntradas[[#This Row],[DATA DO CAIXA PREVISTO]]="N/A","0",UPPER(TEXT(tbRegistroEntradas[[#This Row],[DATA DO CAIXA PREVISTO]],"mmm")))</f>
        <v>NOV</v>
      </c>
      <c r="O179" s="58">
        <f>IF(tbRegistroEntradas[[#This Row],[DATA DO CAIXA PREVISTO]]="N/A",0,YEAR(tbRegistroEntradas[[#This Row],[DATA DO CAIXA PREVISTO]]))</f>
        <v>2021</v>
      </c>
      <c r="P179" s="58" t="str">
        <f ca="1">IF(AND(tbRegistroEntradas[[#This Row],[DATA DE CAIXA REALIZADO]]="N/A",tbRegistroEntradas[[#This Row],[DATA DO CAIXA PREVISTO]]&lt;TODAY()),"Vencida","Não Vencida")</f>
        <v>Não Vencida</v>
      </c>
      <c r="Q179" s="58" t="str">
        <f>IF(tbRegistroEntradas[[#This Row],[DATA DA COMPETÊNCIA]]=tbRegistroEntradas[[#This Row],[DATA DO CAIXA PREVISTO]],"Vista","Prazo")</f>
        <v>Prazo</v>
      </c>
      <c r="R179" s="58" t="str">
        <f>IF(tbRegistroEntradas[[#This Row],[DATA DE CAIXA REALIZADO]]&lt;&gt;"N/A","Em Dia","Com atraso")</f>
        <v>Em Dia</v>
      </c>
    </row>
    <row r="180" spans="1:18" s="52" customFormat="1" ht="14.4" customHeight="1" x14ac:dyDescent="0.3">
      <c r="A180" s="113">
        <v>44518.597592592596</v>
      </c>
      <c r="B180" s="115">
        <v>44501</v>
      </c>
      <c r="C180" s="44">
        <v>44518.597592592596</v>
      </c>
      <c r="D180" s="116" t="s">
        <v>66</v>
      </c>
      <c r="E180" s="116" t="s">
        <v>12</v>
      </c>
      <c r="F180" s="116" t="s">
        <v>18</v>
      </c>
      <c r="G180" s="116" t="s">
        <v>170</v>
      </c>
      <c r="H180" s="5" t="s">
        <v>127</v>
      </c>
      <c r="I180" s="120">
        <v>1445</v>
      </c>
      <c r="J180" s="55" t="str">
        <f>IF(tbRegistroEntradas[[#This Row],[DATA DE CAIXA REALIZADO]]="N/A","0",UPPER(TEXT(tbRegistroEntradas[[#This Row],[DATA DE CAIXA REALIZADO]],"mmm")))</f>
        <v>NOV</v>
      </c>
      <c r="K180" s="58">
        <f>IF(tbRegistroEntradas[[#This Row],[DATA DE CAIXA REALIZADO]]="N/A",0,YEAR(tbRegistroEntradas[[#This Row],[DATA DE CAIXA REALIZADO]]))</f>
        <v>2021</v>
      </c>
      <c r="L180" s="79" t="str">
        <f>IF(tbRegistroEntradas[[#This Row],[DATA DA COMPETÊNCIA]]="N/A","0",UPPER(TEXT(tbRegistroEntradas[[#This Row],[DATA DA COMPETÊNCIA]],"mmm")))</f>
        <v>NOV</v>
      </c>
      <c r="M180" s="79">
        <f>IF(tbRegistroEntradas[[#This Row],[DATA DA COMPETÊNCIA]]="N/A",0,YEAR(tbRegistroEntradas[[#This Row],[DATA DA COMPETÊNCIA]]))</f>
        <v>2021</v>
      </c>
      <c r="N180" s="84" t="str">
        <f>IF(tbRegistroEntradas[[#This Row],[DATA DO CAIXA PREVISTO]]="N/A","0",UPPER(TEXT(tbRegistroEntradas[[#This Row],[DATA DO CAIXA PREVISTO]],"mmm")))</f>
        <v>NOV</v>
      </c>
      <c r="O180" s="84">
        <f>IF(tbRegistroEntradas[[#This Row],[DATA DO CAIXA PREVISTO]]="N/A",0,YEAR(tbRegistroEntradas[[#This Row],[DATA DO CAIXA PREVISTO]]))</f>
        <v>2021</v>
      </c>
      <c r="P180" s="58" t="str">
        <f ca="1">IF(AND(tbRegistroEntradas[[#This Row],[DATA DE CAIXA REALIZADO]]="N/A",tbRegistroEntradas[[#This Row],[DATA DO CAIXA PREVISTO]]&lt;TODAY()),"Vencida","Não Vencida")</f>
        <v>Não Vencida</v>
      </c>
      <c r="Q180" s="58" t="str">
        <f>IF(tbRegistroEntradas[[#This Row],[DATA DA COMPETÊNCIA]]=tbRegistroEntradas[[#This Row],[DATA DO CAIXA PREVISTO]],"Vista","Prazo")</f>
        <v>Prazo</v>
      </c>
      <c r="R180" s="58" t="str">
        <f>IF(tbRegistroEntradas[[#This Row],[DATA DE CAIXA REALIZADO]]&lt;&gt;"N/A","Em Dia","Com atraso")</f>
        <v>Em Dia</v>
      </c>
    </row>
    <row r="181" spans="1:18" s="52" customFormat="1" ht="14.4" customHeight="1" x14ac:dyDescent="0.3">
      <c r="A181" s="125">
        <v>44533</v>
      </c>
      <c r="B181" s="125">
        <f>A181-31</f>
        <v>44502</v>
      </c>
      <c r="C181" s="111">
        <f>tbRegistroEntradas[[#This Row],[DATA DA COMPETÊNCIA]]</f>
        <v>44502</v>
      </c>
      <c r="D181" s="126" t="s">
        <v>67</v>
      </c>
      <c r="E181" s="126" t="s">
        <v>12</v>
      </c>
      <c r="F181" s="126" t="s">
        <v>16</v>
      </c>
      <c r="G181" s="126" t="s">
        <v>745</v>
      </c>
      <c r="H181" s="126" t="s">
        <v>129</v>
      </c>
      <c r="I181" s="127">
        <v>1515</v>
      </c>
      <c r="J181" s="110" t="str">
        <f>IF(tbRegistroEntradas[[#This Row],[DATA DE CAIXA REALIZADO]]="N/A","0",UPPER(TEXT(tbRegistroEntradas[[#This Row],[DATA DE CAIXA REALIZADO]],"mmm")))</f>
        <v>DEZ</v>
      </c>
      <c r="K181" s="57">
        <f>IF(tbRegistroEntradas[[#This Row],[DATA DE CAIXA REALIZADO]]="N/A",0,YEAR(tbRegistroEntradas[[#This Row],[DATA DE CAIXA REALIZADO]]))</f>
        <v>2021</v>
      </c>
      <c r="L181" s="58" t="str">
        <f>IF(tbRegistroEntradas[[#This Row],[DATA DA COMPETÊNCIA]]="N/A","0",UPPER(TEXT(tbRegistroEntradas[[#This Row],[DATA DA COMPETÊNCIA]],"mmm")))</f>
        <v>NOV</v>
      </c>
      <c r="M181" s="58">
        <f>IF(tbRegistroEntradas[[#This Row],[DATA DA COMPETÊNCIA]]="N/A",0,YEAR(tbRegistroEntradas[[#This Row],[DATA DA COMPETÊNCIA]]))</f>
        <v>2021</v>
      </c>
      <c r="N181" s="58" t="str">
        <f>IF(tbRegistroEntradas[[#This Row],[DATA DO CAIXA PREVISTO]]="N/A","0",UPPER(TEXT(tbRegistroEntradas[[#This Row],[DATA DO CAIXA PREVISTO]],"mmm")))</f>
        <v>NOV</v>
      </c>
      <c r="O181" s="58">
        <f>IF(tbRegistroEntradas[[#This Row],[DATA DO CAIXA PREVISTO]]="N/A",0,YEAR(tbRegistroEntradas[[#This Row],[DATA DO CAIXA PREVISTO]]))</f>
        <v>2021</v>
      </c>
      <c r="P181" s="58" t="str">
        <f ca="1">IF(AND(tbRegistroEntradas[[#This Row],[DATA DE CAIXA REALIZADO]]="N/A",tbRegistroEntradas[[#This Row],[DATA DO CAIXA PREVISTO]]&lt;TODAY()),"Vencida","Não Vencida")</f>
        <v>Não Vencida</v>
      </c>
      <c r="Q181" s="58" t="str">
        <f>IF(tbRegistroEntradas[[#This Row],[DATA DA COMPETÊNCIA]]=tbRegistroEntradas[[#This Row],[DATA DO CAIXA PREVISTO]],"Vista","Prazo")</f>
        <v>Vista</v>
      </c>
      <c r="R181" s="58" t="str">
        <f>IF(tbRegistroEntradas[[#This Row],[DATA DE CAIXA REALIZADO]]&lt;&gt;"N/A","Em Dia","Com atraso")</f>
        <v>Em Dia</v>
      </c>
    </row>
    <row r="182" spans="1:18" s="52" customFormat="1" ht="14.4" customHeight="1" x14ac:dyDescent="0.3">
      <c r="A182" s="112">
        <v>44543.490902777776</v>
      </c>
      <c r="B182" s="114">
        <v>44504</v>
      </c>
      <c r="C182" s="41">
        <v>44529.583113425928</v>
      </c>
      <c r="D182" s="55" t="s">
        <v>61</v>
      </c>
      <c r="E182" s="55" t="s">
        <v>12</v>
      </c>
      <c r="F182" s="55" t="s">
        <v>17</v>
      </c>
      <c r="G182" s="55" t="s">
        <v>171</v>
      </c>
      <c r="H182" s="5" t="s">
        <v>85</v>
      </c>
      <c r="I182" s="119">
        <v>3559</v>
      </c>
      <c r="J182" s="55" t="str">
        <f>IF(tbRegistroEntradas[[#This Row],[DATA DE CAIXA REALIZADO]]="N/A","0",UPPER(TEXT(tbRegistroEntradas[[#This Row],[DATA DE CAIXA REALIZADO]],"mmm")))</f>
        <v>DEZ</v>
      </c>
      <c r="K182" s="58">
        <f>IF(tbRegistroEntradas[[#This Row],[DATA DE CAIXA REALIZADO]]="N/A",0,YEAR(tbRegistroEntradas[[#This Row],[DATA DE CAIXA REALIZADO]]))</f>
        <v>2021</v>
      </c>
      <c r="L182" s="79" t="str">
        <f>IF(tbRegistroEntradas[[#This Row],[DATA DA COMPETÊNCIA]]="N/A","0",UPPER(TEXT(tbRegistroEntradas[[#This Row],[DATA DA COMPETÊNCIA]],"mmm")))</f>
        <v>NOV</v>
      </c>
      <c r="M182" s="79">
        <f>IF(tbRegistroEntradas[[#This Row],[DATA DA COMPETÊNCIA]]="N/A",0,YEAR(tbRegistroEntradas[[#This Row],[DATA DA COMPETÊNCIA]]))</f>
        <v>2021</v>
      </c>
      <c r="N182" s="84" t="str">
        <f>IF(tbRegistroEntradas[[#This Row],[DATA DO CAIXA PREVISTO]]="N/A","0",UPPER(TEXT(tbRegistroEntradas[[#This Row],[DATA DO CAIXA PREVISTO]],"mmm")))</f>
        <v>NOV</v>
      </c>
      <c r="O182" s="84">
        <f>IF(tbRegistroEntradas[[#This Row],[DATA DO CAIXA PREVISTO]]="N/A",0,YEAR(tbRegistroEntradas[[#This Row],[DATA DO CAIXA PREVISTO]]))</f>
        <v>2021</v>
      </c>
      <c r="P182" s="58" t="str">
        <f ca="1">IF(AND(tbRegistroEntradas[[#This Row],[DATA DE CAIXA REALIZADO]]="N/A",tbRegistroEntradas[[#This Row],[DATA DO CAIXA PREVISTO]]&lt;TODAY()),"Vencida","Não Vencida")</f>
        <v>Não Vencida</v>
      </c>
      <c r="Q182" s="58" t="str">
        <f>IF(tbRegistroEntradas[[#This Row],[DATA DA COMPETÊNCIA]]=tbRegistroEntradas[[#This Row],[DATA DO CAIXA PREVISTO]],"Vista","Prazo")</f>
        <v>Prazo</v>
      </c>
      <c r="R182" s="58" t="str">
        <f>IF(tbRegistroEntradas[[#This Row],[DATA DE CAIXA REALIZADO]]&lt;&gt;"N/A","Em Dia","Com atraso")</f>
        <v>Em Dia</v>
      </c>
    </row>
    <row r="183" spans="1:18" s="52" customFormat="1" ht="14.4" customHeight="1" x14ac:dyDescent="0.3">
      <c r="A183" s="125">
        <v>44536</v>
      </c>
      <c r="B183" s="125">
        <f>A183-31</f>
        <v>44505</v>
      </c>
      <c r="C183" s="111">
        <f>(A183-B183)+B183-15</f>
        <v>44521</v>
      </c>
      <c r="D183" s="126" t="s">
        <v>63</v>
      </c>
      <c r="E183" s="126" t="s">
        <v>12</v>
      </c>
      <c r="F183" s="126" t="s">
        <v>17</v>
      </c>
      <c r="G183" s="126" t="s">
        <v>814</v>
      </c>
      <c r="H183" s="5" t="s">
        <v>101</v>
      </c>
      <c r="I183" s="127">
        <v>5228</v>
      </c>
      <c r="J183" s="110" t="str">
        <f>IF(tbRegistroEntradas[[#This Row],[DATA DE CAIXA REALIZADO]]="N/A","0",UPPER(TEXT(tbRegistroEntradas[[#This Row],[DATA DE CAIXA REALIZADO]],"mmm")))</f>
        <v>DEZ</v>
      </c>
      <c r="K183" s="57">
        <f>IF(tbRegistroEntradas[[#This Row],[DATA DE CAIXA REALIZADO]]="N/A",0,YEAR(tbRegistroEntradas[[#This Row],[DATA DE CAIXA REALIZADO]]))</f>
        <v>2021</v>
      </c>
      <c r="L183" s="58" t="str">
        <f>IF(tbRegistroEntradas[[#This Row],[DATA DA COMPETÊNCIA]]="N/A","0",UPPER(TEXT(tbRegistroEntradas[[#This Row],[DATA DA COMPETÊNCIA]],"mmm")))</f>
        <v>NOV</v>
      </c>
      <c r="M183" s="58">
        <f>IF(tbRegistroEntradas[[#This Row],[DATA DA COMPETÊNCIA]]="N/A",0,YEAR(tbRegistroEntradas[[#This Row],[DATA DA COMPETÊNCIA]]))</f>
        <v>2021</v>
      </c>
      <c r="N183" s="58" t="str">
        <f>IF(tbRegistroEntradas[[#This Row],[DATA DO CAIXA PREVISTO]]="N/A","0",UPPER(TEXT(tbRegistroEntradas[[#This Row],[DATA DO CAIXA PREVISTO]],"mmm")))</f>
        <v>NOV</v>
      </c>
      <c r="O183" s="58">
        <f>IF(tbRegistroEntradas[[#This Row],[DATA DO CAIXA PREVISTO]]="N/A",0,YEAR(tbRegistroEntradas[[#This Row],[DATA DO CAIXA PREVISTO]]))</f>
        <v>2021</v>
      </c>
      <c r="P183" s="58" t="str">
        <f ca="1">IF(AND(tbRegistroEntradas[[#This Row],[DATA DE CAIXA REALIZADO]]="N/A",tbRegistroEntradas[[#This Row],[DATA DO CAIXA PREVISTO]]&lt;TODAY()),"Vencida","Não Vencida")</f>
        <v>Não Vencida</v>
      </c>
      <c r="Q183" s="58" t="str">
        <f>IF(tbRegistroEntradas[[#This Row],[DATA DA COMPETÊNCIA]]=tbRegistroEntradas[[#This Row],[DATA DO CAIXA PREVISTO]],"Vista","Prazo")</f>
        <v>Prazo</v>
      </c>
      <c r="R183" s="58" t="str">
        <f>IF(tbRegistroEntradas[[#This Row],[DATA DE CAIXA REALIZADO]]&lt;&gt;"N/A","Em Dia","Com atraso")</f>
        <v>Em Dia</v>
      </c>
    </row>
    <row r="184" spans="1:18" s="52" customFormat="1" ht="14.4" customHeight="1" x14ac:dyDescent="0.3">
      <c r="A184" s="125">
        <v>44538</v>
      </c>
      <c r="B184" s="125">
        <f>A184-31</f>
        <v>44507</v>
      </c>
      <c r="C184" s="111">
        <f>(A184-B184)+B184-15</f>
        <v>44523</v>
      </c>
      <c r="D184" s="126" t="s">
        <v>138</v>
      </c>
      <c r="E184" s="126" t="s">
        <v>12</v>
      </c>
      <c r="F184" s="126" t="s">
        <v>19</v>
      </c>
      <c r="G184" s="126" t="s">
        <v>987</v>
      </c>
      <c r="H184" s="52" t="s">
        <v>135</v>
      </c>
      <c r="I184" s="127">
        <v>7707</v>
      </c>
      <c r="J184" s="110" t="str">
        <f>IF(tbRegistroEntradas[[#This Row],[DATA DE CAIXA REALIZADO]]="N/A","0",UPPER(TEXT(tbRegistroEntradas[[#This Row],[DATA DE CAIXA REALIZADO]],"mmm")))</f>
        <v>DEZ</v>
      </c>
      <c r="K184" s="57">
        <f>IF(tbRegistroEntradas[[#This Row],[DATA DE CAIXA REALIZADO]]="N/A",0,YEAR(tbRegistroEntradas[[#This Row],[DATA DE CAIXA REALIZADO]]))</f>
        <v>2021</v>
      </c>
      <c r="L184" s="58" t="str">
        <f>IF(tbRegistroEntradas[[#This Row],[DATA DA COMPETÊNCIA]]="N/A","0",UPPER(TEXT(tbRegistroEntradas[[#This Row],[DATA DA COMPETÊNCIA]],"mmm")))</f>
        <v>NOV</v>
      </c>
      <c r="M184" s="58">
        <f>IF(tbRegistroEntradas[[#This Row],[DATA DA COMPETÊNCIA]]="N/A",0,YEAR(tbRegistroEntradas[[#This Row],[DATA DA COMPETÊNCIA]]))</f>
        <v>2021</v>
      </c>
      <c r="N184" s="58" t="str">
        <f>IF(tbRegistroEntradas[[#This Row],[DATA DO CAIXA PREVISTO]]="N/A","0",UPPER(TEXT(tbRegistroEntradas[[#This Row],[DATA DO CAIXA PREVISTO]],"mmm")))</f>
        <v>NOV</v>
      </c>
      <c r="O184" s="58">
        <f>IF(tbRegistroEntradas[[#This Row],[DATA DO CAIXA PREVISTO]]="N/A",0,YEAR(tbRegistroEntradas[[#This Row],[DATA DO CAIXA PREVISTO]]))</f>
        <v>2021</v>
      </c>
      <c r="P184" s="58" t="str">
        <f ca="1">IF(AND(tbRegistroEntradas[[#This Row],[DATA DE CAIXA REALIZADO]]="N/A",tbRegistroEntradas[[#This Row],[DATA DO CAIXA PREVISTO]]&lt;TODAY()),"Vencida","Não Vencida")</f>
        <v>Não Vencida</v>
      </c>
      <c r="Q184" s="58" t="str">
        <f>IF(tbRegistroEntradas[[#This Row],[DATA DA COMPETÊNCIA]]=tbRegistroEntradas[[#This Row],[DATA DO CAIXA PREVISTO]],"Vista","Prazo")</f>
        <v>Prazo</v>
      </c>
      <c r="R184" s="58" t="str">
        <f>IF(tbRegistroEntradas[[#This Row],[DATA DE CAIXA REALIZADO]]&lt;&gt;"N/A","Em Dia","Com atraso")</f>
        <v>Em Dia</v>
      </c>
    </row>
    <row r="185" spans="1:18" s="52" customFormat="1" ht="14.4" customHeight="1" x14ac:dyDescent="0.3">
      <c r="A185" s="113">
        <v>44534.03802083333</v>
      </c>
      <c r="B185" s="115">
        <v>44508</v>
      </c>
      <c r="C185" s="44">
        <v>44514.702997685185</v>
      </c>
      <c r="D185" s="116" t="s">
        <v>67</v>
      </c>
      <c r="E185" s="116" t="s">
        <v>12</v>
      </c>
      <c r="F185" s="116" t="s">
        <v>19</v>
      </c>
      <c r="G185" s="116" t="s">
        <v>172</v>
      </c>
      <c r="H185" s="52" t="s">
        <v>130</v>
      </c>
      <c r="I185" s="120">
        <v>547</v>
      </c>
      <c r="J185" s="55" t="str">
        <f>IF(tbRegistroEntradas[[#This Row],[DATA DE CAIXA REALIZADO]]="N/A","0",UPPER(TEXT(tbRegistroEntradas[[#This Row],[DATA DE CAIXA REALIZADO]],"mmm")))</f>
        <v>DEZ</v>
      </c>
      <c r="K185" s="58">
        <f>IF(tbRegistroEntradas[[#This Row],[DATA DE CAIXA REALIZADO]]="N/A",0,YEAR(tbRegistroEntradas[[#This Row],[DATA DE CAIXA REALIZADO]]))</f>
        <v>2021</v>
      </c>
      <c r="L185" s="79" t="str">
        <f>IF(tbRegistroEntradas[[#This Row],[DATA DA COMPETÊNCIA]]="N/A","0",UPPER(TEXT(tbRegistroEntradas[[#This Row],[DATA DA COMPETÊNCIA]],"mmm")))</f>
        <v>NOV</v>
      </c>
      <c r="M185" s="79">
        <f>IF(tbRegistroEntradas[[#This Row],[DATA DA COMPETÊNCIA]]="N/A",0,YEAR(tbRegistroEntradas[[#This Row],[DATA DA COMPETÊNCIA]]))</f>
        <v>2021</v>
      </c>
      <c r="N185" s="84" t="str">
        <f>IF(tbRegistroEntradas[[#This Row],[DATA DO CAIXA PREVISTO]]="N/A","0",UPPER(TEXT(tbRegistroEntradas[[#This Row],[DATA DO CAIXA PREVISTO]],"mmm")))</f>
        <v>NOV</v>
      </c>
      <c r="O185" s="84">
        <f>IF(tbRegistroEntradas[[#This Row],[DATA DO CAIXA PREVISTO]]="N/A",0,YEAR(tbRegistroEntradas[[#This Row],[DATA DO CAIXA PREVISTO]]))</f>
        <v>2021</v>
      </c>
      <c r="P185" s="58" t="str">
        <f ca="1">IF(AND(tbRegistroEntradas[[#This Row],[DATA DE CAIXA REALIZADO]]="N/A",tbRegistroEntradas[[#This Row],[DATA DO CAIXA PREVISTO]]&lt;TODAY()),"Vencida","Não Vencida")</f>
        <v>Não Vencida</v>
      </c>
      <c r="Q185" s="58" t="str">
        <f>IF(tbRegistroEntradas[[#This Row],[DATA DA COMPETÊNCIA]]=tbRegistroEntradas[[#This Row],[DATA DO CAIXA PREVISTO]],"Vista","Prazo")</f>
        <v>Prazo</v>
      </c>
      <c r="R185" s="58" t="str">
        <f>IF(tbRegistroEntradas[[#This Row],[DATA DE CAIXA REALIZADO]]&lt;&gt;"N/A","Em Dia","Com atraso")</f>
        <v>Em Dia</v>
      </c>
    </row>
    <row r="186" spans="1:18" s="52" customFormat="1" ht="14.4" customHeight="1" x14ac:dyDescent="0.3">
      <c r="A186" s="125">
        <v>44539</v>
      </c>
      <c r="B186" s="125">
        <f>A186-31</f>
        <v>44508</v>
      </c>
      <c r="C186" s="111">
        <f>(A186-B186)+B186-15</f>
        <v>44524</v>
      </c>
      <c r="D186" s="126" t="s">
        <v>137</v>
      </c>
      <c r="E186" s="126" t="s">
        <v>12</v>
      </c>
      <c r="F186" s="126" t="s">
        <v>19</v>
      </c>
      <c r="G186" s="126" t="s">
        <v>1014</v>
      </c>
      <c r="H186" s="109" t="s">
        <v>106</v>
      </c>
      <c r="I186" s="127">
        <v>1130</v>
      </c>
      <c r="J186" s="110" t="str">
        <f>IF(tbRegistroEntradas[[#This Row],[DATA DE CAIXA REALIZADO]]="N/A","0",UPPER(TEXT(tbRegistroEntradas[[#This Row],[DATA DE CAIXA REALIZADO]],"mmm")))</f>
        <v>DEZ</v>
      </c>
      <c r="K186" s="57">
        <f>IF(tbRegistroEntradas[[#This Row],[DATA DE CAIXA REALIZADO]]="N/A",0,YEAR(tbRegistroEntradas[[#This Row],[DATA DE CAIXA REALIZADO]]))</f>
        <v>2021</v>
      </c>
      <c r="L186" s="58" t="str">
        <f>IF(tbRegistroEntradas[[#This Row],[DATA DA COMPETÊNCIA]]="N/A","0",UPPER(TEXT(tbRegistroEntradas[[#This Row],[DATA DA COMPETÊNCIA]],"mmm")))</f>
        <v>NOV</v>
      </c>
      <c r="M186" s="58">
        <f>IF(tbRegistroEntradas[[#This Row],[DATA DA COMPETÊNCIA]]="N/A",0,YEAR(tbRegistroEntradas[[#This Row],[DATA DA COMPETÊNCIA]]))</f>
        <v>2021</v>
      </c>
      <c r="N186" s="58" t="str">
        <f>IF(tbRegistroEntradas[[#This Row],[DATA DO CAIXA PREVISTO]]="N/A","0",UPPER(TEXT(tbRegistroEntradas[[#This Row],[DATA DO CAIXA PREVISTO]],"mmm")))</f>
        <v>NOV</v>
      </c>
      <c r="O186" s="58">
        <f>IF(tbRegistroEntradas[[#This Row],[DATA DO CAIXA PREVISTO]]="N/A",0,YEAR(tbRegistroEntradas[[#This Row],[DATA DO CAIXA PREVISTO]]))</f>
        <v>2021</v>
      </c>
      <c r="P186" s="58" t="str">
        <f ca="1">IF(AND(tbRegistroEntradas[[#This Row],[DATA DE CAIXA REALIZADO]]="N/A",tbRegistroEntradas[[#This Row],[DATA DO CAIXA PREVISTO]]&lt;TODAY()),"Vencida","Não Vencida")</f>
        <v>Não Vencida</v>
      </c>
      <c r="Q186" s="58" t="str">
        <f>IF(tbRegistroEntradas[[#This Row],[DATA DA COMPETÊNCIA]]=tbRegistroEntradas[[#This Row],[DATA DO CAIXA PREVISTO]],"Vista","Prazo")</f>
        <v>Prazo</v>
      </c>
      <c r="R186" s="58" t="str">
        <f>IF(tbRegistroEntradas[[#This Row],[DATA DE CAIXA REALIZADO]]&lt;&gt;"N/A","Em Dia","Com atraso")</f>
        <v>Em Dia</v>
      </c>
    </row>
    <row r="187" spans="1:18" s="52" customFormat="1" ht="14.4" customHeight="1" x14ac:dyDescent="0.3">
      <c r="A187" s="125">
        <v>44542</v>
      </c>
      <c r="B187" s="125">
        <f>A187-31</f>
        <v>44511</v>
      </c>
      <c r="C187" s="111">
        <f>tbRegistroEntradas[[#This Row],[DATA DA COMPETÊNCIA]]</f>
        <v>44511</v>
      </c>
      <c r="D187" s="126" t="s">
        <v>64</v>
      </c>
      <c r="E187" s="126" t="s">
        <v>12</v>
      </c>
      <c r="F187" s="126" t="s">
        <v>19</v>
      </c>
      <c r="G187" s="126" t="s">
        <v>830</v>
      </c>
      <c r="H187" s="109" t="s">
        <v>111</v>
      </c>
      <c r="I187" s="127">
        <v>5052</v>
      </c>
      <c r="J187" s="110" t="str">
        <f>IF(tbRegistroEntradas[[#This Row],[DATA DE CAIXA REALIZADO]]="N/A","0",UPPER(TEXT(tbRegistroEntradas[[#This Row],[DATA DE CAIXA REALIZADO]],"mmm")))</f>
        <v>DEZ</v>
      </c>
      <c r="K187" s="57">
        <f>IF(tbRegistroEntradas[[#This Row],[DATA DE CAIXA REALIZADO]]="N/A",0,YEAR(tbRegistroEntradas[[#This Row],[DATA DE CAIXA REALIZADO]]))</f>
        <v>2021</v>
      </c>
      <c r="L187" s="58" t="str">
        <f>IF(tbRegistroEntradas[[#This Row],[DATA DA COMPETÊNCIA]]="N/A","0",UPPER(TEXT(tbRegistroEntradas[[#This Row],[DATA DA COMPETÊNCIA]],"mmm")))</f>
        <v>NOV</v>
      </c>
      <c r="M187" s="58">
        <f>IF(tbRegistroEntradas[[#This Row],[DATA DA COMPETÊNCIA]]="N/A",0,YEAR(tbRegistroEntradas[[#This Row],[DATA DA COMPETÊNCIA]]))</f>
        <v>2021</v>
      </c>
      <c r="N187" s="58" t="str">
        <f>IF(tbRegistroEntradas[[#This Row],[DATA DO CAIXA PREVISTO]]="N/A","0",UPPER(TEXT(tbRegistroEntradas[[#This Row],[DATA DO CAIXA PREVISTO]],"mmm")))</f>
        <v>NOV</v>
      </c>
      <c r="O187" s="58">
        <f>IF(tbRegistroEntradas[[#This Row],[DATA DO CAIXA PREVISTO]]="N/A",0,YEAR(tbRegistroEntradas[[#This Row],[DATA DO CAIXA PREVISTO]]))</f>
        <v>2021</v>
      </c>
      <c r="P187" s="58" t="str">
        <f ca="1">IF(AND(tbRegistroEntradas[[#This Row],[DATA DE CAIXA REALIZADO]]="N/A",tbRegistroEntradas[[#This Row],[DATA DO CAIXA PREVISTO]]&lt;TODAY()),"Vencida","Não Vencida")</f>
        <v>Não Vencida</v>
      </c>
      <c r="Q187" s="58" t="str">
        <f>IF(tbRegistroEntradas[[#This Row],[DATA DA COMPETÊNCIA]]=tbRegistroEntradas[[#This Row],[DATA DO CAIXA PREVISTO]],"Vista","Prazo")</f>
        <v>Vista</v>
      </c>
      <c r="R187" s="58" t="str">
        <f>IF(tbRegistroEntradas[[#This Row],[DATA DE CAIXA REALIZADO]]&lt;&gt;"N/A","Em Dia","Com atraso")</f>
        <v>Em Dia</v>
      </c>
    </row>
    <row r="188" spans="1:18" s="52" customFormat="1" ht="14.4" customHeight="1" x14ac:dyDescent="0.3">
      <c r="A188" s="112">
        <v>44551.51662037037</v>
      </c>
      <c r="B188" s="114">
        <v>44512</v>
      </c>
      <c r="C188" s="111">
        <f>tbRegistroEntradas[[#This Row],[DATA DA COMPETÊNCIA]]</f>
        <v>44512</v>
      </c>
      <c r="D188" s="55" t="s">
        <v>66</v>
      </c>
      <c r="E188" s="55" t="s">
        <v>12</v>
      </c>
      <c r="F188" s="55" t="s">
        <v>19</v>
      </c>
      <c r="G188" s="55" t="s">
        <v>173</v>
      </c>
      <c r="H188" s="109" t="s">
        <v>128</v>
      </c>
      <c r="I188" s="119">
        <v>1221</v>
      </c>
      <c r="J188" s="55" t="str">
        <f>IF(tbRegistroEntradas[[#This Row],[DATA DE CAIXA REALIZADO]]="N/A","0",UPPER(TEXT(tbRegistroEntradas[[#This Row],[DATA DE CAIXA REALIZADO]],"mmm")))</f>
        <v>DEZ</v>
      </c>
      <c r="K188" s="58">
        <f>IF(tbRegistroEntradas[[#This Row],[DATA DE CAIXA REALIZADO]]="N/A",0,YEAR(tbRegistroEntradas[[#This Row],[DATA DE CAIXA REALIZADO]]))</f>
        <v>2021</v>
      </c>
      <c r="L188" s="79" t="str">
        <f>IF(tbRegistroEntradas[[#This Row],[DATA DA COMPETÊNCIA]]="N/A","0",UPPER(TEXT(tbRegistroEntradas[[#This Row],[DATA DA COMPETÊNCIA]],"mmm")))</f>
        <v>NOV</v>
      </c>
      <c r="M188" s="79">
        <f>IF(tbRegistroEntradas[[#This Row],[DATA DA COMPETÊNCIA]]="N/A",0,YEAR(tbRegistroEntradas[[#This Row],[DATA DA COMPETÊNCIA]]))</f>
        <v>2021</v>
      </c>
      <c r="N188" s="84" t="str">
        <f>IF(tbRegistroEntradas[[#This Row],[DATA DO CAIXA PREVISTO]]="N/A","0",UPPER(TEXT(tbRegistroEntradas[[#This Row],[DATA DO CAIXA PREVISTO]],"mmm")))</f>
        <v>NOV</v>
      </c>
      <c r="O188" s="84">
        <f>IF(tbRegistroEntradas[[#This Row],[DATA DO CAIXA PREVISTO]]="N/A",0,YEAR(tbRegistroEntradas[[#This Row],[DATA DO CAIXA PREVISTO]]))</f>
        <v>2021</v>
      </c>
      <c r="P188" s="58" t="str">
        <f ca="1">IF(AND(tbRegistroEntradas[[#This Row],[DATA DE CAIXA REALIZADO]]="N/A",tbRegistroEntradas[[#This Row],[DATA DO CAIXA PREVISTO]]&lt;TODAY()),"Vencida","Não Vencida")</f>
        <v>Não Vencida</v>
      </c>
      <c r="Q188" s="58" t="str">
        <f>IF(tbRegistroEntradas[[#This Row],[DATA DA COMPETÊNCIA]]=tbRegistroEntradas[[#This Row],[DATA DO CAIXA PREVISTO]],"Vista","Prazo")</f>
        <v>Vista</v>
      </c>
      <c r="R188" s="58" t="str">
        <f>IF(tbRegistroEntradas[[#This Row],[DATA DE CAIXA REALIZADO]]&lt;&gt;"N/A","Em Dia","Com atraso")</f>
        <v>Em Dia</v>
      </c>
    </row>
    <row r="189" spans="1:18" s="52" customFormat="1" ht="14.4" customHeight="1" x14ac:dyDescent="0.3">
      <c r="A189" s="125">
        <v>44544</v>
      </c>
      <c r="B189" s="125">
        <f>A189-31</f>
        <v>44513</v>
      </c>
      <c r="C189" s="111">
        <f>(A189-B189)+B189-15</f>
        <v>44529</v>
      </c>
      <c r="D189" s="126" t="s">
        <v>67</v>
      </c>
      <c r="E189" s="126" t="s">
        <v>12</v>
      </c>
      <c r="F189" s="126" t="s">
        <v>17</v>
      </c>
      <c r="G189" s="126" t="s">
        <v>954</v>
      </c>
      <c r="H189" s="142" t="s">
        <v>132</v>
      </c>
      <c r="I189" s="127">
        <v>6283</v>
      </c>
      <c r="J189" s="110" t="str">
        <f>IF(tbRegistroEntradas[[#This Row],[DATA DE CAIXA REALIZADO]]="N/A","0",UPPER(TEXT(tbRegistroEntradas[[#This Row],[DATA DE CAIXA REALIZADO]],"mmm")))</f>
        <v>DEZ</v>
      </c>
      <c r="K189" s="57">
        <f>IF(tbRegistroEntradas[[#This Row],[DATA DE CAIXA REALIZADO]]="N/A",0,YEAR(tbRegistroEntradas[[#This Row],[DATA DE CAIXA REALIZADO]]))</f>
        <v>2021</v>
      </c>
      <c r="L189" s="58" t="str">
        <f>IF(tbRegistroEntradas[[#This Row],[DATA DA COMPETÊNCIA]]="N/A","0",UPPER(TEXT(tbRegistroEntradas[[#This Row],[DATA DA COMPETÊNCIA]],"mmm")))</f>
        <v>NOV</v>
      </c>
      <c r="M189" s="58">
        <f>IF(tbRegistroEntradas[[#This Row],[DATA DA COMPETÊNCIA]]="N/A",0,YEAR(tbRegistroEntradas[[#This Row],[DATA DA COMPETÊNCIA]]))</f>
        <v>2021</v>
      </c>
      <c r="N189" s="58" t="str">
        <f>IF(tbRegistroEntradas[[#This Row],[DATA DO CAIXA PREVISTO]]="N/A","0",UPPER(TEXT(tbRegistroEntradas[[#This Row],[DATA DO CAIXA PREVISTO]],"mmm")))</f>
        <v>NOV</v>
      </c>
      <c r="O189" s="58">
        <f>IF(tbRegistroEntradas[[#This Row],[DATA DO CAIXA PREVISTO]]="N/A",0,YEAR(tbRegistroEntradas[[#This Row],[DATA DO CAIXA PREVISTO]]))</f>
        <v>2021</v>
      </c>
      <c r="P189" s="58" t="str">
        <f ca="1">IF(AND(tbRegistroEntradas[[#This Row],[DATA DE CAIXA REALIZADO]]="N/A",tbRegistroEntradas[[#This Row],[DATA DO CAIXA PREVISTO]]&lt;TODAY()),"Vencida","Não Vencida")</f>
        <v>Não Vencida</v>
      </c>
      <c r="Q189" s="58" t="str">
        <f>IF(tbRegistroEntradas[[#This Row],[DATA DA COMPETÊNCIA]]=tbRegistroEntradas[[#This Row],[DATA DO CAIXA PREVISTO]],"Vista","Prazo")</f>
        <v>Prazo</v>
      </c>
      <c r="R189" s="58" t="str">
        <f>IF(tbRegistroEntradas[[#This Row],[DATA DE CAIXA REALIZADO]]&lt;&gt;"N/A","Em Dia","Com atraso")</f>
        <v>Em Dia</v>
      </c>
    </row>
    <row r="190" spans="1:18" s="52" customFormat="1" ht="14.4" customHeight="1" x14ac:dyDescent="0.3">
      <c r="A190" s="113">
        <v>44591.815752314818</v>
      </c>
      <c r="B190" s="115">
        <v>44514</v>
      </c>
      <c r="C190" s="111">
        <f>tbRegistroEntradas[[#This Row],[DATA DA COMPETÊNCIA]]</f>
        <v>44514</v>
      </c>
      <c r="D190" s="116" t="s">
        <v>67</v>
      </c>
      <c r="E190" s="116" t="s">
        <v>12</v>
      </c>
      <c r="F190" s="116" t="s">
        <v>18</v>
      </c>
      <c r="G190" s="116" t="s">
        <v>174</v>
      </c>
      <c r="H190" s="109" t="s">
        <v>133</v>
      </c>
      <c r="I190" s="120">
        <v>4108</v>
      </c>
      <c r="J190" s="55" t="str">
        <f>IF(tbRegistroEntradas[[#This Row],[DATA DE CAIXA REALIZADO]]="N/A","0",UPPER(TEXT(tbRegistroEntradas[[#This Row],[DATA DE CAIXA REALIZADO]],"mmm")))</f>
        <v>JAN</v>
      </c>
      <c r="K190" s="58">
        <f>IF(tbRegistroEntradas[[#This Row],[DATA DE CAIXA REALIZADO]]="N/A",0,YEAR(tbRegistroEntradas[[#This Row],[DATA DE CAIXA REALIZADO]]))</f>
        <v>2022</v>
      </c>
      <c r="L190" s="79" t="str">
        <f>IF(tbRegistroEntradas[[#This Row],[DATA DA COMPETÊNCIA]]="N/A","0",UPPER(TEXT(tbRegistroEntradas[[#This Row],[DATA DA COMPETÊNCIA]],"mmm")))</f>
        <v>NOV</v>
      </c>
      <c r="M190" s="79">
        <f>IF(tbRegistroEntradas[[#This Row],[DATA DA COMPETÊNCIA]]="N/A",0,YEAR(tbRegistroEntradas[[#This Row],[DATA DA COMPETÊNCIA]]))</f>
        <v>2021</v>
      </c>
      <c r="N190" s="84" t="str">
        <f>IF(tbRegistroEntradas[[#This Row],[DATA DO CAIXA PREVISTO]]="N/A","0",UPPER(TEXT(tbRegistroEntradas[[#This Row],[DATA DO CAIXA PREVISTO]],"mmm")))</f>
        <v>NOV</v>
      </c>
      <c r="O190" s="84">
        <f>IF(tbRegistroEntradas[[#This Row],[DATA DO CAIXA PREVISTO]]="N/A",0,YEAR(tbRegistroEntradas[[#This Row],[DATA DO CAIXA PREVISTO]]))</f>
        <v>2021</v>
      </c>
      <c r="P190" s="58" t="str">
        <f ca="1">IF(AND(tbRegistroEntradas[[#This Row],[DATA DE CAIXA REALIZADO]]="N/A",tbRegistroEntradas[[#This Row],[DATA DO CAIXA PREVISTO]]&lt;TODAY()),"Vencida","Não Vencida")</f>
        <v>Não Vencida</v>
      </c>
      <c r="Q190" s="58" t="str">
        <f>IF(tbRegistroEntradas[[#This Row],[DATA DA COMPETÊNCIA]]=tbRegistroEntradas[[#This Row],[DATA DO CAIXA PREVISTO]],"Vista","Prazo")</f>
        <v>Vista</v>
      </c>
      <c r="R190" s="58" t="str">
        <f>IF(tbRegistroEntradas[[#This Row],[DATA DE CAIXA REALIZADO]]&lt;&gt;"N/A","Em Dia","Com atraso")</f>
        <v>Em Dia</v>
      </c>
    </row>
    <row r="191" spans="1:18" s="52" customFormat="1" ht="14.4" customHeight="1" x14ac:dyDescent="0.3">
      <c r="A191" s="125">
        <v>44547</v>
      </c>
      <c r="B191" s="125">
        <f>A191-31</f>
        <v>44516</v>
      </c>
      <c r="C191" s="111">
        <f>(A191-B191)+B191-15</f>
        <v>44532</v>
      </c>
      <c r="D191" s="126" t="s">
        <v>137</v>
      </c>
      <c r="E191" s="126" t="s">
        <v>12</v>
      </c>
      <c r="F191" s="126" t="s">
        <v>19</v>
      </c>
      <c r="G191" s="126" t="s">
        <v>922</v>
      </c>
      <c r="H191" s="126" t="s">
        <v>107</v>
      </c>
      <c r="I191" s="127">
        <v>125</v>
      </c>
      <c r="J191" s="110" t="str">
        <f>IF(tbRegistroEntradas[[#This Row],[DATA DE CAIXA REALIZADO]]="N/A","0",UPPER(TEXT(tbRegistroEntradas[[#This Row],[DATA DE CAIXA REALIZADO]],"mmm")))</f>
        <v>DEZ</v>
      </c>
      <c r="K191" s="57">
        <f>IF(tbRegistroEntradas[[#This Row],[DATA DE CAIXA REALIZADO]]="N/A",0,YEAR(tbRegistroEntradas[[#This Row],[DATA DE CAIXA REALIZADO]]))</f>
        <v>2021</v>
      </c>
      <c r="L191" s="58" t="str">
        <f>IF(tbRegistroEntradas[[#This Row],[DATA DA COMPETÊNCIA]]="N/A","0",UPPER(TEXT(tbRegistroEntradas[[#This Row],[DATA DA COMPETÊNCIA]],"mmm")))</f>
        <v>NOV</v>
      </c>
      <c r="M191" s="58">
        <f>IF(tbRegistroEntradas[[#This Row],[DATA DA COMPETÊNCIA]]="N/A",0,YEAR(tbRegistroEntradas[[#This Row],[DATA DA COMPETÊNCIA]]))</f>
        <v>2021</v>
      </c>
      <c r="N191" s="58" t="str">
        <f>IF(tbRegistroEntradas[[#This Row],[DATA DO CAIXA PREVISTO]]="N/A","0",UPPER(TEXT(tbRegistroEntradas[[#This Row],[DATA DO CAIXA PREVISTO]],"mmm")))</f>
        <v>DEZ</v>
      </c>
      <c r="O191" s="58">
        <f>IF(tbRegistroEntradas[[#This Row],[DATA DO CAIXA PREVISTO]]="N/A",0,YEAR(tbRegistroEntradas[[#This Row],[DATA DO CAIXA PREVISTO]]))</f>
        <v>2021</v>
      </c>
      <c r="P191" s="58" t="str">
        <f ca="1">IF(AND(tbRegistroEntradas[[#This Row],[DATA DE CAIXA REALIZADO]]="N/A",tbRegistroEntradas[[#This Row],[DATA DO CAIXA PREVISTO]]&lt;TODAY()),"Vencida","Não Vencida")</f>
        <v>Não Vencida</v>
      </c>
      <c r="Q191" s="58" t="str">
        <f>IF(tbRegistroEntradas[[#This Row],[DATA DA COMPETÊNCIA]]=tbRegistroEntradas[[#This Row],[DATA DO CAIXA PREVISTO]],"Vista","Prazo")</f>
        <v>Prazo</v>
      </c>
      <c r="R191" s="58" t="str">
        <f>IF(tbRegistroEntradas[[#This Row],[DATA DE CAIXA REALIZADO]]&lt;&gt;"N/A","Em Dia","Com atraso")</f>
        <v>Em Dia</v>
      </c>
    </row>
    <row r="192" spans="1:18" s="52" customFormat="1" ht="14.4" customHeight="1" x14ac:dyDescent="0.3">
      <c r="A192" s="112">
        <v>44542.249039351853</v>
      </c>
      <c r="B192" s="114">
        <v>44516</v>
      </c>
      <c r="C192" s="41">
        <v>44542.249039351853</v>
      </c>
      <c r="D192" s="55" t="s">
        <v>61</v>
      </c>
      <c r="E192" s="55" t="s">
        <v>12</v>
      </c>
      <c r="F192" s="55" t="s">
        <v>19</v>
      </c>
      <c r="G192" s="55" t="s">
        <v>175</v>
      </c>
      <c r="H192" s="126" t="s">
        <v>86</v>
      </c>
      <c r="I192" s="119">
        <v>3714</v>
      </c>
      <c r="J192" s="55" t="str">
        <f>IF(tbRegistroEntradas[[#This Row],[DATA DE CAIXA REALIZADO]]="N/A","0",UPPER(TEXT(tbRegistroEntradas[[#This Row],[DATA DE CAIXA REALIZADO]],"mmm")))</f>
        <v>DEZ</v>
      </c>
      <c r="K192" s="58">
        <f>IF(tbRegistroEntradas[[#This Row],[DATA DE CAIXA REALIZADO]]="N/A",0,YEAR(tbRegistroEntradas[[#This Row],[DATA DE CAIXA REALIZADO]]))</f>
        <v>2021</v>
      </c>
      <c r="L192" s="79" t="str">
        <f>IF(tbRegistroEntradas[[#This Row],[DATA DA COMPETÊNCIA]]="N/A","0",UPPER(TEXT(tbRegistroEntradas[[#This Row],[DATA DA COMPETÊNCIA]],"mmm")))</f>
        <v>NOV</v>
      </c>
      <c r="M192" s="79">
        <f>IF(tbRegistroEntradas[[#This Row],[DATA DA COMPETÊNCIA]]="N/A",0,YEAR(tbRegistroEntradas[[#This Row],[DATA DA COMPETÊNCIA]]))</f>
        <v>2021</v>
      </c>
      <c r="N192" s="84" t="str">
        <f>IF(tbRegistroEntradas[[#This Row],[DATA DO CAIXA PREVISTO]]="N/A","0",UPPER(TEXT(tbRegistroEntradas[[#This Row],[DATA DO CAIXA PREVISTO]],"mmm")))</f>
        <v>DEZ</v>
      </c>
      <c r="O192" s="84">
        <f>IF(tbRegistroEntradas[[#This Row],[DATA DO CAIXA PREVISTO]]="N/A",0,YEAR(tbRegistroEntradas[[#This Row],[DATA DO CAIXA PREVISTO]]))</f>
        <v>2021</v>
      </c>
      <c r="P192" s="58" t="str">
        <f ca="1">IF(AND(tbRegistroEntradas[[#This Row],[DATA DE CAIXA REALIZADO]]="N/A",tbRegistroEntradas[[#This Row],[DATA DO CAIXA PREVISTO]]&lt;TODAY()),"Vencida","Não Vencida")</f>
        <v>Não Vencida</v>
      </c>
      <c r="Q192" s="58" t="str">
        <f>IF(tbRegistroEntradas[[#This Row],[DATA DA COMPETÊNCIA]]=tbRegistroEntradas[[#This Row],[DATA DO CAIXA PREVISTO]],"Vista","Prazo")</f>
        <v>Prazo</v>
      </c>
      <c r="R192" s="58" t="str">
        <f>IF(tbRegistroEntradas[[#This Row],[DATA DE CAIXA REALIZADO]]&lt;&gt;"N/A","Em Dia","Com atraso")</f>
        <v>Em Dia</v>
      </c>
    </row>
    <row r="193" spans="1:18" s="52" customFormat="1" ht="14.4" customHeight="1" x14ac:dyDescent="0.3">
      <c r="A193" s="113">
        <v>44562.376481481479</v>
      </c>
      <c r="B193" s="115">
        <v>44518</v>
      </c>
      <c r="C193" s="44">
        <v>44562.376481481479</v>
      </c>
      <c r="D193" s="116" t="s">
        <v>62</v>
      </c>
      <c r="E193" s="116" t="s">
        <v>12</v>
      </c>
      <c r="F193" s="116" t="s">
        <v>16</v>
      </c>
      <c r="G193" s="116" t="s">
        <v>176</v>
      </c>
      <c r="H193" s="143" t="s">
        <v>93</v>
      </c>
      <c r="I193" s="120">
        <v>4843</v>
      </c>
      <c r="J193" s="55" t="str">
        <f>IF(tbRegistroEntradas[[#This Row],[DATA DE CAIXA REALIZADO]]="N/A","0",UPPER(TEXT(tbRegistroEntradas[[#This Row],[DATA DE CAIXA REALIZADO]],"mmm")))</f>
        <v>JAN</v>
      </c>
      <c r="K193" s="58">
        <f>IF(tbRegistroEntradas[[#This Row],[DATA DE CAIXA REALIZADO]]="N/A",0,YEAR(tbRegistroEntradas[[#This Row],[DATA DE CAIXA REALIZADO]]))</f>
        <v>2022</v>
      </c>
      <c r="L193" s="79" t="str">
        <f>IF(tbRegistroEntradas[[#This Row],[DATA DA COMPETÊNCIA]]="N/A","0",UPPER(TEXT(tbRegistroEntradas[[#This Row],[DATA DA COMPETÊNCIA]],"mmm")))</f>
        <v>NOV</v>
      </c>
      <c r="M193" s="79">
        <f>IF(tbRegistroEntradas[[#This Row],[DATA DA COMPETÊNCIA]]="N/A",0,YEAR(tbRegistroEntradas[[#This Row],[DATA DA COMPETÊNCIA]]))</f>
        <v>2021</v>
      </c>
      <c r="N193" s="84" t="str">
        <f>IF(tbRegistroEntradas[[#This Row],[DATA DO CAIXA PREVISTO]]="N/A","0",UPPER(TEXT(tbRegistroEntradas[[#This Row],[DATA DO CAIXA PREVISTO]],"mmm")))</f>
        <v>JAN</v>
      </c>
      <c r="O193" s="84">
        <f>IF(tbRegistroEntradas[[#This Row],[DATA DO CAIXA PREVISTO]]="N/A",0,YEAR(tbRegistroEntradas[[#This Row],[DATA DO CAIXA PREVISTO]]))</f>
        <v>2022</v>
      </c>
      <c r="P193" s="58" t="str">
        <f ca="1">IF(AND(tbRegistroEntradas[[#This Row],[DATA DE CAIXA REALIZADO]]="N/A",tbRegistroEntradas[[#This Row],[DATA DO CAIXA PREVISTO]]&lt;TODAY()),"Vencida","Não Vencida")</f>
        <v>Não Vencida</v>
      </c>
      <c r="Q193" s="58" t="str">
        <f>IF(tbRegistroEntradas[[#This Row],[DATA DA COMPETÊNCIA]]=tbRegistroEntradas[[#This Row],[DATA DO CAIXA PREVISTO]],"Vista","Prazo")</f>
        <v>Prazo</v>
      </c>
      <c r="R193" s="58" t="str">
        <f>IF(tbRegistroEntradas[[#This Row],[DATA DE CAIXA REALIZADO]]&lt;&gt;"N/A","Em Dia","Com atraso")</f>
        <v>Em Dia</v>
      </c>
    </row>
    <row r="194" spans="1:18" s="52" customFormat="1" ht="14.4" customHeight="1" x14ac:dyDescent="0.3">
      <c r="A194" s="112">
        <v>44612.253969907404</v>
      </c>
      <c r="B194" s="114">
        <v>44519</v>
      </c>
      <c r="C194" s="41">
        <v>44551.626111111109</v>
      </c>
      <c r="D194" s="55" t="s">
        <v>64</v>
      </c>
      <c r="E194" s="55" t="s">
        <v>12</v>
      </c>
      <c r="F194" s="55" t="s">
        <v>32</v>
      </c>
      <c r="G194" s="55" t="s">
        <v>177</v>
      </c>
      <c r="H194" s="126" t="s">
        <v>112</v>
      </c>
      <c r="I194" s="119">
        <v>4831</v>
      </c>
      <c r="J194" s="55" t="str">
        <f>IF(tbRegistroEntradas[[#This Row],[DATA DE CAIXA REALIZADO]]="N/A","0",UPPER(TEXT(tbRegistroEntradas[[#This Row],[DATA DE CAIXA REALIZADO]],"mmm")))</f>
        <v>FEV</v>
      </c>
      <c r="K194" s="58">
        <f>IF(tbRegistroEntradas[[#This Row],[DATA DE CAIXA REALIZADO]]="N/A",0,YEAR(tbRegistroEntradas[[#This Row],[DATA DE CAIXA REALIZADO]]))</f>
        <v>2022</v>
      </c>
      <c r="L194" s="79" t="str">
        <f>IF(tbRegistroEntradas[[#This Row],[DATA DA COMPETÊNCIA]]="N/A","0",UPPER(TEXT(tbRegistroEntradas[[#This Row],[DATA DA COMPETÊNCIA]],"mmm")))</f>
        <v>NOV</v>
      </c>
      <c r="M194" s="79">
        <f>IF(tbRegistroEntradas[[#This Row],[DATA DA COMPETÊNCIA]]="N/A",0,YEAR(tbRegistroEntradas[[#This Row],[DATA DA COMPETÊNCIA]]))</f>
        <v>2021</v>
      </c>
      <c r="N194" s="84" t="str">
        <f>IF(tbRegistroEntradas[[#This Row],[DATA DO CAIXA PREVISTO]]="N/A","0",UPPER(TEXT(tbRegistroEntradas[[#This Row],[DATA DO CAIXA PREVISTO]],"mmm")))</f>
        <v>DEZ</v>
      </c>
      <c r="O194" s="84">
        <f>IF(tbRegistroEntradas[[#This Row],[DATA DO CAIXA PREVISTO]]="N/A",0,YEAR(tbRegistroEntradas[[#This Row],[DATA DO CAIXA PREVISTO]]))</f>
        <v>2021</v>
      </c>
      <c r="P194" s="58" t="str">
        <f ca="1">IF(AND(tbRegistroEntradas[[#This Row],[DATA DE CAIXA REALIZADO]]="N/A",tbRegistroEntradas[[#This Row],[DATA DO CAIXA PREVISTO]]&lt;TODAY()),"Vencida","Não Vencida")</f>
        <v>Não Vencida</v>
      </c>
      <c r="Q194" s="58" t="str">
        <f>IF(tbRegistroEntradas[[#This Row],[DATA DA COMPETÊNCIA]]=tbRegistroEntradas[[#This Row],[DATA DO CAIXA PREVISTO]],"Vista","Prazo")</f>
        <v>Prazo</v>
      </c>
      <c r="R194" s="58" t="str">
        <f>IF(tbRegistroEntradas[[#This Row],[DATA DE CAIXA REALIZADO]]&lt;&gt;"N/A","Em Dia","Com atraso")</f>
        <v>Em Dia</v>
      </c>
    </row>
    <row r="195" spans="1:18" s="52" customFormat="1" ht="14.4" customHeight="1" x14ac:dyDescent="0.3">
      <c r="A195" s="125">
        <v>44551</v>
      </c>
      <c r="B195" s="125">
        <f>A195-31</f>
        <v>44520</v>
      </c>
      <c r="C195" s="111">
        <f>(A195-B195)+B195-15</f>
        <v>44536</v>
      </c>
      <c r="D195" s="126" t="s">
        <v>67</v>
      </c>
      <c r="E195" s="126" t="s">
        <v>12</v>
      </c>
      <c r="F195" s="126" t="s">
        <v>16</v>
      </c>
      <c r="G195" s="126" t="s">
        <v>774</v>
      </c>
      <c r="H195" s="126" t="s">
        <v>131</v>
      </c>
      <c r="I195" s="127">
        <v>7842</v>
      </c>
      <c r="J195" s="110" t="str">
        <f>IF(tbRegistroEntradas[[#This Row],[DATA DE CAIXA REALIZADO]]="N/A","0",UPPER(TEXT(tbRegistroEntradas[[#This Row],[DATA DE CAIXA REALIZADO]],"mmm")))</f>
        <v>DEZ</v>
      </c>
      <c r="K195" s="57">
        <f>IF(tbRegistroEntradas[[#This Row],[DATA DE CAIXA REALIZADO]]="N/A",0,YEAR(tbRegistroEntradas[[#This Row],[DATA DE CAIXA REALIZADO]]))</f>
        <v>2021</v>
      </c>
      <c r="L195" s="58" t="str">
        <f>IF(tbRegistroEntradas[[#This Row],[DATA DA COMPETÊNCIA]]="N/A","0",UPPER(TEXT(tbRegistroEntradas[[#This Row],[DATA DA COMPETÊNCIA]],"mmm")))</f>
        <v>NOV</v>
      </c>
      <c r="M195" s="58">
        <f>IF(tbRegistroEntradas[[#This Row],[DATA DA COMPETÊNCIA]]="N/A",0,YEAR(tbRegistroEntradas[[#This Row],[DATA DA COMPETÊNCIA]]))</f>
        <v>2021</v>
      </c>
      <c r="N195" s="58" t="str">
        <f>IF(tbRegistroEntradas[[#This Row],[DATA DO CAIXA PREVISTO]]="N/A","0",UPPER(TEXT(tbRegistroEntradas[[#This Row],[DATA DO CAIXA PREVISTO]],"mmm")))</f>
        <v>DEZ</v>
      </c>
      <c r="O195" s="58">
        <f>IF(tbRegistroEntradas[[#This Row],[DATA DO CAIXA PREVISTO]]="N/A",0,YEAR(tbRegistroEntradas[[#This Row],[DATA DO CAIXA PREVISTO]]))</f>
        <v>2021</v>
      </c>
      <c r="P195" s="58" t="str">
        <f ca="1">IF(AND(tbRegistroEntradas[[#This Row],[DATA DE CAIXA REALIZADO]]="N/A",tbRegistroEntradas[[#This Row],[DATA DO CAIXA PREVISTO]]&lt;TODAY()),"Vencida","Não Vencida")</f>
        <v>Não Vencida</v>
      </c>
      <c r="Q195" s="58" t="str">
        <f>IF(tbRegistroEntradas[[#This Row],[DATA DA COMPETÊNCIA]]=tbRegistroEntradas[[#This Row],[DATA DO CAIXA PREVISTO]],"Vista","Prazo")</f>
        <v>Prazo</v>
      </c>
      <c r="R195" s="58" t="str">
        <f>IF(tbRegistroEntradas[[#This Row],[DATA DE CAIXA REALIZADO]]&lt;&gt;"N/A","Em Dia","Com atraso")</f>
        <v>Em Dia</v>
      </c>
    </row>
    <row r="196" spans="1:18" s="52" customFormat="1" ht="14.4" customHeight="1" x14ac:dyDescent="0.3">
      <c r="A196" s="113">
        <v>44649.080046296294</v>
      </c>
      <c r="B196" s="115">
        <v>44520</v>
      </c>
      <c r="C196" s="44">
        <v>44566.942048611112</v>
      </c>
      <c r="D196" s="116" t="s">
        <v>61</v>
      </c>
      <c r="E196" s="116" t="s">
        <v>12</v>
      </c>
      <c r="F196" s="116" t="s">
        <v>19</v>
      </c>
      <c r="G196" s="116" t="s">
        <v>178</v>
      </c>
      <c r="H196" s="52" t="s">
        <v>87</v>
      </c>
      <c r="I196" s="120">
        <v>2072</v>
      </c>
      <c r="J196" s="55" t="str">
        <f>IF(tbRegistroEntradas[[#This Row],[DATA DE CAIXA REALIZADO]]="N/A","0",UPPER(TEXT(tbRegistroEntradas[[#This Row],[DATA DE CAIXA REALIZADO]],"mmm")))</f>
        <v>MAR</v>
      </c>
      <c r="K196" s="58">
        <f>IF(tbRegistroEntradas[[#This Row],[DATA DE CAIXA REALIZADO]]="N/A",0,YEAR(tbRegistroEntradas[[#This Row],[DATA DE CAIXA REALIZADO]]))</f>
        <v>2022</v>
      </c>
      <c r="L196" s="79" t="str">
        <f>IF(tbRegistroEntradas[[#This Row],[DATA DA COMPETÊNCIA]]="N/A","0",UPPER(TEXT(tbRegistroEntradas[[#This Row],[DATA DA COMPETÊNCIA]],"mmm")))</f>
        <v>NOV</v>
      </c>
      <c r="M196" s="79">
        <f>IF(tbRegistroEntradas[[#This Row],[DATA DA COMPETÊNCIA]]="N/A",0,YEAR(tbRegistroEntradas[[#This Row],[DATA DA COMPETÊNCIA]]))</f>
        <v>2021</v>
      </c>
      <c r="N196" s="84" t="str">
        <f>IF(tbRegistroEntradas[[#This Row],[DATA DO CAIXA PREVISTO]]="N/A","0",UPPER(TEXT(tbRegistroEntradas[[#This Row],[DATA DO CAIXA PREVISTO]],"mmm")))</f>
        <v>JAN</v>
      </c>
      <c r="O196" s="84">
        <f>IF(tbRegistroEntradas[[#This Row],[DATA DO CAIXA PREVISTO]]="N/A",0,YEAR(tbRegistroEntradas[[#This Row],[DATA DO CAIXA PREVISTO]]))</f>
        <v>2022</v>
      </c>
      <c r="P196" s="58" t="str">
        <f ca="1">IF(AND(tbRegistroEntradas[[#This Row],[DATA DE CAIXA REALIZADO]]="N/A",tbRegistroEntradas[[#This Row],[DATA DO CAIXA PREVISTO]]&lt;TODAY()),"Vencida","Não Vencida")</f>
        <v>Não Vencida</v>
      </c>
      <c r="Q196" s="58" t="str">
        <f>IF(tbRegistroEntradas[[#This Row],[DATA DA COMPETÊNCIA]]=tbRegistroEntradas[[#This Row],[DATA DO CAIXA PREVISTO]],"Vista","Prazo")</f>
        <v>Prazo</v>
      </c>
      <c r="R196" s="58" t="str">
        <f>IF(tbRegistroEntradas[[#This Row],[DATA DE CAIXA REALIZADO]]&lt;&gt;"N/A","Em Dia","Com atraso")</f>
        <v>Em Dia</v>
      </c>
    </row>
    <row r="197" spans="1:18" s="52" customFormat="1" ht="14.4" customHeight="1" x14ac:dyDescent="0.3">
      <c r="A197" s="125">
        <v>44554</v>
      </c>
      <c r="B197" s="125">
        <f>A197-31</f>
        <v>44523</v>
      </c>
      <c r="C197" s="111">
        <f>(A197-B197)+B197-15</f>
        <v>44539</v>
      </c>
      <c r="D197" s="126" t="s">
        <v>64</v>
      </c>
      <c r="E197" s="126" t="s">
        <v>12</v>
      </c>
      <c r="F197" s="126" t="s">
        <v>16</v>
      </c>
      <c r="G197" s="126" t="s">
        <v>947</v>
      </c>
      <c r="H197" s="52" t="s">
        <v>113</v>
      </c>
      <c r="I197" s="127">
        <v>7707</v>
      </c>
      <c r="J197" s="110" t="str">
        <f>IF(tbRegistroEntradas[[#This Row],[DATA DE CAIXA REALIZADO]]="N/A","0",UPPER(TEXT(tbRegistroEntradas[[#This Row],[DATA DE CAIXA REALIZADO]],"mmm")))</f>
        <v>DEZ</v>
      </c>
      <c r="K197" s="57">
        <f>IF(tbRegistroEntradas[[#This Row],[DATA DE CAIXA REALIZADO]]="N/A",0,YEAR(tbRegistroEntradas[[#This Row],[DATA DE CAIXA REALIZADO]]))</f>
        <v>2021</v>
      </c>
      <c r="L197" s="58" t="str">
        <f>IF(tbRegistroEntradas[[#This Row],[DATA DA COMPETÊNCIA]]="N/A","0",UPPER(TEXT(tbRegistroEntradas[[#This Row],[DATA DA COMPETÊNCIA]],"mmm")))</f>
        <v>NOV</v>
      </c>
      <c r="M197" s="58">
        <f>IF(tbRegistroEntradas[[#This Row],[DATA DA COMPETÊNCIA]]="N/A",0,YEAR(tbRegistroEntradas[[#This Row],[DATA DA COMPETÊNCIA]]))</f>
        <v>2021</v>
      </c>
      <c r="N197" s="58" t="str">
        <f>IF(tbRegistroEntradas[[#This Row],[DATA DO CAIXA PREVISTO]]="N/A","0",UPPER(TEXT(tbRegistroEntradas[[#This Row],[DATA DO CAIXA PREVISTO]],"mmm")))</f>
        <v>DEZ</v>
      </c>
      <c r="O197" s="58">
        <f>IF(tbRegistroEntradas[[#This Row],[DATA DO CAIXA PREVISTO]]="N/A",0,YEAR(tbRegistroEntradas[[#This Row],[DATA DO CAIXA PREVISTO]]))</f>
        <v>2021</v>
      </c>
      <c r="P197" s="58" t="str">
        <f ca="1">IF(AND(tbRegistroEntradas[[#This Row],[DATA DE CAIXA REALIZADO]]="N/A",tbRegistroEntradas[[#This Row],[DATA DO CAIXA PREVISTO]]&lt;TODAY()),"Vencida","Não Vencida")</f>
        <v>Não Vencida</v>
      </c>
      <c r="Q197" s="58" t="str">
        <f>IF(tbRegistroEntradas[[#This Row],[DATA DA COMPETÊNCIA]]=tbRegistroEntradas[[#This Row],[DATA DO CAIXA PREVISTO]],"Vista","Prazo")</f>
        <v>Prazo</v>
      </c>
      <c r="R197" s="58" t="str">
        <f>IF(tbRegistroEntradas[[#This Row],[DATA DE CAIXA REALIZADO]]&lt;&gt;"N/A","Em Dia","Com atraso")</f>
        <v>Em Dia</v>
      </c>
    </row>
    <row r="198" spans="1:18" s="52" customFormat="1" ht="14.4" customHeight="1" x14ac:dyDescent="0.3">
      <c r="A198" s="112">
        <v>44583.640694444446</v>
      </c>
      <c r="B198" s="114">
        <v>44524</v>
      </c>
      <c r="C198" s="41">
        <v>44583.640694444446</v>
      </c>
      <c r="D198" s="55" t="s">
        <v>61</v>
      </c>
      <c r="E198" s="55" t="s">
        <v>12</v>
      </c>
      <c r="F198" s="55" t="s">
        <v>17</v>
      </c>
      <c r="G198" s="55" t="s">
        <v>179</v>
      </c>
      <c r="H198" s="52" t="s">
        <v>88</v>
      </c>
      <c r="I198" s="119">
        <v>3992</v>
      </c>
      <c r="J198" s="55" t="str">
        <f>IF(tbRegistroEntradas[[#This Row],[DATA DE CAIXA REALIZADO]]="N/A","0",UPPER(TEXT(tbRegistroEntradas[[#This Row],[DATA DE CAIXA REALIZADO]],"mmm")))</f>
        <v>JAN</v>
      </c>
      <c r="K198" s="58">
        <f>IF(tbRegistroEntradas[[#This Row],[DATA DE CAIXA REALIZADO]]="N/A",0,YEAR(tbRegistroEntradas[[#This Row],[DATA DE CAIXA REALIZADO]]))</f>
        <v>2022</v>
      </c>
      <c r="L198" s="79" t="str">
        <f>IF(tbRegistroEntradas[[#This Row],[DATA DA COMPETÊNCIA]]="N/A","0",UPPER(TEXT(tbRegistroEntradas[[#This Row],[DATA DA COMPETÊNCIA]],"mmm")))</f>
        <v>NOV</v>
      </c>
      <c r="M198" s="79">
        <f>IF(tbRegistroEntradas[[#This Row],[DATA DA COMPETÊNCIA]]="N/A",0,YEAR(tbRegistroEntradas[[#This Row],[DATA DA COMPETÊNCIA]]))</f>
        <v>2021</v>
      </c>
      <c r="N198" s="84" t="str">
        <f>IF(tbRegistroEntradas[[#This Row],[DATA DO CAIXA PREVISTO]]="N/A","0",UPPER(TEXT(tbRegistroEntradas[[#This Row],[DATA DO CAIXA PREVISTO]],"mmm")))</f>
        <v>JAN</v>
      </c>
      <c r="O198" s="84">
        <f>IF(tbRegistroEntradas[[#This Row],[DATA DO CAIXA PREVISTO]]="N/A",0,YEAR(tbRegistroEntradas[[#This Row],[DATA DO CAIXA PREVISTO]]))</f>
        <v>2022</v>
      </c>
      <c r="P198" s="58" t="str">
        <f ca="1">IF(AND(tbRegistroEntradas[[#This Row],[DATA DE CAIXA REALIZADO]]="N/A",tbRegistroEntradas[[#This Row],[DATA DO CAIXA PREVISTO]]&lt;TODAY()),"Vencida","Não Vencida")</f>
        <v>Não Vencida</v>
      </c>
      <c r="Q198" s="58" t="str">
        <f>IF(tbRegistroEntradas[[#This Row],[DATA DA COMPETÊNCIA]]=tbRegistroEntradas[[#This Row],[DATA DO CAIXA PREVISTO]],"Vista","Prazo")</f>
        <v>Prazo</v>
      </c>
      <c r="R198" s="58" t="str">
        <f>IF(tbRegistroEntradas[[#This Row],[DATA DE CAIXA REALIZADO]]&lt;&gt;"N/A","Em Dia","Com atraso")</f>
        <v>Em Dia</v>
      </c>
    </row>
    <row r="199" spans="1:18" s="52" customFormat="1" ht="14.4" customHeight="1" x14ac:dyDescent="0.3">
      <c r="A199" s="125">
        <v>44555</v>
      </c>
      <c r="B199" s="125">
        <f>A199-31</f>
        <v>44524</v>
      </c>
      <c r="C199" s="111">
        <f>(A199-B199)+B199-15</f>
        <v>44540</v>
      </c>
      <c r="D199" s="126" t="s">
        <v>67</v>
      </c>
      <c r="E199" s="126" t="s">
        <v>12</v>
      </c>
      <c r="F199" s="126" t="s">
        <v>16</v>
      </c>
      <c r="G199" s="126" t="s">
        <v>704</v>
      </c>
      <c r="H199" s="126" t="s">
        <v>134</v>
      </c>
      <c r="I199" s="127">
        <v>4167</v>
      </c>
      <c r="J199" s="110" t="str">
        <f>IF(tbRegistroEntradas[[#This Row],[DATA DE CAIXA REALIZADO]]="N/A","0",UPPER(TEXT(tbRegistroEntradas[[#This Row],[DATA DE CAIXA REALIZADO]],"mmm")))</f>
        <v>DEZ</v>
      </c>
      <c r="K199" s="57">
        <f>IF(tbRegistroEntradas[[#This Row],[DATA DE CAIXA REALIZADO]]="N/A",0,YEAR(tbRegistroEntradas[[#This Row],[DATA DE CAIXA REALIZADO]]))</f>
        <v>2021</v>
      </c>
      <c r="L199" s="58" t="str">
        <f>IF(tbRegistroEntradas[[#This Row],[DATA DA COMPETÊNCIA]]="N/A","0",UPPER(TEXT(tbRegistroEntradas[[#This Row],[DATA DA COMPETÊNCIA]],"mmm")))</f>
        <v>NOV</v>
      </c>
      <c r="M199" s="58">
        <f>IF(tbRegistroEntradas[[#This Row],[DATA DA COMPETÊNCIA]]="N/A",0,YEAR(tbRegistroEntradas[[#This Row],[DATA DA COMPETÊNCIA]]))</f>
        <v>2021</v>
      </c>
      <c r="N199" s="58" t="str">
        <f>IF(tbRegistroEntradas[[#This Row],[DATA DO CAIXA PREVISTO]]="N/A","0",UPPER(TEXT(tbRegistroEntradas[[#This Row],[DATA DO CAIXA PREVISTO]],"mmm")))</f>
        <v>DEZ</v>
      </c>
      <c r="O199" s="58">
        <f>IF(tbRegistroEntradas[[#This Row],[DATA DO CAIXA PREVISTO]]="N/A",0,YEAR(tbRegistroEntradas[[#This Row],[DATA DO CAIXA PREVISTO]]))</f>
        <v>2021</v>
      </c>
      <c r="P199" s="58" t="str">
        <f ca="1">IF(AND(tbRegistroEntradas[[#This Row],[DATA DE CAIXA REALIZADO]]="N/A",tbRegistroEntradas[[#This Row],[DATA DO CAIXA PREVISTO]]&lt;TODAY()),"Vencida","Não Vencida")</f>
        <v>Não Vencida</v>
      </c>
      <c r="Q199" s="58" t="str">
        <f>IF(tbRegistroEntradas[[#This Row],[DATA DA COMPETÊNCIA]]=tbRegistroEntradas[[#This Row],[DATA DO CAIXA PREVISTO]],"Vista","Prazo")</f>
        <v>Prazo</v>
      </c>
      <c r="R199" s="58" t="str">
        <f>IF(tbRegistroEntradas[[#This Row],[DATA DE CAIXA REALIZADO]]&lt;&gt;"N/A","Em Dia","Com atraso")</f>
        <v>Em Dia</v>
      </c>
    </row>
    <row r="200" spans="1:18" s="52" customFormat="1" ht="14.4" customHeight="1" x14ac:dyDescent="0.3">
      <c r="A200" s="125">
        <v>44558</v>
      </c>
      <c r="B200" s="125">
        <f>A200-31</f>
        <v>44527</v>
      </c>
      <c r="C200" s="111">
        <f>(A200-B200)+B200-15</f>
        <v>44543</v>
      </c>
      <c r="D200" s="126" t="s">
        <v>137</v>
      </c>
      <c r="E200" s="126" t="s">
        <v>12</v>
      </c>
      <c r="F200" s="126" t="s">
        <v>16</v>
      </c>
      <c r="G200" s="126" t="s">
        <v>799</v>
      </c>
      <c r="H200" s="126" t="s">
        <v>73</v>
      </c>
      <c r="I200" s="127">
        <v>582</v>
      </c>
      <c r="J200" s="110" t="str">
        <f>IF(tbRegistroEntradas[[#This Row],[DATA DE CAIXA REALIZADO]]="N/A","0",UPPER(TEXT(tbRegistroEntradas[[#This Row],[DATA DE CAIXA REALIZADO]],"mmm")))</f>
        <v>DEZ</v>
      </c>
      <c r="K200" s="57">
        <f>IF(tbRegistroEntradas[[#This Row],[DATA DE CAIXA REALIZADO]]="N/A",0,YEAR(tbRegistroEntradas[[#This Row],[DATA DE CAIXA REALIZADO]]))</f>
        <v>2021</v>
      </c>
      <c r="L200" s="58" t="str">
        <f>IF(tbRegistroEntradas[[#This Row],[DATA DA COMPETÊNCIA]]="N/A","0",UPPER(TEXT(tbRegistroEntradas[[#This Row],[DATA DA COMPETÊNCIA]],"mmm")))</f>
        <v>NOV</v>
      </c>
      <c r="M200" s="58">
        <f>IF(tbRegistroEntradas[[#This Row],[DATA DA COMPETÊNCIA]]="N/A",0,YEAR(tbRegistroEntradas[[#This Row],[DATA DA COMPETÊNCIA]]))</f>
        <v>2021</v>
      </c>
      <c r="N200" s="58" t="str">
        <f>IF(tbRegistroEntradas[[#This Row],[DATA DO CAIXA PREVISTO]]="N/A","0",UPPER(TEXT(tbRegistroEntradas[[#This Row],[DATA DO CAIXA PREVISTO]],"mmm")))</f>
        <v>DEZ</v>
      </c>
      <c r="O200" s="58">
        <f>IF(tbRegistroEntradas[[#This Row],[DATA DO CAIXA PREVISTO]]="N/A",0,YEAR(tbRegistroEntradas[[#This Row],[DATA DO CAIXA PREVISTO]]))</f>
        <v>2021</v>
      </c>
      <c r="P200" s="58" t="str">
        <f ca="1">IF(AND(tbRegistroEntradas[[#This Row],[DATA DE CAIXA REALIZADO]]="N/A",tbRegistroEntradas[[#This Row],[DATA DO CAIXA PREVISTO]]&lt;TODAY()),"Vencida","Não Vencida")</f>
        <v>Não Vencida</v>
      </c>
      <c r="Q200" s="58" t="str">
        <f>IF(tbRegistroEntradas[[#This Row],[DATA DA COMPETÊNCIA]]=tbRegistroEntradas[[#This Row],[DATA DO CAIXA PREVISTO]],"Vista","Prazo")</f>
        <v>Prazo</v>
      </c>
      <c r="R200" s="58" t="str">
        <f>IF(tbRegistroEntradas[[#This Row],[DATA DE CAIXA REALIZADO]]&lt;&gt;"N/A","Em Dia","Com atraso")</f>
        <v>Em Dia</v>
      </c>
    </row>
    <row r="201" spans="1:18" s="52" customFormat="1" ht="14.4" customHeight="1" x14ac:dyDescent="0.3">
      <c r="A201" s="113" t="s">
        <v>141</v>
      </c>
      <c r="B201" s="115">
        <v>44529</v>
      </c>
      <c r="C201" s="44">
        <v>44587.500972222224</v>
      </c>
      <c r="D201" s="116" t="s">
        <v>138</v>
      </c>
      <c r="E201" s="116" t="s">
        <v>12</v>
      </c>
      <c r="F201" s="116" t="s">
        <v>16</v>
      </c>
      <c r="G201" s="116" t="s">
        <v>180</v>
      </c>
      <c r="H201" s="126" t="s">
        <v>136</v>
      </c>
      <c r="I201" s="120">
        <v>1284</v>
      </c>
      <c r="J201" s="55" t="str">
        <f>IF(tbRegistroEntradas[[#This Row],[DATA DE CAIXA REALIZADO]]="N/A","0",UPPER(TEXT(tbRegistroEntradas[[#This Row],[DATA DE CAIXA REALIZADO]],"mmm")))</f>
        <v>0</v>
      </c>
      <c r="K201" s="58">
        <f>IF(tbRegistroEntradas[[#This Row],[DATA DE CAIXA REALIZADO]]="N/A",0,YEAR(tbRegistroEntradas[[#This Row],[DATA DE CAIXA REALIZADO]]))</f>
        <v>0</v>
      </c>
      <c r="L201" s="79" t="str">
        <f>IF(tbRegistroEntradas[[#This Row],[DATA DA COMPETÊNCIA]]="N/A","0",UPPER(TEXT(tbRegistroEntradas[[#This Row],[DATA DA COMPETÊNCIA]],"mmm")))</f>
        <v>NOV</v>
      </c>
      <c r="M201" s="79">
        <f>IF(tbRegistroEntradas[[#This Row],[DATA DA COMPETÊNCIA]]="N/A",0,YEAR(tbRegistroEntradas[[#This Row],[DATA DA COMPETÊNCIA]]))</f>
        <v>2021</v>
      </c>
      <c r="N201" s="84" t="str">
        <f>IF(tbRegistroEntradas[[#This Row],[DATA DO CAIXA PREVISTO]]="N/A","0",UPPER(TEXT(tbRegistroEntradas[[#This Row],[DATA DO CAIXA PREVISTO]],"mmm")))</f>
        <v>JAN</v>
      </c>
      <c r="O201" s="84">
        <f>IF(tbRegistroEntradas[[#This Row],[DATA DO CAIXA PREVISTO]]="N/A",0,YEAR(tbRegistroEntradas[[#This Row],[DATA DO CAIXA PREVISTO]]))</f>
        <v>2022</v>
      </c>
      <c r="P201" s="58" t="str">
        <f ca="1">IF(AND(tbRegistroEntradas[[#This Row],[DATA DE CAIXA REALIZADO]]="N/A",tbRegistroEntradas[[#This Row],[DATA DO CAIXA PREVISTO]]&lt;TODAY()),"Vencida","Não Vencida")</f>
        <v>Vencida</v>
      </c>
      <c r="Q201" s="58" t="str">
        <f>IF(tbRegistroEntradas[[#This Row],[DATA DA COMPETÊNCIA]]=tbRegistroEntradas[[#This Row],[DATA DO CAIXA PREVISTO]],"Vista","Prazo")</f>
        <v>Prazo</v>
      </c>
      <c r="R201" s="58" t="str">
        <f>IF(tbRegistroEntradas[[#This Row],[DATA DE CAIXA REALIZADO]]&lt;&gt;"N/A","Em Dia","Com atraso")</f>
        <v>Com atraso</v>
      </c>
    </row>
    <row r="202" spans="1:18" s="52" customFormat="1" ht="14.4" customHeight="1" x14ac:dyDescent="0.3">
      <c r="A202" s="125">
        <v>44563</v>
      </c>
      <c r="B202" s="125">
        <f>A202-31</f>
        <v>44532</v>
      </c>
      <c r="C202" s="111">
        <f>(A202-B202)+B202-15</f>
        <v>44548</v>
      </c>
      <c r="D202" s="126" t="s">
        <v>63</v>
      </c>
      <c r="E202" s="126" t="s">
        <v>12</v>
      </c>
      <c r="F202" s="126" t="s">
        <v>32</v>
      </c>
      <c r="G202" s="126" t="s">
        <v>995</v>
      </c>
      <c r="H202" s="52" t="s">
        <v>98</v>
      </c>
      <c r="I202" s="127">
        <v>1489</v>
      </c>
      <c r="J202" s="110" t="str">
        <f>IF(tbRegistroEntradas[[#This Row],[DATA DE CAIXA REALIZADO]]="N/A","0",UPPER(TEXT(tbRegistroEntradas[[#This Row],[DATA DE CAIXA REALIZADO]],"mmm")))</f>
        <v>JAN</v>
      </c>
      <c r="K202" s="57">
        <f>IF(tbRegistroEntradas[[#This Row],[DATA DE CAIXA REALIZADO]]="N/A",0,YEAR(tbRegistroEntradas[[#This Row],[DATA DE CAIXA REALIZADO]]))</f>
        <v>2022</v>
      </c>
      <c r="L202" s="58" t="str">
        <f>IF(tbRegistroEntradas[[#This Row],[DATA DA COMPETÊNCIA]]="N/A","0",UPPER(TEXT(tbRegistroEntradas[[#This Row],[DATA DA COMPETÊNCIA]],"mmm")))</f>
        <v>DEZ</v>
      </c>
      <c r="M202" s="58">
        <f>IF(tbRegistroEntradas[[#This Row],[DATA DA COMPETÊNCIA]]="N/A",0,YEAR(tbRegistroEntradas[[#This Row],[DATA DA COMPETÊNCIA]]))</f>
        <v>2021</v>
      </c>
      <c r="N202" s="58" t="str">
        <f>IF(tbRegistroEntradas[[#This Row],[DATA DO CAIXA PREVISTO]]="N/A","0",UPPER(TEXT(tbRegistroEntradas[[#This Row],[DATA DO CAIXA PREVISTO]],"mmm")))</f>
        <v>DEZ</v>
      </c>
      <c r="O202" s="58">
        <f>IF(tbRegistroEntradas[[#This Row],[DATA DO CAIXA PREVISTO]]="N/A",0,YEAR(tbRegistroEntradas[[#This Row],[DATA DO CAIXA PREVISTO]]))</f>
        <v>2021</v>
      </c>
      <c r="P202" s="58" t="str">
        <f ca="1">IF(AND(tbRegistroEntradas[[#This Row],[DATA DE CAIXA REALIZADO]]="N/A",tbRegistroEntradas[[#This Row],[DATA DO CAIXA PREVISTO]]&lt;TODAY()),"Vencida","Não Vencida")</f>
        <v>Não Vencida</v>
      </c>
      <c r="Q202" s="58" t="str">
        <f>IF(tbRegistroEntradas[[#This Row],[DATA DA COMPETÊNCIA]]=tbRegistroEntradas[[#This Row],[DATA DO CAIXA PREVISTO]],"Vista","Prazo")</f>
        <v>Prazo</v>
      </c>
      <c r="R202" s="58" t="str">
        <f>IF(tbRegistroEntradas[[#This Row],[DATA DE CAIXA REALIZADO]]&lt;&gt;"N/A","Em Dia","Com atraso")</f>
        <v>Em Dia</v>
      </c>
    </row>
    <row r="203" spans="1:18" s="52" customFormat="1" ht="14.4" customHeight="1" x14ac:dyDescent="0.3">
      <c r="A203" s="113">
        <v>44545.954421296294</v>
      </c>
      <c r="B203" s="115">
        <v>44534</v>
      </c>
      <c r="C203" s="125">
        <f>tbRegistroEntradas[[#This Row],[DATA DA COMPETÊNCIA]]</f>
        <v>44534</v>
      </c>
      <c r="D203" s="116" t="s">
        <v>65</v>
      </c>
      <c r="E203" s="116" t="s">
        <v>12</v>
      </c>
      <c r="F203" s="116" t="s">
        <v>16</v>
      </c>
      <c r="G203" s="116" t="s">
        <v>182</v>
      </c>
      <c r="H203" s="52" t="s">
        <v>119</v>
      </c>
      <c r="I203" s="120">
        <v>3008</v>
      </c>
      <c r="J203" s="55" t="str">
        <f>IF(tbRegistroEntradas[[#This Row],[DATA DE CAIXA REALIZADO]]="N/A","0",UPPER(TEXT(tbRegistroEntradas[[#This Row],[DATA DE CAIXA REALIZADO]],"mmm")))</f>
        <v>DEZ</v>
      </c>
      <c r="K203" s="58">
        <f>IF(tbRegistroEntradas[[#This Row],[DATA DE CAIXA REALIZADO]]="N/A",0,YEAR(tbRegistroEntradas[[#This Row],[DATA DE CAIXA REALIZADO]]))</f>
        <v>2021</v>
      </c>
      <c r="L203" s="79" t="str">
        <f>IF(tbRegistroEntradas[[#This Row],[DATA DA COMPETÊNCIA]]="N/A","0",UPPER(TEXT(tbRegistroEntradas[[#This Row],[DATA DA COMPETÊNCIA]],"mmm")))</f>
        <v>DEZ</v>
      </c>
      <c r="M203" s="79">
        <f>IF(tbRegistroEntradas[[#This Row],[DATA DA COMPETÊNCIA]]="N/A",0,YEAR(tbRegistroEntradas[[#This Row],[DATA DA COMPETÊNCIA]]))</f>
        <v>2021</v>
      </c>
      <c r="N203" s="84" t="str">
        <f>IF(tbRegistroEntradas[[#This Row],[DATA DO CAIXA PREVISTO]]="N/A","0",UPPER(TEXT(tbRegistroEntradas[[#This Row],[DATA DO CAIXA PREVISTO]],"mmm")))</f>
        <v>DEZ</v>
      </c>
      <c r="O203" s="84">
        <f>IF(tbRegistroEntradas[[#This Row],[DATA DO CAIXA PREVISTO]]="N/A",0,YEAR(tbRegistroEntradas[[#This Row],[DATA DO CAIXA PREVISTO]]))</f>
        <v>2021</v>
      </c>
      <c r="P203" s="58" t="str">
        <f ca="1">IF(AND(tbRegistroEntradas[[#This Row],[DATA DE CAIXA REALIZADO]]="N/A",tbRegistroEntradas[[#This Row],[DATA DO CAIXA PREVISTO]]&lt;TODAY()),"Vencida","Não Vencida")</f>
        <v>Não Vencida</v>
      </c>
      <c r="Q203" s="58" t="str">
        <f>IF(tbRegistroEntradas[[#This Row],[DATA DA COMPETÊNCIA]]=tbRegistroEntradas[[#This Row],[DATA DO CAIXA PREVISTO]],"Vista","Prazo")</f>
        <v>Vista</v>
      </c>
      <c r="R203" s="58" t="str">
        <f>IF(tbRegistroEntradas[[#This Row],[DATA DE CAIXA REALIZADO]]&lt;&gt;"N/A","Em Dia","Com atraso")</f>
        <v>Em Dia</v>
      </c>
    </row>
    <row r="204" spans="1:18" s="52" customFormat="1" ht="14.4" customHeight="1" x14ac:dyDescent="0.3">
      <c r="A204" s="125">
        <v>44565</v>
      </c>
      <c r="B204" s="125">
        <f>A204-31</f>
        <v>44534</v>
      </c>
      <c r="C204" s="125">
        <f>(A204-B204)+B204-15</f>
        <v>44550</v>
      </c>
      <c r="D204" s="126" t="s">
        <v>61</v>
      </c>
      <c r="E204" s="126" t="s">
        <v>12</v>
      </c>
      <c r="F204" s="126" t="s">
        <v>17</v>
      </c>
      <c r="G204" s="126" t="s">
        <v>769</v>
      </c>
      <c r="H204" s="126" t="s">
        <v>71</v>
      </c>
      <c r="I204" s="127">
        <v>2544</v>
      </c>
      <c r="J204" s="110" t="str">
        <f>IF(tbRegistroEntradas[[#This Row],[DATA DE CAIXA REALIZADO]]="N/A","0",UPPER(TEXT(tbRegistroEntradas[[#This Row],[DATA DE CAIXA REALIZADO]],"mmm")))</f>
        <v>JAN</v>
      </c>
      <c r="K204" s="57">
        <f>IF(tbRegistroEntradas[[#This Row],[DATA DE CAIXA REALIZADO]]="N/A",0,YEAR(tbRegistroEntradas[[#This Row],[DATA DE CAIXA REALIZADO]]))</f>
        <v>2022</v>
      </c>
      <c r="L204" s="58" t="str">
        <f>IF(tbRegistroEntradas[[#This Row],[DATA DA COMPETÊNCIA]]="N/A","0",UPPER(TEXT(tbRegistroEntradas[[#This Row],[DATA DA COMPETÊNCIA]],"mmm")))</f>
        <v>DEZ</v>
      </c>
      <c r="M204" s="58">
        <f>IF(tbRegistroEntradas[[#This Row],[DATA DA COMPETÊNCIA]]="N/A",0,YEAR(tbRegistroEntradas[[#This Row],[DATA DA COMPETÊNCIA]]))</f>
        <v>2021</v>
      </c>
      <c r="N204" s="58" t="str">
        <f>IF(tbRegistroEntradas[[#This Row],[DATA DO CAIXA PREVISTO]]="N/A","0",UPPER(TEXT(tbRegistroEntradas[[#This Row],[DATA DO CAIXA PREVISTO]],"mmm")))</f>
        <v>DEZ</v>
      </c>
      <c r="O204" s="58">
        <f>IF(tbRegistroEntradas[[#This Row],[DATA DO CAIXA PREVISTO]]="N/A",0,YEAR(tbRegistroEntradas[[#This Row],[DATA DO CAIXA PREVISTO]]))</f>
        <v>2021</v>
      </c>
      <c r="P204" s="58" t="str">
        <f ca="1">IF(AND(tbRegistroEntradas[[#This Row],[DATA DE CAIXA REALIZADO]]="N/A",tbRegistroEntradas[[#This Row],[DATA DO CAIXA PREVISTO]]&lt;TODAY()),"Vencida","Não Vencida")</f>
        <v>Não Vencida</v>
      </c>
      <c r="Q204" s="58" t="str">
        <f>IF(tbRegistroEntradas[[#This Row],[DATA DA COMPETÊNCIA]]=tbRegistroEntradas[[#This Row],[DATA DO CAIXA PREVISTO]],"Vista","Prazo")</f>
        <v>Prazo</v>
      </c>
      <c r="R204" s="58" t="str">
        <f>IF(tbRegistroEntradas[[#This Row],[DATA DE CAIXA REALIZADO]]&lt;&gt;"N/A","Em Dia","Com atraso")</f>
        <v>Em Dia</v>
      </c>
    </row>
    <row r="205" spans="1:18" s="52" customFormat="1" ht="14.4" customHeight="1" x14ac:dyDescent="0.3">
      <c r="A205" s="112">
        <v>44582.095138888886</v>
      </c>
      <c r="B205" s="114">
        <v>44534</v>
      </c>
      <c r="C205" s="114">
        <v>44582.095138888886</v>
      </c>
      <c r="D205" s="55" t="s">
        <v>137</v>
      </c>
      <c r="E205" s="55" t="s">
        <v>12</v>
      </c>
      <c r="F205" s="55" t="s">
        <v>17</v>
      </c>
      <c r="G205" s="55" t="s">
        <v>181</v>
      </c>
      <c r="H205" s="52" t="s">
        <v>105</v>
      </c>
      <c r="I205" s="119">
        <v>4073</v>
      </c>
      <c r="J205" s="55" t="str">
        <f>IF(tbRegistroEntradas[[#This Row],[DATA DE CAIXA REALIZADO]]="N/A","0",UPPER(TEXT(tbRegistroEntradas[[#This Row],[DATA DE CAIXA REALIZADO]],"mmm")))</f>
        <v>JAN</v>
      </c>
      <c r="K205" s="58">
        <f>IF(tbRegistroEntradas[[#This Row],[DATA DE CAIXA REALIZADO]]="N/A",0,YEAR(tbRegistroEntradas[[#This Row],[DATA DE CAIXA REALIZADO]]))</f>
        <v>2022</v>
      </c>
      <c r="L205" s="79" t="str">
        <f>IF(tbRegistroEntradas[[#This Row],[DATA DA COMPETÊNCIA]]="N/A","0",UPPER(TEXT(tbRegistroEntradas[[#This Row],[DATA DA COMPETÊNCIA]],"mmm")))</f>
        <v>DEZ</v>
      </c>
      <c r="M205" s="79">
        <f>IF(tbRegistroEntradas[[#This Row],[DATA DA COMPETÊNCIA]]="N/A",0,YEAR(tbRegistroEntradas[[#This Row],[DATA DA COMPETÊNCIA]]))</f>
        <v>2021</v>
      </c>
      <c r="N205" s="84" t="str">
        <f>IF(tbRegistroEntradas[[#This Row],[DATA DO CAIXA PREVISTO]]="N/A","0",UPPER(TEXT(tbRegistroEntradas[[#This Row],[DATA DO CAIXA PREVISTO]],"mmm")))</f>
        <v>JAN</v>
      </c>
      <c r="O205" s="84">
        <f>IF(tbRegistroEntradas[[#This Row],[DATA DO CAIXA PREVISTO]]="N/A",0,YEAR(tbRegistroEntradas[[#This Row],[DATA DO CAIXA PREVISTO]]))</f>
        <v>2022</v>
      </c>
      <c r="P205" s="58" t="str">
        <f ca="1">IF(AND(tbRegistroEntradas[[#This Row],[DATA DE CAIXA REALIZADO]]="N/A",tbRegistroEntradas[[#This Row],[DATA DO CAIXA PREVISTO]]&lt;TODAY()),"Vencida","Não Vencida")</f>
        <v>Não Vencida</v>
      </c>
      <c r="Q205" s="58" t="str">
        <f>IF(tbRegistroEntradas[[#This Row],[DATA DA COMPETÊNCIA]]=tbRegistroEntradas[[#This Row],[DATA DO CAIXA PREVISTO]],"Vista","Prazo")</f>
        <v>Prazo</v>
      </c>
      <c r="R205" s="58" t="str">
        <f>IF(tbRegistroEntradas[[#This Row],[DATA DE CAIXA REALIZADO]]&lt;&gt;"N/A","Em Dia","Com atraso")</f>
        <v>Em Dia</v>
      </c>
    </row>
    <row r="206" spans="1:18" s="52" customFormat="1" ht="14.4" customHeight="1" x14ac:dyDescent="0.3">
      <c r="A206" s="49">
        <v>44570</v>
      </c>
      <c r="B206" s="49">
        <f>A206-31</f>
        <v>44539</v>
      </c>
      <c r="C206" s="125">
        <f>tbRegistroEntradas[[#This Row],[DATA DA COMPETÊNCIA]]</f>
        <v>44539</v>
      </c>
      <c r="D206" s="52" t="s">
        <v>63</v>
      </c>
      <c r="E206" s="52" t="s">
        <v>12</v>
      </c>
      <c r="F206" s="52" t="s">
        <v>17</v>
      </c>
      <c r="G206" s="52" t="s">
        <v>813</v>
      </c>
      <c r="H206" s="52" t="s">
        <v>102</v>
      </c>
      <c r="I206" s="18">
        <v>2314</v>
      </c>
      <c r="J206" s="110" t="str">
        <f>IF(tbRegistroEntradas[[#This Row],[DATA DE CAIXA REALIZADO]]="N/A","0",UPPER(TEXT(tbRegistroEntradas[[#This Row],[DATA DE CAIXA REALIZADO]],"mmm")))</f>
        <v>JAN</v>
      </c>
      <c r="K206" s="57">
        <f>IF(tbRegistroEntradas[[#This Row],[DATA DE CAIXA REALIZADO]]="N/A",0,YEAR(tbRegistroEntradas[[#This Row],[DATA DE CAIXA REALIZADO]]))</f>
        <v>2022</v>
      </c>
      <c r="L206" s="58" t="str">
        <f>IF(tbRegistroEntradas[[#This Row],[DATA DA COMPETÊNCIA]]="N/A","0",UPPER(TEXT(tbRegistroEntradas[[#This Row],[DATA DA COMPETÊNCIA]],"mmm")))</f>
        <v>DEZ</v>
      </c>
      <c r="M206" s="58">
        <f>IF(tbRegistroEntradas[[#This Row],[DATA DA COMPETÊNCIA]]="N/A",0,YEAR(tbRegistroEntradas[[#This Row],[DATA DA COMPETÊNCIA]]))</f>
        <v>2021</v>
      </c>
      <c r="N206" s="58" t="str">
        <f>IF(tbRegistroEntradas[[#This Row],[DATA DO CAIXA PREVISTO]]="N/A","0",UPPER(TEXT(tbRegistroEntradas[[#This Row],[DATA DO CAIXA PREVISTO]],"mmm")))</f>
        <v>DEZ</v>
      </c>
      <c r="O206" s="58">
        <f>IF(tbRegistroEntradas[[#This Row],[DATA DO CAIXA PREVISTO]]="N/A",0,YEAR(tbRegistroEntradas[[#This Row],[DATA DO CAIXA PREVISTO]]))</f>
        <v>2021</v>
      </c>
      <c r="P206" s="58" t="str">
        <f ca="1">IF(AND(tbRegistroEntradas[[#This Row],[DATA DE CAIXA REALIZADO]]="N/A",tbRegistroEntradas[[#This Row],[DATA DO CAIXA PREVISTO]]&lt;TODAY()),"Vencida","Não Vencida")</f>
        <v>Não Vencida</v>
      </c>
      <c r="Q206" s="58" t="str">
        <f>IF(tbRegistroEntradas[[#This Row],[DATA DA COMPETÊNCIA]]=tbRegistroEntradas[[#This Row],[DATA DO CAIXA PREVISTO]],"Vista","Prazo")</f>
        <v>Vista</v>
      </c>
      <c r="R206" s="58" t="str">
        <f>IF(tbRegistroEntradas[[#This Row],[DATA DE CAIXA REALIZADO]]&lt;&gt;"N/A","Em Dia","Com atraso")</f>
        <v>Em Dia</v>
      </c>
    </row>
    <row r="207" spans="1:18" s="52" customFormat="1" ht="14.4" customHeight="1" x14ac:dyDescent="0.3">
      <c r="A207" s="49">
        <v>44570</v>
      </c>
      <c r="B207" s="49">
        <f>A207-31</f>
        <v>44539</v>
      </c>
      <c r="C207" s="49">
        <f>(A207-B207)+B207-15</f>
        <v>44555</v>
      </c>
      <c r="D207" s="52" t="s">
        <v>66</v>
      </c>
      <c r="E207" s="52" t="s">
        <v>12</v>
      </c>
      <c r="F207" s="52" t="s">
        <v>17</v>
      </c>
      <c r="G207" s="52" t="s">
        <v>897</v>
      </c>
      <c r="H207" s="52" t="s">
        <v>90</v>
      </c>
      <c r="I207" s="18">
        <v>6321</v>
      </c>
      <c r="J207" s="110" t="str">
        <f>IF(tbRegistroEntradas[[#This Row],[DATA DE CAIXA REALIZADO]]="N/A","0",UPPER(TEXT(tbRegistroEntradas[[#This Row],[DATA DE CAIXA REALIZADO]],"mmm")))</f>
        <v>JAN</v>
      </c>
      <c r="K207" s="57">
        <f>IF(tbRegistroEntradas[[#This Row],[DATA DE CAIXA REALIZADO]]="N/A",0,YEAR(tbRegistroEntradas[[#This Row],[DATA DE CAIXA REALIZADO]]))</f>
        <v>2022</v>
      </c>
      <c r="L207" s="58" t="str">
        <f>IF(tbRegistroEntradas[[#This Row],[DATA DA COMPETÊNCIA]]="N/A","0",UPPER(TEXT(tbRegistroEntradas[[#This Row],[DATA DA COMPETÊNCIA]],"mmm")))</f>
        <v>DEZ</v>
      </c>
      <c r="M207" s="58">
        <f>IF(tbRegistroEntradas[[#This Row],[DATA DA COMPETÊNCIA]]="N/A",0,YEAR(tbRegistroEntradas[[#This Row],[DATA DA COMPETÊNCIA]]))</f>
        <v>2021</v>
      </c>
      <c r="N207" s="58" t="str">
        <f>IF(tbRegistroEntradas[[#This Row],[DATA DO CAIXA PREVISTO]]="N/A","0",UPPER(TEXT(tbRegistroEntradas[[#This Row],[DATA DO CAIXA PREVISTO]],"mmm")))</f>
        <v>DEZ</v>
      </c>
      <c r="O207" s="58">
        <f>IF(tbRegistroEntradas[[#This Row],[DATA DO CAIXA PREVISTO]]="N/A",0,YEAR(tbRegistroEntradas[[#This Row],[DATA DO CAIXA PREVISTO]]))</f>
        <v>2021</v>
      </c>
      <c r="P207" s="58" t="str">
        <f ca="1">IF(AND(tbRegistroEntradas[[#This Row],[DATA DE CAIXA REALIZADO]]="N/A",tbRegistroEntradas[[#This Row],[DATA DO CAIXA PREVISTO]]&lt;TODAY()),"Vencida","Não Vencida")</f>
        <v>Não Vencida</v>
      </c>
      <c r="Q207" s="58" t="str">
        <f>IF(tbRegistroEntradas[[#This Row],[DATA DA COMPETÊNCIA]]=tbRegistroEntradas[[#This Row],[DATA DO CAIXA PREVISTO]],"Vista","Prazo")</f>
        <v>Prazo</v>
      </c>
      <c r="R207" s="58" t="str">
        <f>IF(tbRegistroEntradas[[#This Row],[DATA DE CAIXA REALIZADO]]&lt;&gt;"N/A","Em Dia","Com atraso")</f>
        <v>Em Dia</v>
      </c>
    </row>
    <row r="208" spans="1:18" s="52" customFormat="1" ht="14.4" customHeight="1" x14ac:dyDescent="0.3">
      <c r="A208" s="112">
        <v>44592.564074074071</v>
      </c>
      <c r="B208" s="114">
        <v>44541</v>
      </c>
      <c r="C208" s="114">
        <v>44592.564074074071</v>
      </c>
      <c r="D208" s="55" t="s">
        <v>65</v>
      </c>
      <c r="E208" s="55" t="s">
        <v>12</v>
      </c>
      <c r="F208" s="55" t="s">
        <v>16</v>
      </c>
      <c r="G208" s="55" t="s">
        <v>183</v>
      </c>
      <c r="H208" s="52" t="s">
        <v>120</v>
      </c>
      <c r="I208" s="119">
        <v>1267</v>
      </c>
      <c r="J208" s="55" t="str">
        <f>IF(tbRegistroEntradas[[#This Row],[DATA DE CAIXA REALIZADO]]="N/A","0",UPPER(TEXT(tbRegistroEntradas[[#This Row],[DATA DE CAIXA REALIZADO]],"mmm")))</f>
        <v>JAN</v>
      </c>
      <c r="K208" s="58">
        <f>IF(tbRegistroEntradas[[#This Row],[DATA DE CAIXA REALIZADO]]="N/A",0,YEAR(tbRegistroEntradas[[#This Row],[DATA DE CAIXA REALIZADO]]))</f>
        <v>2022</v>
      </c>
      <c r="L208" s="79" t="str">
        <f>IF(tbRegistroEntradas[[#This Row],[DATA DA COMPETÊNCIA]]="N/A","0",UPPER(TEXT(tbRegistroEntradas[[#This Row],[DATA DA COMPETÊNCIA]],"mmm")))</f>
        <v>DEZ</v>
      </c>
      <c r="M208" s="79">
        <f>IF(tbRegistroEntradas[[#This Row],[DATA DA COMPETÊNCIA]]="N/A",0,YEAR(tbRegistroEntradas[[#This Row],[DATA DA COMPETÊNCIA]]))</f>
        <v>2021</v>
      </c>
      <c r="N208" s="84" t="str">
        <f>IF(tbRegistroEntradas[[#This Row],[DATA DO CAIXA PREVISTO]]="N/A","0",UPPER(TEXT(tbRegistroEntradas[[#This Row],[DATA DO CAIXA PREVISTO]],"mmm")))</f>
        <v>JAN</v>
      </c>
      <c r="O208" s="84">
        <f>IF(tbRegistroEntradas[[#This Row],[DATA DO CAIXA PREVISTO]]="N/A",0,YEAR(tbRegistroEntradas[[#This Row],[DATA DO CAIXA PREVISTO]]))</f>
        <v>2022</v>
      </c>
      <c r="P208" s="58" t="str">
        <f ca="1">IF(AND(tbRegistroEntradas[[#This Row],[DATA DE CAIXA REALIZADO]]="N/A",tbRegistroEntradas[[#This Row],[DATA DO CAIXA PREVISTO]]&lt;TODAY()),"Vencida","Não Vencida")</f>
        <v>Não Vencida</v>
      </c>
      <c r="Q208" s="58" t="str">
        <f>IF(tbRegistroEntradas[[#This Row],[DATA DA COMPETÊNCIA]]=tbRegistroEntradas[[#This Row],[DATA DO CAIXA PREVISTO]],"Vista","Prazo")</f>
        <v>Prazo</v>
      </c>
      <c r="R208" s="58" t="str">
        <f>IF(tbRegistroEntradas[[#This Row],[DATA DE CAIXA REALIZADO]]&lt;&gt;"N/A","Em Dia","Com atraso")</f>
        <v>Em Dia</v>
      </c>
    </row>
    <row r="209" spans="1:18" s="52" customFormat="1" ht="14.4" customHeight="1" x14ac:dyDescent="0.3">
      <c r="A209" s="125">
        <v>44573</v>
      </c>
      <c r="B209" s="125">
        <f>A209-31</f>
        <v>44542</v>
      </c>
      <c r="C209" s="125">
        <f>(A209-B209)+B209-15</f>
        <v>44558</v>
      </c>
      <c r="D209" s="126" t="s">
        <v>137</v>
      </c>
      <c r="E209" s="126" t="s">
        <v>12</v>
      </c>
      <c r="F209" s="126" t="s">
        <v>19</v>
      </c>
      <c r="G209" s="126" t="s">
        <v>877</v>
      </c>
      <c r="H209" s="52" t="s">
        <v>104</v>
      </c>
      <c r="I209" s="127">
        <v>7437</v>
      </c>
      <c r="J209" s="110" t="str">
        <f>IF(tbRegistroEntradas[[#This Row],[DATA DE CAIXA REALIZADO]]="N/A","0",UPPER(TEXT(tbRegistroEntradas[[#This Row],[DATA DE CAIXA REALIZADO]],"mmm")))</f>
        <v>JAN</v>
      </c>
      <c r="K209" s="57">
        <f>IF(tbRegistroEntradas[[#This Row],[DATA DE CAIXA REALIZADO]]="N/A",0,YEAR(tbRegistroEntradas[[#This Row],[DATA DE CAIXA REALIZADO]]))</f>
        <v>2022</v>
      </c>
      <c r="L209" s="58" t="str">
        <f>IF(tbRegistroEntradas[[#This Row],[DATA DA COMPETÊNCIA]]="N/A","0",UPPER(TEXT(tbRegistroEntradas[[#This Row],[DATA DA COMPETÊNCIA]],"mmm")))</f>
        <v>DEZ</v>
      </c>
      <c r="M209" s="58">
        <f>IF(tbRegistroEntradas[[#This Row],[DATA DA COMPETÊNCIA]]="N/A",0,YEAR(tbRegistroEntradas[[#This Row],[DATA DA COMPETÊNCIA]]))</f>
        <v>2021</v>
      </c>
      <c r="N209" s="58" t="str">
        <f>IF(tbRegistroEntradas[[#This Row],[DATA DO CAIXA PREVISTO]]="N/A","0",UPPER(TEXT(tbRegistroEntradas[[#This Row],[DATA DO CAIXA PREVISTO]],"mmm")))</f>
        <v>DEZ</v>
      </c>
      <c r="O209" s="58">
        <f>IF(tbRegistroEntradas[[#This Row],[DATA DO CAIXA PREVISTO]]="N/A",0,YEAR(tbRegistroEntradas[[#This Row],[DATA DO CAIXA PREVISTO]]))</f>
        <v>2021</v>
      </c>
      <c r="P209" s="58" t="str">
        <f ca="1">IF(AND(tbRegistroEntradas[[#This Row],[DATA DE CAIXA REALIZADO]]="N/A",tbRegistroEntradas[[#This Row],[DATA DO CAIXA PREVISTO]]&lt;TODAY()),"Vencida","Não Vencida")</f>
        <v>Não Vencida</v>
      </c>
      <c r="Q209" s="58" t="str">
        <f>IF(tbRegistroEntradas[[#This Row],[DATA DA COMPETÊNCIA]]=tbRegistroEntradas[[#This Row],[DATA DO CAIXA PREVISTO]],"Vista","Prazo")</f>
        <v>Prazo</v>
      </c>
      <c r="R209" s="58" t="str">
        <f>IF(tbRegistroEntradas[[#This Row],[DATA DE CAIXA REALIZADO]]&lt;&gt;"N/A","Em Dia","Com atraso")</f>
        <v>Em Dia</v>
      </c>
    </row>
    <row r="210" spans="1:18" s="52" customFormat="1" ht="14.4" customHeight="1" x14ac:dyDescent="0.3">
      <c r="A210" s="113">
        <v>44564.027349537035</v>
      </c>
      <c r="B210" s="115">
        <v>44543</v>
      </c>
      <c r="C210" s="115">
        <v>44564.027349537035</v>
      </c>
      <c r="D210" s="116" t="s">
        <v>138</v>
      </c>
      <c r="E210" s="116" t="s">
        <v>12</v>
      </c>
      <c r="F210" s="116" t="s">
        <v>16</v>
      </c>
      <c r="G210" s="116" t="s">
        <v>184</v>
      </c>
      <c r="H210" s="52" t="s">
        <v>68</v>
      </c>
      <c r="I210" s="120">
        <v>284</v>
      </c>
      <c r="J210" s="55" t="str">
        <f>IF(tbRegistroEntradas[[#This Row],[DATA DE CAIXA REALIZADO]]="N/A","0",UPPER(TEXT(tbRegistroEntradas[[#This Row],[DATA DE CAIXA REALIZADO]],"mmm")))</f>
        <v>JAN</v>
      </c>
      <c r="K210" s="58">
        <f>IF(tbRegistroEntradas[[#This Row],[DATA DE CAIXA REALIZADO]]="N/A",0,YEAR(tbRegistroEntradas[[#This Row],[DATA DE CAIXA REALIZADO]]))</f>
        <v>2022</v>
      </c>
      <c r="L210" s="79" t="str">
        <f>IF(tbRegistroEntradas[[#This Row],[DATA DA COMPETÊNCIA]]="N/A","0",UPPER(TEXT(tbRegistroEntradas[[#This Row],[DATA DA COMPETÊNCIA]],"mmm")))</f>
        <v>DEZ</v>
      </c>
      <c r="M210" s="79">
        <f>IF(tbRegistroEntradas[[#This Row],[DATA DA COMPETÊNCIA]]="N/A",0,YEAR(tbRegistroEntradas[[#This Row],[DATA DA COMPETÊNCIA]]))</f>
        <v>2021</v>
      </c>
      <c r="N210" s="84" t="str">
        <f>IF(tbRegistroEntradas[[#This Row],[DATA DO CAIXA PREVISTO]]="N/A","0",UPPER(TEXT(tbRegistroEntradas[[#This Row],[DATA DO CAIXA PREVISTO]],"mmm")))</f>
        <v>JAN</v>
      </c>
      <c r="O210" s="84">
        <f>IF(tbRegistroEntradas[[#This Row],[DATA DO CAIXA PREVISTO]]="N/A",0,YEAR(tbRegistroEntradas[[#This Row],[DATA DO CAIXA PREVISTO]]))</f>
        <v>2022</v>
      </c>
      <c r="P210" s="58" t="str">
        <f ca="1">IF(AND(tbRegistroEntradas[[#This Row],[DATA DE CAIXA REALIZADO]]="N/A",tbRegistroEntradas[[#This Row],[DATA DO CAIXA PREVISTO]]&lt;TODAY()),"Vencida","Não Vencida")</f>
        <v>Não Vencida</v>
      </c>
      <c r="Q210" s="58" t="str">
        <f>IF(tbRegistroEntradas[[#This Row],[DATA DA COMPETÊNCIA]]=tbRegistroEntradas[[#This Row],[DATA DO CAIXA PREVISTO]],"Vista","Prazo")</f>
        <v>Prazo</v>
      </c>
      <c r="R210" s="58" t="str">
        <f>IF(tbRegistroEntradas[[#This Row],[DATA DE CAIXA REALIZADO]]&lt;&gt;"N/A","Em Dia","Com atraso")</f>
        <v>Em Dia</v>
      </c>
    </row>
    <row r="211" spans="1:18" s="52" customFormat="1" ht="14.4" customHeight="1" x14ac:dyDescent="0.3">
      <c r="A211" s="112">
        <v>44547.77920138889</v>
      </c>
      <c r="B211" s="114">
        <v>44544</v>
      </c>
      <c r="C211" s="125">
        <f>tbRegistroEntradas[[#This Row],[DATA DA COMPETÊNCIA]]</f>
        <v>44544</v>
      </c>
      <c r="D211" s="55" t="s">
        <v>67</v>
      </c>
      <c r="E211" s="55" t="s">
        <v>12</v>
      </c>
      <c r="F211" s="55" t="s">
        <v>19</v>
      </c>
      <c r="G211" s="55" t="s">
        <v>185</v>
      </c>
      <c r="H211" s="52" t="s">
        <v>70</v>
      </c>
      <c r="I211" s="119">
        <v>2046</v>
      </c>
      <c r="J211" s="55" t="str">
        <f>IF(tbRegistroEntradas[[#This Row],[DATA DE CAIXA REALIZADO]]="N/A","0",UPPER(TEXT(tbRegistroEntradas[[#This Row],[DATA DE CAIXA REALIZADO]],"mmm")))</f>
        <v>DEZ</v>
      </c>
      <c r="K211" s="58">
        <f>IF(tbRegistroEntradas[[#This Row],[DATA DE CAIXA REALIZADO]]="N/A",0,YEAR(tbRegistroEntradas[[#This Row],[DATA DE CAIXA REALIZADO]]))</f>
        <v>2021</v>
      </c>
      <c r="L211" s="79" t="str">
        <f>IF(tbRegistroEntradas[[#This Row],[DATA DA COMPETÊNCIA]]="N/A","0",UPPER(TEXT(tbRegistroEntradas[[#This Row],[DATA DA COMPETÊNCIA]],"mmm")))</f>
        <v>DEZ</v>
      </c>
      <c r="M211" s="79">
        <f>IF(tbRegistroEntradas[[#This Row],[DATA DA COMPETÊNCIA]]="N/A",0,YEAR(tbRegistroEntradas[[#This Row],[DATA DA COMPETÊNCIA]]))</f>
        <v>2021</v>
      </c>
      <c r="N211" s="84" t="str">
        <f>IF(tbRegistroEntradas[[#This Row],[DATA DO CAIXA PREVISTO]]="N/A","0",UPPER(TEXT(tbRegistroEntradas[[#This Row],[DATA DO CAIXA PREVISTO]],"mmm")))</f>
        <v>DEZ</v>
      </c>
      <c r="O211" s="84">
        <f>IF(tbRegistroEntradas[[#This Row],[DATA DO CAIXA PREVISTO]]="N/A",0,YEAR(tbRegistroEntradas[[#This Row],[DATA DO CAIXA PREVISTO]]))</f>
        <v>2021</v>
      </c>
      <c r="P211" s="58" t="str">
        <f ca="1">IF(AND(tbRegistroEntradas[[#This Row],[DATA DE CAIXA REALIZADO]]="N/A",tbRegistroEntradas[[#This Row],[DATA DO CAIXA PREVISTO]]&lt;TODAY()),"Vencida","Não Vencida")</f>
        <v>Não Vencida</v>
      </c>
      <c r="Q211" s="58" t="str">
        <f>IF(tbRegistroEntradas[[#This Row],[DATA DA COMPETÊNCIA]]=tbRegistroEntradas[[#This Row],[DATA DO CAIXA PREVISTO]],"Vista","Prazo")</f>
        <v>Vista</v>
      </c>
      <c r="R211" s="58" t="str">
        <f>IF(tbRegistroEntradas[[#This Row],[DATA DE CAIXA REALIZADO]]&lt;&gt;"N/A","Em Dia","Com atraso")</f>
        <v>Em Dia</v>
      </c>
    </row>
    <row r="212" spans="1:18" s="52" customFormat="1" ht="14.4" customHeight="1" x14ac:dyDescent="0.3">
      <c r="A212" s="113">
        <v>44596.384351851855</v>
      </c>
      <c r="B212" s="115">
        <v>44546</v>
      </c>
      <c r="C212" s="115">
        <v>44583.788611111115</v>
      </c>
      <c r="D212" s="116" t="s">
        <v>66</v>
      </c>
      <c r="E212" s="116" t="s">
        <v>12</v>
      </c>
      <c r="F212" s="116" t="s">
        <v>17</v>
      </c>
      <c r="G212" s="116" t="s">
        <v>186</v>
      </c>
      <c r="H212" s="52" t="s">
        <v>125</v>
      </c>
      <c r="I212" s="120">
        <v>3880</v>
      </c>
      <c r="J212" s="55" t="str">
        <f>IF(tbRegistroEntradas[[#This Row],[DATA DE CAIXA REALIZADO]]="N/A","0",UPPER(TEXT(tbRegistroEntradas[[#This Row],[DATA DE CAIXA REALIZADO]],"mmm")))</f>
        <v>FEV</v>
      </c>
      <c r="K212" s="58">
        <f>IF(tbRegistroEntradas[[#This Row],[DATA DE CAIXA REALIZADO]]="N/A",0,YEAR(tbRegistroEntradas[[#This Row],[DATA DE CAIXA REALIZADO]]))</f>
        <v>2022</v>
      </c>
      <c r="L212" s="79" t="str">
        <f>IF(tbRegistroEntradas[[#This Row],[DATA DA COMPETÊNCIA]]="N/A","0",UPPER(TEXT(tbRegistroEntradas[[#This Row],[DATA DA COMPETÊNCIA]],"mmm")))</f>
        <v>DEZ</v>
      </c>
      <c r="M212" s="79">
        <f>IF(tbRegistroEntradas[[#This Row],[DATA DA COMPETÊNCIA]]="N/A",0,YEAR(tbRegistroEntradas[[#This Row],[DATA DA COMPETÊNCIA]]))</f>
        <v>2021</v>
      </c>
      <c r="N212" s="84" t="str">
        <f>IF(tbRegistroEntradas[[#This Row],[DATA DO CAIXA PREVISTO]]="N/A","0",UPPER(TEXT(tbRegistroEntradas[[#This Row],[DATA DO CAIXA PREVISTO]],"mmm")))</f>
        <v>JAN</v>
      </c>
      <c r="O212" s="84">
        <f>IF(tbRegistroEntradas[[#This Row],[DATA DO CAIXA PREVISTO]]="N/A",0,YEAR(tbRegistroEntradas[[#This Row],[DATA DO CAIXA PREVISTO]]))</f>
        <v>2022</v>
      </c>
      <c r="P212" s="58" t="str">
        <f ca="1">IF(AND(tbRegistroEntradas[[#This Row],[DATA DE CAIXA REALIZADO]]="N/A",tbRegistroEntradas[[#This Row],[DATA DO CAIXA PREVISTO]]&lt;TODAY()),"Vencida","Não Vencida")</f>
        <v>Não Vencida</v>
      </c>
      <c r="Q212" s="58" t="str">
        <f>IF(tbRegistroEntradas[[#This Row],[DATA DA COMPETÊNCIA]]=tbRegistroEntradas[[#This Row],[DATA DO CAIXA PREVISTO]],"Vista","Prazo")</f>
        <v>Prazo</v>
      </c>
      <c r="R212" s="58" t="str">
        <f>IF(tbRegistroEntradas[[#This Row],[DATA DE CAIXA REALIZADO]]&lt;&gt;"N/A","Em Dia","Com atraso")</f>
        <v>Em Dia</v>
      </c>
    </row>
    <row r="213" spans="1:18" s="52" customFormat="1" ht="14.4" customHeight="1" x14ac:dyDescent="0.3">
      <c r="A213" s="49">
        <v>44578</v>
      </c>
      <c r="B213" s="49">
        <f>A213-31</f>
        <v>44547</v>
      </c>
      <c r="C213" s="49">
        <f>(A213-B213)+B213-15</f>
        <v>44563</v>
      </c>
      <c r="D213" s="52" t="s">
        <v>67</v>
      </c>
      <c r="E213" s="52" t="s">
        <v>12</v>
      </c>
      <c r="F213" s="52" t="s">
        <v>19</v>
      </c>
      <c r="G213" s="52" t="s">
        <v>1097</v>
      </c>
      <c r="H213" s="52" t="s">
        <v>129</v>
      </c>
      <c r="I213" s="18">
        <v>7144</v>
      </c>
      <c r="J213" s="110" t="str">
        <f>IF(tbRegistroEntradas[[#This Row],[DATA DE CAIXA REALIZADO]]="N/A","0",UPPER(TEXT(tbRegistroEntradas[[#This Row],[DATA DE CAIXA REALIZADO]],"mmm")))</f>
        <v>JAN</v>
      </c>
      <c r="K213" s="57">
        <f>IF(tbRegistroEntradas[[#This Row],[DATA DE CAIXA REALIZADO]]="N/A",0,YEAR(tbRegistroEntradas[[#This Row],[DATA DE CAIXA REALIZADO]]))</f>
        <v>2022</v>
      </c>
      <c r="L213" s="58" t="str">
        <f>IF(tbRegistroEntradas[[#This Row],[DATA DA COMPETÊNCIA]]="N/A","0",UPPER(TEXT(tbRegistroEntradas[[#This Row],[DATA DA COMPETÊNCIA]],"mmm")))</f>
        <v>DEZ</v>
      </c>
      <c r="M213" s="58">
        <f>IF(tbRegistroEntradas[[#This Row],[DATA DA COMPETÊNCIA]]="N/A",0,YEAR(tbRegistroEntradas[[#This Row],[DATA DA COMPETÊNCIA]]))</f>
        <v>2021</v>
      </c>
      <c r="N213" s="58" t="str">
        <f>IF(tbRegistroEntradas[[#This Row],[DATA DO CAIXA PREVISTO]]="N/A","0",UPPER(TEXT(tbRegistroEntradas[[#This Row],[DATA DO CAIXA PREVISTO]],"mmm")))</f>
        <v>JAN</v>
      </c>
      <c r="O213" s="58">
        <f>IF(tbRegistroEntradas[[#This Row],[DATA DO CAIXA PREVISTO]]="N/A",0,YEAR(tbRegistroEntradas[[#This Row],[DATA DO CAIXA PREVISTO]]))</f>
        <v>2022</v>
      </c>
      <c r="P213" s="58" t="str">
        <f ca="1">IF(AND(tbRegistroEntradas[[#This Row],[DATA DE CAIXA REALIZADO]]="N/A",tbRegistroEntradas[[#This Row],[DATA DO CAIXA PREVISTO]]&lt;TODAY()),"Vencida","Não Vencida")</f>
        <v>Não Vencida</v>
      </c>
      <c r="Q213" s="58" t="str">
        <f>IF(tbRegistroEntradas[[#This Row],[DATA DA COMPETÊNCIA]]=tbRegistroEntradas[[#This Row],[DATA DO CAIXA PREVISTO]],"Vista","Prazo")</f>
        <v>Prazo</v>
      </c>
      <c r="R213" s="58" t="str">
        <f>IF(tbRegistroEntradas[[#This Row],[DATA DE CAIXA REALIZADO]]&lt;&gt;"N/A","Em Dia","Com atraso")</f>
        <v>Em Dia</v>
      </c>
    </row>
    <row r="214" spans="1:18" s="52" customFormat="1" ht="14.4" customHeight="1" x14ac:dyDescent="0.3">
      <c r="A214" s="112">
        <v>44584.055</v>
      </c>
      <c r="B214" s="114">
        <v>44547</v>
      </c>
      <c r="C214" s="114">
        <v>44584.055</v>
      </c>
      <c r="D214" s="55" t="s">
        <v>63</v>
      </c>
      <c r="E214" s="55" t="s">
        <v>12</v>
      </c>
      <c r="F214" s="55" t="s">
        <v>17</v>
      </c>
      <c r="G214" s="55" t="s">
        <v>187</v>
      </c>
      <c r="H214" s="52" t="s">
        <v>103</v>
      </c>
      <c r="I214" s="119">
        <v>3149</v>
      </c>
      <c r="J214" s="55" t="str">
        <f>IF(tbRegistroEntradas[[#This Row],[DATA DE CAIXA REALIZADO]]="N/A","0",UPPER(TEXT(tbRegistroEntradas[[#This Row],[DATA DE CAIXA REALIZADO]],"mmm")))</f>
        <v>JAN</v>
      </c>
      <c r="K214" s="58">
        <f>IF(tbRegistroEntradas[[#This Row],[DATA DE CAIXA REALIZADO]]="N/A",0,YEAR(tbRegistroEntradas[[#This Row],[DATA DE CAIXA REALIZADO]]))</f>
        <v>2022</v>
      </c>
      <c r="L214" s="79" t="str">
        <f>IF(tbRegistroEntradas[[#This Row],[DATA DA COMPETÊNCIA]]="N/A","0",UPPER(TEXT(tbRegistroEntradas[[#This Row],[DATA DA COMPETÊNCIA]],"mmm")))</f>
        <v>DEZ</v>
      </c>
      <c r="M214" s="79">
        <f>IF(tbRegistroEntradas[[#This Row],[DATA DA COMPETÊNCIA]]="N/A",0,YEAR(tbRegistroEntradas[[#This Row],[DATA DA COMPETÊNCIA]]))</f>
        <v>2021</v>
      </c>
      <c r="N214" s="84" t="str">
        <f>IF(tbRegistroEntradas[[#This Row],[DATA DO CAIXA PREVISTO]]="N/A","0",UPPER(TEXT(tbRegistroEntradas[[#This Row],[DATA DO CAIXA PREVISTO]],"mmm")))</f>
        <v>JAN</v>
      </c>
      <c r="O214" s="84">
        <f>IF(tbRegistroEntradas[[#This Row],[DATA DO CAIXA PREVISTO]]="N/A",0,YEAR(tbRegistroEntradas[[#This Row],[DATA DO CAIXA PREVISTO]]))</f>
        <v>2022</v>
      </c>
      <c r="P214" s="58" t="str">
        <f ca="1">IF(AND(tbRegistroEntradas[[#This Row],[DATA DE CAIXA REALIZADO]]="N/A",tbRegistroEntradas[[#This Row],[DATA DO CAIXA PREVISTO]]&lt;TODAY()),"Vencida","Não Vencida")</f>
        <v>Não Vencida</v>
      </c>
      <c r="Q214" s="58" t="str">
        <f>IF(tbRegistroEntradas[[#This Row],[DATA DA COMPETÊNCIA]]=tbRegistroEntradas[[#This Row],[DATA DO CAIXA PREVISTO]],"Vista","Prazo")</f>
        <v>Prazo</v>
      </c>
      <c r="R214" s="58" t="str">
        <f>IF(tbRegistroEntradas[[#This Row],[DATA DE CAIXA REALIZADO]]&lt;&gt;"N/A","Em Dia","Com atraso")</f>
        <v>Em Dia</v>
      </c>
    </row>
    <row r="215" spans="1:18" s="52" customFormat="1" ht="14.4" customHeight="1" x14ac:dyDescent="0.3">
      <c r="A215" s="113">
        <v>44586.461759259262</v>
      </c>
      <c r="B215" s="115">
        <v>44549</v>
      </c>
      <c r="C215" s="125">
        <f>tbRegistroEntradas[[#This Row],[DATA DA COMPETÊNCIA]]</f>
        <v>44549</v>
      </c>
      <c r="D215" s="116" t="s">
        <v>137</v>
      </c>
      <c r="E215" s="116" t="s">
        <v>12</v>
      </c>
      <c r="F215" s="116" t="s">
        <v>19</v>
      </c>
      <c r="G215" s="116" t="s">
        <v>188</v>
      </c>
      <c r="H215" s="52" t="s">
        <v>106</v>
      </c>
      <c r="I215" s="120">
        <v>668</v>
      </c>
      <c r="J215" s="55" t="str">
        <f>IF(tbRegistroEntradas[[#This Row],[DATA DE CAIXA REALIZADO]]="N/A","0",UPPER(TEXT(tbRegistroEntradas[[#This Row],[DATA DE CAIXA REALIZADO]],"mmm")))</f>
        <v>JAN</v>
      </c>
      <c r="K215" s="58">
        <f>IF(tbRegistroEntradas[[#This Row],[DATA DE CAIXA REALIZADO]]="N/A",0,YEAR(tbRegistroEntradas[[#This Row],[DATA DE CAIXA REALIZADO]]))</f>
        <v>2022</v>
      </c>
      <c r="L215" s="79" t="str">
        <f>IF(tbRegistroEntradas[[#This Row],[DATA DA COMPETÊNCIA]]="N/A","0",UPPER(TEXT(tbRegistroEntradas[[#This Row],[DATA DA COMPETÊNCIA]],"mmm")))</f>
        <v>DEZ</v>
      </c>
      <c r="M215" s="79">
        <f>IF(tbRegistroEntradas[[#This Row],[DATA DA COMPETÊNCIA]]="N/A",0,YEAR(tbRegistroEntradas[[#This Row],[DATA DA COMPETÊNCIA]]))</f>
        <v>2021</v>
      </c>
      <c r="N215" s="84" t="str">
        <f>IF(tbRegistroEntradas[[#This Row],[DATA DO CAIXA PREVISTO]]="N/A","0",UPPER(TEXT(tbRegistroEntradas[[#This Row],[DATA DO CAIXA PREVISTO]],"mmm")))</f>
        <v>DEZ</v>
      </c>
      <c r="O215" s="84">
        <f>IF(tbRegistroEntradas[[#This Row],[DATA DO CAIXA PREVISTO]]="N/A",0,YEAR(tbRegistroEntradas[[#This Row],[DATA DO CAIXA PREVISTO]]))</f>
        <v>2021</v>
      </c>
      <c r="P215" s="58" t="str">
        <f ca="1">IF(AND(tbRegistroEntradas[[#This Row],[DATA DE CAIXA REALIZADO]]="N/A",tbRegistroEntradas[[#This Row],[DATA DO CAIXA PREVISTO]]&lt;TODAY()),"Vencida","Não Vencida")</f>
        <v>Não Vencida</v>
      </c>
      <c r="Q215" s="58" t="str">
        <f>IF(tbRegistroEntradas[[#This Row],[DATA DA COMPETÊNCIA]]=tbRegistroEntradas[[#This Row],[DATA DO CAIXA PREVISTO]],"Vista","Prazo")</f>
        <v>Vista</v>
      </c>
      <c r="R215" s="58" t="str">
        <f>IF(tbRegistroEntradas[[#This Row],[DATA DE CAIXA REALIZADO]]&lt;&gt;"N/A","Em Dia","Com atraso")</f>
        <v>Em Dia</v>
      </c>
    </row>
    <row r="216" spans="1:18" s="52" customFormat="1" ht="14.4" customHeight="1" x14ac:dyDescent="0.3">
      <c r="A216" s="112">
        <v>44578.265185185184</v>
      </c>
      <c r="B216" s="114">
        <v>44550</v>
      </c>
      <c r="C216" s="114">
        <v>44578.265185185184</v>
      </c>
      <c r="D216" s="55" t="s">
        <v>137</v>
      </c>
      <c r="E216" s="55" t="s">
        <v>12</v>
      </c>
      <c r="F216" s="55" t="s">
        <v>32</v>
      </c>
      <c r="G216" s="55" t="s">
        <v>189</v>
      </c>
      <c r="H216" s="110" t="s">
        <v>105</v>
      </c>
      <c r="I216" s="119">
        <v>3721</v>
      </c>
      <c r="J216" s="55" t="str">
        <f>IF(tbRegistroEntradas[[#This Row],[DATA DE CAIXA REALIZADO]]="N/A","0",UPPER(TEXT(tbRegistroEntradas[[#This Row],[DATA DE CAIXA REALIZADO]],"mmm")))</f>
        <v>JAN</v>
      </c>
      <c r="K216" s="58">
        <f>IF(tbRegistroEntradas[[#This Row],[DATA DE CAIXA REALIZADO]]="N/A",0,YEAR(tbRegistroEntradas[[#This Row],[DATA DE CAIXA REALIZADO]]))</f>
        <v>2022</v>
      </c>
      <c r="L216" s="79" t="str">
        <f>IF(tbRegistroEntradas[[#This Row],[DATA DA COMPETÊNCIA]]="N/A","0",UPPER(TEXT(tbRegistroEntradas[[#This Row],[DATA DA COMPETÊNCIA]],"mmm")))</f>
        <v>DEZ</v>
      </c>
      <c r="M216" s="79">
        <f>IF(tbRegistroEntradas[[#This Row],[DATA DA COMPETÊNCIA]]="N/A",0,YEAR(tbRegistroEntradas[[#This Row],[DATA DA COMPETÊNCIA]]))</f>
        <v>2021</v>
      </c>
      <c r="N216" s="84" t="str">
        <f>IF(tbRegistroEntradas[[#This Row],[DATA DO CAIXA PREVISTO]]="N/A","0",UPPER(TEXT(tbRegistroEntradas[[#This Row],[DATA DO CAIXA PREVISTO]],"mmm")))</f>
        <v>JAN</v>
      </c>
      <c r="O216" s="84">
        <f>IF(tbRegistroEntradas[[#This Row],[DATA DO CAIXA PREVISTO]]="N/A",0,YEAR(tbRegistroEntradas[[#This Row],[DATA DO CAIXA PREVISTO]]))</f>
        <v>2022</v>
      </c>
      <c r="P216" s="58" t="str">
        <f ca="1">IF(AND(tbRegistroEntradas[[#This Row],[DATA DE CAIXA REALIZADO]]="N/A",tbRegistroEntradas[[#This Row],[DATA DO CAIXA PREVISTO]]&lt;TODAY()),"Vencida","Não Vencida")</f>
        <v>Não Vencida</v>
      </c>
      <c r="Q216" s="58" t="str">
        <f>IF(tbRegistroEntradas[[#This Row],[DATA DA COMPETÊNCIA]]=tbRegistroEntradas[[#This Row],[DATA DO CAIXA PREVISTO]],"Vista","Prazo")</f>
        <v>Prazo</v>
      </c>
      <c r="R216" s="58" t="str">
        <f>IF(tbRegistroEntradas[[#This Row],[DATA DE CAIXA REALIZADO]]&lt;&gt;"N/A","Em Dia","Com atraso")</f>
        <v>Em Dia</v>
      </c>
    </row>
    <row r="217" spans="1:18" s="52" customFormat="1" ht="14.4" customHeight="1" x14ac:dyDescent="0.3">
      <c r="A217" s="125">
        <v>44581</v>
      </c>
      <c r="B217" s="125">
        <f>A217-31</f>
        <v>44550</v>
      </c>
      <c r="C217" s="125">
        <f>(A217-B217)+B217-15</f>
        <v>44566</v>
      </c>
      <c r="D217" s="126" t="s">
        <v>137</v>
      </c>
      <c r="E217" s="126" t="s">
        <v>12</v>
      </c>
      <c r="F217" s="126" t="s">
        <v>19</v>
      </c>
      <c r="G217" s="126" t="s">
        <v>1034</v>
      </c>
      <c r="H217" s="52" t="s">
        <v>107</v>
      </c>
      <c r="I217" s="127">
        <v>3645</v>
      </c>
      <c r="J217" s="110" t="str">
        <f>IF(tbRegistroEntradas[[#This Row],[DATA DE CAIXA REALIZADO]]="N/A","0",UPPER(TEXT(tbRegistroEntradas[[#This Row],[DATA DE CAIXA REALIZADO]],"mmm")))</f>
        <v>JAN</v>
      </c>
      <c r="K217" s="57">
        <f>IF(tbRegistroEntradas[[#This Row],[DATA DE CAIXA REALIZADO]]="N/A",0,YEAR(tbRegistroEntradas[[#This Row],[DATA DE CAIXA REALIZADO]]))</f>
        <v>2022</v>
      </c>
      <c r="L217" s="58" t="str">
        <f>IF(tbRegistroEntradas[[#This Row],[DATA DA COMPETÊNCIA]]="N/A","0",UPPER(TEXT(tbRegistroEntradas[[#This Row],[DATA DA COMPETÊNCIA]],"mmm")))</f>
        <v>DEZ</v>
      </c>
      <c r="M217" s="58">
        <f>IF(tbRegistroEntradas[[#This Row],[DATA DA COMPETÊNCIA]]="N/A",0,YEAR(tbRegistroEntradas[[#This Row],[DATA DA COMPETÊNCIA]]))</f>
        <v>2021</v>
      </c>
      <c r="N217" s="58" t="str">
        <f>IF(tbRegistroEntradas[[#This Row],[DATA DO CAIXA PREVISTO]]="N/A","0",UPPER(TEXT(tbRegistroEntradas[[#This Row],[DATA DO CAIXA PREVISTO]],"mmm")))</f>
        <v>JAN</v>
      </c>
      <c r="O217" s="58">
        <f>IF(tbRegistroEntradas[[#This Row],[DATA DO CAIXA PREVISTO]]="N/A",0,YEAR(tbRegistroEntradas[[#This Row],[DATA DO CAIXA PREVISTO]]))</f>
        <v>2022</v>
      </c>
      <c r="P217" s="58" t="str">
        <f ca="1">IF(AND(tbRegistroEntradas[[#This Row],[DATA DE CAIXA REALIZADO]]="N/A",tbRegistroEntradas[[#This Row],[DATA DO CAIXA PREVISTO]]&lt;TODAY()),"Vencida","Não Vencida")</f>
        <v>Não Vencida</v>
      </c>
      <c r="Q217" s="58" t="str">
        <f>IF(tbRegistroEntradas[[#This Row],[DATA DA COMPETÊNCIA]]=tbRegistroEntradas[[#This Row],[DATA DO CAIXA PREVISTO]],"Vista","Prazo")</f>
        <v>Prazo</v>
      </c>
      <c r="R217" s="58" t="str">
        <f>IF(tbRegistroEntradas[[#This Row],[DATA DE CAIXA REALIZADO]]&lt;&gt;"N/A","Em Dia","Com atraso")</f>
        <v>Em Dia</v>
      </c>
    </row>
    <row r="218" spans="1:18" s="52" customFormat="1" ht="14.4" customHeight="1" x14ac:dyDescent="0.3">
      <c r="A218" s="49">
        <v>44582</v>
      </c>
      <c r="B218" s="49">
        <f>A218-31</f>
        <v>44551</v>
      </c>
      <c r="C218" s="125">
        <f>tbRegistroEntradas[[#This Row],[DATA DA COMPETÊNCIA]]</f>
        <v>44551</v>
      </c>
      <c r="D218" s="52" t="s">
        <v>67</v>
      </c>
      <c r="E218" s="52" t="s">
        <v>12</v>
      </c>
      <c r="F218" s="52" t="s">
        <v>17</v>
      </c>
      <c r="G218" s="52" t="s">
        <v>1030</v>
      </c>
      <c r="H218" s="52" t="s">
        <v>130</v>
      </c>
      <c r="I218" s="18">
        <v>1182</v>
      </c>
      <c r="J218" s="110" t="str">
        <f>IF(tbRegistroEntradas[[#This Row],[DATA DE CAIXA REALIZADO]]="N/A","0",UPPER(TEXT(tbRegistroEntradas[[#This Row],[DATA DE CAIXA REALIZADO]],"mmm")))</f>
        <v>JAN</v>
      </c>
      <c r="K218" s="57">
        <f>IF(tbRegistroEntradas[[#This Row],[DATA DE CAIXA REALIZADO]]="N/A",0,YEAR(tbRegistroEntradas[[#This Row],[DATA DE CAIXA REALIZADO]]))</f>
        <v>2022</v>
      </c>
      <c r="L218" s="58" t="str">
        <f>IF(tbRegistroEntradas[[#This Row],[DATA DA COMPETÊNCIA]]="N/A","0",UPPER(TEXT(tbRegistroEntradas[[#This Row],[DATA DA COMPETÊNCIA]],"mmm")))</f>
        <v>DEZ</v>
      </c>
      <c r="M218" s="58">
        <f>IF(tbRegistroEntradas[[#This Row],[DATA DA COMPETÊNCIA]]="N/A",0,YEAR(tbRegistroEntradas[[#This Row],[DATA DA COMPETÊNCIA]]))</f>
        <v>2021</v>
      </c>
      <c r="N218" s="58" t="str">
        <f>IF(tbRegistroEntradas[[#This Row],[DATA DO CAIXA PREVISTO]]="N/A","0",UPPER(TEXT(tbRegistroEntradas[[#This Row],[DATA DO CAIXA PREVISTO]],"mmm")))</f>
        <v>DEZ</v>
      </c>
      <c r="O218" s="58">
        <f>IF(tbRegistroEntradas[[#This Row],[DATA DO CAIXA PREVISTO]]="N/A",0,YEAR(tbRegistroEntradas[[#This Row],[DATA DO CAIXA PREVISTO]]))</f>
        <v>2021</v>
      </c>
      <c r="P218" s="58" t="str">
        <f ca="1">IF(AND(tbRegistroEntradas[[#This Row],[DATA DE CAIXA REALIZADO]]="N/A",tbRegistroEntradas[[#This Row],[DATA DO CAIXA PREVISTO]]&lt;TODAY()),"Vencida","Não Vencida")</f>
        <v>Não Vencida</v>
      </c>
      <c r="Q218" s="58" t="str">
        <f>IF(tbRegistroEntradas[[#This Row],[DATA DA COMPETÊNCIA]]=tbRegistroEntradas[[#This Row],[DATA DO CAIXA PREVISTO]],"Vista","Prazo")</f>
        <v>Vista</v>
      </c>
      <c r="R218" s="58" t="str">
        <f>IF(tbRegistroEntradas[[#This Row],[DATA DE CAIXA REALIZADO]]&lt;&gt;"N/A","Em Dia","Com atraso")</f>
        <v>Em Dia</v>
      </c>
    </row>
    <row r="219" spans="1:18" s="52" customFormat="1" ht="14.4" customHeight="1" x14ac:dyDescent="0.3">
      <c r="A219" s="125">
        <v>44582</v>
      </c>
      <c r="B219" s="125">
        <f>A219-31</f>
        <v>44551</v>
      </c>
      <c r="C219" s="125">
        <f>(A219-B219)+B219-15</f>
        <v>44567</v>
      </c>
      <c r="D219" s="126" t="s">
        <v>66</v>
      </c>
      <c r="E219" s="126" t="s">
        <v>12</v>
      </c>
      <c r="F219" s="126" t="s">
        <v>17</v>
      </c>
      <c r="G219" s="126" t="s">
        <v>731</v>
      </c>
      <c r="H219" s="52" t="s">
        <v>123</v>
      </c>
      <c r="I219" s="127">
        <v>5592</v>
      </c>
      <c r="J219" s="110" t="str">
        <f>IF(tbRegistroEntradas[[#This Row],[DATA DE CAIXA REALIZADO]]="N/A","0",UPPER(TEXT(tbRegistroEntradas[[#This Row],[DATA DE CAIXA REALIZADO]],"mmm")))</f>
        <v>JAN</v>
      </c>
      <c r="K219" s="57">
        <f>IF(tbRegistroEntradas[[#This Row],[DATA DE CAIXA REALIZADO]]="N/A",0,YEAR(tbRegistroEntradas[[#This Row],[DATA DE CAIXA REALIZADO]]))</f>
        <v>2022</v>
      </c>
      <c r="L219" s="58" t="str">
        <f>IF(tbRegistroEntradas[[#This Row],[DATA DA COMPETÊNCIA]]="N/A","0",UPPER(TEXT(tbRegistroEntradas[[#This Row],[DATA DA COMPETÊNCIA]],"mmm")))</f>
        <v>DEZ</v>
      </c>
      <c r="M219" s="58">
        <f>IF(tbRegistroEntradas[[#This Row],[DATA DA COMPETÊNCIA]]="N/A",0,YEAR(tbRegistroEntradas[[#This Row],[DATA DA COMPETÊNCIA]]))</f>
        <v>2021</v>
      </c>
      <c r="N219" s="58" t="str">
        <f>IF(tbRegistroEntradas[[#This Row],[DATA DO CAIXA PREVISTO]]="N/A","0",UPPER(TEXT(tbRegistroEntradas[[#This Row],[DATA DO CAIXA PREVISTO]],"mmm")))</f>
        <v>JAN</v>
      </c>
      <c r="O219" s="58">
        <f>IF(tbRegistroEntradas[[#This Row],[DATA DO CAIXA PREVISTO]]="N/A",0,YEAR(tbRegistroEntradas[[#This Row],[DATA DO CAIXA PREVISTO]]))</f>
        <v>2022</v>
      </c>
      <c r="P219" s="58" t="str">
        <f ca="1">IF(AND(tbRegistroEntradas[[#This Row],[DATA DE CAIXA REALIZADO]]="N/A",tbRegistroEntradas[[#This Row],[DATA DO CAIXA PREVISTO]]&lt;TODAY()),"Vencida","Não Vencida")</f>
        <v>Não Vencida</v>
      </c>
      <c r="Q219" s="58" t="str">
        <f>IF(tbRegistroEntradas[[#This Row],[DATA DA COMPETÊNCIA]]=tbRegistroEntradas[[#This Row],[DATA DO CAIXA PREVISTO]],"Vista","Prazo")</f>
        <v>Prazo</v>
      </c>
      <c r="R219" s="58" t="str">
        <f>IF(tbRegistroEntradas[[#This Row],[DATA DE CAIXA REALIZADO]]&lt;&gt;"N/A","Em Dia","Com atraso")</f>
        <v>Em Dia</v>
      </c>
    </row>
    <row r="220" spans="1:18" s="52" customFormat="1" ht="14.4" customHeight="1" x14ac:dyDescent="0.3">
      <c r="A220" s="49">
        <v>44583</v>
      </c>
      <c r="B220" s="49">
        <f>A220-31</f>
        <v>44552</v>
      </c>
      <c r="C220" s="125">
        <f>tbRegistroEntradas[[#This Row],[DATA DA COMPETÊNCIA]]</f>
        <v>44552</v>
      </c>
      <c r="D220" s="52" t="s">
        <v>64</v>
      </c>
      <c r="E220" s="52" t="s">
        <v>12</v>
      </c>
      <c r="F220" s="52" t="s">
        <v>17</v>
      </c>
      <c r="G220" s="52" t="s">
        <v>876</v>
      </c>
      <c r="H220" s="52" t="s">
        <v>114</v>
      </c>
      <c r="I220" s="18">
        <v>1015</v>
      </c>
      <c r="J220" s="110" t="str">
        <f>IF(tbRegistroEntradas[[#This Row],[DATA DE CAIXA REALIZADO]]="N/A","0",UPPER(TEXT(tbRegistroEntradas[[#This Row],[DATA DE CAIXA REALIZADO]],"mmm")))</f>
        <v>JAN</v>
      </c>
      <c r="K220" s="57">
        <f>IF(tbRegistroEntradas[[#This Row],[DATA DE CAIXA REALIZADO]]="N/A",0,YEAR(tbRegistroEntradas[[#This Row],[DATA DE CAIXA REALIZADO]]))</f>
        <v>2022</v>
      </c>
      <c r="L220" s="58" t="str">
        <f>IF(tbRegistroEntradas[[#This Row],[DATA DA COMPETÊNCIA]]="N/A","0",UPPER(TEXT(tbRegistroEntradas[[#This Row],[DATA DA COMPETÊNCIA]],"mmm")))</f>
        <v>DEZ</v>
      </c>
      <c r="M220" s="58">
        <f>IF(tbRegistroEntradas[[#This Row],[DATA DA COMPETÊNCIA]]="N/A",0,YEAR(tbRegistroEntradas[[#This Row],[DATA DA COMPETÊNCIA]]))</f>
        <v>2021</v>
      </c>
      <c r="N220" s="58" t="str">
        <f>IF(tbRegistroEntradas[[#This Row],[DATA DO CAIXA PREVISTO]]="N/A","0",UPPER(TEXT(tbRegistroEntradas[[#This Row],[DATA DO CAIXA PREVISTO]],"mmm")))</f>
        <v>DEZ</v>
      </c>
      <c r="O220" s="58">
        <f>IF(tbRegistroEntradas[[#This Row],[DATA DO CAIXA PREVISTO]]="N/A",0,YEAR(tbRegistroEntradas[[#This Row],[DATA DO CAIXA PREVISTO]]))</f>
        <v>2021</v>
      </c>
      <c r="P220" s="58" t="str">
        <f ca="1">IF(AND(tbRegistroEntradas[[#This Row],[DATA DE CAIXA REALIZADO]]="N/A",tbRegistroEntradas[[#This Row],[DATA DO CAIXA PREVISTO]]&lt;TODAY()),"Vencida","Não Vencida")</f>
        <v>Não Vencida</v>
      </c>
      <c r="Q220" s="58" t="str">
        <f>IF(tbRegistroEntradas[[#This Row],[DATA DA COMPETÊNCIA]]=tbRegistroEntradas[[#This Row],[DATA DO CAIXA PREVISTO]],"Vista","Prazo")</f>
        <v>Vista</v>
      </c>
      <c r="R220" s="58" t="str">
        <f>IF(tbRegistroEntradas[[#This Row],[DATA DE CAIXA REALIZADO]]&lt;&gt;"N/A","Em Dia","Com atraso")</f>
        <v>Em Dia</v>
      </c>
    </row>
    <row r="221" spans="1:18" s="52" customFormat="1" ht="14.4" customHeight="1" x14ac:dyDescent="0.3">
      <c r="A221" s="113">
        <v>44683.82607638889</v>
      </c>
      <c r="B221" s="115">
        <v>44552</v>
      </c>
      <c r="C221" s="115">
        <v>44594.821284722224</v>
      </c>
      <c r="D221" s="116" t="s">
        <v>62</v>
      </c>
      <c r="E221" s="116" t="s">
        <v>12</v>
      </c>
      <c r="F221" s="116" t="s">
        <v>17</v>
      </c>
      <c r="G221" s="116" t="s">
        <v>190</v>
      </c>
      <c r="H221" s="143" t="s">
        <v>95</v>
      </c>
      <c r="I221" s="120">
        <v>3114</v>
      </c>
      <c r="J221" s="55" t="str">
        <f>IF(tbRegistroEntradas[[#This Row],[DATA DE CAIXA REALIZADO]]="N/A","0",UPPER(TEXT(tbRegistroEntradas[[#This Row],[DATA DE CAIXA REALIZADO]],"mmm")))</f>
        <v>MAI</v>
      </c>
      <c r="K221" s="58">
        <f>IF(tbRegistroEntradas[[#This Row],[DATA DE CAIXA REALIZADO]]="N/A",0,YEAR(tbRegistroEntradas[[#This Row],[DATA DE CAIXA REALIZADO]]))</f>
        <v>2022</v>
      </c>
      <c r="L221" s="79" t="str">
        <f>IF(tbRegistroEntradas[[#This Row],[DATA DA COMPETÊNCIA]]="N/A","0",UPPER(TEXT(tbRegistroEntradas[[#This Row],[DATA DA COMPETÊNCIA]],"mmm")))</f>
        <v>DEZ</v>
      </c>
      <c r="M221" s="79">
        <f>IF(tbRegistroEntradas[[#This Row],[DATA DA COMPETÊNCIA]]="N/A",0,YEAR(tbRegistroEntradas[[#This Row],[DATA DA COMPETÊNCIA]]))</f>
        <v>2021</v>
      </c>
      <c r="N221" s="84" t="str">
        <f>IF(tbRegistroEntradas[[#This Row],[DATA DO CAIXA PREVISTO]]="N/A","0",UPPER(TEXT(tbRegistroEntradas[[#This Row],[DATA DO CAIXA PREVISTO]],"mmm")))</f>
        <v>FEV</v>
      </c>
      <c r="O221" s="84">
        <f>IF(tbRegistroEntradas[[#This Row],[DATA DO CAIXA PREVISTO]]="N/A",0,YEAR(tbRegistroEntradas[[#This Row],[DATA DO CAIXA PREVISTO]]))</f>
        <v>2022</v>
      </c>
      <c r="P221" s="58" t="str">
        <f ca="1">IF(AND(tbRegistroEntradas[[#This Row],[DATA DE CAIXA REALIZADO]]="N/A",tbRegistroEntradas[[#This Row],[DATA DO CAIXA PREVISTO]]&lt;TODAY()),"Vencida","Não Vencida")</f>
        <v>Não Vencida</v>
      </c>
      <c r="Q221" s="58" t="str">
        <f>IF(tbRegistroEntradas[[#This Row],[DATA DA COMPETÊNCIA]]=tbRegistroEntradas[[#This Row],[DATA DO CAIXA PREVISTO]],"Vista","Prazo")</f>
        <v>Prazo</v>
      </c>
      <c r="R221" s="58" t="str">
        <f>IF(tbRegistroEntradas[[#This Row],[DATA DE CAIXA REALIZADO]]&lt;&gt;"N/A","Em Dia","Com atraso")</f>
        <v>Em Dia</v>
      </c>
    </row>
    <row r="222" spans="1:18" s="52" customFormat="1" ht="14.4" customHeight="1" x14ac:dyDescent="0.3">
      <c r="A222" s="112">
        <v>44632.526331018518</v>
      </c>
      <c r="B222" s="114">
        <v>44556</v>
      </c>
      <c r="C222" s="114">
        <v>44611.040138888886</v>
      </c>
      <c r="D222" s="55" t="s">
        <v>64</v>
      </c>
      <c r="E222" s="55" t="s">
        <v>12</v>
      </c>
      <c r="F222" s="55" t="s">
        <v>19</v>
      </c>
      <c r="G222" s="55" t="s">
        <v>191</v>
      </c>
      <c r="H222" s="52" t="s">
        <v>115</v>
      </c>
      <c r="I222" s="119">
        <v>1436</v>
      </c>
      <c r="J222" s="55" t="str">
        <f>IF(tbRegistroEntradas[[#This Row],[DATA DE CAIXA REALIZADO]]="N/A","0",UPPER(TEXT(tbRegistroEntradas[[#This Row],[DATA DE CAIXA REALIZADO]],"mmm")))</f>
        <v>MAR</v>
      </c>
      <c r="K222" s="58">
        <f>IF(tbRegistroEntradas[[#This Row],[DATA DE CAIXA REALIZADO]]="N/A",0,YEAR(tbRegistroEntradas[[#This Row],[DATA DE CAIXA REALIZADO]]))</f>
        <v>2022</v>
      </c>
      <c r="L222" s="79" t="str">
        <f>IF(tbRegistroEntradas[[#This Row],[DATA DA COMPETÊNCIA]]="N/A","0",UPPER(TEXT(tbRegistroEntradas[[#This Row],[DATA DA COMPETÊNCIA]],"mmm")))</f>
        <v>DEZ</v>
      </c>
      <c r="M222" s="79">
        <f>IF(tbRegistroEntradas[[#This Row],[DATA DA COMPETÊNCIA]]="N/A",0,YEAR(tbRegistroEntradas[[#This Row],[DATA DA COMPETÊNCIA]]))</f>
        <v>2021</v>
      </c>
      <c r="N222" s="84" t="str">
        <f>IF(tbRegistroEntradas[[#This Row],[DATA DO CAIXA PREVISTO]]="N/A","0",UPPER(TEXT(tbRegistroEntradas[[#This Row],[DATA DO CAIXA PREVISTO]],"mmm")))</f>
        <v>FEV</v>
      </c>
      <c r="O222" s="84">
        <f>IF(tbRegistroEntradas[[#This Row],[DATA DO CAIXA PREVISTO]]="N/A",0,YEAR(tbRegistroEntradas[[#This Row],[DATA DO CAIXA PREVISTO]]))</f>
        <v>2022</v>
      </c>
      <c r="P222" s="58" t="str">
        <f ca="1">IF(AND(tbRegistroEntradas[[#This Row],[DATA DE CAIXA REALIZADO]]="N/A",tbRegistroEntradas[[#This Row],[DATA DO CAIXA PREVISTO]]&lt;TODAY()),"Vencida","Não Vencida")</f>
        <v>Não Vencida</v>
      </c>
      <c r="Q222" s="58" t="str">
        <f>IF(tbRegistroEntradas[[#This Row],[DATA DA COMPETÊNCIA]]=tbRegistroEntradas[[#This Row],[DATA DO CAIXA PREVISTO]],"Vista","Prazo")</f>
        <v>Prazo</v>
      </c>
      <c r="R222" s="58" t="str">
        <f>IF(tbRegistroEntradas[[#This Row],[DATA DE CAIXA REALIZADO]]&lt;&gt;"N/A","Em Dia","Com atraso")</f>
        <v>Em Dia</v>
      </c>
    </row>
    <row r="223" spans="1:18" s="52" customFormat="1" ht="14.4" customHeight="1" x14ac:dyDescent="0.3">
      <c r="A223" s="125">
        <v>44587</v>
      </c>
      <c r="B223" s="125">
        <f>A223-31</f>
        <v>44556</v>
      </c>
      <c r="C223" s="125">
        <f>(A223-B223)+B223-15</f>
        <v>44572</v>
      </c>
      <c r="D223" s="126" t="s">
        <v>67</v>
      </c>
      <c r="E223" s="126" t="s">
        <v>12</v>
      </c>
      <c r="F223" s="126" t="s">
        <v>16</v>
      </c>
      <c r="G223" s="126" t="s">
        <v>1015</v>
      </c>
      <c r="H223" s="5" t="s">
        <v>132</v>
      </c>
      <c r="I223" s="127">
        <v>7649</v>
      </c>
      <c r="J223" s="110" t="str">
        <f>IF(tbRegistroEntradas[[#This Row],[DATA DE CAIXA REALIZADO]]="N/A","0",UPPER(TEXT(tbRegistroEntradas[[#This Row],[DATA DE CAIXA REALIZADO]],"mmm")))</f>
        <v>JAN</v>
      </c>
      <c r="K223" s="57">
        <f>IF(tbRegistroEntradas[[#This Row],[DATA DE CAIXA REALIZADO]]="N/A",0,YEAR(tbRegistroEntradas[[#This Row],[DATA DE CAIXA REALIZADO]]))</f>
        <v>2022</v>
      </c>
      <c r="L223" s="58" t="str">
        <f>IF(tbRegistroEntradas[[#This Row],[DATA DA COMPETÊNCIA]]="N/A","0",UPPER(TEXT(tbRegistroEntradas[[#This Row],[DATA DA COMPETÊNCIA]],"mmm")))</f>
        <v>DEZ</v>
      </c>
      <c r="M223" s="58">
        <f>IF(tbRegistroEntradas[[#This Row],[DATA DA COMPETÊNCIA]]="N/A",0,YEAR(tbRegistroEntradas[[#This Row],[DATA DA COMPETÊNCIA]]))</f>
        <v>2021</v>
      </c>
      <c r="N223" s="58" t="str">
        <f>IF(tbRegistroEntradas[[#This Row],[DATA DO CAIXA PREVISTO]]="N/A","0",UPPER(TEXT(tbRegistroEntradas[[#This Row],[DATA DO CAIXA PREVISTO]],"mmm")))</f>
        <v>JAN</v>
      </c>
      <c r="O223" s="58">
        <f>IF(tbRegistroEntradas[[#This Row],[DATA DO CAIXA PREVISTO]]="N/A",0,YEAR(tbRegistroEntradas[[#This Row],[DATA DO CAIXA PREVISTO]]))</f>
        <v>2022</v>
      </c>
      <c r="P223" s="58" t="str">
        <f ca="1">IF(AND(tbRegistroEntradas[[#This Row],[DATA DE CAIXA REALIZADO]]="N/A",tbRegistroEntradas[[#This Row],[DATA DO CAIXA PREVISTO]]&lt;TODAY()),"Vencida","Não Vencida")</f>
        <v>Não Vencida</v>
      </c>
      <c r="Q223" s="58" t="str">
        <f>IF(tbRegistroEntradas[[#This Row],[DATA DA COMPETÊNCIA]]=tbRegistroEntradas[[#This Row],[DATA DO CAIXA PREVISTO]],"Vista","Prazo")</f>
        <v>Prazo</v>
      </c>
      <c r="R223" s="58" t="str">
        <f>IF(tbRegistroEntradas[[#This Row],[DATA DE CAIXA REALIZADO]]&lt;&gt;"N/A","Em Dia","Com atraso")</f>
        <v>Em Dia</v>
      </c>
    </row>
    <row r="224" spans="1:18" s="52" customFormat="1" ht="14.4" customHeight="1" x14ac:dyDescent="0.3">
      <c r="A224" s="49">
        <v>44591</v>
      </c>
      <c r="B224" s="49">
        <f>A224-31</f>
        <v>44560</v>
      </c>
      <c r="C224" s="49">
        <f>(A224-B224)+B224-15</f>
        <v>44576</v>
      </c>
      <c r="D224" s="52" t="s">
        <v>64</v>
      </c>
      <c r="E224" s="52" t="s">
        <v>12</v>
      </c>
      <c r="F224" s="52" t="s">
        <v>32</v>
      </c>
      <c r="G224" s="52" t="s">
        <v>711</v>
      </c>
      <c r="H224" s="52" t="s">
        <v>74</v>
      </c>
      <c r="I224" s="18">
        <v>1667</v>
      </c>
      <c r="J224" s="110" t="str">
        <f>IF(tbRegistroEntradas[[#This Row],[DATA DE CAIXA REALIZADO]]="N/A","0",UPPER(TEXT(tbRegistroEntradas[[#This Row],[DATA DE CAIXA REALIZADO]],"mmm")))</f>
        <v>JAN</v>
      </c>
      <c r="K224" s="57">
        <f>IF(tbRegistroEntradas[[#This Row],[DATA DE CAIXA REALIZADO]]="N/A",0,YEAR(tbRegistroEntradas[[#This Row],[DATA DE CAIXA REALIZADO]]))</f>
        <v>2022</v>
      </c>
      <c r="L224" s="58" t="str">
        <f>IF(tbRegistroEntradas[[#This Row],[DATA DA COMPETÊNCIA]]="N/A","0",UPPER(TEXT(tbRegistroEntradas[[#This Row],[DATA DA COMPETÊNCIA]],"mmm")))</f>
        <v>DEZ</v>
      </c>
      <c r="M224" s="58">
        <f>IF(tbRegistroEntradas[[#This Row],[DATA DA COMPETÊNCIA]]="N/A",0,YEAR(tbRegistroEntradas[[#This Row],[DATA DA COMPETÊNCIA]]))</f>
        <v>2021</v>
      </c>
      <c r="N224" s="58" t="str">
        <f>IF(tbRegistroEntradas[[#This Row],[DATA DO CAIXA PREVISTO]]="N/A","0",UPPER(TEXT(tbRegistroEntradas[[#This Row],[DATA DO CAIXA PREVISTO]],"mmm")))</f>
        <v>JAN</v>
      </c>
      <c r="O224" s="58">
        <f>IF(tbRegistroEntradas[[#This Row],[DATA DO CAIXA PREVISTO]]="N/A",0,YEAR(tbRegistroEntradas[[#This Row],[DATA DO CAIXA PREVISTO]]))</f>
        <v>2022</v>
      </c>
      <c r="P224" s="58" t="str">
        <f ca="1">IF(AND(tbRegistroEntradas[[#This Row],[DATA DE CAIXA REALIZADO]]="N/A",tbRegistroEntradas[[#This Row],[DATA DO CAIXA PREVISTO]]&lt;TODAY()),"Vencida","Não Vencida")</f>
        <v>Não Vencida</v>
      </c>
      <c r="Q224" s="58" t="str">
        <f>IF(tbRegistroEntradas[[#This Row],[DATA DA COMPETÊNCIA]]=tbRegistroEntradas[[#This Row],[DATA DO CAIXA PREVISTO]],"Vista","Prazo")</f>
        <v>Prazo</v>
      </c>
      <c r="R224" s="58" t="str">
        <f>IF(tbRegistroEntradas[[#This Row],[DATA DE CAIXA REALIZADO]]&lt;&gt;"N/A","Em Dia","Com atraso")</f>
        <v>Em Dia</v>
      </c>
    </row>
    <row r="225" spans="1:18" s="52" customFormat="1" ht="14.4" customHeight="1" x14ac:dyDescent="0.3">
      <c r="A225" s="113">
        <v>44562.681655092594</v>
      </c>
      <c r="B225" s="115">
        <v>44560</v>
      </c>
      <c r="C225" s="115">
        <v>44562.681655092594</v>
      </c>
      <c r="D225" s="116" t="s">
        <v>64</v>
      </c>
      <c r="E225" s="116" t="s">
        <v>12</v>
      </c>
      <c r="F225" s="116" t="s">
        <v>19</v>
      </c>
      <c r="G225" s="116" t="s">
        <v>192</v>
      </c>
      <c r="H225" s="52" t="s">
        <v>108</v>
      </c>
      <c r="I225" s="120">
        <v>3192</v>
      </c>
      <c r="J225" s="55" t="str">
        <f>IF(tbRegistroEntradas[[#This Row],[DATA DE CAIXA REALIZADO]]="N/A","0",UPPER(TEXT(tbRegistroEntradas[[#This Row],[DATA DE CAIXA REALIZADO]],"mmm")))</f>
        <v>JAN</v>
      </c>
      <c r="K225" s="58">
        <f>IF(tbRegistroEntradas[[#This Row],[DATA DE CAIXA REALIZADO]]="N/A",0,YEAR(tbRegistroEntradas[[#This Row],[DATA DE CAIXA REALIZADO]]))</f>
        <v>2022</v>
      </c>
      <c r="L225" s="79" t="str">
        <f>IF(tbRegistroEntradas[[#This Row],[DATA DA COMPETÊNCIA]]="N/A","0",UPPER(TEXT(tbRegistroEntradas[[#This Row],[DATA DA COMPETÊNCIA]],"mmm")))</f>
        <v>DEZ</v>
      </c>
      <c r="M225" s="79">
        <f>IF(tbRegistroEntradas[[#This Row],[DATA DA COMPETÊNCIA]]="N/A",0,YEAR(tbRegistroEntradas[[#This Row],[DATA DA COMPETÊNCIA]]))</f>
        <v>2021</v>
      </c>
      <c r="N225" s="84" t="str">
        <f>IF(tbRegistroEntradas[[#This Row],[DATA DO CAIXA PREVISTO]]="N/A","0",UPPER(TEXT(tbRegistroEntradas[[#This Row],[DATA DO CAIXA PREVISTO]],"mmm")))</f>
        <v>JAN</v>
      </c>
      <c r="O225" s="84">
        <f>IF(tbRegistroEntradas[[#This Row],[DATA DO CAIXA PREVISTO]]="N/A",0,YEAR(tbRegistroEntradas[[#This Row],[DATA DO CAIXA PREVISTO]]))</f>
        <v>2022</v>
      </c>
      <c r="P225" s="58" t="str">
        <f ca="1">IF(AND(tbRegistroEntradas[[#This Row],[DATA DE CAIXA REALIZADO]]="N/A",tbRegistroEntradas[[#This Row],[DATA DO CAIXA PREVISTO]]&lt;TODAY()),"Vencida","Não Vencida")</f>
        <v>Não Vencida</v>
      </c>
      <c r="Q225" s="58" t="str">
        <f>IF(tbRegistroEntradas[[#This Row],[DATA DA COMPETÊNCIA]]=tbRegistroEntradas[[#This Row],[DATA DO CAIXA PREVISTO]],"Vista","Prazo")</f>
        <v>Prazo</v>
      </c>
      <c r="R225" s="58" t="str">
        <f>IF(tbRegistroEntradas[[#This Row],[DATA DE CAIXA REALIZADO]]&lt;&gt;"N/A","Em Dia","Com atraso")</f>
        <v>Em Dia</v>
      </c>
    </row>
    <row r="226" spans="1:18" s="52" customFormat="1" ht="14.4" customHeight="1" x14ac:dyDescent="0.3">
      <c r="A226" s="112">
        <v>44605.070706018516</v>
      </c>
      <c r="B226" s="114">
        <v>44561</v>
      </c>
      <c r="C226" s="125">
        <f>tbRegistroEntradas[[#This Row],[DATA DA COMPETÊNCIA]]</f>
        <v>44561</v>
      </c>
      <c r="D226" s="55" t="s">
        <v>64</v>
      </c>
      <c r="E226" s="55" t="s">
        <v>12</v>
      </c>
      <c r="F226" s="55" t="s">
        <v>32</v>
      </c>
      <c r="G226" s="55" t="s">
        <v>193</v>
      </c>
      <c r="H226" s="52" t="s">
        <v>109</v>
      </c>
      <c r="I226" s="119">
        <v>2687</v>
      </c>
      <c r="J226" s="55" t="str">
        <f>IF(tbRegistroEntradas[[#This Row],[DATA DE CAIXA REALIZADO]]="N/A","0",UPPER(TEXT(tbRegistroEntradas[[#This Row],[DATA DE CAIXA REALIZADO]],"mmm")))</f>
        <v>FEV</v>
      </c>
      <c r="K226" s="58">
        <f>IF(tbRegistroEntradas[[#This Row],[DATA DE CAIXA REALIZADO]]="N/A",0,YEAR(tbRegistroEntradas[[#This Row],[DATA DE CAIXA REALIZADO]]))</f>
        <v>2022</v>
      </c>
      <c r="L226" s="79" t="str">
        <f>IF(tbRegistroEntradas[[#This Row],[DATA DA COMPETÊNCIA]]="N/A","0",UPPER(TEXT(tbRegistroEntradas[[#This Row],[DATA DA COMPETÊNCIA]],"mmm")))</f>
        <v>DEZ</v>
      </c>
      <c r="M226" s="79">
        <f>IF(tbRegistroEntradas[[#This Row],[DATA DA COMPETÊNCIA]]="N/A",0,YEAR(tbRegistroEntradas[[#This Row],[DATA DA COMPETÊNCIA]]))</f>
        <v>2021</v>
      </c>
      <c r="N226" s="84" t="str">
        <f>IF(tbRegistroEntradas[[#This Row],[DATA DO CAIXA PREVISTO]]="N/A","0",UPPER(TEXT(tbRegistroEntradas[[#This Row],[DATA DO CAIXA PREVISTO]],"mmm")))</f>
        <v>DEZ</v>
      </c>
      <c r="O226" s="84">
        <f>IF(tbRegistroEntradas[[#This Row],[DATA DO CAIXA PREVISTO]]="N/A",0,YEAR(tbRegistroEntradas[[#This Row],[DATA DO CAIXA PREVISTO]]))</f>
        <v>2021</v>
      </c>
      <c r="P226" s="58" t="str">
        <f ca="1">IF(AND(tbRegistroEntradas[[#This Row],[DATA DE CAIXA REALIZADO]]="N/A",tbRegistroEntradas[[#This Row],[DATA DO CAIXA PREVISTO]]&lt;TODAY()),"Vencida","Não Vencida")</f>
        <v>Não Vencida</v>
      </c>
      <c r="Q226" s="58" t="str">
        <f>IF(tbRegistroEntradas[[#This Row],[DATA DA COMPETÊNCIA]]=tbRegistroEntradas[[#This Row],[DATA DO CAIXA PREVISTO]],"Vista","Prazo")</f>
        <v>Vista</v>
      </c>
      <c r="R226" s="58" t="str">
        <f>IF(tbRegistroEntradas[[#This Row],[DATA DE CAIXA REALIZADO]]&lt;&gt;"N/A","Em Dia","Com atraso")</f>
        <v>Em Dia</v>
      </c>
    </row>
    <row r="227" spans="1:18" s="52" customFormat="1" ht="14.4" customHeight="1" x14ac:dyDescent="0.3">
      <c r="A227" s="49">
        <v>44594</v>
      </c>
      <c r="B227" s="49">
        <f>A227-31</f>
        <v>44563</v>
      </c>
      <c r="C227" s="49">
        <f>(A227-B227)+B227-15</f>
        <v>44579</v>
      </c>
      <c r="D227" s="52" t="s">
        <v>65</v>
      </c>
      <c r="E227" s="52" t="s">
        <v>12</v>
      </c>
      <c r="F227" s="52" t="s">
        <v>16</v>
      </c>
      <c r="G227" s="52" t="s">
        <v>929</v>
      </c>
      <c r="H227" s="126" t="s">
        <v>117</v>
      </c>
      <c r="I227" s="18">
        <v>464</v>
      </c>
      <c r="J227" s="110" t="str">
        <f>IF(tbRegistroEntradas[[#This Row],[DATA DE CAIXA REALIZADO]]="N/A","0",UPPER(TEXT(tbRegistroEntradas[[#This Row],[DATA DE CAIXA REALIZADO]],"mmm")))</f>
        <v>FEV</v>
      </c>
      <c r="K227" s="57">
        <f>IF(tbRegistroEntradas[[#This Row],[DATA DE CAIXA REALIZADO]]="N/A",0,YEAR(tbRegistroEntradas[[#This Row],[DATA DE CAIXA REALIZADO]]))</f>
        <v>2022</v>
      </c>
      <c r="L227" s="58" t="str">
        <f>IF(tbRegistroEntradas[[#This Row],[DATA DA COMPETÊNCIA]]="N/A","0",UPPER(TEXT(tbRegistroEntradas[[#This Row],[DATA DA COMPETÊNCIA]],"mmm")))</f>
        <v>JAN</v>
      </c>
      <c r="M227" s="58">
        <f>IF(tbRegistroEntradas[[#This Row],[DATA DA COMPETÊNCIA]]="N/A",0,YEAR(tbRegistroEntradas[[#This Row],[DATA DA COMPETÊNCIA]]))</f>
        <v>2022</v>
      </c>
      <c r="N227" s="58" t="str">
        <f>IF(tbRegistroEntradas[[#This Row],[DATA DO CAIXA PREVISTO]]="N/A","0",UPPER(TEXT(tbRegistroEntradas[[#This Row],[DATA DO CAIXA PREVISTO]],"mmm")))</f>
        <v>JAN</v>
      </c>
      <c r="O227" s="58">
        <f>IF(tbRegistroEntradas[[#This Row],[DATA DO CAIXA PREVISTO]]="N/A",0,YEAR(tbRegistroEntradas[[#This Row],[DATA DO CAIXA PREVISTO]]))</f>
        <v>2022</v>
      </c>
      <c r="P227" s="58" t="str">
        <f ca="1">IF(AND(tbRegistroEntradas[[#This Row],[DATA DE CAIXA REALIZADO]]="N/A",tbRegistroEntradas[[#This Row],[DATA DO CAIXA PREVISTO]]&lt;TODAY()),"Vencida","Não Vencida")</f>
        <v>Não Vencida</v>
      </c>
      <c r="Q227" s="58" t="str">
        <f>IF(tbRegistroEntradas[[#This Row],[DATA DA COMPETÊNCIA]]=tbRegistroEntradas[[#This Row],[DATA DO CAIXA PREVISTO]],"Vista","Prazo")</f>
        <v>Prazo</v>
      </c>
      <c r="R227" s="58" t="str">
        <f>IF(tbRegistroEntradas[[#This Row],[DATA DE CAIXA REALIZADO]]&lt;&gt;"N/A","Em Dia","Com atraso")</f>
        <v>Em Dia</v>
      </c>
    </row>
    <row r="228" spans="1:18" s="52" customFormat="1" ht="14.4" customHeight="1" x14ac:dyDescent="0.3">
      <c r="A228" s="113">
        <v>44620.76840277778</v>
      </c>
      <c r="B228" s="115">
        <v>44564</v>
      </c>
      <c r="C228" s="125">
        <f>tbRegistroEntradas[[#This Row],[DATA DA COMPETÊNCIA]]</f>
        <v>44564</v>
      </c>
      <c r="D228" s="116" t="s">
        <v>61</v>
      </c>
      <c r="E228" s="116" t="s">
        <v>12</v>
      </c>
      <c r="F228" s="116" t="s">
        <v>19</v>
      </c>
      <c r="G228" s="116" t="s">
        <v>194</v>
      </c>
      <c r="H228" s="52" t="s">
        <v>79</v>
      </c>
      <c r="I228" s="120">
        <v>1561</v>
      </c>
      <c r="J228" s="55" t="str">
        <f>IF(tbRegistroEntradas[[#This Row],[DATA DE CAIXA REALIZADO]]="N/A","0",UPPER(TEXT(tbRegistroEntradas[[#This Row],[DATA DE CAIXA REALIZADO]],"mmm")))</f>
        <v>FEV</v>
      </c>
      <c r="K228" s="58">
        <f>IF(tbRegistroEntradas[[#This Row],[DATA DE CAIXA REALIZADO]]="N/A",0,YEAR(tbRegistroEntradas[[#This Row],[DATA DE CAIXA REALIZADO]]))</f>
        <v>2022</v>
      </c>
      <c r="L228" s="79" t="str">
        <f>IF(tbRegistroEntradas[[#This Row],[DATA DA COMPETÊNCIA]]="N/A","0",UPPER(TEXT(tbRegistroEntradas[[#This Row],[DATA DA COMPETÊNCIA]],"mmm")))</f>
        <v>JAN</v>
      </c>
      <c r="M228" s="79">
        <f>IF(tbRegistroEntradas[[#This Row],[DATA DA COMPETÊNCIA]]="N/A",0,YEAR(tbRegistroEntradas[[#This Row],[DATA DA COMPETÊNCIA]]))</f>
        <v>2022</v>
      </c>
      <c r="N228" s="84" t="str">
        <f>IF(tbRegistroEntradas[[#This Row],[DATA DO CAIXA PREVISTO]]="N/A","0",UPPER(TEXT(tbRegistroEntradas[[#This Row],[DATA DO CAIXA PREVISTO]],"mmm")))</f>
        <v>JAN</v>
      </c>
      <c r="O228" s="84">
        <f>IF(tbRegistroEntradas[[#This Row],[DATA DO CAIXA PREVISTO]]="N/A",0,YEAR(tbRegistroEntradas[[#This Row],[DATA DO CAIXA PREVISTO]]))</f>
        <v>2022</v>
      </c>
      <c r="P228" s="58" t="str">
        <f ca="1">IF(AND(tbRegistroEntradas[[#This Row],[DATA DE CAIXA REALIZADO]]="N/A",tbRegistroEntradas[[#This Row],[DATA DO CAIXA PREVISTO]]&lt;TODAY()),"Vencida","Não Vencida")</f>
        <v>Não Vencida</v>
      </c>
      <c r="Q228" s="58" t="str">
        <f>IF(tbRegistroEntradas[[#This Row],[DATA DA COMPETÊNCIA]]=tbRegistroEntradas[[#This Row],[DATA DO CAIXA PREVISTO]],"Vista","Prazo")</f>
        <v>Vista</v>
      </c>
      <c r="R228" s="58" t="str">
        <f>IF(tbRegistroEntradas[[#This Row],[DATA DE CAIXA REALIZADO]]&lt;&gt;"N/A","Em Dia","Com atraso")</f>
        <v>Em Dia</v>
      </c>
    </row>
    <row r="229" spans="1:18" s="52" customFormat="1" ht="14.4" customHeight="1" x14ac:dyDescent="0.3">
      <c r="A229" s="49">
        <v>44595</v>
      </c>
      <c r="B229" s="49">
        <f>A229-31</f>
        <v>44564</v>
      </c>
      <c r="C229" s="49">
        <f>(A229-B229)+B229-15</f>
        <v>44580</v>
      </c>
      <c r="D229" s="52" t="s">
        <v>65</v>
      </c>
      <c r="E229" s="52" t="s">
        <v>12</v>
      </c>
      <c r="F229" s="52" t="s">
        <v>19</v>
      </c>
      <c r="G229" s="52" t="s">
        <v>803</v>
      </c>
      <c r="H229" s="52" t="s">
        <v>116</v>
      </c>
      <c r="I229" s="18">
        <v>1568</v>
      </c>
      <c r="J229" s="110" t="str">
        <f>IF(tbRegistroEntradas[[#This Row],[DATA DE CAIXA REALIZADO]]="N/A","0",UPPER(TEXT(tbRegistroEntradas[[#This Row],[DATA DE CAIXA REALIZADO]],"mmm")))</f>
        <v>FEV</v>
      </c>
      <c r="K229" s="57">
        <f>IF(tbRegistroEntradas[[#This Row],[DATA DE CAIXA REALIZADO]]="N/A",0,YEAR(tbRegistroEntradas[[#This Row],[DATA DE CAIXA REALIZADO]]))</f>
        <v>2022</v>
      </c>
      <c r="L229" s="58" t="str">
        <f>IF(tbRegistroEntradas[[#This Row],[DATA DA COMPETÊNCIA]]="N/A","0",UPPER(TEXT(tbRegistroEntradas[[#This Row],[DATA DA COMPETÊNCIA]],"mmm")))</f>
        <v>JAN</v>
      </c>
      <c r="M229" s="58">
        <f>IF(tbRegistroEntradas[[#This Row],[DATA DA COMPETÊNCIA]]="N/A",0,YEAR(tbRegistroEntradas[[#This Row],[DATA DA COMPETÊNCIA]]))</f>
        <v>2022</v>
      </c>
      <c r="N229" s="58" t="str">
        <f>IF(tbRegistroEntradas[[#This Row],[DATA DO CAIXA PREVISTO]]="N/A","0",UPPER(TEXT(tbRegistroEntradas[[#This Row],[DATA DO CAIXA PREVISTO]],"mmm")))</f>
        <v>JAN</v>
      </c>
      <c r="O229" s="58">
        <f>IF(tbRegistroEntradas[[#This Row],[DATA DO CAIXA PREVISTO]]="N/A",0,YEAR(tbRegistroEntradas[[#This Row],[DATA DO CAIXA PREVISTO]]))</f>
        <v>2022</v>
      </c>
      <c r="P229" s="58" t="str">
        <f ca="1">IF(AND(tbRegistroEntradas[[#This Row],[DATA DE CAIXA REALIZADO]]="N/A",tbRegistroEntradas[[#This Row],[DATA DO CAIXA PREVISTO]]&lt;TODAY()),"Vencida","Não Vencida")</f>
        <v>Não Vencida</v>
      </c>
      <c r="Q229" s="58" t="str">
        <f>IF(tbRegistroEntradas[[#This Row],[DATA DA COMPETÊNCIA]]=tbRegistroEntradas[[#This Row],[DATA DO CAIXA PREVISTO]],"Vista","Prazo")</f>
        <v>Prazo</v>
      </c>
      <c r="R229" s="58" t="str">
        <f>IF(tbRegistroEntradas[[#This Row],[DATA DE CAIXA REALIZADO]]&lt;&gt;"N/A","Em Dia","Com atraso")</f>
        <v>Em Dia</v>
      </c>
    </row>
    <row r="230" spans="1:18" s="52" customFormat="1" ht="14.4" customHeight="1" x14ac:dyDescent="0.3">
      <c r="A230" s="49">
        <v>44598</v>
      </c>
      <c r="B230" s="49">
        <f>A230-31</f>
        <v>44567</v>
      </c>
      <c r="C230" s="49">
        <f>(A230-B230)+B230-15</f>
        <v>44583</v>
      </c>
      <c r="D230" s="52" t="s">
        <v>66</v>
      </c>
      <c r="E230" s="52" t="s">
        <v>12</v>
      </c>
      <c r="F230" s="52" t="s">
        <v>32</v>
      </c>
      <c r="G230" s="52" t="s">
        <v>984</v>
      </c>
      <c r="H230" s="126" t="s">
        <v>124</v>
      </c>
      <c r="I230" s="18">
        <v>510</v>
      </c>
      <c r="J230" s="110" t="str">
        <f>IF(tbRegistroEntradas[[#This Row],[DATA DE CAIXA REALIZADO]]="N/A","0",UPPER(TEXT(tbRegistroEntradas[[#This Row],[DATA DE CAIXA REALIZADO]],"mmm")))</f>
        <v>FEV</v>
      </c>
      <c r="K230" s="57">
        <f>IF(tbRegistroEntradas[[#This Row],[DATA DE CAIXA REALIZADO]]="N/A",0,YEAR(tbRegistroEntradas[[#This Row],[DATA DE CAIXA REALIZADO]]))</f>
        <v>2022</v>
      </c>
      <c r="L230" s="58" t="str">
        <f>IF(tbRegistroEntradas[[#This Row],[DATA DA COMPETÊNCIA]]="N/A","0",UPPER(TEXT(tbRegistroEntradas[[#This Row],[DATA DA COMPETÊNCIA]],"mmm")))</f>
        <v>JAN</v>
      </c>
      <c r="M230" s="58">
        <f>IF(tbRegistroEntradas[[#This Row],[DATA DA COMPETÊNCIA]]="N/A",0,YEAR(tbRegistroEntradas[[#This Row],[DATA DA COMPETÊNCIA]]))</f>
        <v>2022</v>
      </c>
      <c r="N230" s="58" t="str">
        <f>IF(tbRegistroEntradas[[#This Row],[DATA DO CAIXA PREVISTO]]="N/A","0",UPPER(TEXT(tbRegistroEntradas[[#This Row],[DATA DO CAIXA PREVISTO]],"mmm")))</f>
        <v>JAN</v>
      </c>
      <c r="O230" s="58">
        <f>IF(tbRegistroEntradas[[#This Row],[DATA DO CAIXA PREVISTO]]="N/A",0,YEAR(tbRegistroEntradas[[#This Row],[DATA DO CAIXA PREVISTO]]))</f>
        <v>2022</v>
      </c>
      <c r="P230" s="58" t="str">
        <f ca="1">IF(AND(tbRegistroEntradas[[#This Row],[DATA DE CAIXA REALIZADO]]="N/A",tbRegistroEntradas[[#This Row],[DATA DO CAIXA PREVISTO]]&lt;TODAY()),"Vencida","Não Vencida")</f>
        <v>Não Vencida</v>
      </c>
      <c r="Q230" s="58" t="str">
        <f>IF(tbRegistroEntradas[[#This Row],[DATA DA COMPETÊNCIA]]=tbRegistroEntradas[[#This Row],[DATA DO CAIXA PREVISTO]],"Vista","Prazo")</f>
        <v>Prazo</v>
      </c>
      <c r="R230" s="58" t="str">
        <f>IF(tbRegistroEntradas[[#This Row],[DATA DE CAIXA REALIZADO]]&lt;&gt;"N/A","Em Dia","Com atraso")</f>
        <v>Em Dia</v>
      </c>
    </row>
    <row r="231" spans="1:18" s="52" customFormat="1" ht="14.4" customHeight="1" x14ac:dyDescent="0.3">
      <c r="A231" s="49">
        <v>44599</v>
      </c>
      <c r="B231" s="49">
        <f>A231-31</f>
        <v>44568</v>
      </c>
      <c r="C231" s="125">
        <f>tbRegistroEntradas[[#This Row],[DATA DA COMPETÊNCIA]]</f>
        <v>44568</v>
      </c>
      <c r="D231" s="52" t="s">
        <v>65</v>
      </c>
      <c r="E231" s="52" t="s">
        <v>12</v>
      </c>
      <c r="F231" s="52" t="s">
        <v>19</v>
      </c>
      <c r="G231" s="52" t="s">
        <v>839</v>
      </c>
      <c r="H231" s="52" t="s">
        <v>118</v>
      </c>
      <c r="I231" s="18">
        <v>3342</v>
      </c>
      <c r="J231" s="110" t="str">
        <f>IF(tbRegistroEntradas[[#This Row],[DATA DE CAIXA REALIZADO]]="N/A","0",UPPER(TEXT(tbRegistroEntradas[[#This Row],[DATA DE CAIXA REALIZADO]],"mmm")))</f>
        <v>FEV</v>
      </c>
      <c r="K231" s="57">
        <f>IF(tbRegistroEntradas[[#This Row],[DATA DE CAIXA REALIZADO]]="N/A",0,YEAR(tbRegistroEntradas[[#This Row],[DATA DE CAIXA REALIZADO]]))</f>
        <v>2022</v>
      </c>
      <c r="L231" s="58" t="str">
        <f>IF(tbRegistroEntradas[[#This Row],[DATA DA COMPETÊNCIA]]="N/A","0",UPPER(TEXT(tbRegistroEntradas[[#This Row],[DATA DA COMPETÊNCIA]],"mmm")))</f>
        <v>JAN</v>
      </c>
      <c r="M231" s="58">
        <f>IF(tbRegistroEntradas[[#This Row],[DATA DA COMPETÊNCIA]]="N/A",0,YEAR(tbRegistroEntradas[[#This Row],[DATA DA COMPETÊNCIA]]))</f>
        <v>2022</v>
      </c>
      <c r="N231" s="58" t="str">
        <f>IF(tbRegistroEntradas[[#This Row],[DATA DO CAIXA PREVISTO]]="N/A","0",UPPER(TEXT(tbRegistroEntradas[[#This Row],[DATA DO CAIXA PREVISTO]],"mmm")))</f>
        <v>JAN</v>
      </c>
      <c r="O231" s="58">
        <f>IF(tbRegistroEntradas[[#This Row],[DATA DO CAIXA PREVISTO]]="N/A",0,YEAR(tbRegistroEntradas[[#This Row],[DATA DO CAIXA PREVISTO]]))</f>
        <v>2022</v>
      </c>
      <c r="P231" s="58" t="str">
        <f ca="1">IF(AND(tbRegistroEntradas[[#This Row],[DATA DE CAIXA REALIZADO]]="N/A",tbRegistroEntradas[[#This Row],[DATA DO CAIXA PREVISTO]]&lt;TODAY()),"Vencida","Não Vencida")</f>
        <v>Não Vencida</v>
      </c>
      <c r="Q231" s="58" t="str">
        <f>IF(tbRegistroEntradas[[#This Row],[DATA DA COMPETÊNCIA]]=tbRegistroEntradas[[#This Row],[DATA DO CAIXA PREVISTO]],"Vista","Prazo")</f>
        <v>Vista</v>
      </c>
      <c r="R231" s="58" t="str">
        <f>IF(tbRegistroEntradas[[#This Row],[DATA DE CAIXA REALIZADO]]&lt;&gt;"N/A","Em Dia","Com atraso")</f>
        <v>Em Dia</v>
      </c>
    </row>
    <row r="232" spans="1:18" s="52" customFormat="1" ht="14.4" customHeight="1" x14ac:dyDescent="0.3">
      <c r="A232" s="112">
        <v>44574.535868055558</v>
      </c>
      <c r="B232" s="114">
        <v>44570</v>
      </c>
      <c r="C232" s="114">
        <v>44574.535868055558</v>
      </c>
      <c r="D232" s="55" t="s">
        <v>61</v>
      </c>
      <c r="E232" s="55" t="s">
        <v>12</v>
      </c>
      <c r="F232" s="55" t="s">
        <v>19</v>
      </c>
      <c r="G232" s="55" t="s">
        <v>195</v>
      </c>
      <c r="H232" s="52" t="s">
        <v>80</v>
      </c>
      <c r="I232" s="119">
        <v>1573</v>
      </c>
      <c r="J232" s="55" t="str">
        <f>IF(tbRegistroEntradas[[#This Row],[DATA DE CAIXA REALIZADO]]="N/A","0",UPPER(TEXT(tbRegistroEntradas[[#This Row],[DATA DE CAIXA REALIZADO]],"mmm")))</f>
        <v>JAN</v>
      </c>
      <c r="K232" s="58">
        <f>IF(tbRegistroEntradas[[#This Row],[DATA DE CAIXA REALIZADO]]="N/A",0,YEAR(tbRegistroEntradas[[#This Row],[DATA DE CAIXA REALIZADO]]))</f>
        <v>2022</v>
      </c>
      <c r="L232" s="79" t="str">
        <f>IF(tbRegistroEntradas[[#This Row],[DATA DA COMPETÊNCIA]]="N/A","0",UPPER(TEXT(tbRegistroEntradas[[#This Row],[DATA DA COMPETÊNCIA]],"mmm")))</f>
        <v>JAN</v>
      </c>
      <c r="M232" s="79">
        <f>IF(tbRegistroEntradas[[#This Row],[DATA DA COMPETÊNCIA]]="N/A",0,YEAR(tbRegistroEntradas[[#This Row],[DATA DA COMPETÊNCIA]]))</f>
        <v>2022</v>
      </c>
      <c r="N232" s="84" t="str">
        <f>IF(tbRegistroEntradas[[#This Row],[DATA DO CAIXA PREVISTO]]="N/A","0",UPPER(TEXT(tbRegistroEntradas[[#This Row],[DATA DO CAIXA PREVISTO]],"mmm")))</f>
        <v>JAN</v>
      </c>
      <c r="O232" s="84">
        <f>IF(tbRegistroEntradas[[#This Row],[DATA DO CAIXA PREVISTO]]="N/A",0,YEAR(tbRegistroEntradas[[#This Row],[DATA DO CAIXA PREVISTO]]))</f>
        <v>2022</v>
      </c>
      <c r="P232" s="58" t="str">
        <f ca="1">IF(AND(tbRegistroEntradas[[#This Row],[DATA DE CAIXA REALIZADO]]="N/A",tbRegistroEntradas[[#This Row],[DATA DO CAIXA PREVISTO]]&lt;TODAY()),"Vencida","Não Vencida")</f>
        <v>Não Vencida</v>
      </c>
      <c r="Q232" s="58" t="str">
        <f>IF(tbRegistroEntradas[[#This Row],[DATA DA COMPETÊNCIA]]=tbRegistroEntradas[[#This Row],[DATA DO CAIXA PREVISTO]],"Vista","Prazo")</f>
        <v>Prazo</v>
      </c>
      <c r="R232" s="58" t="str">
        <f>IF(tbRegistroEntradas[[#This Row],[DATA DE CAIXA REALIZADO]]&lt;&gt;"N/A","Em Dia","Com atraso")</f>
        <v>Em Dia</v>
      </c>
    </row>
    <row r="233" spans="1:18" s="52" customFormat="1" ht="14.4" customHeight="1" x14ac:dyDescent="0.3">
      <c r="A233" s="49">
        <v>44605</v>
      </c>
      <c r="B233" s="49">
        <f>A233-31</f>
        <v>44574</v>
      </c>
      <c r="C233" s="125">
        <f>tbRegistroEntradas[[#This Row],[DATA DA COMPETÊNCIA]]</f>
        <v>44574</v>
      </c>
      <c r="D233" s="52" t="s">
        <v>138</v>
      </c>
      <c r="E233" s="52" t="s">
        <v>12</v>
      </c>
      <c r="F233" s="52" t="s">
        <v>16</v>
      </c>
      <c r="G233" s="52" t="s">
        <v>1040</v>
      </c>
      <c r="H233" s="52" t="s">
        <v>75</v>
      </c>
      <c r="I233" s="18">
        <v>1938</v>
      </c>
      <c r="J233" s="110" t="str">
        <f>IF(tbRegistroEntradas[[#This Row],[DATA DE CAIXA REALIZADO]]="N/A","0",UPPER(TEXT(tbRegistroEntradas[[#This Row],[DATA DE CAIXA REALIZADO]],"mmm")))</f>
        <v>FEV</v>
      </c>
      <c r="K233" s="57">
        <f>IF(tbRegistroEntradas[[#This Row],[DATA DE CAIXA REALIZADO]]="N/A",0,YEAR(tbRegistroEntradas[[#This Row],[DATA DE CAIXA REALIZADO]]))</f>
        <v>2022</v>
      </c>
      <c r="L233" s="58" t="str">
        <f>IF(tbRegistroEntradas[[#This Row],[DATA DA COMPETÊNCIA]]="N/A","0",UPPER(TEXT(tbRegistroEntradas[[#This Row],[DATA DA COMPETÊNCIA]],"mmm")))</f>
        <v>JAN</v>
      </c>
      <c r="M233" s="58">
        <f>IF(tbRegistroEntradas[[#This Row],[DATA DA COMPETÊNCIA]]="N/A",0,YEAR(tbRegistroEntradas[[#This Row],[DATA DA COMPETÊNCIA]]))</f>
        <v>2022</v>
      </c>
      <c r="N233" s="58" t="str">
        <f>IF(tbRegistroEntradas[[#This Row],[DATA DO CAIXA PREVISTO]]="N/A","0",UPPER(TEXT(tbRegistroEntradas[[#This Row],[DATA DO CAIXA PREVISTO]],"mmm")))</f>
        <v>JAN</v>
      </c>
      <c r="O233" s="58">
        <f>IF(tbRegistroEntradas[[#This Row],[DATA DO CAIXA PREVISTO]]="N/A",0,YEAR(tbRegistroEntradas[[#This Row],[DATA DO CAIXA PREVISTO]]))</f>
        <v>2022</v>
      </c>
      <c r="P233" s="58" t="str">
        <f ca="1">IF(AND(tbRegistroEntradas[[#This Row],[DATA DE CAIXA REALIZADO]]="N/A",tbRegistroEntradas[[#This Row],[DATA DO CAIXA PREVISTO]]&lt;TODAY()),"Vencida","Não Vencida")</f>
        <v>Não Vencida</v>
      </c>
      <c r="Q233" s="58" t="str">
        <f>IF(tbRegistroEntradas[[#This Row],[DATA DA COMPETÊNCIA]]=tbRegistroEntradas[[#This Row],[DATA DO CAIXA PREVISTO]],"Vista","Prazo")</f>
        <v>Vista</v>
      </c>
      <c r="R233" s="58" t="str">
        <f>IF(tbRegistroEntradas[[#This Row],[DATA DE CAIXA REALIZADO]]&lt;&gt;"N/A","Em Dia","Com atraso")</f>
        <v>Em Dia</v>
      </c>
    </row>
    <row r="234" spans="1:18" s="52" customFormat="1" ht="14.4" customHeight="1" x14ac:dyDescent="0.3">
      <c r="A234" s="49">
        <v>44606</v>
      </c>
      <c r="B234" s="49">
        <f>A234-31</f>
        <v>44575</v>
      </c>
      <c r="C234" s="49">
        <f>(A234-B234)+B234-15</f>
        <v>44591</v>
      </c>
      <c r="D234" s="52" t="s">
        <v>67</v>
      </c>
      <c r="E234" s="52" t="s">
        <v>12</v>
      </c>
      <c r="F234" s="52" t="s">
        <v>16</v>
      </c>
      <c r="G234" s="52" t="s">
        <v>916</v>
      </c>
      <c r="H234" s="52" t="s">
        <v>133</v>
      </c>
      <c r="I234" s="18">
        <v>876</v>
      </c>
      <c r="J234" s="110" t="str">
        <f>IF(tbRegistroEntradas[[#This Row],[DATA DE CAIXA REALIZADO]]="N/A","0",UPPER(TEXT(tbRegistroEntradas[[#This Row],[DATA DE CAIXA REALIZADO]],"mmm")))</f>
        <v>FEV</v>
      </c>
      <c r="K234" s="57">
        <f>IF(tbRegistroEntradas[[#This Row],[DATA DE CAIXA REALIZADO]]="N/A",0,YEAR(tbRegistroEntradas[[#This Row],[DATA DE CAIXA REALIZADO]]))</f>
        <v>2022</v>
      </c>
      <c r="L234" s="58" t="str">
        <f>IF(tbRegistroEntradas[[#This Row],[DATA DA COMPETÊNCIA]]="N/A","0",UPPER(TEXT(tbRegistroEntradas[[#This Row],[DATA DA COMPETÊNCIA]],"mmm")))</f>
        <v>JAN</v>
      </c>
      <c r="M234" s="58">
        <f>IF(tbRegistroEntradas[[#This Row],[DATA DA COMPETÊNCIA]]="N/A",0,YEAR(tbRegistroEntradas[[#This Row],[DATA DA COMPETÊNCIA]]))</f>
        <v>2022</v>
      </c>
      <c r="N234" s="58" t="str">
        <f>IF(tbRegistroEntradas[[#This Row],[DATA DO CAIXA PREVISTO]]="N/A","0",UPPER(TEXT(tbRegistroEntradas[[#This Row],[DATA DO CAIXA PREVISTO]],"mmm")))</f>
        <v>JAN</v>
      </c>
      <c r="O234" s="58">
        <f>IF(tbRegistroEntradas[[#This Row],[DATA DO CAIXA PREVISTO]]="N/A",0,YEAR(tbRegistroEntradas[[#This Row],[DATA DO CAIXA PREVISTO]]))</f>
        <v>2022</v>
      </c>
      <c r="P234" s="58" t="str">
        <f ca="1">IF(AND(tbRegistroEntradas[[#This Row],[DATA DE CAIXA REALIZADO]]="N/A",tbRegistroEntradas[[#This Row],[DATA DO CAIXA PREVISTO]]&lt;TODAY()),"Vencida","Não Vencida")</f>
        <v>Não Vencida</v>
      </c>
      <c r="Q234" s="58" t="str">
        <f>IF(tbRegistroEntradas[[#This Row],[DATA DA COMPETÊNCIA]]=tbRegistroEntradas[[#This Row],[DATA DO CAIXA PREVISTO]],"Vista","Prazo")</f>
        <v>Prazo</v>
      </c>
      <c r="R234" s="58" t="str">
        <f>IF(tbRegistroEntradas[[#This Row],[DATA DE CAIXA REALIZADO]]&lt;&gt;"N/A","Em Dia","Com atraso")</f>
        <v>Em Dia</v>
      </c>
    </row>
    <row r="235" spans="1:18" s="52" customFormat="1" ht="14.4" customHeight="1" x14ac:dyDescent="0.3">
      <c r="A235" s="49">
        <v>44607</v>
      </c>
      <c r="B235" s="49">
        <f>A235-31</f>
        <v>44576</v>
      </c>
      <c r="C235" s="49">
        <f>(A235-B235)+B235-15</f>
        <v>44592</v>
      </c>
      <c r="D235" s="52" t="s">
        <v>64</v>
      </c>
      <c r="E235" s="52" t="s">
        <v>12</v>
      </c>
      <c r="F235" s="52" t="s">
        <v>18</v>
      </c>
      <c r="G235" s="52" t="s">
        <v>1072</v>
      </c>
      <c r="H235" s="126" t="s">
        <v>110</v>
      </c>
      <c r="I235" s="18">
        <v>1829</v>
      </c>
      <c r="J235" s="110" t="str">
        <f>IF(tbRegistroEntradas[[#This Row],[DATA DE CAIXA REALIZADO]]="N/A","0",UPPER(TEXT(tbRegistroEntradas[[#This Row],[DATA DE CAIXA REALIZADO]],"mmm")))</f>
        <v>FEV</v>
      </c>
      <c r="K235" s="57">
        <f>IF(tbRegistroEntradas[[#This Row],[DATA DE CAIXA REALIZADO]]="N/A",0,YEAR(tbRegistroEntradas[[#This Row],[DATA DE CAIXA REALIZADO]]))</f>
        <v>2022</v>
      </c>
      <c r="L235" s="58" t="str">
        <f>IF(tbRegistroEntradas[[#This Row],[DATA DA COMPETÊNCIA]]="N/A","0",UPPER(TEXT(tbRegistroEntradas[[#This Row],[DATA DA COMPETÊNCIA]],"mmm")))</f>
        <v>JAN</v>
      </c>
      <c r="M235" s="58">
        <f>IF(tbRegistroEntradas[[#This Row],[DATA DA COMPETÊNCIA]]="N/A",0,YEAR(tbRegistroEntradas[[#This Row],[DATA DA COMPETÊNCIA]]))</f>
        <v>2022</v>
      </c>
      <c r="N235" s="58" t="str">
        <f>IF(tbRegistroEntradas[[#This Row],[DATA DO CAIXA PREVISTO]]="N/A","0",UPPER(TEXT(tbRegistroEntradas[[#This Row],[DATA DO CAIXA PREVISTO]],"mmm")))</f>
        <v>JAN</v>
      </c>
      <c r="O235" s="58">
        <f>IF(tbRegistroEntradas[[#This Row],[DATA DO CAIXA PREVISTO]]="N/A",0,YEAR(tbRegistroEntradas[[#This Row],[DATA DO CAIXA PREVISTO]]))</f>
        <v>2022</v>
      </c>
      <c r="P235" s="58" t="str">
        <f ca="1">IF(AND(tbRegistroEntradas[[#This Row],[DATA DE CAIXA REALIZADO]]="N/A",tbRegistroEntradas[[#This Row],[DATA DO CAIXA PREVISTO]]&lt;TODAY()),"Vencida","Não Vencida")</f>
        <v>Não Vencida</v>
      </c>
      <c r="Q235" s="58" t="str">
        <f>IF(tbRegistroEntradas[[#This Row],[DATA DA COMPETÊNCIA]]=tbRegistroEntradas[[#This Row],[DATA DO CAIXA PREVISTO]],"Vista","Prazo")</f>
        <v>Prazo</v>
      </c>
      <c r="R235" s="58" t="str">
        <f>IF(tbRegistroEntradas[[#This Row],[DATA DE CAIXA REALIZADO]]&lt;&gt;"N/A","Em Dia","Com atraso")</f>
        <v>Em Dia</v>
      </c>
    </row>
    <row r="236" spans="1:18" s="52" customFormat="1" ht="14.4" customHeight="1" x14ac:dyDescent="0.3">
      <c r="A236" s="49">
        <v>44608</v>
      </c>
      <c r="B236" s="49">
        <f>A236-31</f>
        <v>44577</v>
      </c>
      <c r="C236" s="125">
        <f>tbRegistroEntradas[[#This Row],[DATA DA COMPETÊNCIA]]</f>
        <v>44577</v>
      </c>
      <c r="D236" s="52" t="s">
        <v>63</v>
      </c>
      <c r="E236" s="52" t="s">
        <v>12</v>
      </c>
      <c r="F236" s="52" t="s">
        <v>17</v>
      </c>
      <c r="G236" s="52" t="s">
        <v>836</v>
      </c>
      <c r="H236" s="126" t="s">
        <v>69</v>
      </c>
      <c r="I236" s="18">
        <v>1630</v>
      </c>
      <c r="J236" s="110" t="str">
        <f>IF(tbRegistroEntradas[[#This Row],[DATA DE CAIXA REALIZADO]]="N/A","0",UPPER(TEXT(tbRegistroEntradas[[#This Row],[DATA DE CAIXA REALIZADO]],"mmm")))</f>
        <v>FEV</v>
      </c>
      <c r="K236" s="57">
        <f>IF(tbRegistroEntradas[[#This Row],[DATA DE CAIXA REALIZADO]]="N/A",0,YEAR(tbRegistroEntradas[[#This Row],[DATA DE CAIXA REALIZADO]]))</f>
        <v>2022</v>
      </c>
      <c r="L236" s="58" t="str">
        <f>IF(tbRegistroEntradas[[#This Row],[DATA DA COMPETÊNCIA]]="N/A","0",UPPER(TEXT(tbRegistroEntradas[[#This Row],[DATA DA COMPETÊNCIA]],"mmm")))</f>
        <v>JAN</v>
      </c>
      <c r="M236" s="58">
        <f>IF(tbRegistroEntradas[[#This Row],[DATA DA COMPETÊNCIA]]="N/A",0,YEAR(tbRegistroEntradas[[#This Row],[DATA DA COMPETÊNCIA]]))</f>
        <v>2022</v>
      </c>
      <c r="N236" s="58" t="str">
        <f>IF(tbRegistroEntradas[[#This Row],[DATA DO CAIXA PREVISTO]]="N/A","0",UPPER(TEXT(tbRegistroEntradas[[#This Row],[DATA DO CAIXA PREVISTO]],"mmm")))</f>
        <v>JAN</v>
      </c>
      <c r="O236" s="58">
        <f>IF(tbRegistroEntradas[[#This Row],[DATA DO CAIXA PREVISTO]]="N/A",0,YEAR(tbRegistroEntradas[[#This Row],[DATA DO CAIXA PREVISTO]]))</f>
        <v>2022</v>
      </c>
      <c r="P236" s="58" t="str">
        <f ca="1">IF(AND(tbRegistroEntradas[[#This Row],[DATA DE CAIXA REALIZADO]]="N/A",tbRegistroEntradas[[#This Row],[DATA DO CAIXA PREVISTO]]&lt;TODAY()),"Vencida","Não Vencida")</f>
        <v>Não Vencida</v>
      </c>
      <c r="Q236" s="58" t="str">
        <f>IF(tbRegistroEntradas[[#This Row],[DATA DA COMPETÊNCIA]]=tbRegistroEntradas[[#This Row],[DATA DO CAIXA PREVISTO]],"Vista","Prazo")</f>
        <v>Vista</v>
      </c>
      <c r="R236" s="58" t="str">
        <f>IF(tbRegistroEntradas[[#This Row],[DATA DE CAIXA REALIZADO]]&lt;&gt;"N/A","Em Dia","Com atraso")</f>
        <v>Em Dia</v>
      </c>
    </row>
    <row r="237" spans="1:18" s="52" customFormat="1" ht="14.4" customHeight="1" x14ac:dyDescent="0.3">
      <c r="A237" s="113">
        <v>44608.636770833335</v>
      </c>
      <c r="B237" s="115">
        <v>44578</v>
      </c>
      <c r="C237" s="115">
        <v>44608.636770833335</v>
      </c>
      <c r="D237" s="116" t="s">
        <v>67</v>
      </c>
      <c r="E237" s="116" t="s">
        <v>12</v>
      </c>
      <c r="F237" s="116" t="s">
        <v>19</v>
      </c>
      <c r="G237" s="116" t="s">
        <v>196</v>
      </c>
      <c r="H237" s="52" t="s">
        <v>131</v>
      </c>
      <c r="I237" s="120">
        <v>1364</v>
      </c>
      <c r="J237" s="55" t="str">
        <f>IF(tbRegistroEntradas[[#This Row],[DATA DE CAIXA REALIZADO]]="N/A","0",UPPER(TEXT(tbRegistroEntradas[[#This Row],[DATA DE CAIXA REALIZADO]],"mmm")))</f>
        <v>FEV</v>
      </c>
      <c r="K237" s="58">
        <f>IF(tbRegistroEntradas[[#This Row],[DATA DE CAIXA REALIZADO]]="N/A",0,YEAR(tbRegistroEntradas[[#This Row],[DATA DE CAIXA REALIZADO]]))</f>
        <v>2022</v>
      </c>
      <c r="L237" s="79" t="str">
        <f>IF(tbRegistroEntradas[[#This Row],[DATA DA COMPETÊNCIA]]="N/A","0",UPPER(TEXT(tbRegistroEntradas[[#This Row],[DATA DA COMPETÊNCIA]],"mmm")))</f>
        <v>JAN</v>
      </c>
      <c r="M237" s="79">
        <f>IF(tbRegistroEntradas[[#This Row],[DATA DA COMPETÊNCIA]]="N/A",0,YEAR(tbRegistroEntradas[[#This Row],[DATA DA COMPETÊNCIA]]))</f>
        <v>2022</v>
      </c>
      <c r="N237" s="84" t="str">
        <f>IF(tbRegistroEntradas[[#This Row],[DATA DO CAIXA PREVISTO]]="N/A","0",UPPER(TEXT(tbRegistroEntradas[[#This Row],[DATA DO CAIXA PREVISTO]],"mmm")))</f>
        <v>FEV</v>
      </c>
      <c r="O237" s="84">
        <f>IF(tbRegistroEntradas[[#This Row],[DATA DO CAIXA PREVISTO]]="N/A",0,YEAR(tbRegistroEntradas[[#This Row],[DATA DO CAIXA PREVISTO]]))</f>
        <v>2022</v>
      </c>
      <c r="P237" s="58" t="str">
        <f ca="1">IF(AND(tbRegistroEntradas[[#This Row],[DATA DE CAIXA REALIZADO]]="N/A",tbRegistroEntradas[[#This Row],[DATA DO CAIXA PREVISTO]]&lt;TODAY()),"Vencida","Não Vencida")</f>
        <v>Não Vencida</v>
      </c>
      <c r="Q237" s="58" t="str">
        <f>IF(tbRegistroEntradas[[#This Row],[DATA DA COMPETÊNCIA]]=tbRegistroEntradas[[#This Row],[DATA DO CAIXA PREVISTO]],"Vista","Prazo")</f>
        <v>Prazo</v>
      </c>
      <c r="R237" s="58" t="str">
        <f>IF(tbRegistroEntradas[[#This Row],[DATA DE CAIXA REALIZADO]]&lt;&gt;"N/A","Em Dia","Com atraso")</f>
        <v>Em Dia</v>
      </c>
    </row>
    <row r="238" spans="1:18" s="52" customFormat="1" ht="14.4" customHeight="1" x14ac:dyDescent="0.3">
      <c r="A238" s="125">
        <v>44610</v>
      </c>
      <c r="B238" s="125">
        <f>A238-31</f>
        <v>44579</v>
      </c>
      <c r="C238" s="125">
        <f>(A238-B238)+B238-15</f>
        <v>44595</v>
      </c>
      <c r="D238" s="126" t="s">
        <v>64</v>
      </c>
      <c r="E238" s="126" t="s">
        <v>12</v>
      </c>
      <c r="F238" s="126" t="s">
        <v>32</v>
      </c>
      <c r="G238" s="126" t="s">
        <v>980</v>
      </c>
      <c r="H238" s="52" t="s">
        <v>111</v>
      </c>
      <c r="I238" s="127">
        <v>5893</v>
      </c>
      <c r="J238" s="110" t="str">
        <f>IF(tbRegistroEntradas[[#This Row],[DATA DE CAIXA REALIZADO]]="N/A","0",UPPER(TEXT(tbRegistroEntradas[[#This Row],[DATA DE CAIXA REALIZADO]],"mmm")))</f>
        <v>FEV</v>
      </c>
      <c r="K238" s="57">
        <f>IF(tbRegistroEntradas[[#This Row],[DATA DE CAIXA REALIZADO]]="N/A",0,YEAR(tbRegistroEntradas[[#This Row],[DATA DE CAIXA REALIZADO]]))</f>
        <v>2022</v>
      </c>
      <c r="L238" s="58" t="str">
        <f>IF(tbRegistroEntradas[[#This Row],[DATA DA COMPETÊNCIA]]="N/A","0",UPPER(TEXT(tbRegistroEntradas[[#This Row],[DATA DA COMPETÊNCIA]],"mmm")))</f>
        <v>JAN</v>
      </c>
      <c r="M238" s="58">
        <f>IF(tbRegistroEntradas[[#This Row],[DATA DA COMPETÊNCIA]]="N/A",0,YEAR(tbRegistroEntradas[[#This Row],[DATA DA COMPETÊNCIA]]))</f>
        <v>2022</v>
      </c>
      <c r="N238" s="58" t="str">
        <f>IF(tbRegistroEntradas[[#This Row],[DATA DO CAIXA PREVISTO]]="N/A","0",UPPER(TEXT(tbRegistroEntradas[[#This Row],[DATA DO CAIXA PREVISTO]],"mmm")))</f>
        <v>FEV</v>
      </c>
      <c r="O238" s="58">
        <f>IF(tbRegistroEntradas[[#This Row],[DATA DO CAIXA PREVISTO]]="N/A",0,YEAR(tbRegistroEntradas[[#This Row],[DATA DO CAIXA PREVISTO]]))</f>
        <v>2022</v>
      </c>
      <c r="P238" s="58" t="str">
        <f ca="1">IF(AND(tbRegistroEntradas[[#This Row],[DATA DE CAIXA REALIZADO]]="N/A",tbRegistroEntradas[[#This Row],[DATA DO CAIXA PREVISTO]]&lt;TODAY()),"Vencida","Não Vencida")</f>
        <v>Não Vencida</v>
      </c>
      <c r="Q238" s="58" t="str">
        <f>IF(tbRegistroEntradas[[#This Row],[DATA DA COMPETÊNCIA]]=tbRegistroEntradas[[#This Row],[DATA DO CAIXA PREVISTO]],"Vista","Prazo")</f>
        <v>Prazo</v>
      </c>
      <c r="R238" s="58" t="str">
        <f>IF(tbRegistroEntradas[[#This Row],[DATA DE CAIXA REALIZADO]]&lt;&gt;"N/A","Em Dia","Com atraso")</f>
        <v>Em Dia</v>
      </c>
    </row>
    <row r="239" spans="1:18" s="52" customFormat="1" ht="14.4" customHeight="1" x14ac:dyDescent="0.3">
      <c r="A239" s="49">
        <v>44611</v>
      </c>
      <c r="B239" s="49">
        <f>A239-31</f>
        <v>44580</v>
      </c>
      <c r="C239" s="125">
        <f>tbRegistroEntradas[[#This Row],[DATA DA COMPETÊNCIA]]</f>
        <v>44580</v>
      </c>
      <c r="D239" s="52" t="s">
        <v>67</v>
      </c>
      <c r="E239" s="52" t="s">
        <v>12</v>
      </c>
      <c r="F239" s="52" t="s">
        <v>18</v>
      </c>
      <c r="G239" s="52" t="s">
        <v>864</v>
      </c>
      <c r="H239" s="52" t="s">
        <v>134</v>
      </c>
      <c r="I239" s="18">
        <v>7096</v>
      </c>
      <c r="J239" s="110" t="str">
        <f>IF(tbRegistroEntradas[[#This Row],[DATA DE CAIXA REALIZADO]]="N/A","0",UPPER(TEXT(tbRegistroEntradas[[#This Row],[DATA DE CAIXA REALIZADO]],"mmm")))</f>
        <v>FEV</v>
      </c>
      <c r="K239" s="57">
        <f>IF(tbRegistroEntradas[[#This Row],[DATA DE CAIXA REALIZADO]]="N/A",0,YEAR(tbRegistroEntradas[[#This Row],[DATA DE CAIXA REALIZADO]]))</f>
        <v>2022</v>
      </c>
      <c r="L239" s="58" t="str">
        <f>IF(tbRegistroEntradas[[#This Row],[DATA DA COMPETÊNCIA]]="N/A","0",UPPER(TEXT(tbRegistroEntradas[[#This Row],[DATA DA COMPETÊNCIA]],"mmm")))</f>
        <v>JAN</v>
      </c>
      <c r="M239" s="58">
        <f>IF(tbRegistroEntradas[[#This Row],[DATA DA COMPETÊNCIA]]="N/A",0,YEAR(tbRegistroEntradas[[#This Row],[DATA DA COMPETÊNCIA]]))</f>
        <v>2022</v>
      </c>
      <c r="N239" s="58" t="str">
        <f>IF(tbRegistroEntradas[[#This Row],[DATA DO CAIXA PREVISTO]]="N/A","0",UPPER(TEXT(tbRegistroEntradas[[#This Row],[DATA DO CAIXA PREVISTO]],"mmm")))</f>
        <v>JAN</v>
      </c>
      <c r="O239" s="58">
        <f>IF(tbRegistroEntradas[[#This Row],[DATA DO CAIXA PREVISTO]]="N/A",0,YEAR(tbRegistroEntradas[[#This Row],[DATA DO CAIXA PREVISTO]]))</f>
        <v>2022</v>
      </c>
      <c r="P239" s="58" t="str">
        <f ca="1">IF(AND(tbRegistroEntradas[[#This Row],[DATA DE CAIXA REALIZADO]]="N/A",tbRegistroEntradas[[#This Row],[DATA DO CAIXA PREVISTO]]&lt;TODAY()),"Vencida","Não Vencida")</f>
        <v>Não Vencida</v>
      </c>
      <c r="Q239" s="58" t="str">
        <f>IF(tbRegistroEntradas[[#This Row],[DATA DA COMPETÊNCIA]]=tbRegistroEntradas[[#This Row],[DATA DO CAIXA PREVISTO]],"Vista","Prazo")</f>
        <v>Vista</v>
      </c>
      <c r="R239" s="58" t="str">
        <f>IF(tbRegistroEntradas[[#This Row],[DATA DE CAIXA REALIZADO]]&lt;&gt;"N/A","Em Dia","Com atraso")</f>
        <v>Em Dia</v>
      </c>
    </row>
    <row r="240" spans="1:18" s="52" customFormat="1" ht="14.4" customHeight="1" x14ac:dyDescent="0.3">
      <c r="A240" s="112">
        <v>44627.506331018521</v>
      </c>
      <c r="B240" s="114">
        <v>44582</v>
      </c>
      <c r="C240" s="114">
        <v>44627.506331018521</v>
      </c>
      <c r="D240" s="55" t="s">
        <v>137</v>
      </c>
      <c r="E240" s="55" t="s">
        <v>12</v>
      </c>
      <c r="F240" s="55" t="s">
        <v>32</v>
      </c>
      <c r="G240" s="55" t="s">
        <v>197</v>
      </c>
      <c r="H240" s="110" t="s">
        <v>104</v>
      </c>
      <c r="I240" s="119">
        <v>783</v>
      </c>
      <c r="J240" s="55" t="str">
        <f>IF(tbRegistroEntradas[[#This Row],[DATA DE CAIXA REALIZADO]]="N/A","0",UPPER(TEXT(tbRegistroEntradas[[#This Row],[DATA DE CAIXA REALIZADO]],"mmm")))</f>
        <v>MAR</v>
      </c>
      <c r="K240" s="58">
        <f>IF(tbRegistroEntradas[[#This Row],[DATA DE CAIXA REALIZADO]]="N/A",0,YEAR(tbRegistroEntradas[[#This Row],[DATA DE CAIXA REALIZADO]]))</f>
        <v>2022</v>
      </c>
      <c r="L240" s="79" t="str">
        <f>IF(tbRegistroEntradas[[#This Row],[DATA DA COMPETÊNCIA]]="N/A","0",UPPER(TEXT(tbRegistroEntradas[[#This Row],[DATA DA COMPETÊNCIA]],"mmm")))</f>
        <v>JAN</v>
      </c>
      <c r="M240" s="79">
        <f>IF(tbRegistroEntradas[[#This Row],[DATA DA COMPETÊNCIA]]="N/A",0,YEAR(tbRegistroEntradas[[#This Row],[DATA DA COMPETÊNCIA]]))</f>
        <v>2022</v>
      </c>
      <c r="N240" s="84" t="str">
        <f>IF(tbRegistroEntradas[[#This Row],[DATA DO CAIXA PREVISTO]]="N/A","0",UPPER(TEXT(tbRegistroEntradas[[#This Row],[DATA DO CAIXA PREVISTO]],"mmm")))</f>
        <v>MAR</v>
      </c>
      <c r="O240" s="84">
        <f>IF(tbRegistroEntradas[[#This Row],[DATA DO CAIXA PREVISTO]]="N/A",0,YEAR(tbRegistroEntradas[[#This Row],[DATA DO CAIXA PREVISTO]]))</f>
        <v>2022</v>
      </c>
      <c r="P240" s="58" t="str">
        <f ca="1">IF(AND(tbRegistroEntradas[[#This Row],[DATA DE CAIXA REALIZADO]]="N/A",tbRegistroEntradas[[#This Row],[DATA DO CAIXA PREVISTO]]&lt;TODAY()),"Vencida","Não Vencida")</f>
        <v>Não Vencida</v>
      </c>
      <c r="Q240" s="58" t="str">
        <f>IF(tbRegistroEntradas[[#This Row],[DATA DA COMPETÊNCIA]]=tbRegistroEntradas[[#This Row],[DATA DO CAIXA PREVISTO]],"Vista","Prazo")</f>
        <v>Prazo</v>
      </c>
      <c r="R240" s="58" t="str">
        <f>IF(tbRegistroEntradas[[#This Row],[DATA DE CAIXA REALIZADO]]&lt;&gt;"N/A","Em Dia","Com atraso")</f>
        <v>Em Dia</v>
      </c>
    </row>
    <row r="241" spans="1:18" s="52" customFormat="1" ht="14.4" customHeight="1" x14ac:dyDescent="0.3">
      <c r="A241" s="49">
        <v>44614</v>
      </c>
      <c r="B241" s="49">
        <f>A241-31</f>
        <v>44583</v>
      </c>
      <c r="C241" s="49">
        <f>(A241-B241)+B241-15</f>
        <v>44599</v>
      </c>
      <c r="D241" s="52" t="s">
        <v>65</v>
      </c>
      <c r="E241" s="52" t="s">
        <v>12</v>
      </c>
      <c r="F241" s="52" t="s">
        <v>17</v>
      </c>
      <c r="G241" s="52" t="s">
        <v>844</v>
      </c>
      <c r="H241" s="52" t="s">
        <v>89</v>
      </c>
      <c r="I241" s="18">
        <v>1200</v>
      </c>
      <c r="J241" s="110" t="str">
        <f>IF(tbRegistroEntradas[[#This Row],[DATA DE CAIXA REALIZADO]]="N/A","0",UPPER(TEXT(tbRegistroEntradas[[#This Row],[DATA DE CAIXA REALIZADO]],"mmm")))</f>
        <v>FEV</v>
      </c>
      <c r="K241" s="57">
        <f>IF(tbRegistroEntradas[[#This Row],[DATA DE CAIXA REALIZADO]]="N/A",0,YEAR(tbRegistroEntradas[[#This Row],[DATA DE CAIXA REALIZADO]]))</f>
        <v>2022</v>
      </c>
      <c r="L241" s="58" t="str">
        <f>IF(tbRegistroEntradas[[#This Row],[DATA DA COMPETÊNCIA]]="N/A","0",UPPER(TEXT(tbRegistroEntradas[[#This Row],[DATA DA COMPETÊNCIA]],"mmm")))</f>
        <v>JAN</v>
      </c>
      <c r="M241" s="58">
        <f>IF(tbRegistroEntradas[[#This Row],[DATA DA COMPETÊNCIA]]="N/A",0,YEAR(tbRegistroEntradas[[#This Row],[DATA DA COMPETÊNCIA]]))</f>
        <v>2022</v>
      </c>
      <c r="N241" s="58" t="str">
        <f>IF(tbRegistroEntradas[[#This Row],[DATA DO CAIXA PREVISTO]]="N/A","0",UPPER(TEXT(tbRegistroEntradas[[#This Row],[DATA DO CAIXA PREVISTO]],"mmm")))</f>
        <v>FEV</v>
      </c>
      <c r="O241" s="58">
        <f>IF(tbRegistroEntradas[[#This Row],[DATA DO CAIXA PREVISTO]]="N/A",0,YEAR(tbRegistroEntradas[[#This Row],[DATA DO CAIXA PREVISTO]]))</f>
        <v>2022</v>
      </c>
      <c r="P241" s="58" t="str">
        <f ca="1">IF(AND(tbRegistroEntradas[[#This Row],[DATA DE CAIXA REALIZADO]]="N/A",tbRegistroEntradas[[#This Row],[DATA DO CAIXA PREVISTO]]&lt;TODAY()),"Vencida","Não Vencida")</f>
        <v>Não Vencida</v>
      </c>
      <c r="Q241" s="58" t="str">
        <f>IF(tbRegistroEntradas[[#This Row],[DATA DA COMPETÊNCIA]]=tbRegistroEntradas[[#This Row],[DATA DO CAIXA PREVISTO]],"Vista","Prazo")</f>
        <v>Prazo</v>
      </c>
      <c r="R241" s="58" t="str">
        <f>IF(tbRegistroEntradas[[#This Row],[DATA DE CAIXA REALIZADO]]&lt;&gt;"N/A","Em Dia","Com atraso")</f>
        <v>Em Dia</v>
      </c>
    </row>
    <row r="242" spans="1:18" s="52" customFormat="1" ht="14.4" customHeight="1" x14ac:dyDescent="0.3">
      <c r="A242" s="113">
        <v>44625.402083333334</v>
      </c>
      <c r="B242" s="115">
        <v>44583</v>
      </c>
      <c r="C242" s="115">
        <v>44606.930243055554</v>
      </c>
      <c r="D242" s="116" t="s">
        <v>65</v>
      </c>
      <c r="E242" s="116" t="s">
        <v>12</v>
      </c>
      <c r="F242" s="116" t="s">
        <v>32</v>
      </c>
      <c r="G242" s="116" t="s">
        <v>198</v>
      </c>
      <c r="H242" s="52" t="s">
        <v>121</v>
      </c>
      <c r="I242" s="120">
        <v>3928</v>
      </c>
      <c r="J242" s="55" t="str">
        <f>IF(tbRegistroEntradas[[#This Row],[DATA DE CAIXA REALIZADO]]="N/A","0",UPPER(TEXT(tbRegistroEntradas[[#This Row],[DATA DE CAIXA REALIZADO]],"mmm")))</f>
        <v>MAR</v>
      </c>
      <c r="K242" s="58">
        <f>IF(tbRegistroEntradas[[#This Row],[DATA DE CAIXA REALIZADO]]="N/A",0,YEAR(tbRegistroEntradas[[#This Row],[DATA DE CAIXA REALIZADO]]))</f>
        <v>2022</v>
      </c>
      <c r="L242" s="79" t="str">
        <f>IF(tbRegistroEntradas[[#This Row],[DATA DA COMPETÊNCIA]]="N/A","0",UPPER(TEXT(tbRegistroEntradas[[#This Row],[DATA DA COMPETÊNCIA]],"mmm")))</f>
        <v>JAN</v>
      </c>
      <c r="M242" s="79">
        <f>IF(tbRegistroEntradas[[#This Row],[DATA DA COMPETÊNCIA]]="N/A",0,YEAR(tbRegistroEntradas[[#This Row],[DATA DA COMPETÊNCIA]]))</f>
        <v>2022</v>
      </c>
      <c r="N242" s="84" t="str">
        <f>IF(tbRegistroEntradas[[#This Row],[DATA DO CAIXA PREVISTO]]="N/A","0",UPPER(TEXT(tbRegistroEntradas[[#This Row],[DATA DO CAIXA PREVISTO]],"mmm")))</f>
        <v>FEV</v>
      </c>
      <c r="O242" s="84">
        <f>IF(tbRegistroEntradas[[#This Row],[DATA DO CAIXA PREVISTO]]="N/A",0,YEAR(tbRegistroEntradas[[#This Row],[DATA DO CAIXA PREVISTO]]))</f>
        <v>2022</v>
      </c>
      <c r="P242" s="58" t="str">
        <f ca="1">IF(AND(tbRegistroEntradas[[#This Row],[DATA DE CAIXA REALIZADO]]="N/A",tbRegistroEntradas[[#This Row],[DATA DO CAIXA PREVISTO]]&lt;TODAY()),"Vencida","Não Vencida")</f>
        <v>Não Vencida</v>
      </c>
      <c r="Q242" s="58" t="str">
        <f>IF(tbRegistroEntradas[[#This Row],[DATA DA COMPETÊNCIA]]=tbRegistroEntradas[[#This Row],[DATA DO CAIXA PREVISTO]],"Vista","Prazo")</f>
        <v>Prazo</v>
      </c>
      <c r="R242" s="58" t="str">
        <f>IF(tbRegistroEntradas[[#This Row],[DATA DE CAIXA REALIZADO]]&lt;&gt;"N/A","Em Dia","Com atraso")</f>
        <v>Em Dia</v>
      </c>
    </row>
    <row r="243" spans="1:18" s="52" customFormat="1" ht="14.4" customHeight="1" x14ac:dyDescent="0.3">
      <c r="A243" s="112">
        <v>44603.713587962964</v>
      </c>
      <c r="B243" s="114">
        <v>44585</v>
      </c>
      <c r="C243" s="125">
        <f>tbRegistroEntradas[[#This Row],[DATA DA COMPETÊNCIA]]</f>
        <v>44585</v>
      </c>
      <c r="D243" s="55" t="s">
        <v>64</v>
      </c>
      <c r="E243" s="55" t="s">
        <v>12</v>
      </c>
      <c r="F243" s="55" t="s">
        <v>17</v>
      </c>
      <c r="G243" s="55" t="s">
        <v>199</v>
      </c>
      <c r="H243" s="126" t="s">
        <v>112</v>
      </c>
      <c r="I243" s="119">
        <v>3843</v>
      </c>
      <c r="J243" s="55" t="str">
        <f>IF(tbRegistroEntradas[[#This Row],[DATA DE CAIXA REALIZADO]]="N/A","0",UPPER(TEXT(tbRegistroEntradas[[#This Row],[DATA DE CAIXA REALIZADO]],"mmm")))</f>
        <v>FEV</v>
      </c>
      <c r="K243" s="58">
        <f>IF(tbRegistroEntradas[[#This Row],[DATA DE CAIXA REALIZADO]]="N/A",0,YEAR(tbRegistroEntradas[[#This Row],[DATA DE CAIXA REALIZADO]]))</f>
        <v>2022</v>
      </c>
      <c r="L243" s="79" t="str">
        <f>IF(tbRegistroEntradas[[#This Row],[DATA DA COMPETÊNCIA]]="N/A","0",UPPER(TEXT(tbRegistroEntradas[[#This Row],[DATA DA COMPETÊNCIA]],"mmm")))</f>
        <v>JAN</v>
      </c>
      <c r="M243" s="79">
        <f>IF(tbRegistroEntradas[[#This Row],[DATA DA COMPETÊNCIA]]="N/A",0,YEAR(tbRegistroEntradas[[#This Row],[DATA DA COMPETÊNCIA]]))</f>
        <v>2022</v>
      </c>
      <c r="N243" s="84" t="str">
        <f>IF(tbRegistroEntradas[[#This Row],[DATA DO CAIXA PREVISTO]]="N/A","0",UPPER(TEXT(tbRegistroEntradas[[#This Row],[DATA DO CAIXA PREVISTO]],"mmm")))</f>
        <v>JAN</v>
      </c>
      <c r="O243" s="84">
        <f>IF(tbRegistroEntradas[[#This Row],[DATA DO CAIXA PREVISTO]]="N/A",0,YEAR(tbRegistroEntradas[[#This Row],[DATA DO CAIXA PREVISTO]]))</f>
        <v>2022</v>
      </c>
      <c r="P243" s="58" t="str">
        <f ca="1">IF(AND(tbRegistroEntradas[[#This Row],[DATA DE CAIXA REALIZADO]]="N/A",tbRegistroEntradas[[#This Row],[DATA DO CAIXA PREVISTO]]&lt;TODAY()),"Vencida","Não Vencida")</f>
        <v>Não Vencida</v>
      </c>
      <c r="Q243" s="58" t="str">
        <f>IF(tbRegistroEntradas[[#This Row],[DATA DA COMPETÊNCIA]]=tbRegistroEntradas[[#This Row],[DATA DO CAIXA PREVISTO]],"Vista","Prazo")</f>
        <v>Vista</v>
      </c>
      <c r="R243" s="58" t="str">
        <f>IF(tbRegistroEntradas[[#This Row],[DATA DE CAIXA REALIZADO]]&lt;&gt;"N/A","Em Dia","Com atraso")</f>
        <v>Em Dia</v>
      </c>
    </row>
    <row r="244" spans="1:18" s="52" customFormat="1" ht="14.4" customHeight="1" x14ac:dyDescent="0.3">
      <c r="A244" s="49">
        <v>44616</v>
      </c>
      <c r="B244" s="49">
        <f>A244-31</f>
        <v>44585</v>
      </c>
      <c r="C244" s="49">
        <f>(A244-B244)+B244-15</f>
        <v>44601</v>
      </c>
      <c r="D244" s="52" t="s">
        <v>66</v>
      </c>
      <c r="E244" s="52" t="s">
        <v>12</v>
      </c>
      <c r="F244" s="52" t="s">
        <v>19</v>
      </c>
      <c r="G244" s="52" t="s">
        <v>852</v>
      </c>
      <c r="H244" s="126" t="s">
        <v>126</v>
      </c>
      <c r="I244" s="18">
        <v>3726</v>
      </c>
      <c r="J244" s="110" t="str">
        <f>IF(tbRegistroEntradas[[#This Row],[DATA DE CAIXA REALIZADO]]="N/A","0",UPPER(TEXT(tbRegistroEntradas[[#This Row],[DATA DE CAIXA REALIZADO]],"mmm")))</f>
        <v>FEV</v>
      </c>
      <c r="K244" s="57">
        <f>IF(tbRegistroEntradas[[#This Row],[DATA DE CAIXA REALIZADO]]="N/A",0,YEAR(tbRegistroEntradas[[#This Row],[DATA DE CAIXA REALIZADO]]))</f>
        <v>2022</v>
      </c>
      <c r="L244" s="58" t="str">
        <f>IF(tbRegistroEntradas[[#This Row],[DATA DA COMPETÊNCIA]]="N/A","0",UPPER(TEXT(tbRegistroEntradas[[#This Row],[DATA DA COMPETÊNCIA]],"mmm")))</f>
        <v>JAN</v>
      </c>
      <c r="M244" s="58">
        <f>IF(tbRegistroEntradas[[#This Row],[DATA DA COMPETÊNCIA]]="N/A",0,YEAR(tbRegistroEntradas[[#This Row],[DATA DA COMPETÊNCIA]]))</f>
        <v>2022</v>
      </c>
      <c r="N244" s="58" t="str">
        <f>IF(tbRegistroEntradas[[#This Row],[DATA DO CAIXA PREVISTO]]="N/A","0",UPPER(TEXT(tbRegistroEntradas[[#This Row],[DATA DO CAIXA PREVISTO]],"mmm")))</f>
        <v>FEV</v>
      </c>
      <c r="O244" s="58">
        <f>IF(tbRegistroEntradas[[#This Row],[DATA DO CAIXA PREVISTO]]="N/A",0,YEAR(tbRegistroEntradas[[#This Row],[DATA DO CAIXA PREVISTO]]))</f>
        <v>2022</v>
      </c>
      <c r="P244" s="58" t="str">
        <f ca="1">IF(AND(tbRegistroEntradas[[#This Row],[DATA DE CAIXA REALIZADO]]="N/A",tbRegistroEntradas[[#This Row],[DATA DO CAIXA PREVISTO]]&lt;TODAY()),"Vencida","Não Vencida")</f>
        <v>Não Vencida</v>
      </c>
      <c r="Q244" s="58" t="str">
        <f>IF(tbRegistroEntradas[[#This Row],[DATA DA COMPETÊNCIA]]=tbRegistroEntradas[[#This Row],[DATA DO CAIXA PREVISTO]],"Vista","Prazo")</f>
        <v>Prazo</v>
      </c>
      <c r="R244" s="58" t="str">
        <f>IF(tbRegistroEntradas[[#This Row],[DATA DE CAIXA REALIZADO]]&lt;&gt;"N/A","Em Dia","Com atraso")</f>
        <v>Em Dia</v>
      </c>
    </row>
    <row r="245" spans="1:18" s="52" customFormat="1" ht="14.4" customHeight="1" x14ac:dyDescent="0.3">
      <c r="A245" s="113">
        <v>44644.516261574077</v>
      </c>
      <c r="B245" s="115">
        <v>44586</v>
      </c>
      <c r="C245" s="115">
        <v>44590.375300925924</v>
      </c>
      <c r="D245" s="116" t="s">
        <v>67</v>
      </c>
      <c r="E245" s="116" t="s">
        <v>12</v>
      </c>
      <c r="F245" s="116" t="s">
        <v>16</v>
      </c>
      <c r="G245" s="116" t="s">
        <v>200</v>
      </c>
      <c r="H245" s="52" t="s">
        <v>129</v>
      </c>
      <c r="I245" s="120">
        <v>1864</v>
      </c>
      <c r="J245" s="55" t="str">
        <f>IF(tbRegistroEntradas[[#This Row],[DATA DE CAIXA REALIZADO]]="N/A","0",UPPER(TEXT(tbRegistroEntradas[[#This Row],[DATA DE CAIXA REALIZADO]],"mmm")))</f>
        <v>MAR</v>
      </c>
      <c r="K245" s="58">
        <f>IF(tbRegistroEntradas[[#This Row],[DATA DE CAIXA REALIZADO]]="N/A",0,YEAR(tbRegistroEntradas[[#This Row],[DATA DE CAIXA REALIZADO]]))</f>
        <v>2022</v>
      </c>
      <c r="L245" s="79" t="str">
        <f>IF(tbRegistroEntradas[[#This Row],[DATA DA COMPETÊNCIA]]="N/A","0",UPPER(TEXT(tbRegistroEntradas[[#This Row],[DATA DA COMPETÊNCIA]],"mmm")))</f>
        <v>JAN</v>
      </c>
      <c r="M245" s="79">
        <f>IF(tbRegistroEntradas[[#This Row],[DATA DA COMPETÊNCIA]]="N/A",0,YEAR(tbRegistroEntradas[[#This Row],[DATA DA COMPETÊNCIA]]))</f>
        <v>2022</v>
      </c>
      <c r="N245" s="84" t="str">
        <f>IF(tbRegistroEntradas[[#This Row],[DATA DO CAIXA PREVISTO]]="N/A","0",UPPER(TEXT(tbRegistroEntradas[[#This Row],[DATA DO CAIXA PREVISTO]],"mmm")))</f>
        <v>JAN</v>
      </c>
      <c r="O245" s="84">
        <f>IF(tbRegistroEntradas[[#This Row],[DATA DO CAIXA PREVISTO]]="N/A",0,YEAR(tbRegistroEntradas[[#This Row],[DATA DO CAIXA PREVISTO]]))</f>
        <v>2022</v>
      </c>
      <c r="P245" s="58" t="str">
        <f ca="1">IF(AND(tbRegistroEntradas[[#This Row],[DATA DE CAIXA REALIZADO]]="N/A",tbRegistroEntradas[[#This Row],[DATA DO CAIXA PREVISTO]]&lt;TODAY()),"Vencida","Não Vencida")</f>
        <v>Não Vencida</v>
      </c>
      <c r="Q245" s="58" t="str">
        <f>IF(tbRegistroEntradas[[#This Row],[DATA DA COMPETÊNCIA]]=tbRegistroEntradas[[#This Row],[DATA DO CAIXA PREVISTO]],"Vista","Prazo")</f>
        <v>Prazo</v>
      </c>
      <c r="R245" s="58" t="str">
        <f>IF(tbRegistroEntradas[[#This Row],[DATA DE CAIXA REALIZADO]]&lt;&gt;"N/A","Em Dia","Com atraso")</f>
        <v>Em Dia</v>
      </c>
    </row>
    <row r="246" spans="1:18" s="52" customFormat="1" ht="14.4" customHeight="1" x14ac:dyDescent="0.3">
      <c r="A246" s="125">
        <v>44617</v>
      </c>
      <c r="B246" s="125">
        <f>A246-31</f>
        <v>44586</v>
      </c>
      <c r="C246" s="125">
        <f>(A246-B246)+B246-15</f>
        <v>44602</v>
      </c>
      <c r="D246" s="126" t="s">
        <v>67</v>
      </c>
      <c r="E246" s="126" t="s">
        <v>12</v>
      </c>
      <c r="F246" s="126" t="s">
        <v>19</v>
      </c>
      <c r="G246" s="126" t="s">
        <v>990</v>
      </c>
      <c r="H246" s="52" t="s">
        <v>70</v>
      </c>
      <c r="I246" s="127">
        <v>1009</v>
      </c>
      <c r="J246" s="110" t="str">
        <f>IF(tbRegistroEntradas[[#This Row],[DATA DE CAIXA REALIZADO]]="N/A","0",UPPER(TEXT(tbRegistroEntradas[[#This Row],[DATA DE CAIXA REALIZADO]],"mmm")))</f>
        <v>FEV</v>
      </c>
      <c r="K246" s="57">
        <f>IF(tbRegistroEntradas[[#This Row],[DATA DE CAIXA REALIZADO]]="N/A",0,YEAR(tbRegistroEntradas[[#This Row],[DATA DE CAIXA REALIZADO]]))</f>
        <v>2022</v>
      </c>
      <c r="L246" s="58" t="str">
        <f>IF(tbRegistroEntradas[[#This Row],[DATA DA COMPETÊNCIA]]="N/A","0",UPPER(TEXT(tbRegistroEntradas[[#This Row],[DATA DA COMPETÊNCIA]],"mmm")))</f>
        <v>JAN</v>
      </c>
      <c r="M246" s="58">
        <f>IF(tbRegistroEntradas[[#This Row],[DATA DA COMPETÊNCIA]]="N/A",0,YEAR(tbRegistroEntradas[[#This Row],[DATA DA COMPETÊNCIA]]))</f>
        <v>2022</v>
      </c>
      <c r="N246" s="58" t="str">
        <f>IF(tbRegistroEntradas[[#This Row],[DATA DO CAIXA PREVISTO]]="N/A","0",UPPER(TEXT(tbRegistroEntradas[[#This Row],[DATA DO CAIXA PREVISTO]],"mmm")))</f>
        <v>FEV</v>
      </c>
      <c r="O246" s="58">
        <f>IF(tbRegistroEntradas[[#This Row],[DATA DO CAIXA PREVISTO]]="N/A",0,YEAR(tbRegistroEntradas[[#This Row],[DATA DO CAIXA PREVISTO]]))</f>
        <v>2022</v>
      </c>
      <c r="P246" s="58" t="str">
        <f ca="1">IF(AND(tbRegistroEntradas[[#This Row],[DATA DE CAIXA REALIZADO]]="N/A",tbRegistroEntradas[[#This Row],[DATA DO CAIXA PREVISTO]]&lt;TODAY()),"Vencida","Não Vencida")</f>
        <v>Não Vencida</v>
      </c>
      <c r="Q246" s="58" t="str">
        <f>IF(tbRegistroEntradas[[#This Row],[DATA DA COMPETÊNCIA]]=tbRegistroEntradas[[#This Row],[DATA DO CAIXA PREVISTO]],"Vista","Prazo")</f>
        <v>Prazo</v>
      </c>
      <c r="R246" s="58" t="str">
        <f>IF(tbRegistroEntradas[[#This Row],[DATA DE CAIXA REALIZADO]]&lt;&gt;"N/A","Em Dia","Com atraso")</f>
        <v>Em Dia</v>
      </c>
    </row>
    <row r="247" spans="1:18" s="52" customFormat="1" ht="14.4" customHeight="1" x14ac:dyDescent="0.3">
      <c r="A247" s="49">
        <v>44618</v>
      </c>
      <c r="B247" s="49">
        <f>A247-31</f>
        <v>44587</v>
      </c>
      <c r="C247" s="125">
        <f>tbRegistroEntradas[[#This Row],[DATA DA COMPETÊNCIA]]</f>
        <v>44587</v>
      </c>
      <c r="D247" s="52" t="s">
        <v>63</v>
      </c>
      <c r="E247" s="52" t="s">
        <v>12</v>
      </c>
      <c r="F247" s="52" t="s">
        <v>32</v>
      </c>
      <c r="G247" s="52" t="s">
        <v>1053</v>
      </c>
      <c r="H247" s="126" t="s">
        <v>99</v>
      </c>
      <c r="I247" s="18">
        <v>4516</v>
      </c>
      <c r="J247" s="110" t="str">
        <f>IF(tbRegistroEntradas[[#This Row],[DATA DE CAIXA REALIZADO]]="N/A","0",UPPER(TEXT(tbRegistroEntradas[[#This Row],[DATA DE CAIXA REALIZADO]],"mmm")))</f>
        <v>FEV</v>
      </c>
      <c r="K247" s="57">
        <f>IF(tbRegistroEntradas[[#This Row],[DATA DE CAIXA REALIZADO]]="N/A",0,YEAR(tbRegistroEntradas[[#This Row],[DATA DE CAIXA REALIZADO]]))</f>
        <v>2022</v>
      </c>
      <c r="L247" s="58" t="str">
        <f>IF(tbRegistroEntradas[[#This Row],[DATA DA COMPETÊNCIA]]="N/A","0",UPPER(TEXT(tbRegistroEntradas[[#This Row],[DATA DA COMPETÊNCIA]],"mmm")))</f>
        <v>JAN</v>
      </c>
      <c r="M247" s="58">
        <f>IF(tbRegistroEntradas[[#This Row],[DATA DA COMPETÊNCIA]]="N/A",0,YEAR(tbRegistroEntradas[[#This Row],[DATA DA COMPETÊNCIA]]))</f>
        <v>2022</v>
      </c>
      <c r="N247" s="58" t="str">
        <f>IF(tbRegistroEntradas[[#This Row],[DATA DO CAIXA PREVISTO]]="N/A","0",UPPER(TEXT(tbRegistroEntradas[[#This Row],[DATA DO CAIXA PREVISTO]],"mmm")))</f>
        <v>JAN</v>
      </c>
      <c r="O247" s="58">
        <f>IF(tbRegistroEntradas[[#This Row],[DATA DO CAIXA PREVISTO]]="N/A",0,YEAR(tbRegistroEntradas[[#This Row],[DATA DO CAIXA PREVISTO]]))</f>
        <v>2022</v>
      </c>
      <c r="P247" s="58" t="str">
        <f ca="1">IF(AND(tbRegistroEntradas[[#This Row],[DATA DE CAIXA REALIZADO]]="N/A",tbRegistroEntradas[[#This Row],[DATA DO CAIXA PREVISTO]]&lt;TODAY()),"Vencida","Não Vencida")</f>
        <v>Não Vencida</v>
      </c>
      <c r="Q247" s="58" t="str">
        <f>IF(tbRegistroEntradas[[#This Row],[DATA DA COMPETÊNCIA]]=tbRegistroEntradas[[#This Row],[DATA DO CAIXA PREVISTO]],"Vista","Prazo")</f>
        <v>Vista</v>
      </c>
      <c r="R247" s="58" t="str">
        <f>IF(tbRegistroEntradas[[#This Row],[DATA DE CAIXA REALIZADO]]&lt;&gt;"N/A","Em Dia","Com atraso")</f>
        <v>Em Dia</v>
      </c>
    </row>
    <row r="248" spans="1:18" s="52" customFormat="1" ht="14.4" customHeight="1" x14ac:dyDescent="0.3">
      <c r="A248" s="49">
        <v>44620</v>
      </c>
      <c r="B248" s="49">
        <f>A248-31</f>
        <v>44589</v>
      </c>
      <c r="C248" s="49">
        <f>(A248-B248)+B248-15</f>
        <v>44605</v>
      </c>
      <c r="D248" s="52" t="s">
        <v>65</v>
      </c>
      <c r="E248" s="52" t="s">
        <v>12</v>
      </c>
      <c r="F248" s="52" t="s">
        <v>17</v>
      </c>
      <c r="G248" s="52" t="s">
        <v>985</v>
      </c>
      <c r="H248" s="52" t="s">
        <v>119</v>
      </c>
      <c r="I248" s="18">
        <v>5336</v>
      </c>
      <c r="J248" s="110" t="str">
        <f>IF(tbRegistroEntradas[[#This Row],[DATA DE CAIXA REALIZADO]]="N/A","0",UPPER(TEXT(tbRegistroEntradas[[#This Row],[DATA DE CAIXA REALIZADO]],"mmm")))</f>
        <v>FEV</v>
      </c>
      <c r="K248" s="57">
        <f>IF(tbRegistroEntradas[[#This Row],[DATA DE CAIXA REALIZADO]]="N/A",0,YEAR(tbRegistroEntradas[[#This Row],[DATA DE CAIXA REALIZADO]]))</f>
        <v>2022</v>
      </c>
      <c r="L248" s="58" t="str">
        <f>IF(tbRegistroEntradas[[#This Row],[DATA DA COMPETÊNCIA]]="N/A","0",UPPER(TEXT(tbRegistroEntradas[[#This Row],[DATA DA COMPETÊNCIA]],"mmm")))</f>
        <v>JAN</v>
      </c>
      <c r="M248" s="58">
        <f>IF(tbRegistroEntradas[[#This Row],[DATA DA COMPETÊNCIA]]="N/A",0,YEAR(tbRegistroEntradas[[#This Row],[DATA DA COMPETÊNCIA]]))</f>
        <v>2022</v>
      </c>
      <c r="N248" s="58" t="str">
        <f>IF(tbRegistroEntradas[[#This Row],[DATA DO CAIXA PREVISTO]]="N/A","0",UPPER(TEXT(tbRegistroEntradas[[#This Row],[DATA DO CAIXA PREVISTO]],"mmm")))</f>
        <v>FEV</v>
      </c>
      <c r="O248" s="58">
        <f>IF(tbRegistroEntradas[[#This Row],[DATA DO CAIXA PREVISTO]]="N/A",0,YEAR(tbRegistroEntradas[[#This Row],[DATA DO CAIXA PREVISTO]]))</f>
        <v>2022</v>
      </c>
      <c r="P248" s="58" t="str">
        <f ca="1">IF(AND(tbRegistroEntradas[[#This Row],[DATA DE CAIXA REALIZADO]]="N/A",tbRegistroEntradas[[#This Row],[DATA DO CAIXA PREVISTO]]&lt;TODAY()),"Vencida","Não Vencida")</f>
        <v>Não Vencida</v>
      </c>
      <c r="Q248" s="58" t="str">
        <f>IF(tbRegistroEntradas[[#This Row],[DATA DA COMPETÊNCIA]]=tbRegistroEntradas[[#This Row],[DATA DO CAIXA PREVISTO]],"Vista","Prazo")</f>
        <v>Prazo</v>
      </c>
      <c r="R248" s="58" t="str">
        <f>IF(tbRegistroEntradas[[#This Row],[DATA DE CAIXA REALIZADO]]&lt;&gt;"N/A","Em Dia","Com atraso")</f>
        <v>Em Dia</v>
      </c>
    </row>
    <row r="249" spans="1:18" s="52" customFormat="1" ht="14.4" customHeight="1" x14ac:dyDescent="0.3">
      <c r="A249" s="112">
        <v>44642.942094907405</v>
      </c>
      <c r="B249" s="114">
        <v>44589</v>
      </c>
      <c r="C249" s="114">
        <v>44642.942094907405</v>
      </c>
      <c r="D249" s="55" t="s">
        <v>66</v>
      </c>
      <c r="E249" s="55" t="s">
        <v>12</v>
      </c>
      <c r="F249" s="55" t="s">
        <v>19</v>
      </c>
      <c r="G249" s="55" t="s">
        <v>201</v>
      </c>
      <c r="H249" s="145" t="s">
        <v>127</v>
      </c>
      <c r="I249" s="119">
        <v>1184</v>
      </c>
      <c r="J249" s="55" t="str">
        <f>IF(tbRegistroEntradas[[#This Row],[DATA DE CAIXA REALIZADO]]="N/A","0",UPPER(TEXT(tbRegistroEntradas[[#This Row],[DATA DE CAIXA REALIZADO]],"mmm")))</f>
        <v>MAR</v>
      </c>
      <c r="K249" s="58">
        <f>IF(tbRegistroEntradas[[#This Row],[DATA DE CAIXA REALIZADO]]="N/A",0,YEAR(tbRegistroEntradas[[#This Row],[DATA DE CAIXA REALIZADO]]))</f>
        <v>2022</v>
      </c>
      <c r="L249" s="79" t="str">
        <f>IF(tbRegistroEntradas[[#This Row],[DATA DA COMPETÊNCIA]]="N/A","0",UPPER(TEXT(tbRegistroEntradas[[#This Row],[DATA DA COMPETÊNCIA]],"mmm")))</f>
        <v>JAN</v>
      </c>
      <c r="M249" s="79">
        <f>IF(tbRegistroEntradas[[#This Row],[DATA DA COMPETÊNCIA]]="N/A",0,YEAR(tbRegistroEntradas[[#This Row],[DATA DA COMPETÊNCIA]]))</f>
        <v>2022</v>
      </c>
      <c r="N249" s="84" t="str">
        <f>IF(tbRegistroEntradas[[#This Row],[DATA DO CAIXA PREVISTO]]="N/A","0",UPPER(TEXT(tbRegistroEntradas[[#This Row],[DATA DO CAIXA PREVISTO]],"mmm")))</f>
        <v>MAR</v>
      </c>
      <c r="O249" s="84">
        <f>IF(tbRegistroEntradas[[#This Row],[DATA DO CAIXA PREVISTO]]="N/A",0,YEAR(tbRegistroEntradas[[#This Row],[DATA DO CAIXA PREVISTO]]))</f>
        <v>2022</v>
      </c>
      <c r="P249" s="58" t="str">
        <f ca="1">IF(AND(tbRegistroEntradas[[#This Row],[DATA DE CAIXA REALIZADO]]="N/A",tbRegistroEntradas[[#This Row],[DATA DO CAIXA PREVISTO]]&lt;TODAY()),"Vencida","Não Vencida")</f>
        <v>Não Vencida</v>
      </c>
      <c r="Q249" s="58" t="str">
        <f>IF(tbRegistroEntradas[[#This Row],[DATA DA COMPETÊNCIA]]=tbRegistroEntradas[[#This Row],[DATA DO CAIXA PREVISTO]],"Vista","Prazo")</f>
        <v>Prazo</v>
      </c>
      <c r="R249" s="58" t="str">
        <f>IF(tbRegistroEntradas[[#This Row],[DATA DE CAIXA REALIZADO]]&lt;&gt;"N/A","Em Dia","Com atraso")</f>
        <v>Em Dia</v>
      </c>
    </row>
    <row r="250" spans="1:18" s="52" customFormat="1" ht="14.4" customHeight="1" x14ac:dyDescent="0.3">
      <c r="A250" s="113">
        <v>44622.22760416667</v>
      </c>
      <c r="B250" s="115">
        <v>44590</v>
      </c>
      <c r="C250" s="125">
        <f>tbRegistroEntradas[[#This Row],[DATA DA COMPETÊNCIA]]</f>
        <v>44590</v>
      </c>
      <c r="D250" s="116" t="s">
        <v>137</v>
      </c>
      <c r="E250" s="116" t="s">
        <v>12</v>
      </c>
      <c r="F250" s="116" t="s">
        <v>19</v>
      </c>
      <c r="G250" s="116" t="s">
        <v>202</v>
      </c>
      <c r="H250" s="143" t="s">
        <v>106</v>
      </c>
      <c r="I250" s="120">
        <v>4055</v>
      </c>
      <c r="J250" s="55" t="str">
        <f>IF(tbRegistroEntradas[[#This Row],[DATA DE CAIXA REALIZADO]]="N/A","0",UPPER(TEXT(tbRegistroEntradas[[#This Row],[DATA DE CAIXA REALIZADO]],"mmm")))</f>
        <v>MAR</v>
      </c>
      <c r="K250" s="58">
        <f>IF(tbRegistroEntradas[[#This Row],[DATA DE CAIXA REALIZADO]]="N/A",0,YEAR(tbRegistroEntradas[[#This Row],[DATA DE CAIXA REALIZADO]]))</f>
        <v>2022</v>
      </c>
      <c r="L250" s="79" t="str">
        <f>IF(tbRegistroEntradas[[#This Row],[DATA DA COMPETÊNCIA]]="N/A","0",UPPER(TEXT(tbRegistroEntradas[[#This Row],[DATA DA COMPETÊNCIA]],"mmm")))</f>
        <v>JAN</v>
      </c>
      <c r="M250" s="79">
        <f>IF(tbRegistroEntradas[[#This Row],[DATA DA COMPETÊNCIA]]="N/A",0,YEAR(tbRegistroEntradas[[#This Row],[DATA DA COMPETÊNCIA]]))</f>
        <v>2022</v>
      </c>
      <c r="N250" s="84" t="str">
        <f>IF(tbRegistroEntradas[[#This Row],[DATA DO CAIXA PREVISTO]]="N/A","0",UPPER(TEXT(tbRegistroEntradas[[#This Row],[DATA DO CAIXA PREVISTO]],"mmm")))</f>
        <v>JAN</v>
      </c>
      <c r="O250" s="84">
        <f>IF(tbRegistroEntradas[[#This Row],[DATA DO CAIXA PREVISTO]]="N/A",0,YEAR(tbRegistroEntradas[[#This Row],[DATA DO CAIXA PREVISTO]]))</f>
        <v>2022</v>
      </c>
      <c r="P250" s="58" t="str">
        <f ca="1">IF(AND(tbRegistroEntradas[[#This Row],[DATA DE CAIXA REALIZADO]]="N/A",tbRegistroEntradas[[#This Row],[DATA DO CAIXA PREVISTO]]&lt;TODAY()),"Vencida","Não Vencida")</f>
        <v>Não Vencida</v>
      </c>
      <c r="Q250" s="58" t="str">
        <f>IF(tbRegistroEntradas[[#This Row],[DATA DA COMPETÊNCIA]]=tbRegistroEntradas[[#This Row],[DATA DO CAIXA PREVISTO]],"Vista","Prazo")</f>
        <v>Vista</v>
      </c>
      <c r="R250" s="58" t="str">
        <f>IF(tbRegistroEntradas[[#This Row],[DATA DE CAIXA REALIZADO]]&lt;&gt;"N/A","Em Dia","Com atraso")</f>
        <v>Em Dia</v>
      </c>
    </row>
    <row r="251" spans="1:18" s="52" customFormat="1" ht="14.4" customHeight="1" x14ac:dyDescent="0.3">
      <c r="A251" s="112">
        <v>44639.32707175926</v>
      </c>
      <c r="B251" s="114">
        <v>44591</v>
      </c>
      <c r="C251" s="125">
        <f>tbRegistroEntradas[[#This Row],[DATA DA COMPETÊNCIA]]</f>
        <v>44591</v>
      </c>
      <c r="D251" s="55" t="s">
        <v>63</v>
      </c>
      <c r="E251" s="55" t="s">
        <v>12</v>
      </c>
      <c r="F251" s="55" t="s">
        <v>19</v>
      </c>
      <c r="G251" s="55" t="s">
        <v>203</v>
      </c>
      <c r="H251" s="126" t="s">
        <v>100</v>
      </c>
      <c r="I251" s="119">
        <v>427</v>
      </c>
      <c r="J251" s="55" t="str">
        <f>IF(tbRegistroEntradas[[#This Row],[DATA DE CAIXA REALIZADO]]="N/A","0",UPPER(TEXT(tbRegistroEntradas[[#This Row],[DATA DE CAIXA REALIZADO]],"mmm")))</f>
        <v>MAR</v>
      </c>
      <c r="K251" s="58">
        <f>IF(tbRegistroEntradas[[#This Row],[DATA DE CAIXA REALIZADO]]="N/A",0,YEAR(tbRegistroEntradas[[#This Row],[DATA DE CAIXA REALIZADO]]))</f>
        <v>2022</v>
      </c>
      <c r="L251" s="79" t="str">
        <f>IF(tbRegistroEntradas[[#This Row],[DATA DA COMPETÊNCIA]]="N/A","0",UPPER(TEXT(tbRegistroEntradas[[#This Row],[DATA DA COMPETÊNCIA]],"mmm")))</f>
        <v>JAN</v>
      </c>
      <c r="M251" s="79">
        <f>IF(tbRegistroEntradas[[#This Row],[DATA DA COMPETÊNCIA]]="N/A",0,YEAR(tbRegistroEntradas[[#This Row],[DATA DA COMPETÊNCIA]]))</f>
        <v>2022</v>
      </c>
      <c r="N251" s="84" t="str">
        <f>IF(tbRegistroEntradas[[#This Row],[DATA DO CAIXA PREVISTO]]="N/A","0",UPPER(TEXT(tbRegistroEntradas[[#This Row],[DATA DO CAIXA PREVISTO]],"mmm")))</f>
        <v>JAN</v>
      </c>
      <c r="O251" s="84">
        <f>IF(tbRegistroEntradas[[#This Row],[DATA DO CAIXA PREVISTO]]="N/A",0,YEAR(tbRegistroEntradas[[#This Row],[DATA DO CAIXA PREVISTO]]))</f>
        <v>2022</v>
      </c>
      <c r="P251" s="58" t="str">
        <f ca="1">IF(AND(tbRegistroEntradas[[#This Row],[DATA DE CAIXA REALIZADO]]="N/A",tbRegistroEntradas[[#This Row],[DATA DO CAIXA PREVISTO]]&lt;TODAY()),"Vencida","Não Vencida")</f>
        <v>Não Vencida</v>
      </c>
      <c r="Q251" s="58" t="str">
        <f>IF(tbRegistroEntradas[[#This Row],[DATA DA COMPETÊNCIA]]=tbRegistroEntradas[[#This Row],[DATA DO CAIXA PREVISTO]],"Vista","Prazo")</f>
        <v>Vista</v>
      </c>
      <c r="R251" s="58" t="str">
        <f>IF(tbRegistroEntradas[[#This Row],[DATA DE CAIXA REALIZADO]]&lt;&gt;"N/A","Em Dia","Com atraso")</f>
        <v>Em Dia</v>
      </c>
    </row>
    <row r="252" spans="1:18" s="52" customFormat="1" ht="14.4" customHeight="1" x14ac:dyDescent="0.3">
      <c r="A252" s="113">
        <v>44599.085439814815</v>
      </c>
      <c r="B252" s="115">
        <v>44594</v>
      </c>
      <c r="C252" s="115">
        <v>44599.085439814815</v>
      </c>
      <c r="D252" s="116" t="s">
        <v>137</v>
      </c>
      <c r="E252" s="116" t="s">
        <v>12</v>
      </c>
      <c r="F252" s="116" t="s">
        <v>18</v>
      </c>
      <c r="G252" s="116" t="s">
        <v>204</v>
      </c>
      <c r="H252" s="143" t="s">
        <v>107</v>
      </c>
      <c r="I252" s="120">
        <v>460</v>
      </c>
      <c r="J252" s="55" t="str">
        <f>IF(tbRegistroEntradas[[#This Row],[DATA DE CAIXA REALIZADO]]="N/A","0",UPPER(TEXT(tbRegistroEntradas[[#This Row],[DATA DE CAIXA REALIZADO]],"mmm")))</f>
        <v>FEV</v>
      </c>
      <c r="K252" s="58">
        <f>IF(tbRegistroEntradas[[#This Row],[DATA DE CAIXA REALIZADO]]="N/A",0,YEAR(tbRegistroEntradas[[#This Row],[DATA DE CAIXA REALIZADO]]))</f>
        <v>2022</v>
      </c>
      <c r="L252" s="79" t="str">
        <f>IF(tbRegistroEntradas[[#This Row],[DATA DA COMPETÊNCIA]]="N/A","0",UPPER(TEXT(tbRegistroEntradas[[#This Row],[DATA DA COMPETÊNCIA]],"mmm")))</f>
        <v>FEV</v>
      </c>
      <c r="M252" s="79">
        <f>IF(tbRegistroEntradas[[#This Row],[DATA DA COMPETÊNCIA]]="N/A",0,YEAR(tbRegistroEntradas[[#This Row],[DATA DA COMPETÊNCIA]]))</f>
        <v>2022</v>
      </c>
      <c r="N252" s="84" t="str">
        <f>IF(tbRegistroEntradas[[#This Row],[DATA DO CAIXA PREVISTO]]="N/A","0",UPPER(TEXT(tbRegistroEntradas[[#This Row],[DATA DO CAIXA PREVISTO]],"mmm")))</f>
        <v>FEV</v>
      </c>
      <c r="O252" s="84">
        <f>IF(tbRegistroEntradas[[#This Row],[DATA DO CAIXA PREVISTO]]="N/A",0,YEAR(tbRegistroEntradas[[#This Row],[DATA DO CAIXA PREVISTO]]))</f>
        <v>2022</v>
      </c>
      <c r="P252" s="58" t="str">
        <f ca="1">IF(AND(tbRegistroEntradas[[#This Row],[DATA DE CAIXA REALIZADO]]="N/A",tbRegistroEntradas[[#This Row],[DATA DO CAIXA PREVISTO]]&lt;TODAY()),"Vencida","Não Vencida")</f>
        <v>Não Vencida</v>
      </c>
      <c r="Q252" s="58" t="str">
        <f>IF(tbRegistroEntradas[[#This Row],[DATA DA COMPETÊNCIA]]=tbRegistroEntradas[[#This Row],[DATA DO CAIXA PREVISTO]],"Vista","Prazo")</f>
        <v>Prazo</v>
      </c>
      <c r="R252" s="58" t="str">
        <f>IF(tbRegistroEntradas[[#This Row],[DATA DE CAIXA REALIZADO]]&lt;&gt;"N/A","Em Dia","Com atraso")</f>
        <v>Em Dia</v>
      </c>
    </row>
    <row r="253" spans="1:18" s="52" customFormat="1" ht="14.4" customHeight="1" x14ac:dyDescent="0.3">
      <c r="A253" s="49">
        <v>44625</v>
      </c>
      <c r="B253" s="49">
        <f>A253-31</f>
        <v>44594</v>
      </c>
      <c r="C253" s="49">
        <f>(A253-B253)+B253-15</f>
        <v>44610</v>
      </c>
      <c r="D253" s="52" t="s">
        <v>66</v>
      </c>
      <c r="E253" s="52" t="s">
        <v>12</v>
      </c>
      <c r="F253" s="52" t="s">
        <v>16</v>
      </c>
      <c r="G253" s="52" t="s">
        <v>926</v>
      </c>
      <c r="H253" s="52" t="s">
        <v>128</v>
      </c>
      <c r="I253" s="18">
        <v>2049</v>
      </c>
      <c r="J253" s="110" t="str">
        <f>IF(tbRegistroEntradas[[#This Row],[DATA DE CAIXA REALIZADO]]="N/A","0",UPPER(TEXT(tbRegistroEntradas[[#This Row],[DATA DE CAIXA REALIZADO]],"mmm")))</f>
        <v>MAR</v>
      </c>
      <c r="K253" s="57">
        <f>IF(tbRegistroEntradas[[#This Row],[DATA DE CAIXA REALIZADO]]="N/A",0,YEAR(tbRegistroEntradas[[#This Row],[DATA DE CAIXA REALIZADO]]))</f>
        <v>2022</v>
      </c>
      <c r="L253" s="58" t="str">
        <f>IF(tbRegistroEntradas[[#This Row],[DATA DA COMPETÊNCIA]]="N/A","0",UPPER(TEXT(tbRegistroEntradas[[#This Row],[DATA DA COMPETÊNCIA]],"mmm")))</f>
        <v>FEV</v>
      </c>
      <c r="M253" s="58">
        <f>IF(tbRegistroEntradas[[#This Row],[DATA DA COMPETÊNCIA]]="N/A",0,YEAR(tbRegistroEntradas[[#This Row],[DATA DA COMPETÊNCIA]]))</f>
        <v>2022</v>
      </c>
      <c r="N253" s="58" t="str">
        <f>IF(tbRegistroEntradas[[#This Row],[DATA DO CAIXA PREVISTO]]="N/A","0",UPPER(TEXT(tbRegistroEntradas[[#This Row],[DATA DO CAIXA PREVISTO]],"mmm")))</f>
        <v>FEV</v>
      </c>
      <c r="O253" s="58">
        <f>IF(tbRegistroEntradas[[#This Row],[DATA DO CAIXA PREVISTO]]="N/A",0,YEAR(tbRegistroEntradas[[#This Row],[DATA DO CAIXA PREVISTO]]))</f>
        <v>2022</v>
      </c>
      <c r="P253" s="58" t="str">
        <f ca="1">IF(AND(tbRegistroEntradas[[#This Row],[DATA DE CAIXA REALIZADO]]="N/A",tbRegistroEntradas[[#This Row],[DATA DO CAIXA PREVISTO]]&lt;TODAY()),"Vencida","Não Vencida")</f>
        <v>Não Vencida</v>
      </c>
      <c r="Q253" s="58" t="str">
        <f>IF(tbRegistroEntradas[[#This Row],[DATA DA COMPETÊNCIA]]=tbRegistroEntradas[[#This Row],[DATA DO CAIXA PREVISTO]],"Vista","Prazo")</f>
        <v>Prazo</v>
      </c>
      <c r="R253" s="58" t="str">
        <f>IF(tbRegistroEntradas[[#This Row],[DATA DE CAIXA REALIZADO]]&lt;&gt;"N/A","Em Dia","Com atraso")</f>
        <v>Em Dia</v>
      </c>
    </row>
    <row r="254" spans="1:18" s="52" customFormat="1" ht="14.4" customHeight="1" x14ac:dyDescent="0.3">
      <c r="A254" s="49">
        <v>44625</v>
      </c>
      <c r="B254" s="49">
        <f>A254-31</f>
        <v>44594</v>
      </c>
      <c r="C254" s="49">
        <f>(A254-B254)+B254-15</f>
        <v>44610</v>
      </c>
      <c r="D254" s="52" t="s">
        <v>138</v>
      </c>
      <c r="E254" s="52" t="s">
        <v>12</v>
      </c>
      <c r="F254" s="52" t="s">
        <v>16</v>
      </c>
      <c r="G254" s="52" t="s">
        <v>1082</v>
      </c>
      <c r="H254" s="126" t="s">
        <v>76</v>
      </c>
      <c r="I254" s="18">
        <v>6333</v>
      </c>
      <c r="J254" s="110" t="str">
        <f>IF(tbRegistroEntradas[[#This Row],[DATA DE CAIXA REALIZADO]]="N/A","0",UPPER(TEXT(tbRegistroEntradas[[#This Row],[DATA DE CAIXA REALIZADO]],"mmm")))</f>
        <v>MAR</v>
      </c>
      <c r="K254" s="57">
        <f>IF(tbRegistroEntradas[[#This Row],[DATA DE CAIXA REALIZADO]]="N/A",0,YEAR(tbRegistroEntradas[[#This Row],[DATA DE CAIXA REALIZADO]]))</f>
        <v>2022</v>
      </c>
      <c r="L254" s="58" t="str">
        <f>IF(tbRegistroEntradas[[#This Row],[DATA DA COMPETÊNCIA]]="N/A","0",UPPER(TEXT(tbRegistroEntradas[[#This Row],[DATA DA COMPETÊNCIA]],"mmm")))</f>
        <v>FEV</v>
      </c>
      <c r="M254" s="58">
        <f>IF(tbRegistroEntradas[[#This Row],[DATA DA COMPETÊNCIA]]="N/A",0,YEAR(tbRegistroEntradas[[#This Row],[DATA DA COMPETÊNCIA]]))</f>
        <v>2022</v>
      </c>
      <c r="N254" s="58" t="str">
        <f>IF(tbRegistroEntradas[[#This Row],[DATA DO CAIXA PREVISTO]]="N/A","0",UPPER(TEXT(tbRegistroEntradas[[#This Row],[DATA DO CAIXA PREVISTO]],"mmm")))</f>
        <v>FEV</v>
      </c>
      <c r="O254" s="58">
        <f>IF(tbRegistroEntradas[[#This Row],[DATA DO CAIXA PREVISTO]]="N/A",0,YEAR(tbRegistroEntradas[[#This Row],[DATA DO CAIXA PREVISTO]]))</f>
        <v>2022</v>
      </c>
      <c r="P254" s="58" t="str">
        <f ca="1">IF(AND(tbRegistroEntradas[[#This Row],[DATA DE CAIXA REALIZADO]]="N/A",tbRegistroEntradas[[#This Row],[DATA DO CAIXA PREVISTO]]&lt;TODAY()),"Vencida","Não Vencida")</f>
        <v>Não Vencida</v>
      </c>
      <c r="Q254" s="58" t="str">
        <f>IF(tbRegistroEntradas[[#This Row],[DATA DA COMPETÊNCIA]]=tbRegistroEntradas[[#This Row],[DATA DO CAIXA PREVISTO]],"Vista","Prazo")</f>
        <v>Prazo</v>
      </c>
      <c r="R254" s="58" t="str">
        <f>IF(tbRegistroEntradas[[#This Row],[DATA DE CAIXA REALIZADO]]&lt;&gt;"N/A","Em Dia","Com atraso")</f>
        <v>Em Dia</v>
      </c>
    </row>
    <row r="255" spans="1:18" s="52" customFormat="1" ht="14.4" customHeight="1" x14ac:dyDescent="0.3">
      <c r="A255" s="125">
        <v>44625</v>
      </c>
      <c r="B255" s="125">
        <f>A255-31</f>
        <v>44594</v>
      </c>
      <c r="C255" s="125">
        <f>(A255-B255)+B255-15</f>
        <v>44610</v>
      </c>
      <c r="D255" s="126" t="s">
        <v>67</v>
      </c>
      <c r="E255" s="126" t="s">
        <v>12</v>
      </c>
      <c r="F255" s="126" t="s">
        <v>17</v>
      </c>
      <c r="G255" s="126" t="s">
        <v>1048</v>
      </c>
      <c r="H255" s="126" t="s">
        <v>130</v>
      </c>
      <c r="I255" s="127">
        <v>4970</v>
      </c>
      <c r="J255" s="110" t="str">
        <f>IF(tbRegistroEntradas[[#This Row],[DATA DE CAIXA REALIZADO]]="N/A","0",UPPER(TEXT(tbRegistroEntradas[[#This Row],[DATA DE CAIXA REALIZADO]],"mmm")))</f>
        <v>MAR</v>
      </c>
      <c r="K255" s="57">
        <f>IF(tbRegistroEntradas[[#This Row],[DATA DE CAIXA REALIZADO]]="N/A",0,YEAR(tbRegistroEntradas[[#This Row],[DATA DE CAIXA REALIZADO]]))</f>
        <v>2022</v>
      </c>
      <c r="L255" s="58" t="str">
        <f>IF(tbRegistroEntradas[[#This Row],[DATA DA COMPETÊNCIA]]="N/A","0",UPPER(TEXT(tbRegistroEntradas[[#This Row],[DATA DA COMPETÊNCIA]],"mmm")))</f>
        <v>FEV</v>
      </c>
      <c r="M255" s="58">
        <f>IF(tbRegistroEntradas[[#This Row],[DATA DA COMPETÊNCIA]]="N/A",0,YEAR(tbRegistroEntradas[[#This Row],[DATA DA COMPETÊNCIA]]))</f>
        <v>2022</v>
      </c>
      <c r="N255" s="58" t="str">
        <f>IF(tbRegistroEntradas[[#This Row],[DATA DO CAIXA PREVISTO]]="N/A","0",UPPER(TEXT(tbRegistroEntradas[[#This Row],[DATA DO CAIXA PREVISTO]],"mmm")))</f>
        <v>FEV</v>
      </c>
      <c r="O255" s="58">
        <f>IF(tbRegistroEntradas[[#This Row],[DATA DO CAIXA PREVISTO]]="N/A",0,YEAR(tbRegistroEntradas[[#This Row],[DATA DO CAIXA PREVISTO]]))</f>
        <v>2022</v>
      </c>
      <c r="P255" s="58" t="str">
        <f ca="1">IF(AND(tbRegistroEntradas[[#This Row],[DATA DE CAIXA REALIZADO]]="N/A",tbRegistroEntradas[[#This Row],[DATA DO CAIXA PREVISTO]]&lt;TODAY()),"Vencida","Não Vencida")</f>
        <v>Não Vencida</v>
      </c>
      <c r="Q255" s="58" t="str">
        <f>IF(tbRegistroEntradas[[#This Row],[DATA DA COMPETÊNCIA]]=tbRegistroEntradas[[#This Row],[DATA DO CAIXA PREVISTO]],"Vista","Prazo")</f>
        <v>Prazo</v>
      </c>
      <c r="R255" s="58" t="str">
        <f>IF(tbRegistroEntradas[[#This Row],[DATA DE CAIXA REALIZADO]]&lt;&gt;"N/A","Em Dia","Com atraso")</f>
        <v>Em Dia</v>
      </c>
    </row>
    <row r="256" spans="1:18" s="52" customFormat="1" ht="14.4" customHeight="1" x14ac:dyDescent="0.3">
      <c r="A256" s="125">
        <v>44626</v>
      </c>
      <c r="B256" s="125">
        <f>A256-31</f>
        <v>44595</v>
      </c>
      <c r="C256" s="125">
        <f>(A256-B256)+B256-15</f>
        <v>44611</v>
      </c>
      <c r="D256" s="126" t="s">
        <v>137</v>
      </c>
      <c r="E256" s="126" t="s">
        <v>12</v>
      </c>
      <c r="F256" s="126" t="s">
        <v>18</v>
      </c>
      <c r="G256" s="126" t="s">
        <v>1035</v>
      </c>
      <c r="H256" s="52" t="s">
        <v>73</v>
      </c>
      <c r="I256" s="127">
        <v>122</v>
      </c>
      <c r="J256" s="110" t="str">
        <f>IF(tbRegistroEntradas[[#This Row],[DATA DE CAIXA REALIZADO]]="N/A","0",UPPER(TEXT(tbRegistroEntradas[[#This Row],[DATA DE CAIXA REALIZADO]],"mmm")))</f>
        <v>MAR</v>
      </c>
      <c r="K256" s="57">
        <f>IF(tbRegistroEntradas[[#This Row],[DATA DE CAIXA REALIZADO]]="N/A",0,YEAR(tbRegistroEntradas[[#This Row],[DATA DE CAIXA REALIZADO]]))</f>
        <v>2022</v>
      </c>
      <c r="L256" s="58" t="str">
        <f>IF(tbRegistroEntradas[[#This Row],[DATA DA COMPETÊNCIA]]="N/A","0",UPPER(TEXT(tbRegistroEntradas[[#This Row],[DATA DA COMPETÊNCIA]],"mmm")))</f>
        <v>FEV</v>
      </c>
      <c r="M256" s="58">
        <f>IF(tbRegistroEntradas[[#This Row],[DATA DA COMPETÊNCIA]]="N/A",0,YEAR(tbRegistroEntradas[[#This Row],[DATA DA COMPETÊNCIA]]))</f>
        <v>2022</v>
      </c>
      <c r="N256" s="58" t="str">
        <f>IF(tbRegistroEntradas[[#This Row],[DATA DO CAIXA PREVISTO]]="N/A","0",UPPER(TEXT(tbRegistroEntradas[[#This Row],[DATA DO CAIXA PREVISTO]],"mmm")))</f>
        <v>FEV</v>
      </c>
      <c r="O256" s="58">
        <f>IF(tbRegistroEntradas[[#This Row],[DATA DO CAIXA PREVISTO]]="N/A",0,YEAR(tbRegistroEntradas[[#This Row],[DATA DO CAIXA PREVISTO]]))</f>
        <v>2022</v>
      </c>
      <c r="P256" s="58" t="str">
        <f ca="1">IF(AND(tbRegistroEntradas[[#This Row],[DATA DE CAIXA REALIZADO]]="N/A",tbRegistroEntradas[[#This Row],[DATA DO CAIXA PREVISTO]]&lt;TODAY()),"Vencida","Não Vencida")</f>
        <v>Não Vencida</v>
      </c>
      <c r="Q256" s="58" t="str">
        <f>IF(tbRegistroEntradas[[#This Row],[DATA DA COMPETÊNCIA]]=tbRegistroEntradas[[#This Row],[DATA DO CAIXA PREVISTO]],"Vista","Prazo")</f>
        <v>Prazo</v>
      </c>
      <c r="R256" s="58" t="str">
        <f>IF(tbRegistroEntradas[[#This Row],[DATA DE CAIXA REALIZADO]]&lt;&gt;"N/A","Em Dia","Com atraso")</f>
        <v>Em Dia</v>
      </c>
    </row>
    <row r="257" spans="1:18" s="52" customFormat="1" ht="14.4" customHeight="1" x14ac:dyDescent="0.3">
      <c r="A257" s="112">
        <v>44651.175995370373</v>
      </c>
      <c r="B257" s="114">
        <v>44597</v>
      </c>
      <c r="C257" s="125">
        <f>tbRegistroEntradas[[#This Row],[DATA DA COMPETÊNCIA]]</f>
        <v>44597</v>
      </c>
      <c r="D257" s="55" t="s">
        <v>61</v>
      </c>
      <c r="E257" s="55" t="s">
        <v>12</v>
      </c>
      <c r="F257" s="55" t="s">
        <v>32</v>
      </c>
      <c r="G257" s="55" t="s">
        <v>205</v>
      </c>
      <c r="H257" s="52" t="s">
        <v>81</v>
      </c>
      <c r="I257" s="119">
        <v>964</v>
      </c>
      <c r="J257" s="55" t="str">
        <f>IF(tbRegistroEntradas[[#This Row],[DATA DE CAIXA REALIZADO]]="N/A","0",UPPER(TEXT(tbRegistroEntradas[[#This Row],[DATA DE CAIXA REALIZADO]],"mmm")))</f>
        <v>MAR</v>
      </c>
      <c r="K257" s="58">
        <f>IF(tbRegistroEntradas[[#This Row],[DATA DE CAIXA REALIZADO]]="N/A",0,YEAR(tbRegistroEntradas[[#This Row],[DATA DE CAIXA REALIZADO]]))</f>
        <v>2022</v>
      </c>
      <c r="L257" s="79" t="str">
        <f>IF(tbRegistroEntradas[[#This Row],[DATA DA COMPETÊNCIA]]="N/A","0",UPPER(TEXT(tbRegistroEntradas[[#This Row],[DATA DA COMPETÊNCIA]],"mmm")))</f>
        <v>FEV</v>
      </c>
      <c r="M257" s="79">
        <f>IF(tbRegistroEntradas[[#This Row],[DATA DA COMPETÊNCIA]]="N/A",0,YEAR(tbRegistroEntradas[[#This Row],[DATA DA COMPETÊNCIA]]))</f>
        <v>2022</v>
      </c>
      <c r="N257" s="84" t="str">
        <f>IF(tbRegistroEntradas[[#This Row],[DATA DO CAIXA PREVISTO]]="N/A","0",UPPER(TEXT(tbRegistroEntradas[[#This Row],[DATA DO CAIXA PREVISTO]],"mmm")))</f>
        <v>FEV</v>
      </c>
      <c r="O257" s="84">
        <f>IF(tbRegistroEntradas[[#This Row],[DATA DO CAIXA PREVISTO]]="N/A",0,YEAR(tbRegistroEntradas[[#This Row],[DATA DO CAIXA PREVISTO]]))</f>
        <v>2022</v>
      </c>
      <c r="P257" s="58" t="str">
        <f ca="1">IF(AND(tbRegistroEntradas[[#This Row],[DATA DE CAIXA REALIZADO]]="N/A",tbRegistroEntradas[[#This Row],[DATA DO CAIXA PREVISTO]]&lt;TODAY()),"Vencida","Não Vencida")</f>
        <v>Não Vencida</v>
      </c>
      <c r="Q257" s="58" t="str">
        <f>IF(tbRegistroEntradas[[#This Row],[DATA DA COMPETÊNCIA]]=tbRegistroEntradas[[#This Row],[DATA DO CAIXA PREVISTO]],"Vista","Prazo")</f>
        <v>Vista</v>
      </c>
      <c r="R257" s="58" t="str">
        <f>IF(tbRegistroEntradas[[#This Row],[DATA DE CAIXA REALIZADO]]&lt;&gt;"N/A","Em Dia","Com atraso")</f>
        <v>Em Dia</v>
      </c>
    </row>
    <row r="258" spans="1:18" s="52" customFormat="1" ht="14.4" customHeight="1" x14ac:dyDescent="0.3">
      <c r="A258" s="49">
        <v>44628</v>
      </c>
      <c r="B258" s="49">
        <f>A258-31</f>
        <v>44597</v>
      </c>
      <c r="C258" s="125">
        <f>tbRegistroEntradas[[#This Row],[DATA DA COMPETÊNCIA]]</f>
        <v>44597</v>
      </c>
      <c r="D258" s="52" t="s">
        <v>138</v>
      </c>
      <c r="E258" s="52" t="s">
        <v>12</v>
      </c>
      <c r="F258" s="52" t="s">
        <v>17</v>
      </c>
      <c r="G258" s="52" t="s">
        <v>981</v>
      </c>
      <c r="H258" s="126" t="s">
        <v>77</v>
      </c>
      <c r="I258" s="18">
        <v>3180</v>
      </c>
      <c r="J258" s="110" t="str">
        <f>IF(tbRegistroEntradas[[#This Row],[DATA DE CAIXA REALIZADO]]="N/A","0",UPPER(TEXT(tbRegistroEntradas[[#This Row],[DATA DE CAIXA REALIZADO]],"mmm")))</f>
        <v>MAR</v>
      </c>
      <c r="K258" s="57">
        <f>IF(tbRegistroEntradas[[#This Row],[DATA DE CAIXA REALIZADO]]="N/A",0,YEAR(tbRegistroEntradas[[#This Row],[DATA DE CAIXA REALIZADO]]))</f>
        <v>2022</v>
      </c>
      <c r="L258" s="58" t="str">
        <f>IF(tbRegistroEntradas[[#This Row],[DATA DA COMPETÊNCIA]]="N/A","0",UPPER(TEXT(tbRegistroEntradas[[#This Row],[DATA DA COMPETÊNCIA]],"mmm")))</f>
        <v>FEV</v>
      </c>
      <c r="M258" s="58">
        <f>IF(tbRegistroEntradas[[#This Row],[DATA DA COMPETÊNCIA]]="N/A",0,YEAR(tbRegistroEntradas[[#This Row],[DATA DA COMPETÊNCIA]]))</f>
        <v>2022</v>
      </c>
      <c r="N258" s="58" t="str">
        <f>IF(tbRegistroEntradas[[#This Row],[DATA DO CAIXA PREVISTO]]="N/A","0",UPPER(TEXT(tbRegistroEntradas[[#This Row],[DATA DO CAIXA PREVISTO]],"mmm")))</f>
        <v>FEV</v>
      </c>
      <c r="O258" s="58">
        <f>IF(tbRegistroEntradas[[#This Row],[DATA DO CAIXA PREVISTO]]="N/A",0,YEAR(tbRegistroEntradas[[#This Row],[DATA DO CAIXA PREVISTO]]))</f>
        <v>2022</v>
      </c>
      <c r="P258" s="58" t="str">
        <f ca="1">IF(AND(tbRegistroEntradas[[#This Row],[DATA DE CAIXA REALIZADO]]="N/A",tbRegistroEntradas[[#This Row],[DATA DO CAIXA PREVISTO]]&lt;TODAY()),"Vencida","Não Vencida")</f>
        <v>Não Vencida</v>
      </c>
      <c r="Q258" s="58" t="str">
        <f>IF(tbRegistroEntradas[[#This Row],[DATA DA COMPETÊNCIA]]=tbRegistroEntradas[[#This Row],[DATA DO CAIXA PREVISTO]],"Vista","Prazo")</f>
        <v>Vista</v>
      </c>
      <c r="R258" s="58" t="str">
        <f>IF(tbRegistroEntradas[[#This Row],[DATA DE CAIXA REALIZADO]]&lt;&gt;"N/A","Em Dia","Com atraso")</f>
        <v>Em Dia</v>
      </c>
    </row>
    <row r="259" spans="1:18" s="52" customFormat="1" ht="14.4" customHeight="1" x14ac:dyDescent="0.3">
      <c r="A259" s="125">
        <v>44630</v>
      </c>
      <c r="B259" s="125">
        <f>A259-31</f>
        <v>44599</v>
      </c>
      <c r="C259" s="125">
        <f>tbRegistroEntradas[[#This Row],[DATA DA COMPETÊNCIA]]</f>
        <v>44599</v>
      </c>
      <c r="D259" s="126" t="s">
        <v>61</v>
      </c>
      <c r="E259" s="126" t="s">
        <v>12</v>
      </c>
      <c r="F259" s="126" t="s">
        <v>18</v>
      </c>
      <c r="G259" s="126" t="s">
        <v>1083</v>
      </c>
      <c r="H259" s="52" t="s">
        <v>82</v>
      </c>
      <c r="I259" s="127">
        <v>1736</v>
      </c>
      <c r="J259" s="110" t="str">
        <f>IF(tbRegistroEntradas[[#This Row],[DATA DE CAIXA REALIZADO]]="N/A","0",UPPER(TEXT(tbRegistroEntradas[[#This Row],[DATA DE CAIXA REALIZADO]],"mmm")))</f>
        <v>MAR</v>
      </c>
      <c r="K259" s="57">
        <f>IF(tbRegistroEntradas[[#This Row],[DATA DE CAIXA REALIZADO]]="N/A",0,YEAR(tbRegistroEntradas[[#This Row],[DATA DE CAIXA REALIZADO]]))</f>
        <v>2022</v>
      </c>
      <c r="L259" s="58" t="str">
        <f>IF(tbRegistroEntradas[[#This Row],[DATA DA COMPETÊNCIA]]="N/A","0",UPPER(TEXT(tbRegistroEntradas[[#This Row],[DATA DA COMPETÊNCIA]],"mmm")))</f>
        <v>FEV</v>
      </c>
      <c r="M259" s="58">
        <f>IF(tbRegistroEntradas[[#This Row],[DATA DA COMPETÊNCIA]]="N/A",0,YEAR(tbRegistroEntradas[[#This Row],[DATA DA COMPETÊNCIA]]))</f>
        <v>2022</v>
      </c>
      <c r="N259" s="58" t="str">
        <f>IF(tbRegistroEntradas[[#This Row],[DATA DO CAIXA PREVISTO]]="N/A","0",UPPER(TEXT(tbRegistroEntradas[[#This Row],[DATA DO CAIXA PREVISTO]],"mmm")))</f>
        <v>FEV</v>
      </c>
      <c r="O259" s="58">
        <f>IF(tbRegistroEntradas[[#This Row],[DATA DO CAIXA PREVISTO]]="N/A",0,YEAR(tbRegistroEntradas[[#This Row],[DATA DO CAIXA PREVISTO]]))</f>
        <v>2022</v>
      </c>
      <c r="P259" s="58" t="str">
        <f ca="1">IF(AND(tbRegistroEntradas[[#This Row],[DATA DE CAIXA REALIZADO]]="N/A",tbRegistroEntradas[[#This Row],[DATA DO CAIXA PREVISTO]]&lt;TODAY()),"Vencida","Não Vencida")</f>
        <v>Não Vencida</v>
      </c>
      <c r="Q259" s="58" t="str">
        <f>IF(tbRegistroEntradas[[#This Row],[DATA DA COMPETÊNCIA]]=tbRegistroEntradas[[#This Row],[DATA DO CAIXA PREVISTO]],"Vista","Prazo")</f>
        <v>Vista</v>
      </c>
      <c r="R259" s="58" t="str">
        <f>IF(tbRegistroEntradas[[#This Row],[DATA DE CAIXA REALIZADO]]&lt;&gt;"N/A","Em Dia","Com atraso")</f>
        <v>Em Dia</v>
      </c>
    </row>
    <row r="260" spans="1:18" s="52" customFormat="1" ht="14.4" customHeight="1" x14ac:dyDescent="0.3">
      <c r="A260" s="113">
        <v>44606.940972222219</v>
      </c>
      <c r="B260" s="115">
        <v>44601</v>
      </c>
      <c r="C260" s="115">
        <v>44606.940972222219</v>
      </c>
      <c r="D260" s="116" t="s">
        <v>61</v>
      </c>
      <c r="E260" s="116" t="s">
        <v>12</v>
      </c>
      <c r="F260" s="116" t="s">
        <v>19</v>
      </c>
      <c r="G260" s="116" t="s">
        <v>206</v>
      </c>
      <c r="H260" s="52" t="s">
        <v>83</v>
      </c>
      <c r="I260" s="120">
        <v>3412</v>
      </c>
      <c r="J260" s="55" t="str">
        <f>IF(tbRegistroEntradas[[#This Row],[DATA DE CAIXA REALIZADO]]="N/A","0",UPPER(TEXT(tbRegistroEntradas[[#This Row],[DATA DE CAIXA REALIZADO]],"mmm")))</f>
        <v>FEV</v>
      </c>
      <c r="K260" s="58">
        <f>IF(tbRegistroEntradas[[#This Row],[DATA DE CAIXA REALIZADO]]="N/A",0,YEAR(tbRegistroEntradas[[#This Row],[DATA DE CAIXA REALIZADO]]))</f>
        <v>2022</v>
      </c>
      <c r="L260" s="79" t="str">
        <f>IF(tbRegistroEntradas[[#This Row],[DATA DA COMPETÊNCIA]]="N/A","0",UPPER(TEXT(tbRegistroEntradas[[#This Row],[DATA DA COMPETÊNCIA]],"mmm")))</f>
        <v>FEV</v>
      </c>
      <c r="M260" s="79">
        <f>IF(tbRegistroEntradas[[#This Row],[DATA DA COMPETÊNCIA]]="N/A",0,YEAR(tbRegistroEntradas[[#This Row],[DATA DA COMPETÊNCIA]]))</f>
        <v>2022</v>
      </c>
      <c r="N260" s="84" t="str">
        <f>IF(tbRegistroEntradas[[#This Row],[DATA DO CAIXA PREVISTO]]="N/A","0",UPPER(TEXT(tbRegistroEntradas[[#This Row],[DATA DO CAIXA PREVISTO]],"mmm")))</f>
        <v>FEV</v>
      </c>
      <c r="O260" s="84">
        <f>IF(tbRegistroEntradas[[#This Row],[DATA DO CAIXA PREVISTO]]="N/A",0,YEAR(tbRegistroEntradas[[#This Row],[DATA DO CAIXA PREVISTO]]))</f>
        <v>2022</v>
      </c>
      <c r="P260" s="58" t="str">
        <f ca="1">IF(AND(tbRegistroEntradas[[#This Row],[DATA DE CAIXA REALIZADO]]="N/A",tbRegistroEntradas[[#This Row],[DATA DO CAIXA PREVISTO]]&lt;TODAY()),"Vencida","Não Vencida")</f>
        <v>Não Vencida</v>
      </c>
      <c r="Q260" s="58" t="str">
        <f>IF(tbRegistroEntradas[[#This Row],[DATA DA COMPETÊNCIA]]=tbRegistroEntradas[[#This Row],[DATA DO CAIXA PREVISTO]],"Vista","Prazo")</f>
        <v>Prazo</v>
      </c>
      <c r="R260" s="58" t="str">
        <f>IF(tbRegistroEntradas[[#This Row],[DATA DE CAIXA REALIZADO]]&lt;&gt;"N/A","Em Dia","Com atraso")</f>
        <v>Em Dia</v>
      </c>
    </row>
    <row r="261" spans="1:18" s="52" customFormat="1" ht="14.4" customHeight="1" x14ac:dyDescent="0.3">
      <c r="A261" s="112">
        <v>44607.225752314815</v>
      </c>
      <c r="B261" s="114">
        <v>44603</v>
      </c>
      <c r="C261" s="114">
        <v>44607.225752314815</v>
      </c>
      <c r="D261" s="114" t="s">
        <v>62</v>
      </c>
      <c r="E261" s="55" t="s">
        <v>12</v>
      </c>
      <c r="F261" s="55" t="s">
        <v>17</v>
      </c>
      <c r="G261" s="55" t="s">
        <v>207</v>
      </c>
      <c r="H261" s="110" t="s">
        <v>96</v>
      </c>
      <c r="I261" s="119">
        <v>3095</v>
      </c>
      <c r="J261" s="55" t="str">
        <f>IF(tbRegistroEntradas[[#This Row],[DATA DE CAIXA REALIZADO]]="N/A","0",UPPER(TEXT(tbRegistroEntradas[[#This Row],[DATA DE CAIXA REALIZADO]],"mmm")))</f>
        <v>FEV</v>
      </c>
      <c r="K261" s="58">
        <f>IF(tbRegistroEntradas[[#This Row],[DATA DE CAIXA REALIZADO]]="N/A",0,YEAR(tbRegistroEntradas[[#This Row],[DATA DE CAIXA REALIZADO]]))</f>
        <v>2022</v>
      </c>
      <c r="L261" s="79" t="str">
        <f>IF(tbRegistroEntradas[[#This Row],[DATA DA COMPETÊNCIA]]="N/A","0",UPPER(TEXT(tbRegistroEntradas[[#This Row],[DATA DA COMPETÊNCIA]],"mmm")))</f>
        <v>FEV</v>
      </c>
      <c r="M261" s="79">
        <f>IF(tbRegistroEntradas[[#This Row],[DATA DA COMPETÊNCIA]]="N/A",0,YEAR(tbRegistroEntradas[[#This Row],[DATA DA COMPETÊNCIA]]))</f>
        <v>2022</v>
      </c>
      <c r="N261" s="84" t="str">
        <f>IF(tbRegistroEntradas[[#This Row],[DATA DO CAIXA PREVISTO]]="N/A","0",UPPER(TEXT(tbRegistroEntradas[[#This Row],[DATA DO CAIXA PREVISTO]],"mmm")))</f>
        <v>FEV</v>
      </c>
      <c r="O261" s="84">
        <f>IF(tbRegistroEntradas[[#This Row],[DATA DO CAIXA PREVISTO]]="N/A",0,YEAR(tbRegistroEntradas[[#This Row],[DATA DO CAIXA PREVISTO]]))</f>
        <v>2022</v>
      </c>
      <c r="P261" s="58" t="str">
        <f ca="1">IF(AND(tbRegistroEntradas[[#This Row],[DATA DE CAIXA REALIZADO]]="N/A",tbRegistroEntradas[[#This Row],[DATA DO CAIXA PREVISTO]]&lt;TODAY()),"Vencida","Não Vencida")</f>
        <v>Não Vencida</v>
      </c>
      <c r="Q261" s="58" t="str">
        <f>IF(tbRegistroEntradas[[#This Row],[DATA DA COMPETÊNCIA]]=tbRegistroEntradas[[#This Row],[DATA DO CAIXA PREVISTO]],"Vista","Prazo")</f>
        <v>Prazo</v>
      </c>
      <c r="R261" s="58" t="str">
        <f>IF(tbRegistroEntradas[[#This Row],[DATA DE CAIXA REALIZADO]]&lt;&gt;"N/A","Em Dia","Com atraso")</f>
        <v>Em Dia</v>
      </c>
    </row>
    <row r="262" spans="1:18" s="52" customFormat="1" ht="14.4" customHeight="1" x14ac:dyDescent="0.3">
      <c r="A262" s="49">
        <v>44635</v>
      </c>
      <c r="B262" s="49">
        <f>A262-31</f>
        <v>44604</v>
      </c>
      <c r="C262" s="125">
        <f>tbRegistroEntradas[[#This Row],[DATA DA COMPETÊNCIA]]</f>
        <v>44604</v>
      </c>
      <c r="D262" s="52" t="s">
        <v>63</v>
      </c>
      <c r="E262" s="52" t="s">
        <v>12</v>
      </c>
      <c r="F262" s="52" t="s">
        <v>18</v>
      </c>
      <c r="G262" s="52" t="s">
        <v>935</v>
      </c>
      <c r="H262" s="5" t="s">
        <v>101</v>
      </c>
      <c r="I262" s="18">
        <v>3996</v>
      </c>
      <c r="J262" s="110" t="str">
        <f>IF(tbRegistroEntradas[[#This Row],[DATA DE CAIXA REALIZADO]]="N/A","0",UPPER(TEXT(tbRegistroEntradas[[#This Row],[DATA DE CAIXA REALIZADO]],"mmm")))</f>
        <v>MAR</v>
      </c>
      <c r="K262" s="57">
        <f>IF(tbRegistroEntradas[[#This Row],[DATA DE CAIXA REALIZADO]]="N/A",0,YEAR(tbRegistroEntradas[[#This Row],[DATA DE CAIXA REALIZADO]]))</f>
        <v>2022</v>
      </c>
      <c r="L262" s="58" t="str">
        <f>IF(tbRegistroEntradas[[#This Row],[DATA DA COMPETÊNCIA]]="N/A","0",UPPER(TEXT(tbRegistroEntradas[[#This Row],[DATA DA COMPETÊNCIA]],"mmm")))</f>
        <v>FEV</v>
      </c>
      <c r="M262" s="58">
        <f>IF(tbRegistroEntradas[[#This Row],[DATA DA COMPETÊNCIA]]="N/A",0,YEAR(tbRegistroEntradas[[#This Row],[DATA DA COMPETÊNCIA]]))</f>
        <v>2022</v>
      </c>
      <c r="N262" s="58" t="str">
        <f>IF(tbRegistroEntradas[[#This Row],[DATA DO CAIXA PREVISTO]]="N/A","0",UPPER(TEXT(tbRegistroEntradas[[#This Row],[DATA DO CAIXA PREVISTO]],"mmm")))</f>
        <v>FEV</v>
      </c>
      <c r="O262" s="58">
        <f>IF(tbRegistroEntradas[[#This Row],[DATA DO CAIXA PREVISTO]]="N/A",0,YEAR(tbRegistroEntradas[[#This Row],[DATA DO CAIXA PREVISTO]]))</f>
        <v>2022</v>
      </c>
      <c r="P262" s="58" t="str">
        <f ca="1">IF(AND(tbRegistroEntradas[[#This Row],[DATA DE CAIXA REALIZADO]]="N/A",tbRegistroEntradas[[#This Row],[DATA DO CAIXA PREVISTO]]&lt;TODAY()),"Vencida","Não Vencida")</f>
        <v>Não Vencida</v>
      </c>
      <c r="Q262" s="58" t="str">
        <f>IF(tbRegistroEntradas[[#This Row],[DATA DA COMPETÊNCIA]]=tbRegistroEntradas[[#This Row],[DATA DO CAIXA PREVISTO]],"Vista","Prazo")</f>
        <v>Vista</v>
      </c>
      <c r="R262" s="58" t="str">
        <f>IF(tbRegistroEntradas[[#This Row],[DATA DE CAIXA REALIZADO]]&lt;&gt;"N/A","Em Dia","Com atraso")</f>
        <v>Em Dia</v>
      </c>
    </row>
    <row r="263" spans="1:18" s="52" customFormat="1" ht="14.4" customHeight="1" x14ac:dyDescent="0.3">
      <c r="A263" s="125">
        <v>44639</v>
      </c>
      <c r="B263" s="125">
        <f>A263-31</f>
        <v>44608</v>
      </c>
      <c r="C263" s="125">
        <f>(A263-B263)+B263-15</f>
        <v>44624</v>
      </c>
      <c r="D263" s="126" t="s">
        <v>137</v>
      </c>
      <c r="E263" s="126" t="s">
        <v>12</v>
      </c>
      <c r="F263" s="126" t="s">
        <v>19</v>
      </c>
      <c r="G263" s="126" t="s">
        <v>1050</v>
      </c>
      <c r="H263" s="52" t="s">
        <v>105</v>
      </c>
      <c r="I263" s="127">
        <v>4464</v>
      </c>
      <c r="J263" s="110" t="str">
        <f>IF(tbRegistroEntradas[[#This Row],[DATA DE CAIXA REALIZADO]]="N/A","0",UPPER(TEXT(tbRegistroEntradas[[#This Row],[DATA DE CAIXA REALIZADO]],"mmm")))</f>
        <v>MAR</v>
      </c>
      <c r="K263" s="57">
        <f>IF(tbRegistroEntradas[[#This Row],[DATA DE CAIXA REALIZADO]]="N/A",0,YEAR(tbRegistroEntradas[[#This Row],[DATA DE CAIXA REALIZADO]]))</f>
        <v>2022</v>
      </c>
      <c r="L263" s="58" t="str">
        <f>IF(tbRegistroEntradas[[#This Row],[DATA DA COMPETÊNCIA]]="N/A","0",UPPER(TEXT(tbRegistroEntradas[[#This Row],[DATA DA COMPETÊNCIA]],"mmm")))</f>
        <v>FEV</v>
      </c>
      <c r="M263" s="58">
        <f>IF(tbRegistroEntradas[[#This Row],[DATA DA COMPETÊNCIA]]="N/A",0,YEAR(tbRegistroEntradas[[#This Row],[DATA DA COMPETÊNCIA]]))</f>
        <v>2022</v>
      </c>
      <c r="N263" s="58" t="str">
        <f>IF(tbRegistroEntradas[[#This Row],[DATA DO CAIXA PREVISTO]]="N/A","0",UPPER(TEXT(tbRegistroEntradas[[#This Row],[DATA DO CAIXA PREVISTO]],"mmm")))</f>
        <v>MAR</v>
      </c>
      <c r="O263" s="58">
        <f>IF(tbRegistroEntradas[[#This Row],[DATA DO CAIXA PREVISTO]]="N/A",0,YEAR(tbRegistroEntradas[[#This Row],[DATA DO CAIXA PREVISTO]]))</f>
        <v>2022</v>
      </c>
      <c r="P263" s="58" t="str">
        <f ca="1">IF(AND(tbRegistroEntradas[[#This Row],[DATA DE CAIXA REALIZADO]]="N/A",tbRegistroEntradas[[#This Row],[DATA DO CAIXA PREVISTO]]&lt;TODAY()),"Vencida","Não Vencida")</f>
        <v>Não Vencida</v>
      </c>
      <c r="Q263" s="58" t="str">
        <f>IF(tbRegistroEntradas[[#This Row],[DATA DA COMPETÊNCIA]]=tbRegistroEntradas[[#This Row],[DATA DO CAIXA PREVISTO]],"Vista","Prazo")</f>
        <v>Prazo</v>
      </c>
      <c r="R263" s="58" t="str">
        <f>IF(tbRegistroEntradas[[#This Row],[DATA DE CAIXA REALIZADO]]&lt;&gt;"N/A","Em Dia","Com atraso")</f>
        <v>Em Dia</v>
      </c>
    </row>
    <row r="264" spans="1:18" s="52" customFormat="1" ht="14.4" customHeight="1" x14ac:dyDescent="0.3">
      <c r="A264" s="113">
        <v>44654.467824074076</v>
      </c>
      <c r="B264" s="115">
        <v>44609</v>
      </c>
      <c r="C264" s="115">
        <v>44654.467824074076</v>
      </c>
      <c r="D264" s="115" t="s">
        <v>64</v>
      </c>
      <c r="E264" s="116" t="s">
        <v>12</v>
      </c>
      <c r="F264" s="116" t="s">
        <v>18</v>
      </c>
      <c r="G264" s="116" t="s">
        <v>208</v>
      </c>
      <c r="H264" s="126" t="s">
        <v>113</v>
      </c>
      <c r="I264" s="120">
        <v>1532</v>
      </c>
      <c r="J264" s="55" t="str">
        <f>IF(tbRegistroEntradas[[#This Row],[DATA DE CAIXA REALIZADO]]="N/A","0",UPPER(TEXT(tbRegistroEntradas[[#This Row],[DATA DE CAIXA REALIZADO]],"mmm")))</f>
        <v>ABR</v>
      </c>
      <c r="K264" s="58">
        <f>IF(tbRegistroEntradas[[#This Row],[DATA DE CAIXA REALIZADO]]="N/A",0,YEAR(tbRegistroEntradas[[#This Row],[DATA DE CAIXA REALIZADO]]))</f>
        <v>2022</v>
      </c>
      <c r="L264" s="79" t="str">
        <f>IF(tbRegistroEntradas[[#This Row],[DATA DA COMPETÊNCIA]]="N/A","0",UPPER(TEXT(tbRegistroEntradas[[#This Row],[DATA DA COMPETÊNCIA]],"mmm")))</f>
        <v>FEV</v>
      </c>
      <c r="M264" s="79">
        <f>IF(tbRegistroEntradas[[#This Row],[DATA DA COMPETÊNCIA]]="N/A",0,YEAR(tbRegistroEntradas[[#This Row],[DATA DA COMPETÊNCIA]]))</f>
        <v>2022</v>
      </c>
      <c r="N264" s="84" t="str">
        <f>IF(tbRegistroEntradas[[#This Row],[DATA DO CAIXA PREVISTO]]="N/A","0",UPPER(TEXT(tbRegistroEntradas[[#This Row],[DATA DO CAIXA PREVISTO]],"mmm")))</f>
        <v>ABR</v>
      </c>
      <c r="O264" s="84">
        <f>IF(tbRegistroEntradas[[#This Row],[DATA DO CAIXA PREVISTO]]="N/A",0,YEAR(tbRegistroEntradas[[#This Row],[DATA DO CAIXA PREVISTO]]))</f>
        <v>2022</v>
      </c>
      <c r="P264" s="58" t="str">
        <f ca="1">IF(AND(tbRegistroEntradas[[#This Row],[DATA DE CAIXA REALIZADO]]="N/A",tbRegistroEntradas[[#This Row],[DATA DO CAIXA PREVISTO]]&lt;TODAY()),"Vencida","Não Vencida")</f>
        <v>Não Vencida</v>
      </c>
      <c r="Q264" s="58" t="str">
        <f>IF(tbRegistroEntradas[[#This Row],[DATA DA COMPETÊNCIA]]=tbRegistroEntradas[[#This Row],[DATA DO CAIXA PREVISTO]],"Vista","Prazo")</f>
        <v>Prazo</v>
      </c>
      <c r="R264" s="58" t="str">
        <f>IF(tbRegistroEntradas[[#This Row],[DATA DE CAIXA REALIZADO]]&lt;&gt;"N/A","Em Dia","Com atraso")</f>
        <v>Em Dia</v>
      </c>
    </row>
    <row r="265" spans="1:18" s="52" customFormat="1" ht="14.4" customHeight="1" x14ac:dyDescent="0.3">
      <c r="A265" s="49">
        <v>44641</v>
      </c>
      <c r="B265" s="49">
        <f>A265-31</f>
        <v>44610</v>
      </c>
      <c r="C265" s="49">
        <f>(A265-B265)+B265-15</f>
        <v>44626</v>
      </c>
      <c r="D265" s="52" t="s">
        <v>65</v>
      </c>
      <c r="E265" s="52" t="s">
        <v>12</v>
      </c>
      <c r="F265" s="52" t="s">
        <v>17</v>
      </c>
      <c r="G265" s="52" t="s">
        <v>846</v>
      </c>
      <c r="H265" s="109" t="s">
        <v>120</v>
      </c>
      <c r="I265" s="18">
        <v>4926</v>
      </c>
      <c r="J265" s="110" t="str">
        <f>IF(tbRegistroEntradas[[#This Row],[DATA DE CAIXA REALIZADO]]="N/A","0",UPPER(TEXT(tbRegistroEntradas[[#This Row],[DATA DE CAIXA REALIZADO]],"mmm")))</f>
        <v>MAR</v>
      </c>
      <c r="K265" s="57">
        <f>IF(tbRegistroEntradas[[#This Row],[DATA DE CAIXA REALIZADO]]="N/A",0,YEAR(tbRegistroEntradas[[#This Row],[DATA DE CAIXA REALIZADO]]))</f>
        <v>2022</v>
      </c>
      <c r="L265" s="58" t="str">
        <f>IF(tbRegistroEntradas[[#This Row],[DATA DA COMPETÊNCIA]]="N/A","0",UPPER(TEXT(tbRegistroEntradas[[#This Row],[DATA DA COMPETÊNCIA]],"mmm")))</f>
        <v>FEV</v>
      </c>
      <c r="M265" s="58">
        <f>IF(tbRegistroEntradas[[#This Row],[DATA DA COMPETÊNCIA]]="N/A",0,YEAR(tbRegistroEntradas[[#This Row],[DATA DA COMPETÊNCIA]]))</f>
        <v>2022</v>
      </c>
      <c r="N265" s="58" t="str">
        <f>IF(tbRegistroEntradas[[#This Row],[DATA DO CAIXA PREVISTO]]="N/A","0",UPPER(TEXT(tbRegistroEntradas[[#This Row],[DATA DO CAIXA PREVISTO]],"mmm")))</f>
        <v>MAR</v>
      </c>
      <c r="O265" s="58">
        <f>IF(tbRegistroEntradas[[#This Row],[DATA DO CAIXA PREVISTO]]="N/A",0,YEAR(tbRegistroEntradas[[#This Row],[DATA DO CAIXA PREVISTO]]))</f>
        <v>2022</v>
      </c>
      <c r="P265" s="58" t="str">
        <f ca="1">IF(AND(tbRegistroEntradas[[#This Row],[DATA DE CAIXA REALIZADO]]="N/A",tbRegistroEntradas[[#This Row],[DATA DO CAIXA PREVISTO]]&lt;TODAY()),"Vencida","Não Vencida")</f>
        <v>Não Vencida</v>
      </c>
      <c r="Q265" s="58" t="str">
        <f>IF(tbRegistroEntradas[[#This Row],[DATA DA COMPETÊNCIA]]=tbRegistroEntradas[[#This Row],[DATA DO CAIXA PREVISTO]],"Vista","Prazo")</f>
        <v>Prazo</v>
      </c>
      <c r="R265" s="58" t="str">
        <f>IF(tbRegistroEntradas[[#This Row],[DATA DE CAIXA REALIZADO]]&lt;&gt;"N/A","Em Dia","Com atraso")</f>
        <v>Em Dia</v>
      </c>
    </row>
    <row r="266" spans="1:18" s="52" customFormat="1" ht="14.4" customHeight="1" x14ac:dyDescent="0.3">
      <c r="A266" s="125">
        <v>44641</v>
      </c>
      <c r="B266" s="125">
        <f>A266-31</f>
        <v>44610</v>
      </c>
      <c r="C266" s="125">
        <f>(A266-B266)+B266-15</f>
        <v>44626</v>
      </c>
      <c r="D266" s="126" t="s">
        <v>64</v>
      </c>
      <c r="E266" s="126" t="s">
        <v>12</v>
      </c>
      <c r="F266" s="126" t="s">
        <v>16</v>
      </c>
      <c r="G266" s="126" t="s">
        <v>355</v>
      </c>
      <c r="H266" s="109" t="s">
        <v>114</v>
      </c>
      <c r="I266" s="127">
        <v>3931</v>
      </c>
      <c r="J266" s="110" t="str">
        <f>IF(tbRegistroEntradas[[#This Row],[DATA DE CAIXA REALIZADO]]="N/A","0",UPPER(TEXT(tbRegistroEntradas[[#This Row],[DATA DE CAIXA REALIZADO]],"mmm")))</f>
        <v>MAR</v>
      </c>
      <c r="K266" s="57">
        <f>IF(tbRegistroEntradas[[#This Row],[DATA DE CAIXA REALIZADO]]="N/A",0,YEAR(tbRegistroEntradas[[#This Row],[DATA DE CAIXA REALIZADO]]))</f>
        <v>2022</v>
      </c>
      <c r="L266" s="58" t="str">
        <f>IF(tbRegistroEntradas[[#This Row],[DATA DA COMPETÊNCIA]]="N/A","0",UPPER(TEXT(tbRegistroEntradas[[#This Row],[DATA DA COMPETÊNCIA]],"mmm")))</f>
        <v>FEV</v>
      </c>
      <c r="M266" s="58">
        <f>IF(tbRegistroEntradas[[#This Row],[DATA DA COMPETÊNCIA]]="N/A",0,YEAR(tbRegistroEntradas[[#This Row],[DATA DA COMPETÊNCIA]]))</f>
        <v>2022</v>
      </c>
      <c r="N266" s="58" t="str">
        <f>IF(tbRegistroEntradas[[#This Row],[DATA DO CAIXA PREVISTO]]="N/A","0",UPPER(TEXT(tbRegistroEntradas[[#This Row],[DATA DO CAIXA PREVISTO]],"mmm")))</f>
        <v>MAR</v>
      </c>
      <c r="O266" s="58">
        <f>IF(tbRegistroEntradas[[#This Row],[DATA DO CAIXA PREVISTO]]="N/A",0,YEAR(tbRegistroEntradas[[#This Row],[DATA DO CAIXA PREVISTO]]))</f>
        <v>2022</v>
      </c>
      <c r="P266" s="58" t="str">
        <f ca="1">IF(AND(tbRegistroEntradas[[#This Row],[DATA DE CAIXA REALIZADO]]="N/A",tbRegistroEntradas[[#This Row],[DATA DO CAIXA PREVISTO]]&lt;TODAY()),"Vencida","Não Vencida")</f>
        <v>Não Vencida</v>
      </c>
      <c r="Q266" s="58" t="str">
        <f>IF(tbRegistroEntradas[[#This Row],[DATA DA COMPETÊNCIA]]=tbRegistroEntradas[[#This Row],[DATA DO CAIXA PREVISTO]],"Vista","Prazo")</f>
        <v>Prazo</v>
      </c>
      <c r="R266" s="58" t="str">
        <f>IF(tbRegistroEntradas[[#This Row],[DATA DE CAIXA REALIZADO]]&lt;&gt;"N/A","Em Dia","Com atraso")</f>
        <v>Em Dia</v>
      </c>
    </row>
    <row r="267" spans="1:18" s="52" customFormat="1" ht="14.4" customHeight="1" x14ac:dyDescent="0.3">
      <c r="A267" s="112">
        <v>44654.409618055557</v>
      </c>
      <c r="B267" s="114">
        <v>44612</v>
      </c>
      <c r="C267" s="114">
        <v>44654.409618055557</v>
      </c>
      <c r="D267" s="55" t="s">
        <v>64</v>
      </c>
      <c r="E267" s="55" t="s">
        <v>12</v>
      </c>
      <c r="F267" s="55" t="s">
        <v>18</v>
      </c>
      <c r="G267" s="55" t="s">
        <v>209</v>
      </c>
      <c r="H267" s="109" t="s">
        <v>115</v>
      </c>
      <c r="I267" s="119">
        <v>3726</v>
      </c>
      <c r="J267" s="55" t="str">
        <f>IF(tbRegistroEntradas[[#This Row],[DATA DE CAIXA REALIZADO]]="N/A","0",UPPER(TEXT(tbRegistroEntradas[[#This Row],[DATA DE CAIXA REALIZADO]],"mmm")))</f>
        <v>ABR</v>
      </c>
      <c r="K267" s="58">
        <f>IF(tbRegistroEntradas[[#This Row],[DATA DE CAIXA REALIZADO]]="N/A",0,YEAR(tbRegistroEntradas[[#This Row],[DATA DE CAIXA REALIZADO]]))</f>
        <v>2022</v>
      </c>
      <c r="L267" s="79" t="str">
        <f>IF(tbRegistroEntradas[[#This Row],[DATA DA COMPETÊNCIA]]="N/A","0",UPPER(TEXT(tbRegistroEntradas[[#This Row],[DATA DA COMPETÊNCIA]],"mmm")))</f>
        <v>FEV</v>
      </c>
      <c r="M267" s="79">
        <f>IF(tbRegistroEntradas[[#This Row],[DATA DA COMPETÊNCIA]]="N/A",0,YEAR(tbRegistroEntradas[[#This Row],[DATA DA COMPETÊNCIA]]))</f>
        <v>2022</v>
      </c>
      <c r="N267" s="84" t="str">
        <f>IF(tbRegistroEntradas[[#This Row],[DATA DO CAIXA PREVISTO]]="N/A","0",UPPER(TEXT(tbRegistroEntradas[[#This Row],[DATA DO CAIXA PREVISTO]],"mmm")))</f>
        <v>ABR</v>
      </c>
      <c r="O267" s="84">
        <f>IF(tbRegistroEntradas[[#This Row],[DATA DO CAIXA PREVISTO]]="N/A",0,YEAR(tbRegistroEntradas[[#This Row],[DATA DO CAIXA PREVISTO]]))</f>
        <v>2022</v>
      </c>
      <c r="P267" s="58" t="str">
        <f ca="1">IF(AND(tbRegistroEntradas[[#This Row],[DATA DE CAIXA REALIZADO]]="N/A",tbRegistroEntradas[[#This Row],[DATA DO CAIXA PREVISTO]]&lt;TODAY()),"Vencida","Não Vencida")</f>
        <v>Não Vencida</v>
      </c>
      <c r="Q267" s="58" t="str">
        <f>IF(tbRegistroEntradas[[#This Row],[DATA DA COMPETÊNCIA]]=tbRegistroEntradas[[#This Row],[DATA DO CAIXA PREVISTO]],"Vista","Prazo")</f>
        <v>Prazo</v>
      </c>
      <c r="R267" s="58" t="str">
        <f>IF(tbRegistroEntradas[[#This Row],[DATA DE CAIXA REALIZADO]]&lt;&gt;"N/A","Em Dia","Com atraso")</f>
        <v>Em Dia</v>
      </c>
    </row>
    <row r="268" spans="1:18" s="52" customFormat="1" ht="14.4" customHeight="1" x14ac:dyDescent="0.3">
      <c r="A268" s="125">
        <v>44645</v>
      </c>
      <c r="B268" s="125">
        <f>A268-31</f>
        <v>44614</v>
      </c>
      <c r="C268" s="125">
        <f>(A268-B268)+B268-15</f>
        <v>44630</v>
      </c>
      <c r="D268" s="126" t="s">
        <v>138</v>
      </c>
      <c r="E268" s="126" t="s">
        <v>12</v>
      </c>
      <c r="F268" s="126" t="s">
        <v>17</v>
      </c>
      <c r="G268" s="126" t="s">
        <v>723</v>
      </c>
      <c r="H268" s="109" t="s">
        <v>78</v>
      </c>
      <c r="I268" s="127">
        <v>142</v>
      </c>
      <c r="J268" s="110" t="str">
        <f>IF(tbRegistroEntradas[[#This Row],[DATA DE CAIXA REALIZADO]]="N/A","0",UPPER(TEXT(tbRegistroEntradas[[#This Row],[DATA DE CAIXA REALIZADO]],"mmm")))</f>
        <v>MAR</v>
      </c>
      <c r="K268" s="57">
        <f>IF(tbRegistroEntradas[[#This Row],[DATA DE CAIXA REALIZADO]]="N/A",0,YEAR(tbRegistroEntradas[[#This Row],[DATA DE CAIXA REALIZADO]]))</f>
        <v>2022</v>
      </c>
      <c r="L268" s="58" t="str">
        <f>IF(tbRegistroEntradas[[#This Row],[DATA DA COMPETÊNCIA]]="N/A","0",UPPER(TEXT(tbRegistroEntradas[[#This Row],[DATA DA COMPETÊNCIA]],"mmm")))</f>
        <v>FEV</v>
      </c>
      <c r="M268" s="58">
        <f>IF(tbRegistroEntradas[[#This Row],[DATA DA COMPETÊNCIA]]="N/A",0,YEAR(tbRegistroEntradas[[#This Row],[DATA DA COMPETÊNCIA]]))</f>
        <v>2022</v>
      </c>
      <c r="N268" s="58" t="str">
        <f>IF(tbRegistroEntradas[[#This Row],[DATA DO CAIXA PREVISTO]]="N/A","0",UPPER(TEXT(tbRegistroEntradas[[#This Row],[DATA DO CAIXA PREVISTO]],"mmm")))</f>
        <v>MAR</v>
      </c>
      <c r="O268" s="58">
        <f>IF(tbRegistroEntradas[[#This Row],[DATA DO CAIXA PREVISTO]]="N/A",0,YEAR(tbRegistroEntradas[[#This Row],[DATA DO CAIXA PREVISTO]]))</f>
        <v>2022</v>
      </c>
      <c r="P268" s="58" t="str">
        <f ca="1">IF(AND(tbRegistroEntradas[[#This Row],[DATA DE CAIXA REALIZADO]]="N/A",tbRegistroEntradas[[#This Row],[DATA DO CAIXA PREVISTO]]&lt;TODAY()),"Vencida","Não Vencida")</f>
        <v>Não Vencida</v>
      </c>
      <c r="Q268" s="58" t="str">
        <f>IF(tbRegistroEntradas[[#This Row],[DATA DA COMPETÊNCIA]]=tbRegistroEntradas[[#This Row],[DATA DO CAIXA PREVISTO]],"Vista","Prazo")</f>
        <v>Prazo</v>
      </c>
      <c r="R268" s="58" t="str">
        <f>IF(tbRegistroEntradas[[#This Row],[DATA DE CAIXA REALIZADO]]&lt;&gt;"N/A","Em Dia","Com atraso")</f>
        <v>Em Dia</v>
      </c>
    </row>
    <row r="269" spans="1:18" s="52" customFormat="1" ht="14.4" customHeight="1" x14ac:dyDescent="0.3">
      <c r="A269" s="113">
        <v>44722.175115740742</v>
      </c>
      <c r="B269" s="115">
        <v>44615</v>
      </c>
      <c r="C269" s="115">
        <v>44641.340381944443</v>
      </c>
      <c r="D269" s="116" t="s">
        <v>65</v>
      </c>
      <c r="E269" s="116" t="s">
        <v>12</v>
      </c>
      <c r="F269" s="116" t="s">
        <v>19</v>
      </c>
      <c r="G269" s="116" t="s">
        <v>210</v>
      </c>
      <c r="H269" s="109" t="s">
        <v>122</v>
      </c>
      <c r="I269" s="120">
        <v>4322</v>
      </c>
      <c r="J269" s="55" t="str">
        <f>IF(tbRegistroEntradas[[#This Row],[DATA DE CAIXA REALIZADO]]="N/A","0",UPPER(TEXT(tbRegistroEntradas[[#This Row],[DATA DE CAIXA REALIZADO]],"mmm")))</f>
        <v>JUN</v>
      </c>
      <c r="K269" s="58">
        <f>IF(tbRegistroEntradas[[#This Row],[DATA DE CAIXA REALIZADO]]="N/A",0,YEAR(tbRegistroEntradas[[#This Row],[DATA DE CAIXA REALIZADO]]))</f>
        <v>2022</v>
      </c>
      <c r="L269" s="79" t="str">
        <f>IF(tbRegistroEntradas[[#This Row],[DATA DA COMPETÊNCIA]]="N/A","0",UPPER(TEXT(tbRegistroEntradas[[#This Row],[DATA DA COMPETÊNCIA]],"mmm")))</f>
        <v>FEV</v>
      </c>
      <c r="M269" s="79">
        <f>IF(tbRegistroEntradas[[#This Row],[DATA DA COMPETÊNCIA]]="N/A",0,YEAR(tbRegistroEntradas[[#This Row],[DATA DA COMPETÊNCIA]]))</f>
        <v>2022</v>
      </c>
      <c r="N269" s="84" t="str">
        <f>IF(tbRegistroEntradas[[#This Row],[DATA DO CAIXA PREVISTO]]="N/A","0",UPPER(TEXT(tbRegistroEntradas[[#This Row],[DATA DO CAIXA PREVISTO]],"mmm")))</f>
        <v>MAR</v>
      </c>
      <c r="O269" s="84">
        <f>IF(tbRegistroEntradas[[#This Row],[DATA DO CAIXA PREVISTO]]="N/A",0,YEAR(tbRegistroEntradas[[#This Row],[DATA DO CAIXA PREVISTO]]))</f>
        <v>2022</v>
      </c>
      <c r="P269" s="58" t="str">
        <f ca="1">IF(AND(tbRegistroEntradas[[#This Row],[DATA DE CAIXA REALIZADO]]="N/A",tbRegistroEntradas[[#This Row],[DATA DO CAIXA PREVISTO]]&lt;TODAY()),"Vencida","Não Vencida")</f>
        <v>Não Vencida</v>
      </c>
      <c r="Q269" s="58" t="str">
        <f>IF(tbRegistroEntradas[[#This Row],[DATA DA COMPETÊNCIA]]=tbRegistroEntradas[[#This Row],[DATA DO CAIXA PREVISTO]],"Vista","Prazo")</f>
        <v>Prazo</v>
      </c>
      <c r="R269" s="58" t="str">
        <f>IF(tbRegistroEntradas[[#This Row],[DATA DE CAIXA REALIZADO]]&lt;&gt;"N/A","Em Dia","Com atraso")</f>
        <v>Em Dia</v>
      </c>
    </row>
    <row r="270" spans="1:18" s="52" customFormat="1" ht="14.4" customHeight="1" x14ac:dyDescent="0.3">
      <c r="A270" s="112">
        <v>44714.722361111111</v>
      </c>
      <c r="B270" s="114">
        <v>44617</v>
      </c>
      <c r="C270" s="114">
        <v>44666.75340277778</v>
      </c>
      <c r="D270" s="55" t="s">
        <v>66</v>
      </c>
      <c r="E270" s="55" t="s">
        <v>12</v>
      </c>
      <c r="F270" s="55" t="s">
        <v>17</v>
      </c>
      <c r="G270" s="55" t="s">
        <v>211</v>
      </c>
      <c r="H270" s="109" t="s">
        <v>90</v>
      </c>
      <c r="I270" s="119">
        <v>3998</v>
      </c>
      <c r="J270" s="55" t="str">
        <f>IF(tbRegistroEntradas[[#This Row],[DATA DE CAIXA REALIZADO]]="N/A","0",UPPER(TEXT(tbRegistroEntradas[[#This Row],[DATA DE CAIXA REALIZADO]],"mmm")))</f>
        <v>JUN</v>
      </c>
      <c r="K270" s="58">
        <f>IF(tbRegistroEntradas[[#This Row],[DATA DE CAIXA REALIZADO]]="N/A",0,YEAR(tbRegistroEntradas[[#This Row],[DATA DE CAIXA REALIZADO]]))</f>
        <v>2022</v>
      </c>
      <c r="L270" s="79" t="str">
        <f>IF(tbRegistroEntradas[[#This Row],[DATA DA COMPETÊNCIA]]="N/A","0",UPPER(TEXT(tbRegistroEntradas[[#This Row],[DATA DA COMPETÊNCIA]],"mmm")))</f>
        <v>FEV</v>
      </c>
      <c r="M270" s="79">
        <f>IF(tbRegistroEntradas[[#This Row],[DATA DA COMPETÊNCIA]]="N/A",0,YEAR(tbRegistroEntradas[[#This Row],[DATA DA COMPETÊNCIA]]))</f>
        <v>2022</v>
      </c>
      <c r="N270" s="84" t="str">
        <f>IF(tbRegistroEntradas[[#This Row],[DATA DO CAIXA PREVISTO]]="N/A","0",UPPER(TEXT(tbRegistroEntradas[[#This Row],[DATA DO CAIXA PREVISTO]],"mmm")))</f>
        <v>ABR</v>
      </c>
      <c r="O270" s="84">
        <f>IF(tbRegistroEntradas[[#This Row],[DATA DO CAIXA PREVISTO]]="N/A",0,YEAR(tbRegistroEntradas[[#This Row],[DATA DO CAIXA PREVISTO]]))</f>
        <v>2022</v>
      </c>
      <c r="P270" s="58" t="str">
        <f ca="1">IF(AND(tbRegistroEntradas[[#This Row],[DATA DE CAIXA REALIZADO]]="N/A",tbRegistroEntradas[[#This Row],[DATA DO CAIXA PREVISTO]]&lt;TODAY()),"Vencida","Não Vencida")</f>
        <v>Não Vencida</v>
      </c>
      <c r="Q270" s="58" t="str">
        <f>IF(tbRegistroEntradas[[#This Row],[DATA DA COMPETÊNCIA]]=tbRegistroEntradas[[#This Row],[DATA DO CAIXA PREVISTO]],"Vista","Prazo")</f>
        <v>Prazo</v>
      </c>
      <c r="R270" s="58" t="str">
        <f>IF(tbRegistroEntradas[[#This Row],[DATA DE CAIXA REALIZADO]]&lt;&gt;"N/A","Em Dia","Com atraso")</f>
        <v>Em Dia</v>
      </c>
    </row>
    <row r="271" spans="1:18" s="52" customFormat="1" ht="14.4" customHeight="1" x14ac:dyDescent="0.3">
      <c r="A271" s="113">
        <v>44729.070567129631</v>
      </c>
      <c r="B271" s="115">
        <v>44619</v>
      </c>
      <c r="C271" s="125">
        <f>tbRegistroEntradas[[#This Row],[DATA DA COMPETÊNCIA]]</f>
        <v>44619</v>
      </c>
      <c r="D271" s="116" t="s">
        <v>61</v>
      </c>
      <c r="E271" s="116" t="s">
        <v>12</v>
      </c>
      <c r="F271" s="116" t="s">
        <v>17</v>
      </c>
      <c r="G271" s="116" t="s">
        <v>212</v>
      </c>
      <c r="H271" s="109" t="s">
        <v>84</v>
      </c>
      <c r="I271" s="120">
        <v>3252</v>
      </c>
      <c r="J271" s="55" t="str">
        <f>IF(tbRegistroEntradas[[#This Row],[DATA DE CAIXA REALIZADO]]="N/A","0",UPPER(TEXT(tbRegistroEntradas[[#This Row],[DATA DE CAIXA REALIZADO]],"mmm")))</f>
        <v>JUN</v>
      </c>
      <c r="K271" s="58">
        <f>IF(tbRegistroEntradas[[#This Row],[DATA DE CAIXA REALIZADO]]="N/A",0,YEAR(tbRegistroEntradas[[#This Row],[DATA DE CAIXA REALIZADO]]))</f>
        <v>2022</v>
      </c>
      <c r="L271" s="79" t="str">
        <f>IF(tbRegistroEntradas[[#This Row],[DATA DA COMPETÊNCIA]]="N/A","0",UPPER(TEXT(tbRegistroEntradas[[#This Row],[DATA DA COMPETÊNCIA]],"mmm")))</f>
        <v>FEV</v>
      </c>
      <c r="M271" s="79">
        <f>IF(tbRegistroEntradas[[#This Row],[DATA DA COMPETÊNCIA]]="N/A",0,YEAR(tbRegistroEntradas[[#This Row],[DATA DA COMPETÊNCIA]]))</f>
        <v>2022</v>
      </c>
      <c r="N271" s="84" t="str">
        <f>IF(tbRegistroEntradas[[#This Row],[DATA DO CAIXA PREVISTO]]="N/A","0",UPPER(TEXT(tbRegistroEntradas[[#This Row],[DATA DO CAIXA PREVISTO]],"mmm")))</f>
        <v>FEV</v>
      </c>
      <c r="O271" s="84">
        <f>IF(tbRegistroEntradas[[#This Row],[DATA DO CAIXA PREVISTO]]="N/A",0,YEAR(tbRegistroEntradas[[#This Row],[DATA DO CAIXA PREVISTO]]))</f>
        <v>2022</v>
      </c>
      <c r="P271" s="58" t="str">
        <f ca="1">IF(AND(tbRegistroEntradas[[#This Row],[DATA DE CAIXA REALIZADO]]="N/A",tbRegistroEntradas[[#This Row],[DATA DO CAIXA PREVISTO]]&lt;TODAY()),"Vencida","Não Vencida")</f>
        <v>Não Vencida</v>
      </c>
      <c r="Q271" s="58" t="str">
        <f>IF(tbRegistroEntradas[[#This Row],[DATA DA COMPETÊNCIA]]=tbRegistroEntradas[[#This Row],[DATA DO CAIXA PREVISTO]],"Vista","Prazo")</f>
        <v>Vista</v>
      </c>
      <c r="R271" s="58" t="str">
        <f>IF(tbRegistroEntradas[[#This Row],[DATA DE CAIXA REALIZADO]]&lt;&gt;"N/A","Em Dia","Com atraso")</f>
        <v>Em Dia</v>
      </c>
    </row>
    <row r="272" spans="1:18" s="52" customFormat="1" ht="14.4" customHeight="1" x14ac:dyDescent="0.3">
      <c r="A272" s="112">
        <v>44630.443912037037</v>
      </c>
      <c r="B272" s="114">
        <v>44621</v>
      </c>
      <c r="C272" s="114">
        <v>44630.443912037037</v>
      </c>
      <c r="D272" s="55" t="s">
        <v>61</v>
      </c>
      <c r="E272" s="55" t="s">
        <v>12</v>
      </c>
      <c r="F272" s="55" t="s">
        <v>18</v>
      </c>
      <c r="G272" s="55" t="s">
        <v>213</v>
      </c>
      <c r="H272" s="142" t="s">
        <v>85</v>
      </c>
      <c r="I272" s="119">
        <v>3701</v>
      </c>
      <c r="J272" s="55" t="str">
        <f>IF(tbRegistroEntradas[[#This Row],[DATA DE CAIXA REALIZADO]]="N/A","0",UPPER(TEXT(tbRegistroEntradas[[#This Row],[DATA DE CAIXA REALIZADO]],"mmm")))</f>
        <v>MAR</v>
      </c>
      <c r="K272" s="58">
        <f>IF(tbRegistroEntradas[[#This Row],[DATA DE CAIXA REALIZADO]]="N/A",0,YEAR(tbRegistroEntradas[[#This Row],[DATA DE CAIXA REALIZADO]]))</f>
        <v>2022</v>
      </c>
      <c r="L272" s="79" t="str">
        <f>IF(tbRegistroEntradas[[#This Row],[DATA DA COMPETÊNCIA]]="N/A","0",UPPER(TEXT(tbRegistroEntradas[[#This Row],[DATA DA COMPETÊNCIA]],"mmm")))</f>
        <v>MAR</v>
      </c>
      <c r="M272" s="79">
        <f>IF(tbRegistroEntradas[[#This Row],[DATA DA COMPETÊNCIA]]="N/A",0,YEAR(tbRegistroEntradas[[#This Row],[DATA DA COMPETÊNCIA]]))</f>
        <v>2022</v>
      </c>
      <c r="N272" s="84" t="str">
        <f>IF(tbRegistroEntradas[[#This Row],[DATA DO CAIXA PREVISTO]]="N/A","0",UPPER(TEXT(tbRegistroEntradas[[#This Row],[DATA DO CAIXA PREVISTO]],"mmm")))</f>
        <v>MAR</v>
      </c>
      <c r="O272" s="84">
        <f>IF(tbRegistroEntradas[[#This Row],[DATA DO CAIXA PREVISTO]]="N/A",0,YEAR(tbRegistroEntradas[[#This Row],[DATA DO CAIXA PREVISTO]]))</f>
        <v>2022</v>
      </c>
      <c r="P272" s="58" t="str">
        <f ca="1">IF(AND(tbRegistroEntradas[[#This Row],[DATA DE CAIXA REALIZADO]]="N/A",tbRegistroEntradas[[#This Row],[DATA DO CAIXA PREVISTO]]&lt;TODAY()),"Vencida","Não Vencida")</f>
        <v>Não Vencida</v>
      </c>
      <c r="Q272" s="58" t="str">
        <f>IF(tbRegistroEntradas[[#This Row],[DATA DA COMPETÊNCIA]]=tbRegistroEntradas[[#This Row],[DATA DO CAIXA PREVISTO]],"Vista","Prazo")</f>
        <v>Prazo</v>
      </c>
      <c r="R272" s="58" t="str">
        <f>IF(tbRegistroEntradas[[#This Row],[DATA DE CAIXA REALIZADO]]&lt;&gt;"N/A","Em Dia","Com atraso")</f>
        <v>Em Dia</v>
      </c>
    </row>
    <row r="273" spans="1:18" s="52" customFormat="1" ht="14.4" customHeight="1" x14ac:dyDescent="0.3">
      <c r="A273" s="125">
        <v>44653</v>
      </c>
      <c r="B273" s="125">
        <f>A273-31</f>
        <v>44622</v>
      </c>
      <c r="C273" s="125">
        <f>(A273-B273)+B273-15</f>
        <v>44638</v>
      </c>
      <c r="D273" s="126" t="s">
        <v>64</v>
      </c>
      <c r="E273" s="126" t="s">
        <v>12</v>
      </c>
      <c r="F273" s="126" t="s">
        <v>19</v>
      </c>
      <c r="G273" s="126" t="s">
        <v>804</v>
      </c>
      <c r="H273" s="109" t="s">
        <v>74</v>
      </c>
      <c r="I273" s="127">
        <v>6846</v>
      </c>
      <c r="J273" s="110" t="str">
        <f>IF(tbRegistroEntradas[[#This Row],[DATA DE CAIXA REALIZADO]]="N/A","0",UPPER(TEXT(tbRegistroEntradas[[#This Row],[DATA DE CAIXA REALIZADO]],"mmm")))</f>
        <v>ABR</v>
      </c>
      <c r="K273" s="57">
        <f>IF(tbRegistroEntradas[[#This Row],[DATA DE CAIXA REALIZADO]]="N/A",0,YEAR(tbRegistroEntradas[[#This Row],[DATA DE CAIXA REALIZADO]]))</f>
        <v>2022</v>
      </c>
      <c r="L273" s="58" t="str">
        <f>IF(tbRegistroEntradas[[#This Row],[DATA DA COMPETÊNCIA]]="N/A","0",UPPER(TEXT(tbRegistroEntradas[[#This Row],[DATA DA COMPETÊNCIA]],"mmm")))</f>
        <v>MAR</v>
      </c>
      <c r="M273" s="58">
        <f>IF(tbRegistroEntradas[[#This Row],[DATA DA COMPETÊNCIA]]="N/A",0,YEAR(tbRegistroEntradas[[#This Row],[DATA DA COMPETÊNCIA]]))</f>
        <v>2022</v>
      </c>
      <c r="N273" s="58" t="str">
        <f>IF(tbRegistroEntradas[[#This Row],[DATA DO CAIXA PREVISTO]]="N/A","0",UPPER(TEXT(tbRegistroEntradas[[#This Row],[DATA DO CAIXA PREVISTO]],"mmm")))</f>
        <v>MAR</v>
      </c>
      <c r="O273" s="58">
        <f>IF(tbRegistroEntradas[[#This Row],[DATA DO CAIXA PREVISTO]]="N/A",0,YEAR(tbRegistroEntradas[[#This Row],[DATA DO CAIXA PREVISTO]]))</f>
        <v>2022</v>
      </c>
      <c r="P273" s="58" t="str">
        <f ca="1">IF(AND(tbRegistroEntradas[[#This Row],[DATA DE CAIXA REALIZADO]]="N/A",tbRegistroEntradas[[#This Row],[DATA DO CAIXA PREVISTO]]&lt;TODAY()),"Vencida","Não Vencida")</f>
        <v>Não Vencida</v>
      </c>
      <c r="Q273" s="58" t="str">
        <f>IF(tbRegistroEntradas[[#This Row],[DATA DA COMPETÊNCIA]]=tbRegistroEntradas[[#This Row],[DATA DO CAIXA PREVISTO]],"Vista","Prazo")</f>
        <v>Prazo</v>
      </c>
      <c r="R273" s="58" t="str">
        <f>IF(tbRegistroEntradas[[#This Row],[DATA DE CAIXA REALIZADO]]&lt;&gt;"N/A","Em Dia","Com atraso")</f>
        <v>Em Dia</v>
      </c>
    </row>
    <row r="274" spans="1:18" s="52" customFormat="1" ht="14.4" customHeight="1" x14ac:dyDescent="0.3">
      <c r="A274" s="113">
        <v>44663.812743055554</v>
      </c>
      <c r="B274" s="115">
        <v>44623</v>
      </c>
      <c r="C274" s="115">
        <v>44663.812743055554</v>
      </c>
      <c r="D274" s="116" t="s">
        <v>65</v>
      </c>
      <c r="E274" s="116" t="s">
        <v>12</v>
      </c>
      <c r="F274" s="116" t="s">
        <v>32</v>
      </c>
      <c r="G274" s="116" t="s">
        <v>214</v>
      </c>
      <c r="H274" s="109" t="s">
        <v>117</v>
      </c>
      <c r="I274" s="120">
        <v>1977</v>
      </c>
      <c r="J274" s="55" t="str">
        <f>IF(tbRegistroEntradas[[#This Row],[DATA DE CAIXA REALIZADO]]="N/A","0",UPPER(TEXT(tbRegistroEntradas[[#This Row],[DATA DE CAIXA REALIZADO]],"mmm")))</f>
        <v>ABR</v>
      </c>
      <c r="K274" s="58">
        <f>IF(tbRegistroEntradas[[#This Row],[DATA DE CAIXA REALIZADO]]="N/A",0,YEAR(tbRegistroEntradas[[#This Row],[DATA DE CAIXA REALIZADO]]))</f>
        <v>2022</v>
      </c>
      <c r="L274" s="79" t="str">
        <f>IF(tbRegistroEntradas[[#This Row],[DATA DA COMPETÊNCIA]]="N/A","0",UPPER(TEXT(tbRegistroEntradas[[#This Row],[DATA DA COMPETÊNCIA]],"mmm")))</f>
        <v>MAR</v>
      </c>
      <c r="M274" s="79">
        <f>IF(tbRegistroEntradas[[#This Row],[DATA DA COMPETÊNCIA]]="N/A",0,YEAR(tbRegistroEntradas[[#This Row],[DATA DA COMPETÊNCIA]]))</f>
        <v>2022</v>
      </c>
      <c r="N274" s="84" t="str">
        <f>IF(tbRegistroEntradas[[#This Row],[DATA DO CAIXA PREVISTO]]="N/A","0",UPPER(TEXT(tbRegistroEntradas[[#This Row],[DATA DO CAIXA PREVISTO]],"mmm")))</f>
        <v>ABR</v>
      </c>
      <c r="O274" s="84">
        <f>IF(tbRegistroEntradas[[#This Row],[DATA DO CAIXA PREVISTO]]="N/A",0,YEAR(tbRegistroEntradas[[#This Row],[DATA DO CAIXA PREVISTO]]))</f>
        <v>2022</v>
      </c>
      <c r="P274" s="58" t="str">
        <f ca="1">IF(AND(tbRegistroEntradas[[#This Row],[DATA DE CAIXA REALIZADO]]="N/A",tbRegistroEntradas[[#This Row],[DATA DO CAIXA PREVISTO]]&lt;TODAY()),"Vencida","Não Vencida")</f>
        <v>Não Vencida</v>
      </c>
      <c r="Q274" s="58" t="str">
        <f>IF(tbRegistroEntradas[[#This Row],[DATA DA COMPETÊNCIA]]=tbRegistroEntradas[[#This Row],[DATA DO CAIXA PREVISTO]],"Vista","Prazo")</f>
        <v>Prazo</v>
      </c>
      <c r="R274" s="58" t="str">
        <f>IF(tbRegistroEntradas[[#This Row],[DATA DE CAIXA REALIZADO]]&lt;&gt;"N/A","Em Dia","Com atraso")</f>
        <v>Em Dia</v>
      </c>
    </row>
    <row r="275" spans="1:18" s="52" customFormat="1" ht="14.4" customHeight="1" x14ac:dyDescent="0.3">
      <c r="A275" s="125">
        <v>44655</v>
      </c>
      <c r="B275" s="125">
        <f>A275-31</f>
        <v>44624</v>
      </c>
      <c r="C275" s="125">
        <f>tbRegistroEntradas[[#This Row],[DATA DA COMPETÊNCIA]]</f>
        <v>44624</v>
      </c>
      <c r="D275" s="126" t="s">
        <v>66</v>
      </c>
      <c r="E275" s="126" t="s">
        <v>12</v>
      </c>
      <c r="F275" s="126" t="s">
        <v>18</v>
      </c>
      <c r="G275" s="126" t="s">
        <v>779</v>
      </c>
      <c r="H275" s="109" t="s">
        <v>125</v>
      </c>
      <c r="I275" s="127">
        <v>1699</v>
      </c>
      <c r="J275" s="110" t="str">
        <f>IF(tbRegistroEntradas[[#This Row],[DATA DE CAIXA REALIZADO]]="N/A","0",UPPER(TEXT(tbRegistroEntradas[[#This Row],[DATA DE CAIXA REALIZADO]],"mmm")))</f>
        <v>ABR</v>
      </c>
      <c r="K275" s="57">
        <f>IF(tbRegistroEntradas[[#This Row],[DATA DE CAIXA REALIZADO]]="N/A",0,YEAR(tbRegistroEntradas[[#This Row],[DATA DE CAIXA REALIZADO]]))</f>
        <v>2022</v>
      </c>
      <c r="L275" s="58" t="str">
        <f>IF(tbRegistroEntradas[[#This Row],[DATA DA COMPETÊNCIA]]="N/A","0",UPPER(TEXT(tbRegistroEntradas[[#This Row],[DATA DA COMPETÊNCIA]],"mmm")))</f>
        <v>MAR</v>
      </c>
      <c r="M275" s="58">
        <f>IF(tbRegistroEntradas[[#This Row],[DATA DA COMPETÊNCIA]]="N/A",0,YEAR(tbRegistroEntradas[[#This Row],[DATA DA COMPETÊNCIA]]))</f>
        <v>2022</v>
      </c>
      <c r="N275" s="58" t="str">
        <f>IF(tbRegistroEntradas[[#This Row],[DATA DO CAIXA PREVISTO]]="N/A","0",UPPER(TEXT(tbRegistroEntradas[[#This Row],[DATA DO CAIXA PREVISTO]],"mmm")))</f>
        <v>MAR</v>
      </c>
      <c r="O275" s="58">
        <f>IF(tbRegistroEntradas[[#This Row],[DATA DO CAIXA PREVISTO]]="N/A",0,YEAR(tbRegistroEntradas[[#This Row],[DATA DO CAIXA PREVISTO]]))</f>
        <v>2022</v>
      </c>
      <c r="P275" s="58" t="str">
        <f ca="1">IF(AND(tbRegistroEntradas[[#This Row],[DATA DE CAIXA REALIZADO]]="N/A",tbRegistroEntradas[[#This Row],[DATA DO CAIXA PREVISTO]]&lt;TODAY()),"Vencida","Não Vencida")</f>
        <v>Não Vencida</v>
      </c>
      <c r="Q275" s="58" t="str">
        <f>IF(tbRegistroEntradas[[#This Row],[DATA DA COMPETÊNCIA]]=tbRegistroEntradas[[#This Row],[DATA DO CAIXA PREVISTO]],"Vista","Prazo")</f>
        <v>Vista</v>
      </c>
      <c r="R275" s="58" t="str">
        <f>IF(tbRegistroEntradas[[#This Row],[DATA DE CAIXA REALIZADO]]&lt;&gt;"N/A","Em Dia","Com atraso")</f>
        <v>Em Dia</v>
      </c>
    </row>
    <row r="276" spans="1:18" s="52" customFormat="1" ht="14.4" customHeight="1" x14ac:dyDescent="0.3">
      <c r="A276" s="112">
        <v>44738.691944444443</v>
      </c>
      <c r="B276" s="114">
        <v>44624</v>
      </c>
      <c r="C276" s="114">
        <v>44672.113622685189</v>
      </c>
      <c r="D276" s="55" t="s">
        <v>64</v>
      </c>
      <c r="E276" s="55" t="s">
        <v>12</v>
      </c>
      <c r="F276" s="55" t="s">
        <v>18</v>
      </c>
      <c r="G276" s="55" t="s">
        <v>215</v>
      </c>
      <c r="H276" s="109" t="s">
        <v>108</v>
      </c>
      <c r="I276" s="119">
        <v>1217</v>
      </c>
      <c r="J276" s="55" t="str">
        <f>IF(tbRegistroEntradas[[#This Row],[DATA DE CAIXA REALIZADO]]="N/A","0",UPPER(TEXT(tbRegistroEntradas[[#This Row],[DATA DE CAIXA REALIZADO]],"mmm")))</f>
        <v>JUN</v>
      </c>
      <c r="K276" s="58">
        <f>IF(tbRegistroEntradas[[#This Row],[DATA DE CAIXA REALIZADO]]="N/A",0,YEAR(tbRegistroEntradas[[#This Row],[DATA DE CAIXA REALIZADO]]))</f>
        <v>2022</v>
      </c>
      <c r="L276" s="79" t="str">
        <f>IF(tbRegistroEntradas[[#This Row],[DATA DA COMPETÊNCIA]]="N/A","0",UPPER(TEXT(tbRegistroEntradas[[#This Row],[DATA DA COMPETÊNCIA]],"mmm")))</f>
        <v>MAR</v>
      </c>
      <c r="M276" s="79">
        <f>IF(tbRegistroEntradas[[#This Row],[DATA DA COMPETÊNCIA]]="N/A",0,YEAR(tbRegistroEntradas[[#This Row],[DATA DA COMPETÊNCIA]]))</f>
        <v>2022</v>
      </c>
      <c r="N276" s="84" t="str">
        <f>IF(tbRegistroEntradas[[#This Row],[DATA DO CAIXA PREVISTO]]="N/A","0",UPPER(TEXT(tbRegistroEntradas[[#This Row],[DATA DO CAIXA PREVISTO]],"mmm")))</f>
        <v>ABR</v>
      </c>
      <c r="O276" s="84">
        <f>IF(tbRegistroEntradas[[#This Row],[DATA DO CAIXA PREVISTO]]="N/A",0,YEAR(tbRegistroEntradas[[#This Row],[DATA DO CAIXA PREVISTO]]))</f>
        <v>2022</v>
      </c>
      <c r="P276" s="58" t="str">
        <f ca="1">IF(AND(tbRegistroEntradas[[#This Row],[DATA DE CAIXA REALIZADO]]="N/A",tbRegistroEntradas[[#This Row],[DATA DO CAIXA PREVISTO]]&lt;TODAY()),"Vencida","Não Vencida")</f>
        <v>Não Vencida</v>
      </c>
      <c r="Q276" s="58" t="str">
        <f>IF(tbRegistroEntradas[[#This Row],[DATA DA COMPETÊNCIA]]=tbRegistroEntradas[[#This Row],[DATA DO CAIXA PREVISTO]],"Vista","Prazo")</f>
        <v>Prazo</v>
      </c>
      <c r="R276" s="58" t="str">
        <f>IF(tbRegistroEntradas[[#This Row],[DATA DE CAIXA REALIZADO]]&lt;&gt;"N/A","Em Dia","Com atraso")</f>
        <v>Em Dia</v>
      </c>
    </row>
    <row r="277" spans="1:18" s="52" customFormat="1" ht="14.4" customHeight="1" x14ac:dyDescent="0.3">
      <c r="A277" s="125">
        <v>44656</v>
      </c>
      <c r="B277" s="125">
        <f>A277-31</f>
        <v>44625</v>
      </c>
      <c r="C277" s="125">
        <f>tbRegistroEntradas[[#This Row],[DATA DA COMPETÊNCIA]]</f>
        <v>44625</v>
      </c>
      <c r="D277" s="126" t="s">
        <v>64</v>
      </c>
      <c r="E277" s="126" t="s">
        <v>12</v>
      </c>
      <c r="F277" s="126" t="s">
        <v>32</v>
      </c>
      <c r="G277" s="126" t="s">
        <v>1087</v>
      </c>
      <c r="H277" s="109" t="s">
        <v>109</v>
      </c>
      <c r="I277" s="127">
        <v>4004</v>
      </c>
      <c r="J277" s="110" t="str">
        <f>IF(tbRegistroEntradas[[#This Row],[DATA DE CAIXA REALIZADO]]="N/A","0",UPPER(TEXT(tbRegistroEntradas[[#This Row],[DATA DE CAIXA REALIZADO]],"mmm")))</f>
        <v>ABR</v>
      </c>
      <c r="K277" s="57">
        <f>IF(tbRegistroEntradas[[#This Row],[DATA DE CAIXA REALIZADO]]="N/A",0,YEAR(tbRegistroEntradas[[#This Row],[DATA DE CAIXA REALIZADO]]))</f>
        <v>2022</v>
      </c>
      <c r="L277" s="58" t="str">
        <f>IF(tbRegistroEntradas[[#This Row],[DATA DA COMPETÊNCIA]]="N/A","0",UPPER(TEXT(tbRegistroEntradas[[#This Row],[DATA DA COMPETÊNCIA]],"mmm")))</f>
        <v>MAR</v>
      </c>
      <c r="M277" s="58">
        <f>IF(tbRegistroEntradas[[#This Row],[DATA DA COMPETÊNCIA]]="N/A",0,YEAR(tbRegistroEntradas[[#This Row],[DATA DA COMPETÊNCIA]]))</f>
        <v>2022</v>
      </c>
      <c r="N277" s="58" t="str">
        <f>IF(tbRegistroEntradas[[#This Row],[DATA DO CAIXA PREVISTO]]="N/A","0",UPPER(TEXT(tbRegistroEntradas[[#This Row],[DATA DO CAIXA PREVISTO]],"mmm")))</f>
        <v>MAR</v>
      </c>
      <c r="O277" s="58">
        <f>IF(tbRegistroEntradas[[#This Row],[DATA DO CAIXA PREVISTO]]="N/A",0,YEAR(tbRegistroEntradas[[#This Row],[DATA DO CAIXA PREVISTO]]))</f>
        <v>2022</v>
      </c>
      <c r="P277" s="58" t="str">
        <f ca="1">IF(AND(tbRegistroEntradas[[#This Row],[DATA DE CAIXA REALIZADO]]="N/A",tbRegistroEntradas[[#This Row],[DATA DO CAIXA PREVISTO]]&lt;TODAY()),"Vencida","Não Vencida")</f>
        <v>Não Vencida</v>
      </c>
      <c r="Q277" s="58" t="str">
        <f>IF(tbRegistroEntradas[[#This Row],[DATA DA COMPETÊNCIA]]=tbRegistroEntradas[[#This Row],[DATA DO CAIXA PREVISTO]],"Vista","Prazo")</f>
        <v>Vista</v>
      </c>
      <c r="R277" s="58" t="str">
        <f>IF(tbRegistroEntradas[[#This Row],[DATA DE CAIXA REALIZADO]]&lt;&gt;"N/A","Em Dia","Com atraso")</f>
        <v>Em Dia</v>
      </c>
    </row>
    <row r="278" spans="1:18" s="52" customFormat="1" ht="14.4" customHeight="1" x14ac:dyDescent="0.3">
      <c r="A278" s="113">
        <v>44744.817442129628</v>
      </c>
      <c r="B278" s="115">
        <v>44627</v>
      </c>
      <c r="C278" s="115">
        <v>44664.174467592595</v>
      </c>
      <c r="D278" s="116" t="s">
        <v>62</v>
      </c>
      <c r="E278" s="116" t="s">
        <v>12</v>
      </c>
      <c r="F278" s="116" t="s">
        <v>16</v>
      </c>
      <c r="G278" s="116" t="s">
        <v>216</v>
      </c>
      <c r="H278" s="46" t="s">
        <v>97</v>
      </c>
      <c r="I278" s="120">
        <v>1660</v>
      </c>
      <c r="J278" s="55" t="str">
        <f>IF(tbRegistroEntradas[[#This Row],[DATA DE CAIXA REALIZADO]]="N/A","0",UPPER(TEXT(tbRegistroEntradas[[#This Row],[DATA DE CAIXA REALIZADO]],"mmm")))</f>
        <v>JUL</v>
      </c>
      <c r="K278" s="58">
        <f>IF(tbRegistroEntradas[[#This Row],[DATA DE CAIXA REALIZADO]]="N/A",0,YEAR(tbRegistroEntradas[[#This Row],[DATA DE CAIXA REALIZADO]]))</f>
        <v>2022</v>
      </c>
      <c r="L278" s="79" t="str">
        <f>IF(tbRegistroEntradas[[#This Row],[DATA DA COMPETÊNCIA]]="N/A","0",UPPER(TEXT(tbRegistroEntradas[[#This Row],[DATA DA COMPETÊNCIA]],"mmm")))</f>
        <v>MAR</v>
      </c>
      <c r="M278" s="79">
        <f>IF(tbRegistroEntradas[[#This Row],[DATA DA COMPETÊNCIA]]="N/A",0,YEAR(tbRegistroEntradas[[#This Row],[DATA DA COMPETÊNCIA]]))</f>
        <v>2022</v>
      </c>
      <c r="N278" s="84" t="str">
        <f>IF(tbRegistroEntradas[[#This Row],[DATA DO CAIXA PREVISTO]]="N/A","0",UPPER(TEXT(tbRegistroEntradas[[#This Row],[DATA DO CAIXA PREVISTO]],"mmm")))</f>
        <v>ABR</v>
      </c>
      <c r="O278" s="84">
        <f>IF(tbRegistroEntradas[[#This Row],[DATA DO CAIXA PREVISTO]]="N/A",0,YEAR(tbRegistroEntradas[[#This Row],[DATA DO CAIXA PREVISTO]]))</f>
        <v>2022</v>
      </c>
      <c r="P278" s="58" t="str">
        <f ca="1">IF(AND(tbRegistroEntradas[[#This Row],[DATA DE CAIXA REALIZADO]]="N/A",tbRegistroEntradas[[#This Row],[DATA DO CAIXA PREVISTO]]&lt;TODAY()),"Vencida","Não Vencida")</f>
        <v>Não Vencida</v>
      </c>
      <c r="Q278" s="58" t="str">
        <f>IF(tbRegistroEntradas[[#This Row],[DATA DA COMPETÊNCIA]]=tbRegistroEntradas[[#This Row],[DATA DO CAIXA PREVISTO]],"Vista","Prazo")</f>
        <v>Prazo</v>
      </c>
      <c r="R278" s="58" t="str">
        <f>IF(tbRegistroEntradas[[#This Row],[DATA DE CAIXA REALIZADO]]&lt;&gt;"N/A","Em Dia","Com atraso")</f>
        <v>Em Dia</v>
      </c>
    </row>
    <row r="279" spans="1:18" s="52" customFormat="1" ht="14.4" customHeight="1" x14ac:dyDescent="0.3">
      <c r="A279" s="125">
        <v>44659</v>
      </c>
      <c r="B279" s="125">
        <f>A279-31</f>
        <v>44628</v>
      </c>
      <c r="C279" s="125">
        <f>(A279-B279)+B279-15</f>
        <v>44644</v>
      </c>
      <c r="D279" s="126" t="s">
        <v>66</v>
      </c>
      <c r="E279" s="126" t="s">
        <v>12</v>
      </c>
      <c r="F279" s="126" t="s">
        <v>19</v>
      </c>
      <c r="G279" s="126" t="s">
        <v>661</v>
      </c>
      <c r="H279" s="109" t="s">
        <v>123</v>
      </c>
      <c r="I279" s="127">
        <v>292</v>
      </c>
      <c r="J279" s="110" t="str">
        <f>IF(tbRegistroEntradas[[#This Row],[DATA DE CAIXA REALIZADO]]="N/A","0",UPPER(TEXT(tbRegistroEntradas[[#This Row],[DATA DE CAIXA REALIZADO]],"mmm")))</f>
        <v>ABR</v>
      </c>
      <c r="K279" s="57">
        <f>IF(tbRegistroEntradas[[#This Row],[DATA DE CAIXA REALIZADO]]="N/A",0,YEAR(tbRegistroEntradas[[#This Row],[DATA DE CAIXA REALIZADO]]))</f>
        <v>2022</v>
      </c>
      <c r="L279" s="58" t="str">
        <f>IF(tbRegistroEntradas[[#This Row],[DATA DA COMPETÊNCIA]]="N/A","0",UPPER(TEXT(tbRegistroEntradas[[#This Row],[DATA DA COMPETÊNCIA]],"mmm")))</f>
        <v>MAR</v>
      </c>
      <c r="M279" s="58">
        <f>IF(tbRegistroEntradas[[#This Row],[DATA DA COMPETÊNCIA]]="N/A",0,YEAR(tbRegistroEntradas[[#This Row],[DATA DA COMPETÊNCIA]]))</f>
        <v>2022</v>
      </c>
      <c r="N279" s="58" t="str">
        <f>IF(tbRegistroEntradas[[#This Row],[DATA DO CAIXA PREVISTO]]="N/A","0",UPPER(TEXT(tbRegistroEntradas[[#This Row],[DATA DO CAIXA PREVISTO]],"mmm")))</f>
        <v>MAR</v>
      </c>
      <c r="O279" s="58">
        <f>IF(tbRegistroEntradas[[#This Row],[DATA DO CAIXA PREVISTO]]="N/A",0,YEAR(tbRegistroEntradas[[#This Row],[DATA DO CAIXA PREVISTO]]))</f>
        <v>2022</v>
      </c>
      <c r="P279" s="58" t="str">
        <f ca="1">IF(AND(tbRegistroEntradas[[#This Row],[DATA DE CAIXA REALIZADO]]="N/A",tbRegistroEntradas[[#This Row],[DATA DO CAIXA PREVISTO]]&lt;TODAY()),"Vencida","Não Vencida")</f>
        <v>Não Vencida</v>
      </c>
      <c r="Q279" s="58" t="str">
        <f>IF(tbRegistroEntradas[[#This Row],[DATA DA COMPETÊNCIA]]=tbRegistroEntradas[[#This Row],[DATA DO CAIXA PREVISTO]],"Vista","Prazo")</f>
        <v>Prazo</v>
      </c>
      <c r="R279" s="58" t="str">
        <f>IF(tbRegistroEntradas[[#This Row],[DATA DE CAIXA REALIZADO]]&lt;&gt;"N/A","Em Dia","Com atraso")</f>
        <v>Em Dia</v>
      </c>
    </row>
    <row r="280" spans="1:18" s="52" customFormat="1" ht="14.4" customHeight="1" x14ac:dyDescent="0.3">
      <c r="A280" s="125">
        <v>44661</v>
      </c>
      <c r="B280" s="125">
        <f>A280-31</f>
        <v>44630</v>
      </c>
      <c r="C280" s="125">
        <f>tbRegistroEntradas[[#This Row],[DATA DA COMPETÊNCIA]]</f>
        <v>44630</v>
      </c>
      <c r="D280" s="126" t="s">
        <v>61</v>
      </c>
      <c r="E280" s="126" t="s">
        <v>12</v>
      </c>
      <c r="F280" s="126" t="s">
        <v>17</v>
      </c>
      <c r="G280" s="126" t="s">
        <v>1093</v>
      </c>
      <c r="H280" s="109" t="s">
        <v>86</v>
      </c>
      <c r="I280" s="127">
        <v>5495</v>
      </c>
      <c r="J280" s="110" t="str">
        <f>IF(tbRegistroEntradas[[#This Row],[DATA DE CAIXA REALIZADO]]="N/A","0",UPPER(TEXT(tbRegistroEntradas[[#This Row],[DATA DE CAIXA REALIZADO]],"mmm")))</f>
        <v>ABR</v>
      </c>
      <c r="K280" s="57">
        <f>IF(tbRegistroEntradas[[#This Row],[DATA DE CAIXA REALIZADO]]="N/A",0,YEAR(tbRegistroEntradas[[#This Row],[DATA DE CAIXA REALIZADO]]))</f>
        <v>2022</v>
      </c>
      <c r="L280" s="58" t="str">
        <f>IF(tbRegistroEntradas[[#This Row],[DATA DA COMPETÊNCIA]]="N/A","0",UPPER(TEXT(tbRegistroEntradas[[#This Row],[DATA DA COMPETÊNCIA]],"mmm")))</f>
        <v>MAR</v>
      </c>
      <c r="M280" s="58">
        <f>IF(tbRegistroEntradas[[#This Row],[DATA DA COMPETÊNCIA]]="N/A",0,YEAR(tbRegistroEntradas[[#This Row],[DATA DA COMPETÊNCIA]]))</f>
        <v>2022</v>
      </c>
      <c r="N280" s="58" t="str">
        <f>IF(tbRegistroEntradas[[#This Row],[DATA DO CAIXA PREVISTO]]="N/A","0",UPPER(TEXT(tbRegistroEntradas[[#This Row],[DATA DO CAIXA PREVISTO]],"mmm")))</f>
        <v>MAR</v>
      </c>
      <c r="O280" s="58">
        <f>IF(tbRegistroEntradas[[#This Row],[DATA DO CAIXA PREVISTO]]="N/A",0,YEAR(tbRegistroEntradas[[#This Row],[DATA DO CAIXA PREVISTO]]))</f>
        <v>2022</v>
      </c>
      <c r="P280" s="58" t="str">
        <f ca="1">IF(AND(tbRegistroEntradas[[#This Row],[DATA DE CAIXA REALIZADO]]="N/A",tbRegistroEntradas[[#This Row],[DATA DO CAIXA PREVISTO]]&lt;TODAY()),"Vencida","Não Vencida")</f>
        <v>Não Vencida</v>
      </c>
      <c r="Q280" s="58" t="str">
        <f>IF(tbRegistroEntradas[[#This Row],[DATA DA COMPETÊNCIA]]=tbRegistroEntradas[[#This Row],[DATA DO CAIXA PREVISTO]],"Vista","Prazo")</f>
        <v>Vista</v>
      </c>
      <c r="R280" s="58" t="str">
        <f>IF(tbRegistroEntradas[[#This Row],[DATA DE CAIXA REALIZADO]]&lt;&gt;"N/A","Em Dia","Com atraso")</f>
        <v>Em Dia</v>
      </c>
    </row>
    <row r="281" spans="1:18" s="52" customFormat="1" ht="14.4" customHeight="1" x14ac:dyDescent="0.3">
      <c r="A281" s="112">
        <v>44645.083981481483</v>
      </c>
      <c r="B281" s="114">
        <v>44630</v>
      </c>
      <c r="C281" s="114">
        <v>44645.083981481483</v>
      </c>
      <c r="D281" s="55" t="s">
        <v>61</v>
      </c>
      <c r="E281" s="55" t="s">
        <v>12</v>
      </c>
      <c r="F281" s="55" t="s">
        <v>16</v>
      </c>
      <c r="G281" s="55" t="s">
        <v>217</v>
      </c>
      <c r="H281" s="109" t="s">
        <v>87</v>
      </c>
      <c r="I281" s="119">
        <v>837</v>
      </c>
      <c r="J281" s="55" t="str">
        <f>IF(tbRegistroEntradas[[#This Row],[DATA DE CAIXA REALIZADO]]="N/A","0",UPPER(TEXT(tbRegistroEntradas[[#This Row],[DATA DE CAIXA REALIZADO]],"mmm")))</f>
        <v>MAR</v>
      </c>
      <c r="K281" s="58">
        <f>IF(tbRegistroEntradas[[#This Row],[DATA DE CAIXA REALIZADO]]="N/A",0,YEAR(tbRegistroEntradas[[#This Row],[DATA DE CAIXA REALIZADO]]))</f>
        <v>2022</v>
      </c>
      <c r="L281" s="79" t="str">
        <f>IF(tbRegistroEntradas[[#This Row],[DATA DA COMPETÊNCIA]]="N/A","0",UPPER(TEXT(tbRegistroEntradas[[#This Row],[DATA DA COMPETÊNCIA]],"mmm")))</f>
        <v>MAR</v>
      </c>
      <c r="M281" s="79">
        <f>IF(tbRegistroEntradas[[#This Row],[DATA DA COMPETÊNCIA]]="N/A",0,YEAR(tbRegistroEntradas[[#This Row],[DATA DA COMPETÊNCIA]]))</f>
        <v>2022</v>
      </c>
      <c r="N281" s="84" t="str">
        <f>IF(tbRegistroEntradas[[#This Row],[DATA DO CAIXA PREVISTO]]="N/A","0",UPPER(TEXT(tbRegistroEntradas[[#This Row],[DATA DO CAIXA PREVISTO]],"mmm")))</f>
        <v>MAR</v>
      </c>
      <c r="O281" s="84">
        <f>IF(tbRegistroEntradas[[#This Row],[DATA DO CAIXA PREVISTO]]="N/A",0,YEAR(tbRegistroEntradas[[#This Row],[DATA DO CAIXA PREVISTO]]))</f>
        <v>2022</v>
      </c>
      <c r="P281" s="58" t="str">
        <f ca="1">IF(AND(tbRegistroEntradas[[#This Row],[DATA DE CAIXA REALIZADO]]="N/A",tbRegistroEntradas[[#This Row],[DATA DO CAIXA PREVISTO]]&lt;TODAY()),"Vencida","Não Vencida")</f>
        <v>Não Vencida</v>
      </c>
      <c r="Q281" s="58" t="str">
        <f>IF(tbRegistroEntradas[[#This Row],[DATA DA COMPETÊNCIA]]=tbRegistroEntradas[[#This Row],[DATA DO CAIXA PREVISTO]],"Vista","Prazo")</f>
        <v>Prazo</v>
      </c>
      <c r="R281" s="58" t="str">
        <f>IF(tbRegistroEntradas[[#This Row],[DATA DE CAIXA REALIZADO]]&lt;&gt;"N/A","Em Dia","Com atraso")</f>
        <v>Em Dia</v>
      </c>
    </row>
    <row r="282" spans="1:18" s="52" customFormat="1" ht="14.4" customHeight="1" x14ac:dyDescent="0.3">
      <c r="A282" s="113">
        <v>44661.147037037037</v>
      </c>
      <c r="B282" s="115">
        <v>44632</v>
      </c>
      <c r="C282" s="115">
        <v>44661.147037037037</v>
      </c>
      <c r="D282" s="116" t="s">
        <v>61</v>
      </c>
      <c r="E282" s="116" t="s">
        <v>12</v>
      </c>
      <c r="F282" s="116" t="s">
        <v>19</v>
      </c>
      <c r="G282" s="116" t="s">
        <v>218</v>
      </c>
      <c r="H282" s="109" t="s">
        <v>88</v>
      </c>
      <c r="I282" s="120">
        <v>1838</v>
      </c>
      <c r="J282" s="55" t="str">
        <f>IF(tbRegistroEntradas[[#This Row],[DATA DE CAIXA REALIZADO]]="N/A","0",UPPER(TEXT(tbRegistroEntradas[[#This Row],[DATA DE CAIXA REALIZADO]],"mmm")))</f>
        <v>ABR</v>
      </c>
      <c r="K282" s="58">
        <f>IF(tbRegistroEntradas[[#This Row],[DATA DE CAIXA REALIZADO]]="N/A",0,YEAR(tbRegistroEntradas[[#This Row],[DATA DE CAIXA REALIZADO]]))</f>
        <v>2022</v>
      </c>
      <c r="L282" s="79" t="str">
        <f>IF(tbRegistroEntradas[[#This Row],[DATA DA COMPETÊNCIA]]="N/A","0",UPPER(TEXT(tbRegistroEntradas[[#This Row],[DATA DA COMPETÊNCIA]],"mmm")))</f>
        <v>MAR</v>
      </c>
      <c r="M282" s="79">
        <f>IF(tbRegistroEntradas[[#This Row],[DATA DA COMPETÊNCIA]]="N/A",0,YEAR(tbRegistroEntradas[[#This Row],[DATA DA COMPETÊNCIA]]))</f>
        <v>2022</v>
      </c>
      <c r="N282" s="84" t="str">
        <f>IF(tbRegistroEntradas[[#This Row],[DATA DO CAIXA PREVISTO]]="N/A","0",UPPER(TEXT(tbRegistroEntradas[[#This Row],[DATA DO CAIXA PREVISTO]],"mmm")))</f>
        <v>ABR</v>
      </c>
      <c r="O282" s="84">
        <f>IF(tbRegistroEntradas[[#This Row],[DATA DO CAIXA PREVISTO]]="N/A",0,YEAR(tbRegistroEntradas[[#This Row],[DATA DO CAIXA PREVISTO]]))</f>
        <v>2022</v>
      </c>
      <c r="P282" s="58" t="str">
        <f ca="1">IF(AND(tbRegistroEntradas[[#This Row],[DATA DE CAIXA REALIZADO]]="N/A",tbRegistroEntradas[[#This Row],[DATA DO CAIXA PREVISTO]]&lt;TODAY()),"Vencida","Não Vencida")</f>
        <v>Não Vencida</v>
      </c>
      <c r="Q282" s="58" t="str">
        <f>IF(tbRegistroEntradas[[#This Row],[DATA DA COMPETÊNCIA]]=tbRegistroEntradas[[#This Row],[DATA DO CAIXA PREVISTO]],"Vista","Prazo")</f>
        <v>Prazo</v>
      </c>
      <c r="R282" s="58" t="str">
        <f>IF(tbRegistroEntradas[[#This Row],[DATA DE CAIXA REALIZADO]]&lt;&gt;"N/A","Em Dia","Com atraso")</f>
        <v>Em Dia</v>
      </c>
    </row>
    <row r="283" spans="1:18" s="52" customFormat="1" ht="14.4" customHeight="1" x14ac:dyDescent="0.3">
      <c r="A283" s="125">
        <v>44668</v>
      </c>
      <c r="B283" s="125">
        <f>A283-31</f>
        <v>44637</v>
      </c>
      <c r="C283" s="125">
        <f>(A283-B283)+B283-15</f>
        <v>44653</v>
      </c>
      <c r="D283" s="126" t="s">
        <v>137</v>
      </c>
      <c r="E283" s="126" t="s">
        <v>12</v>
      </c>
      <c r="F283" s="126" t="s">
        <v>32</v>
      </c>
      <c r="G283" s="126" t="s">
        <v>968</v>
      </c>
      <c r="H283" s="109" t="s">
        <v>104</v>
      </c>
      <c r="I283" s="127">
        <v>3189</v>
      </c>
      <c r="J283" s="110" t="str">
        <f>IF(tbRegistroEntradas[[#This Row],[DATA DE CAIXA REALIZADO]]="N/A","0",UPPER(TEXT(tbRegistroEntradas[[#This Row],[DATA DE CAIXA REALIZADO]],"mmm")))</f>
        <v>ABR</v>
      </c>
      <c r="K283" s="57">
        <f>IF(tbRegistroEntradas[[#This Row],[DATA DE CAIXA REALIZADO]]="N/A",0,YEAR(tbRegistroEntradas[[#This Row],[DATA DE CAIXA REALIZADO]]))</f>
        <v>2022</v>
      </c>
      <c r="L283" s="58" t="str">
        <f>IF(tbRegistroEntradas[[#This Row],[DATA DA COMPETÊNCIA]]="N/A","0",UPPER(TEXT(tbRegistroEntradas[[#This Row],[DATA DA COMPETÊNCIA]],"mmm")))</f>
        <v>MAR</v>
      </c>
      <c r="M283" s="58">
        <f>IF(tbRegistroEntradas[[#This Row],[DATA DA COMPETÊNCIA]]="N/A",0,YEAR(tbRegistroEntradas[[#This Row],[DATA DA COMPETÊNCIA]]))</f>
        <v>2022</v>
      </c>
      <c r="N283" s="58" t="str">
        <f>IF(tbRegistroEntradas[[#This Row],[DATA DO CAIXA PREVISTO]]="N/A","0",UPPER(TEXT(tbRegistroEntradas[[#This Row],[DATA DO CAIXA PREVISTO]],"mmm")))</f>
        <v>ABR</v>
      </c>
      <c r="O283" s="58">
        <f>IF(tbRegistroEntradas[[#This Row],[DATA DO CAIXA PREVISTO]]="N/A",0,YEAR(tbRegistroEntradas[[#This Row],[DATA DO CAIXA PREVISTO]]))</f>
        <v>2022</v>
      </c>
      <c r="P283" s="58" t="str">
        <f ca="1">IF(AND(tbRegistroEntradas[[#This Row],[DATA DE CAIXA REALIZADO]]="N/A",tbRegistroEntradas[[#This Row],[DATA DO CAIXA PREVISTO]]&lt;TODAY()),"Vencida","Não Vencida")</f>
        <v>Não Vencida</v>
      </c>
      <c r="Q283" s="58" t="str">
        <f>IF(tbRegistroEntradas[[#This Row],[DATA DA COMPETÊNCIA]]=tbRegistroEntradas[[#This Row],[DATA DO CAIXA PREVISTO]],"Vista","Prazo")</f>
        <v>Prazo</v>
      </c>
      <c r="R283" s="58" t="str">
        <f>IF(tbRegistroEntradas[[#This Row],[DATA DE CAIXA REALIZADO]]&lt;&gt;"N/A","Em Dia","Com atraso")</f>
        <v>Em Dia</v>
      </c>
    </row>
    <row r="284" spans="1:18" s="52" customFormat="1" ht="14.4" customHeight="1" x14ac:dyDescent="0.3">
      <c r="A284" s="112">
        <v>44668.818229166667</v>
      </c>
      <c r="B284" s="114">
        <v>44637</v>
      </c>
      <c r="C284" s="114">
        <v>44668.818229166667</v>
      </c>
      <c r="D284" s="55" t="s">
        <v>63</v>
      </c>
      <c r="E284" s="55" t="s">
        <v>12</v>
      </c>
      <c r="F284" s="55" t="s">
        <v>32</v>
      </c>
      <c r="G284" s="55" t="s">
        <v>219</v>
      </c>
      <c r="H284" s="109" t="s">
        <v>98</v>
      </c>
      <c r="I284" s="119">
        <v>4471</v>
      </c>
      <c r="J284" s="55" t="str">
        <f>IF(tbRegistroEntradas[[#This Row],[DATA DE CAIXA REALIZADO]]="N/A","0",UPPER(TEXT(tbRegistroEntradas[[#This Row],[DATA DE CAIXA REALIZADO]],"mmm")))</f>
        <v>ABR</v>
      </c>
      <c r="K284" s="58">
        <f>IF(tbRegistroEntradas[[#This Row],[DATA DE CAIXA REALIZADO]]="N/A",0,YEAR(tbRegistroEntradas[[#This Row],[DATA DE CAIXA REALIZADO]]))</f>
        <v>2022</v>
      </c>
      <c r="L284" s="79" t="str">
        <f>IF(tbRegistroEntradas[[#This Row],[DATA DA COMPETÊNCIA]]="N/A","0",UPPER(TEXT(tbRegistroEntradas[[#This Row],[DATA DA COMPETÊNCIA]],"mmm")))</f>
        <v>MAR</v>
      </c>
      <c r="M284" s="79">
        <f>IF(tbRegistroEntradas[[#This Row],[DATA DA COMPETÊNCIA]]="N/A",0,YEAR(tbRegistroEntradas[[#This Row],[DATA DA COMPETÊNCIA]]))</f>
        <v>2022</v>
      </c>
      <c r="N284" s="84" t="str">
        <f>IF(tbRegistroEntradas[[#This Row],[DATA DO CAIXA PREVISTO]]="N/A","0",UPPER(TEXT(tbRegistroEntradas[[#This Row],[DATA DO CAIXA PREVISTO]],"mmm")))</f>
        <v>ABR</v>
      </c>
      <c r="O284" s="84">
        <f>IF(tbRegistroEntradas[[#This Row],[DATA DO CAIXA PREVISTO]]="N/A",0,YEAR(tbRegistroEntradas[[#This Row],[DATA DO CAIXA PREVISTO]]))</f>
        <v>2022</v>
      </c>
      <c r="P284" s="58" t="str">
        <f ca="1">IF(AND(tbRegistroEntradas[[#This Row],[DATA DE CAIXA REALIZADO]]="N/A",tbRegistroEntradas[[#This Row],[DATA DO CAIXA PREVISTO]]&lt;TODAY()),"Vencida","Não Vencida")</f>
        <v>Não Vencida</v>
      </c>
      <c r="Q284" s="58" t="str">
        <f>IF(tbRegistroEntradas[[#This Row],[DATA DA COMPETÊNCIA]]=tbRegistroEntradas[[#This Row],[DATA DO CAIXA PREVISTO]],"Vista","Prazo")</f>
        <v>Prazo</v>
      </c>
      <c r="R284" s="58" t="str">
        <f>IF(tbRegistroEntradas[[#This Row],[DATA DE CAIXA REALIZADO]]&lt;&gt;"N/A","Em Dia","Com atraso")</f>
        <v>Em Dia</v>
      </c>
    </row>
    <row r="285" spans="1:18" s="52" customFormat="1" ht="14.4" customHeight="1" x14ac:dyDescent="0.3">
      <c r="A285" s="125">
        <v>44668</v>
      </c>
      <c r="B285" s="125">
        <f>A285-31</f>
        <v>44637</v>
      </c>
      <c r="C285" s="125">
        <f>(A285-B285)+B285-15</f>
        <v>44653</v>
      </c>
      <c r="D285" s="126" t="s">
        <v>67</v>
      </c>
      <c r="E285" s="126" t="s">
        <v>12</v>
      </c>
      <c r="F285" s="126" t="s">
        <v>18</v>
      </c>
      <c r="G285" s="126" t="s">
        <v>800</v>
      </c>
      <c r="H285" s="142" t="s">
        <v>132</v>
      </c>
      <c r="I285" s="127">
        <v>2395</v>
      </c>
      <c r="J285" s="110" t="str">
        <f>IF(tbRegistroEntradas[[#This Row],[DATA DE CAIXA REALIZADO]]="N/A","0",UPPER(TEXT(tbRegistroEntradas[[#This Row],[DATA DE CAIXA REALIZADO]],"mmm")))</f>
        <v>ABR</v>
      </c>
      <c r="K285" s="57">
        <f>IF(tbRegistroEntradas[[#This Row],[DATA DE CAIXA REALIZADO]]="N/A",0,YEAR(tbRegistroEntradas[[#This Row],[DATA DE CAIXA REALIZADO]]))</f>
        <v>2022</v>
      </c>
      <c r="L285" s="58" t="str">
        <f>IF(tbRegistroEntradas[[#This Row],[DATA DA COMPETÊNCIA]]="N/A","0",UPPER(TEXT(tbRegistroEntradas[[#This Row],[DATA DA COMPETÊNCIA]],"mmm")))</f>
        <v>MAR</v>
      </c>
      <c r="M285" s="58">
        <f>IF(tbRegistroEntradas[[#This Row],[DATA DA COMPETÊNCIA]]="N/A",0,YEAR(tbRegistroEntradas[[#This Row],[DATA DA COMPETÊNCIA]]))</f>
        <v>2022</v>
      </c>
      <c r="N285" s="58" t="str">
        <f>IF(tbRegistroEntradas[[#This Row],[DATA DO CAIXA PREVISTO]]="N/A","0",UPPER(TEXT(tbRegistroEntradas[[#This Row],[DATA DO CAIXA PREVISTO]],"mmm")))</f>
        <v>ABR</v>
      </c>
      <c r="O285" s="58">
        <f>IF(tbRegistroEntradas[[#This Row],[DATA DO CAIXA PREVISTO]]="N/A",0,YEAR(tbRegistroEntradas[[#This Row],[DATA DO CAIXA PREVISTO]]))</f>
        <v>2022</v>
      </c>
      <c r="P285" s="58" t="str">
        <f ca="1">IF(AND(tbRegistroEntradas[[#This Row],[DATA DE CAIXA REALIZADO]]="N/A",tbRegistroEntradas[[#This Row],[DATA DO CAIXA PREVISTO]]&lt;TODAY()),"Vencida","Não Vencida")</f>
        <v>Não Vencida</v>
      </c>
      <c r="Q285" s="58" t="str">
        <f>IF(tbRegistroEntradas[[#This Row],[DATA DA COMPETÊNCIA]]=tbRegistroEntradas[[#This Row],[DATA DO CAIXA PREVISTO]],"Vista","Prazo")</f>
        <v>Prazo</v>
      </c>
      <c r="R285" s="58" t="str">
        <f>IF(tbRegistroEntradas[[#This Row],[DATA DE CAIXA REALIZADO]]&lt;&gt;"N/A","Em Dia","Com atraso")</f>
        <v>Em Dia</v>
      </c>
    </row>
    <row r="286" spans="1:18" s="52" customFormat="1" ht="14.4" customHeight="1" x14ac:dyDescent="0.3">
      <c r="A286" s="113">
        <v>44695.457974537036</v>
      </c>
      <c r="B286" s="115">
        <v>44638</v>
      </c>
      <c r="C286" s="115">
        <v>44695.457974537036</v>
      </c>
      <c r="D286" s="116" t="s">
        <v>66</v>
      </c>
      <c r="E286" s="116" t="s">
        <v>12</v>
      </c>
      <c r="F286" s="116" t="s">
        <v>19</v>
      </c>
      <c r="G286" s="116" t="s">
        <v>220</v>
      </c>
      <c r="H286" s="109" t="s">
        <v>124</v>
      </c>
      <c r="I286" s="120">
        <v>3540</v>
      </c>
      <c r="J286" s="55" t="str">
        <f>IF(tbRegistroEntradas[[#This Row],[DATA DE CAIXA REALIZADO]]="N/A","0",UPPER(TEXT(tbRegistroEntradas[[#This Row],[DATA DE CAIXA REALIZADO]],"mmm")))</f>
        <v>MAI</v>
      </c>
      <c r="K286" s="58">
        <f>IF(tbRegistroEntradas[[#This Row],[DATA DE CAIXA REALIZADO]]="N/A",0,YEAR(tbRegistroEntradas[[#This Row],[DATA DE CAIXA REALIZADO]]))</f>
        <v>2022</v>
      </c>
      <c r="L286" s="79" t="str">
        <f>IF(tbRegistroEntradas[[#This Row],[DATA DA COMPETÊNCIA]]="N/A","0",UPPER(TEXT(tbRegistroEntradas[[#This Row],[DATA DA COMPETÊNCIA]],"mmm")))</f>
        <v>MAR</v>
      </c>
      <c r="M286" s="79">
        <f>IF(tbRegistroEntradas[[#This Row],[DATA DA COMPETÊNCIA]]="N/A",0,YEAR(tbRegistroEntradas[[#This Row],[DATA DA COMPETÊNCIA]]))</f>
        <v>2022</v>
      </c>
      <c r="N286" s="84" t="str">
        <f>IF(tbRegistroEntradas[[#This Row],[DATA DO CAIXA PREVISTO]]="N/A","0",UPPER(TEXT(tbRegistroEntradas[[#This Row],[DATA DO CAIXA PREVISTO]],"mmm")))</f>
        <v>MAI</v>
      </c>
      <c r="O286" s="84">
        <f>IF(tbRegistroEntradas[[#This Row],[DATA DO CAIXA PREVISTO]]="N/A",0,YEAR(tbRegistroEntradas[[#This Row],[DATA DO CAIXA PREVISTO]]))</f>
        <v>2022</v>
      </c>
      <c r="P286" s="58" t="str">
        <f ca="1">IF(AND(tbRegistroEntradas[[#This Row],[DATA DE CAIXA REALIZADO]]="N/A",tbRegistroEntradas[[#This Row],[DATA DO CAIXA PREVISTO]]&lt;TODAY()),"Vencida","Não Vencida")</f>
        <v>Não Vencida</v>
      </c>
      <c r="Q286" s="58" t="str">
        <f>IF(tbRegistroEntradas[[#This Row],[DATA DA COMPETÊNCIA]]=tbRegistroEntradas[[#This Row],[DATA DO CAIXA PREVISTO]],"Vista","Prazo")</f>
        <v>Prazo</v>
      </c>
      <c r="R286" s="58" t="str">
        <f>IF(tbRegistroEntradas[[#This Row],[DATA DE CAIXA REALIZADO]]&lt;&gt;"N/A","Em Dia","Com atraso")</f>
        <v>Em Dia</v>
      </c>
    </row>
    <row r="287" spans="1:18" s="52" customFormat="1" ht="14.4" customHeight="1" x14ac:dyDescent="0.3">
      <c r="A287" s="125">
        <v>44671</v>
      </c>
      <c r="B287" s="125">
        <f>A287-31</f>
        <v>44640</v>
      </c>
      <c r="C287" s="125">
        <f>(A287-B287)+B287-15</f>
        <v>44656</v>
      </c>
      <c r="D287" s="126" t="s">
        <v>67</v>
      </c>
      <c r="E287" s="126" t="s">
        <v>12</v>
      </c>
      <c r="F287" s="126" t="s">
        <v>19</v>
      </c>
      <c r="G287" s="126" t="s">
        <v>1104</v>
      </c>
      <c r="H287" s="109" t="s">
        <v>133</v>
      </c>
      <c r="I287" s="127">
        <v>3698</v>
      </c>
      <c r="J287" s="110" t="str">
        <f>IF(tbRegistroEntradas[[#This Row],[DATA DE CAIXA REALIZADO]]="N/A","0",UPPER(TEXT(tbRegistroEntradas[[#This Row],[DATA DE CAIXA REALIZADO]],"mmm")))</f>
        <v>ABR</v>
      </c>
      <c r="K287" s="57">
        <f>IF(tbRegistroEntradas[[#This Row],[DATA DE CAIXA REALIZADO]]="N/A",0,YEAR(tbRegistroEntradas[[#This Row],[DATA DE CAIXA REALIZADO]]))</f>
        <v>2022</v>
      </c>
      <c r="L287" s="58" t="str">
        <f>IF(tbRegistroEntradas[[#This Row],[DATA DA COMPETÊNCIA]]="N/A","0",UPPER(TEXT(tbRegistroEntradas[[#This Row],[DATA DA COMPETÊNCIA]],"mmm")))</f>
        <v>MAR</v>
      </c>
      <c r="M287" s="58">
        <f>IF(tbRegistroEntradas[[#This Row],[DATA DA COMPETÊNCIA]]="N/A",0,YEAR(tbRegistroEntradas[[#This Row],[DATA DA COMPETÊNCIA]]))</f>
        <v>2022</v>
      </c>
      <c r="N287" s="58" t="str">
        <f>IF(tbRegistroEntradas[[#This Row],[DATA DO CAIXA PREVISTO]]="N/A","0",UPPER(TEXT(tbRegistroEntradas[[#This Row],[DATA DO CAIXA PREVISTO]],"mmm")))</f>
        <v>ABR</v>
      </c>
      <c r="O287" s="58">
        <f>IF(tbRegistroEntradas[[#This Row],[DATA DO CAIXA PREVISTO]]="N/A",0,YEAR(tbRegistroEntradas[[#This Row],[DATA DO CAIXA PREVISTO]]))</f>
        <v>2022</v>
      </c>
      <c r="P287" s="58" t="str">
        <f ca="1">IF(AND(tbRegistroEntradas[[#This Row],[DATA DE CAIXA REALIZADO]]="N/A",tbRegistroEntradas[[#This Row],[DATA DO CAIXA PREVISTO]]&lt;TODAY()),"Vencida","Não Vencida")</f>
        <v>Não Vencida</v>
      </c>
      <c r="Q287" s="58" t="str">
        <f>IF(tbRegistroEntradas[[#This Row],[DATA DA COMPETÊNCIA]]=tbRegistroEntradas[[#This Row],[DATA DO CAIXA PREVISTO]],"Vista","Prazo")</f>
        <v>Prazo</v>
      </c>
      <c r="R287" s="58" t="str">
        <f>IF(tbRegistroEntradas[[#This Row],[DATA DE CAIXA REALIZADO]]&lt;&gt;"N/A","Em Dia","Com atraso")</f>
        <v>Em Dia</v>
      </c>
    </row>
    <row r="288" spans="1:18" s="52" customFormat="1" ht="14.4" customHeight="1" x14ac:dyDescent="0.3">
      <c r="A288" s="112">
        <v>44681.822060185186</v>
      </c>
      <c r="B288" s="114">
        <v>44641</v>
      </c>
      <c r="C288" s="114">
        <v>44681.822060185186</v>
      </c>
      <c r="D288" s="55" t="s">
        <v>66</v>
      </c>
      <c r="E288" s="55" t="s">
        <v>12</v>
      </c>
      <c r="F288" s="55" t="s">
        <v>19</v>
      </c>
      <c r="G288" s="55" t="s">
        <v>221</v>
      </c>
      <c r="H288" s="109" t="s">
        <v>126</v>
      </c>
      <c r="I288" s="119">
        <v>4606</v>
      </c>
      <c r="J288" s="55" t="str">
        <f>IF(tbRegistroEntradas[[#This Row],[DATA DE CAIXA REALIZADO]]="N/A","0",UPPER(TEXT(tbRegistroEntradas[[#This Row],[DATA DE CAIXA REALIZADO]],"mmm")))</f>
        <v>ABR</v>
      </c>
      <c r="K288" s="58">
        <f>IF(tbRegistroEntradas[[#This Row],[DATA DE CAIXA REALIZADO]]="N/A",0,YEAR(tbRegistroEntradas[[#This Row],[DATA DE CAIXA REALIZADO]]))</f>
        <v>2022</v>
      </c>
      <c r="L288" s="79" t="str">
        <f>IF(tbRegistroEntradas[[#This Row],[DATA DA COMPETÊNCIA]]="N/A","0",UPPER(TEXT(tbRegistroEntradas[[#This Row],[DATA DA COMPETÊNCIA]],"mmm")))</f>
        <v>MAR</v>
      </c>
      <c r="M288" s="79">
        <f>IF(tbRegistroEntradas[[#This Row],[DATA DA COMPETÊNCIA]]="N/A",0,YEAR(tbRegistroEntradas[[#This Row],[DATA DA COMPETÊNCIA]]))</f>
        <v>2022</v>
      </c>
      <c r="N288" s="84" t="str">
        <f>IF(tbRegistroEntradas[[#This Row],[DATA DO CAIXA PREVISTO]]="N/A","0",UPPER(TEXT(tbRegistroEntradas[[#This Row],[DATA DO CAIXA PREVISTO]],"mmm")))</f>
        <v>ABR</v>
      </c>
      <c r="O288" s="84">
        <f>IF(tbRegistroEntradas[[#This Row],[DATA DO CAIXA PREVISTO]]="N/A",0,YEAR(tbRegistroEntradas[[#This Row],[DATA DO CAIXA PREVISTO]]))</f>
        <v>2022</v>
      </c>
      <c r="P288" s="58" t="str">
        <f ca="1">IF(AND(tbRegistroEntradas[[#This Row],[DATA DE CAIXA REALIZADO]]="N/A",tbRegistroEntradas[[#This Row],[DATA DO CAIXA PREVISTO]]&lt;TODAY()),"Vencida","Não Vencida")</f>
        <v>Não Vencida</v>
      </c>
      <c r="Q288" s="58" t="str">
        <f>IF(tbRegistroEntradas[[#This Row],[DATA DA COMPETÊNCIA]]=tbRegistroEntradas[[#This Row],[DATA DO CAIXA PREVISTO]],"Vista","Prazo")</f>
        <v>Prazo</v>
      </c>
      <c r="R288" s="58" t="str">
        <f>IF(tbRegistroEntradas[[#This Row],[DATA DE CAIXA REALIZADO]]&lt;&gt;"N/A","Em Dia","Com atraso")</f>
        <v>Em Dia</v>
      </c>
    </row>
    <row r="289" spans="1:18" s="52" customFormat="1" ht="14.4" customHeight="1" x14ac:dyDescent="0.3">
      <c r="A289" s="125">
        <v>44674</v>
      </c>
      <c r="B289" s="125">
        <f>A289-31</f>
        <v>44643</v>
      </c>
      <c r="C289" s="125">
        <f>tbRegistroEntradas[[#This Row],[DATA DA COMPETÊNCIA]]</f>
        <v>44643</v>
      </c>
      <c r="D289" s="126" t="s">
        <v>137</v>
      </c>
      <c r="E289" s="126" t="s">
        <v>12</v>
      </c>
      <c r="F289" s="126" t="s">
        <v>16</v>
      </c>
      <c r="G289" s="126" t="s">
        <v>1094</v>
      </c>
      <c r="H289" s="126" t="s">
        <v>106</v>
      </c>
      <c r="I289" s="127">
        <v>1994</v>
      </c>
      <c r="J289" s="110" t="str">
        <f>IF(tbRegistroEntradas[[#This Row],[DATA DE CAIXA REALIZADO]]="N/A","0",UPPER(TEXT(tbRegistroEntradas[[#This Row],[DATA DE CAIXA REALIZADO]],"mmm")))</f>
        <v>ABR</v>
      </c>
      <c r="K289" s="57">
        <f>IF(tbRegistroEntradas[[#This Row],[DATA DE CAIXA REALIZADO]]="N/A",0,YEAR(tbRegistroEntradas[[#This Row],[DATA DE CAIXA REALIZADO]]))</f>
        <v>2022</v>
      </c>
      <c r="L289" s="58" t="str">
        <f>IF(tbRegistroEntradas[[#This Row],[DATA DA COMPETÊNCIA]]="N/A","0",UPPER(TEXT(tbRegistroEntradas[[#This Row],[DATA DA COMPETÊNCIA]],"mmm")))</f>
        <v>MAR</v>
      </c>
      <c r="M289" s="58">
        <f>IF(tbRegistroEntradas[[#This Row],[DATA DA COMPETÊNCIA]]="N/A",0,YEAR(tbRegistroEntradas[[#This Row],[DATA DA COMPETÊNCIA]]))</f>
        <v>2022</v>
      </c>
      <c r="N289" s="58" t="str">
        <f>IF(tbRegistroEntradas[[#This Row],[DATA DO CAIXA PREVISTO]]="N/A","0",UPPER(TEXT(tbRegistroEntradas[[#This Row],[DATA DO CAIXA PREVISTO]],"mmm")))</f>
        <v>MAR</v>
      </c>
      <c r="O289" s="58">
        <f>IF(tbRegistroEntradas[[#This Row],[DATA DO CAIXA PREVISTO]]="N/A",0,YEAR(tbRegistroEntradas[[#This Row],[DATA DO CAIXA PREVISTO]]))</f>
        <v>2022</v>
      </c>
      <c r="P289" s="58" t="str">
        <f ca="1">IF(AND(tbRegistroEntradas[[#This Row],[DATA DE CAIXA REALIZADO]]="N/A",tbRegistroEntradas[[#This Row],[DATA DO CAIXA PREVISTO]]&lt;TODAY()),"Vencida","Não Vencida")</f>
        <v>Não Vencida</v>
      </c>
      <c r="Q289" s="58" t="str">
        <f>IF(tbRegistroEntradas[[#This Row],[DATA DA COMPETÊNCIA]]=tbRegistroEntradas[[#This Row],[DATA DO CAIXA PREVISTO]],"Vista","Prazo")</f>
        <v>Vista</v>
      </c>
      <c r="R289" s="58" t="str">
        <f>IF(tbRegistroEntradas[[#This Row],[DATA DE CAIXA REALIZADO]]&lt;&gt;"N/A","Em Dia","Com atraso")</f>
        <v>Em Dia</v>
      </c>
    </row>
    <row r="290" spans="1:18" s="52" customFormat="1" ht="14.4" customHeight="1" x14ac:dyDescent="0.3">
      <c r="A290" s="113" t="s">
        <v>141</v>
      </c>
      <c r="B290" s="115">
        <v>44643</v>
      </c>
      <c r="C290" s="125">
        <f>tbRegistroEntradas[[#This Row],[DATA DA COMPETÊNCIA]]</f>
        <v>44643</v>
      </c>
      <c r="D290" s="116" t="s">
        <v>62</v>
      </c>
      <c r="E290" s="116" t="s">
        <v>12</v>
      </c>
      <c r="F290" s="116" t="s">
        <v>17</v>
      </c>
      <c r="G290" s="116" t="s">
        <v>222</v>
      </c>
      <c r="H290" s="143" t="s">
        <v>72</v>
      </c>
      <c r="I290" s="120">
        <v>2388</v>
      </c>
      <c r="J290" s="55" t="str">
        <f>IF(tbRegistroEntradas[[#This Row],[DATA DE CAIXA REALIZADO]]="N/A","0",UPPER(TEXT(tbRegistroEntradas[[#This Row],[DATA DE CAIXA REALIZADO]],"mmm")))</f>
        <v>0</v>
      </c>
      <c r="K290" s="58">
        <f>IF(tbRegistroEntradas[[#This Row],[DATA DE CAIXA REALIZADO]]="N/A",0,YEAR(tbRegistroEntradas[[#This Row],[DATA DE CAIXA REALIZADO]]))</f>
        <v>0</v>
      </c>
      <c r="L290" s="79" t="str">
        <f>IF(tbRegistroEntradas[[#This Row],[DATA DA COMPETÊNCIA]]="N/A","0",UPPER(TEXT(tbRegistroEntradas[[#This Row],[DATA DA COMPETÊNCIA]],"mmm")))</f>
        <v>MAR</v>
      </c>
      <c r="M290" s="79">
        <f>IF(tbRegistroEntradas[[#This Row],[DATA DA COMPETÊNCIA]]="N/A",0,YEAR(tbRegistroEntradas[[#This Row],[DATA DA COMPETÊNCIA]]))</f>
        <v>2022</v>
      </c>
      <c r="N290" s="84" t="str">
        <f>IF(tbRegistroEntradas[[#This Row],[DATA DO CAIXA PREVISTO]]="N/A","0",UPPER(TEXT(tbRegistroEntradas[[#This Row],[DATA DO CAIXA PREVISTO]],"mmm")))</f>
        <v>MAR</v>
      </c>
      <c r="O290" s="84">
        <f>IF(tbRegistroEntradas[[#This Row],[DATA DO CAIXA PREVISTO]]="N/A",0,YEAR(tbRegistroEntradas[[#This Row],[DATA DO CAIXA PREVISTO]]))</f>
        <v>2022</v>
      </c>
      <c r="P290" s="58" t="str">
        <f ca="1">IF(AND(tbRegistroEntradas[[#This Row],[DATA DE CAIXA REALIZADO]]="N/A",tbRegistroEntradas[[#This Row],[DATA DO CAIXA PREVISTO]]&lt;TODAY()),"Vencida","Não Vencida")</f>
        <v>Vencida</v>
      </c>
      <c r="Q290" s="58" t="str">
        <f>IF(tbRegistroEntradas[[#This Row],[DATA DA COMPETÊNCIA]]=tbRegistroEntradas[[#This Row],[DATA DO CAIXA PREVISTO]],"Vista","Prazo")</f>
        <v>Vista</v>
      </c>
      <c r="R290" s="58" t="str">
        <f>IF(tbRegistroEntradas[[#This Row],[DATA DE CAIXA REALIZADO]]&lt;&gt;"N/A","Em Dia","Com atraso")</f>
        <v>Com atraso</v>
      </c>
    </row>
    <row r="291" spans="1:18" s="52" customFormat="1" ht="14.4" customHeight="1" x14ac:dyDescent="0.3">
      <c r="A291" s="125">
        <v>44674</v>
      </c>
      <c r="B291" s="125">
        <f>A291-31</f>
        <v>44643</v>
      </c>
      <c r="C291" s="125">
        <f>(A291-B291)+B291-15</f>
        <v>44659</v>
      </c>
      <c r="D291" s="126" t="s">
        <v>65</v>
      </c>
      <c r="E291" s="126" t="s">
        <v>12</v>
      </c>
      <c r="F291" s="126" t="s">
        <v>17</v>
      </c>
      <c r="G291" s="126" t="s">
        <v>667</v>
      </c>
      <c r="H291" s="126" t="s">
        <v>121</v>
      </c>
      <c r="I291" s="127">
        <v>3339</v>
      </c>
      <c r="J291" s="110" t="str">
        <f>IF(tbRegistroEntradas[[#This Row],[DATA DE CAIXA REALIZADO]]="N/A","0",UPPER(TEXT(tbRegistroEntradas[[#This Row],[DATA DE CAIXA REALIZADO]],"mmm")))</f>
        <v>ABR</v>
      </c>
      <c r="K291" s="57">
        <f>IF(tbRegistroEntradas[[#This Row],[DATA DE CAIXA REALIZADO]]="N/A",0,YEAR(tbRegistroEntradas[[#This Row],[DATA DE CAIXA REALIZADO]]))</f>
        <v>2022</v>
      </c>
      <c r="L291" s="58" t="str">
        <f>IF(tbRegistroEntradas[[#This Row],[DATA DA COMPETÊNCIA]]="N/A","0",UPPER(TEXT(tbRegistroEntradas[[#This Row],[DATA DA COMPETÊNCIA]],"mmm")))</f>
        <v>MAR</v>
      </c>
      <c r="M291" s="58">
        <f>IF(tbRegistroEntradas[[#This Row],[DATA DA COMPETÊNCIA]]="N/A",0,YEAR(tbRegistroEntradas[[#This Row],[DATA DA COMPETÊNCIA]]))</f>
        <v>2022</v>
      </c>
      <c r="N291" s="58" t="str">
        <f>IF(tbRegistroEntradas[[#This Row],[DATA DO CAIXA PREVISTO]]="N/A","0",UPPER(TEXT(tbRegistroEntradas[[#This Row],[DATA DO CAIXA PREVISTO]],"mmm")))</f>
        <v>ABR</v>
      </c>
      <c r="O291" s="58">
        <f>IF(tbRegistroEntradas[[#This Row],[DATA DO CAIXA PREVISTO]]="N/A",0,YEAR(tbRegistroEntradas[[#This Row],[DATA DO CAIXA PREVISTO]]))</f>
        <v>2022</v>
      </c>
      <c r="P291" s="58" t="str">
        <f ca="1">IF(AND(tbRegistroEntradas[[#This Row],[DATA DE CAIXA REALIZADO]]="N/A",tbRegistroEntradas[[#This Row],[DATA DO CAIXA PREVISTO]]&lt;TODAY()),"Vencida","Não Vencida")</f>
        <v>Não Vencida</v>
      </c>
      <c r="Q291" s="58" t="str">
        <f>IF(tbRegistroEntradas[[#This Row],[DATA DA COMPETÊNCIA]]=tbRegistroEntradas[[#This Row],[DATA DO CAIXA PREVISTO]],"Vista","Prazo")</f>
        <v>Prazo</v>
      </c>
      <c r="R291" s="58" t="str">
        <f>IF(tbRegistroEntradas[[#This Row],[DATA DE CAIXA REALIZADO]]&lt;&gt;"N/A","Em Dia","Com atraso")</f>
        <v>Em Dia</v>
      </c>
    </row>
    <row r="292" spans="1:18" s="52" customFormat="1" ht="14.4" customHeight="1" x14ac:dyDescent="0.3">
      <c r="A292" s="125">
        <v>44675</v>
      </c>
      <c r="B292" s="125">
        <f>A292-31</f>
        <v>44644</v>
      </c>
      <c r="C292" s="125">
        <f>(A292-B292)+B292-15</f>
        <v>44660</v>
      </c>
      <c r="D292" s="126" t="s">
        <v>66</v>
      </c>
      <c r="E292" s="126" t="s">
        <v>12</v>
      </c>
      <c r="F292" s="126" t="s">
        <v>17</v>
      </c>
      <c r="G292" s="126" t="s">
        <v>919</v>
      </c>
      <c r="H292" s="145" t="s">
        <v>127</v>
      </c>
      <c r="I292" s="127">
        <v>6942</v>
      </c>
      <c r="J292" s="110" t="str">
        <f>IF(tbRegistroEntradas[[#This Row],[DATA DE CAIXA REALIZADO]]="N/A","0",UPPER(TEXT(tbRegistroEntradas[[#This Row],[DATA DE CAIXA REALIZADO]],"mmm")))</f>
        <v>ABR</v>
      </c>
      <c r="K292" s="57">
        <f>IF(tbRegistroEntradas[[#This Row],[DATA DE CAIXA REALIZADO]]="N/A",0,YEAR(tbRegistroEntradas[[#This Row],[DATA DE CAIXA REALIZADO]]))</f>
        <v>2022</v>
      </c>
      <c r="L292" s="58" t="str">
        <f>IF(tbRegistroEntradas[[#This Row],[DATA DA COMPETÊNCIA]]="N/A","0",UPPER(TEXT(tbRegistroEntradas[[#This Row],[DATA DA COMPETÊNCIA]],"mmm")))</f>
        <v>MAR</v>
      </c>
      <c r="M292" s="58">
        <f>IF(tbRegistroEntradas[[#This Row],[DATA DA COMPETÊNCIA]]="N/A",0,YEAR(tbRegistroEntradas[[#This Row],[DATA DA COMPETÊNCIA]]))</f>
        <v>2022</v>
      </c>
      <c r="N292" s="58" t="str">
        <f>IF(tbRegistroEntradas[[#This Row],[DATA DO CAIXA PREVISTO]]="N/A","0",UPPER(TEXT(tbRegistroEntradas[[#This Row],[DATA DO CAIXA PREVISTO]],"mmm")))</f>
        <v>ABR</v>
      </c>
      <c r="O292" s="58">
        <f>IF(tbRegistroEntradas[[#This Row],[DATA DO CAIXA PREVISTO]]="N/A",0,YEAR(tbRegistroEntradas[[#This Row],[DATA DO CAIXA PREVISTO]]))</f>
        <v>2022</v>
      </c>
      <c r="P292" s="58" t="str">
        <f ca="1">IF(AND(tbRegistroEntradas[[#This Row],[DATA DE CAIXA REALIZADO]]="N/A",tbRegistroEntradas[[#This Row],[DATA DO CAIXA PREVISTO]]&lt;TODAY()),"Vencida","Não Vencida")</f>
        <v>Não Vencida</v>
      </c>
      <c r="Q292" s="58" t="str">
        <f>IF(tbRegistroEntradas[[#This Row],[DATA DA COMPETÊNCIA]]=tbRegistroEntradas[[#This Row],[DATA DO CAIXA PREVISTO]],"Vista","Prazo")</f>
        <v>Prazo</v>
      </c>
      <c r="R292" s="58" t="str">
        <f>IF(tbRegistroEntradas[[#This Row],[DATA DE CAIXA REALIZADO]]&lt;&gt;"N/A","Em Dia","Com atraso")</f>
        <v>Em Dia</v>
      </c>
    </row>
    <row r="293" spans="1:18" s="52" customFormat="1" ht="14.4" customHeight="1" x14ac:dyDescent="0.3">
      <c r="A293" s="112">
        <v>44648.544050925928</v>
      </c>
      <c r="B293" s="114">
        <v>44645</v>
      </c>
      <c r="C293" s="114">
        <v>44648.544050925928</v>
      </c>
      <c r="D293" s="114" t="s">
        <v>137</v>
      </c>
      <c r="E293" s="55" t="s">
        <v>12</v>
      </c>
      <c r="F293" s="55" t="s">
        <v>16</v>
      </c>
      <c r="G293" s="55" t="s">
        <v>223</v>
      </c>
      <c r="H293" s="126" t="s">
        <v>107</v>
      </c>
      <c r="I293" s="119">
        <v>2303</v>
      </c>
      <c r="J293" s="55" t="str">
        <f>IF(tbRegistroEntradas[[#This Row],[DATA DE CAIXA REALIZADO]]="N/A","0",UPPER(TEXT(tbRegistroEntradas[[#This Row],[DATA DE CAIXA REALIZADO]],"mmm")))</f>
        <v>MAR</v>
      </c>
      <c r="K293" s="58">
        <f>IF(tbRegistroEntradas[[#This Row],[DATA DE CAIXA REALIZADO]]="N/A",0,YEAR(tbRegistroEntradas[[#This Row],[DATA DE CAIXA REALIZADO]]))</f>
        <v>2022</v>
      </c>
      <c r="L293" s="79" t="str">
        <f>IF(tbRegistroEntradas[[#This Row],[DATA DA COMPETÊNCIA]]="N/A","0",UPPER(TEXT(tbRegistroEntradas[[#This Row],[DATA DA COMPETÊNCIA]],"mmm")))</f>
        <v>MAR</v>
      </c>
      <c r="M293" s="79">
        <f>IF(tbRegistroEntradas[[#This Row],[DATA DA COMPETÊNCIA]]="N/A",0,YEAR(tbRegistroEntradas[[#This Row],[DATA DA COMPETÊNCIA]]))</f>
        <v>2022</v>
      </c>
      <c r="N293" s="84" t="str">
        <f>IF(tbRegistroEntradas[[#This Row],[DATA DO CAIXA PREVISTO]]="N/A","0",UPPER(TEXT(tbRegistroEntradas[[#This Row],[DATA DO CAIXA PREVISTO]],"mmm")))</f>
        <v>MAR</v>
      </c>
      <c r="O293" s="84">
        <f>IF(tbRegistroEntradas[[#This Row],[DATA DO CAIXA PREVISTO]]="N/A",0,YEAR(tbRegistroEntradas[[#This Row],[DATA DO CAIXA PREVISTO]]))</f>
        <v>2022</v>
      </c>
      <c r="P293" s="58" t="str">
        <f ca="1">IF(AND(tbRegistroEntradas[[#This Row],[DATA DE CAIXA REALIZADO]]="N/A",tbRegistroEntradas[[#This Row],[DATA DO CAIXA PREVISTO]]&lt;TODAY()),"Vencida","Não Vencida")</f>
        <v>Não Vencida</v>
      </c>
      <c r="Q293" s="58" t="str">
        <f>IF(tbRegistroEntradas[[#This Row],[DATA DA COMPETÊNCIA]]=tbRegistroEntradas[[#This Row],[DATA DO CAIXA PREVISTO]],"Vista","Prazo")</f>
        <v>Prazo</v>
      </c>
      <c r="R293" s="58" t="str">
        <f>IF(tbRegistroEntradas[[#This Row],[DATA DE CAIXA REALIZADO]]&lt;&gt;"N/A","Em Dia","Com atraso")</f>
        <v>Em Dia</v>
      </c>
    </row>
    <row r="294" spans="1:18" s="52" customFormat="1" ht="14.4" customHeight="1" x14ac:dyDescent="0.3">
      <c r="A294" s="125">
        <v>44678</v>
      </c>
      <c r="B294" s="125">
        <f>A294-31</f>
        <v>44647</v>
      </c>
      <c r="C294" s="125">
        <f>(A294-B294)+B294-15</f>
        <v>44663</v>
      </c>
      <c r="D294" s="126" t="s">
        <v>65</v>
      </c>
      <c r="E294" s="126" t="s">
        <v>12</v>
      </c>
      <c r="F294" s="126" t="s">
        <v>17</v>
      </c>
      <c r="G294" s="126" t="s">
        <v>867</v>
      </c>
      <c r="H294" s="126" t="s">
        <v>122</v>
      </c>
      <c r="I294" s="127">
        <v>7554</v>
      </c>
      <c r="J294" s="110" t="str">
        <f>IF(tbRegistroEntradas[[#This Row],[DATA DE CAIXA REALIZADO]]="N/A","0",UPPER(TEXT(tbRegistroEntradas[[#This Row],[DATA DE CAIXA REALIZADO]],"mmm")))</f>
        <v>ABR</v>
      </c>
      <c r="K294" s="57">
        <f>IF(tbRegistroEntradas[[#This Row],[DATA DE CAIXA REALIZADO]]="N/A",0,YEAR(tbRegistroEntradas[[#This Row],[DATA DE CAIXA REALIZADO]]))</f>
        <v>2022</v>
      </c>
      <c r="L294" s="58" t="str">
        <f>IF(tbRegistroEntradas[[#This Row],[DATA DA COMPETÊNCIA]]="N/A","0",UPPER(TEXT(tbRegistroEntradas[[#This Row],[DATA DA COMPETÊNCIA]],"mmm")))</f>
        <v>MAR</v>
      </c>
      <c r="M294" s="58">
        <f>IF(tbRegistroEntradas[[#This Row],[DATA DA COMPETÊNCIA]]="N/A",0,YEAR(tbRegistroEntradas[[#This Row],[DATA DA COMPETÊNCIA]]))</f>
        <v>2022</v>
      </c>
      <c r="N294" s="58" t="str">
        <f>IF(tbRegistroEntradas[[#This Row],[DATA DO CAIXA PREVISTO]]="N/A","0",UPPER(TEXT(tbRegistroEntradas[[#This Row],[DATA DO CAIXA PREVISTO]],"mmm")))</f>
        <v>ABR</v>
      </c>
      <c r="O294" s="58">
        <f>IF(tbRegistroEntradas[[#This Row],[DATA DO CAIXA PREVISTO]]="N/A",0,YEAR(tbRegistroEntradas[[#This Row],[DATA DO CAIXA PREVISTO]]))</f>
        <v>2022</v>
      </c>
      <c r="P294" s="58" t="str">
        <f ca="1">IF(AND(tbRegistroEntradas[[#This Row],[DATA DE CAIXA REALIZADO]]="N/A",tbRegistroEntradas[[#This Row],[DATA DO CAIXA PREVISTO]]&lt;TODAY()),"Vencida","Não Vencida")</f>
        <v>Não Vencida</v>
      </c>
      <c r="Q294" s="58" t="str">
        <f>IF(tbRegistroEntradas[[#This Row],[DATA DA COMPETÊNCIA]]=tbRegistroEntradas[[#This Row],[DATA DO CAIXA PREVISTO]],"Vista","Prazo")</f>
        <v>Prazo</v>
      </c>
      <c r="R294" s="58" t="str">
        <f>IF(tbRegistroEntradas[[#This Row],[DATA DE CAIXA REALIZADO]]&lt;&gt;"N/A","Em Dia","Com atraso")</f>
        <v>Em Dia</v>
      </c>
    </row>
    <row r="295" spans="1:18" s="52" customFormat="1" ht="14.4" customHeight="1" x14ac:dyDescent="0.3">
      <c r="A295" s="113">
        <v>44666.258680555555</v>
      </c>
      <c r="B295" s="115">
        <v>44648</v>
      </c>
      <c r="C295" s="115">
        <v>44666.258680555555</v>
      </c>
      <c r="D295" s="116" t="s">
        <v>67</v>
      </c>
      <c r="E295" s="116" t="s">
        <v>12</v>
      </c>
      <c r="F295" s="116" t="s">
        <v>32</v>
      </c>
      <c r="G295" s="116" t="s">
        <v>224</v>
      </c>
      <c r="H295" s="126" t="s">
        <v>131</v>
      </c>
      <c r="I295" s="120">
        <v>1662</v>
      </c>
      <c r="J295" s="55" t="str">
        <f>IF(tbRegistroEntradas[[#This Row],[DATA DE CAIXA REALIZADO]]="N/A","0",UPPER(TEXT(tbRegistroEntradas[[#This Row],[DATA DE CAIXA REALIZADO]],"mmm")))</f>
        <v>ABR</v>
      </c>
      <c r="K295" s="58">
        <f>IF(tbRegistroEntradas[[#This Row],[DATA DE CAIXA REALIZADO]]="N/A",0,YEAR(tbRegistroEntradas[[#This Row],[DATA DE CAIXA REALIZADO]]))</f>
        <v>2022</v>
      </c>
      <c r="L295" s="79" t="str">
        <f>IF(tbRegistroEntradas[[#This Row],[DATA DA COMPETÊNCIA]]="N/A","0",UPPER(TEXT(tbRegistroEntradas[[#This Row],[DATA DA COMPETÊNCIA]],"mmm")))</f>
        <v>MAR</v>
      </c>
      <c r="M295" s="79">
        <f>IF(tbRegistroEntradas[[#This Row],[DATA DA COMPETÊNCIA]]="N/A",0,YEAR(tbRegistroEntradas[[#This Row],[DATA DA COMPETÊNCIA]]))</f>
        <v>2022</v>
      </c>
      <c r="N295" s="84" t="str">
        <f>IF(tbRegistroEntradas[[#This Row],[DATA DO CAIXA PREVISTO]]="N/A","0",UPPER(TEXT(tbRegistroEntradas[[#This Row],[DATA DO CAIXA PREVISTO]],"mmm")))</f>
        <v>ABR</v>
      </c>
      <c r="O295" s="84">
        <f>IF(tbRegistroEntradas[[#This Row],[DATA DO CAIXA PREVISTO]]="N/A",0,YEAR(tbRegistroEntradas[[#This Row],[DATA DO CAIXA PREVISTO]]))</f>
        <v>2022</v>
      </c>
      <c r="P295" s="58" t="str">
        <f ca="1">IF(AND(tbRegistroEntradas[[#This Row],[DATA DE CAIXA REALIZADO]]="N/A",tbRegistroEntradas[[#This Row],[DATA DO CAIXA PREVISTO]]&lt;TODAY()),"Vencida","Não Vencida")</f>
        <v>Não Vencida</v>
      </c>
      <c r="Q295" s="58" t="str">
        <f>IF(tbRegistroEntradas[[#This Row],[DATA DA COMPETÊNCIA]]=tbRegistroEntradas[[#This Row],[DATA DO CAIXA PREVISTO]],"Vista","Prazo")</f>
        <v>Prazo</v>
      </c>
      <c r="R295" s="58" t="str">
        <f>IF(tbRegistroEntradas[[#This Row],[DATA DE CAIXA REALIZADO]]&lt;&gt;"N/A","Em Dia","Com atraso")</f>
        <v>Em Dia</v>
      </c>
    </row>
    <row r="296" spans="1:18" s="52" customFormat="1" ht="14.4" customHeight="1" x14ac:dyDescent="0.3">
      <c r="A296" s="112">
        <v>44689.479641203703</v>
      </c>
      <c r="B296" s="114">
        <v>44650</v>
      </c>
      <c r="C296" s="114">
        <v>44689.479641203703</v>
      </c>
      <c r="D296" s="55" t="s">
        <v>63</v>
      </c>
      <c r="E296" s="55" t="s">
        <v>12</v>
      </c>
      <c r="F296" s="55" t="s">
        <v>17</v>
      </c>
      <c r="G296" s="55" t="s">
        <v>225</v>
      </c>
      <c r="H296" s="126" t="s">
        <v>102</v>
      </c>
      <c r="I296" s="119">
        <v>3241</v>
      </c>
      <c r="J296" s="55" t="str">
        <f>IF(tbRegistroEntradas[[#This Row],[DATA DE CAIXA REALIZADO]]="N/A","0",UPPER(TEXT(tbRegistroEntradas[[#This Row],[DATA DE CAIXA REALIZADO]],"mmm")))</f>
        <v>MAI</v>
      </c>
      <c r="K296" s="58">
        <f>IF(tbRegistroEntradas[[#This Row],[DATA DE CAIXA REALIZADO]]="N/A",0,YEAR(tbRegistroEntradas[[#This Row],[DATA DE CAIXA REALIZADO]]))</f>
        <v>2022</v>
      </c>
      <c r="L296" s="79" t="str">
        <f>IF(tbRegistroEntradas[[#This Row],[DATA DA COMPETÊNCIA]]="N/A","0",UPPER(TEXT(tbRegistroEntradas[[#This Row],[DATA DA COMPETÊNCIA]],"mmm")))</f>
        <v>MAR</v>
      </c>
      <c r="M296" s="79">
        <f>IF(tbRegistroEntradas[[#This Row],[DATA DA COMPETÊNCIA]]="N/A",0,YEAR(tbRegistroEntradas[[#This Row],[DATA DA COMPETÊNCIA]]))</f>
        <v>2022</v>
      </c>
      <c r="N296" s="84" t="str">
        <f>IF(tbRegistroEntradas[[#This Row],[DATA DO CAIXA PREVISTO]]="N/A","0",UPPER(TEXT(tbRegistroEntradas[[#This Row],[DATA DO CAIXA PREVISTO]],"mmm")))</f>
        <v>MAI</v>
      </c>
      <c r="O296" s="84">
        <f>IF(tbRegistroEntradas[[#This Row],[DATA DO CAIXA PREVISTO]]="N/A",0,YEAR(tbRegistroEntradas[[#This Row],[DATA DO CAIXA PREVISTO]]))</f>
        <v>2022</v>
      </c>
      <c r="P296" s="58" t="str">
        <f ca="1">IF(AND(tbRegistroEntradas[[#This Row],[DATA DE CAIXA REALIZADO]]="N/A",tbRegistroEntradas[[#This Row],[DATA DO CAIXA PREVISTO]]&lt;TODAY()),"Vencida","Não Vencida")</f>
        <v>Não Vencida</v>
      </c>
      <c r="Q296" s="58" t="str">
        <f>IF(tbRegistroEntradas[[#This Row],[DATA DA COMPETÊNCIA]]=tbRegistroEntradas[[#This Row],[DATA DO CAIXA PREVISTO]],"Vista","Prazo")</f>
        <v>Prazo</v>
      </c>
      <c r="R296" s="58" t="str">
        <f>IF(tbRegistroEntradas[[#This Row],[DATA DE CAIXA REALIZADO]]&lt;&gt;"N/A","Em Dia","Com atraso")</f>
        <v>Em Dia</v>
      </c>
    </row>
    <row r="297" spans="1:18" s="52" customFormat="1" ht="14.4" customHeight="1" x14ac:dyDescent="0.3">
      <c r="A297" s="125">
        <v>44682</v>
      </c>
      <c r="B297" s="125">
        <f>A297-31</f>
        <v>44651</v>
      </c>
      <c r="C297" s="125">
        <f>tbRegistroEntradas[[#This Row],[DATA DA COMPETÊNCIA]]</f>
        <v>44651</v>
      </c>
      <c r="D297" s="126" t="s">
        <v>67</v>
      </c>
      <c r="E297" s="126" t="s">
        <v>12</v>
      </c>
      <c r="F297" s="126" t="s">
        <v>32</v>
      </c>
      <c r="G297" s="126" t="s">
        <v>675</v>
      </c>
      <c r="H297" s="126" t="s">
        <v>134</v>
      </c>
      <c r="I297" s="127">
        <v>4279</v>
      </c>
      <c r="J297" s="110" t="str">
        <f>IF(tbRegistroEntradas[[#This Row],[DATA DE CAIXA REALIZADO]]="N/A","0",UPPER(TEXT(tbRegistroEntradas[[#This Row],[DATA DE CAIXA REALIZADO]],"mmm")))</f>
        <v>MAI</v>
      </c>
      <c r="K297" s="57">
        <f>IF(tbRegistroEntradas[[#This Row],[DATA DE CAIXA REALIZADO]]="N/A",0,YEAR(tbRegistroEntradas[[#This Row],[DATA DE CAIXA REALIZADO]]))</f>
        <v>2022</v>
      </c>
      <c r="L297" s="58" t="str">
        <f>IF(tbRegistroEntradas[[#This Row],[DATA DA COMPETÊNCIA]]="N/A","0",UPPER(TEXT(tbRegistroEntradas[[#This Row],[DATA DA COMPETÊNCIA]],"mmm")))</f>
        <v>MAR</v>
      </c>
      <c r="M297" s="58">
        <f>IF(tbRegistroEntradas[[#This Row],[DATA DA COMPETÊNCIA]]="N/A",0,YEAR(tbRegistroEntradas[[#This Row],[DATA DA COMPETÊNCIA]]))</f>
        <v>2022</v>
      </c>
      <c r="N297" s="58" t="str">
        <f>IF(tbRegistroEntradas[[#This Row],[DATA DO CAIXA PREVISTO]]="N/A","0",UPPER(TEXT(tbRegistroEntradas[[#This Row],[DATA DO CAIXA PREVISTO]],"mmm")))</f>
        <v>MAR</v>
      </c>
      <c r="O297" s="58">
        <f>IF(tbRegistroEntradas[[#This Row],[DATA DO CAIXA PREVISTO]]="N/A",0,YEAR(tbRegistroEntradas[[#This Row],[DATA DO CAIXA PREVISTO]]))</f>
        <v>2022</v>
      </c>
      <c r="P297" s="58" t="str">
        <f ca="1">IF(AND(tbRegistroEntradas[[#This Row],[DATA DE CAIXA REALIZADO]]="N/A",tbRegistroEntradas[[#This Row],[DATA DO CAIXA PREVISTO]]&lt;TODAY()),"Vencida","Não Vencida")</f>
        <v>Não Vencida</v>
      </c>
      <c r="Q297" s="58" t="str">
        <f>IF(tbRegistroEntradas[[#This Row],[DATA DA COMPETÊNCIA]]=tbRegistroEntradas[[#This Row],[DATA DO CAIXA PREVISTO]],"Vista","Prazo")</f>
        <v>Vista</v>
      </c>
      <c r="R297" s="58" t="str">
        <f>IF(tbRegistroEntradas[[#This Row],[DATA DE CAIXA REALIZADO]]&lt;&gt;"N/A","Em Dia","Com atraso")</f>
        <v>Em Dia</v>
      </c>
    </row>
    <row r="298" spans="1:18" s="52" customFormat="1" ht="14.4" customHeight="1" x14ac:dyDescent="0.3">
      <c r="A298" s="113">
        <v>44689.526493055557</v>
      </c>
      <c r="B298" s="115">
        <v>44651</v>
      </c>
      <c r="C298" s="115">
        <v>44689.526493055557</v>
      </c>
      <c r="D298" s="116" t="s">
        <v>138</v>
      </c>
      <c r="E298" s="116" t="s">
        <v>12</v>
      </c>
      <c r="F298" s="116" t="s">
        <v>32</v>
      </c>
      <c r="G298" s="116" t="s">
        <v>226</v>
      </c>
      <c r="H298" s="52" t="s">
        <v>135</v>
      </c>
      <c r="I298" s="120">
        <v>4017</v>
      </c>
      <c r="J298" s="55" t="str">
        <f>IF(tbRegistroEntradas[[#This Row],[DATA DE CAIXA REALIZADO]]="N/A","0",UPPER(TEXT(tbRegistroEntradas[[#This Row],[DATA DE CAIXA REALIZADO]],"mmm")))</f>
        <v>MAI</v>
      </c>
      <c r="K298" s="58">
        <f>IF(tbRegistroEntradas[[#This Row],[DATA DE CAIXA REALIZADO]]="N/A",0,YEAR(tbRegistroEntradas[[#This Row],[DATA DE CAIXA REALIZADO]]))</f>
        <v>2022</v>
      </c>
      <c r="L298" s="79" t="str">
        <f>IF(tbRegistroEntradas[[#This Row],[DATA DA COMPETÊNCIA]]="N/A","0",UPPER(TEXT(tbRegistroEntradas[[#This Row],[DATA DA COMPETÊNCIA]],"mmm")))</f>
        <v>MAR</v>
      </c>
      <c r="M298" s="79">
        <f>IF(tbRegistroEntradas[[#This Row],[DATA DA COMPETÊNCIA]]="N/A",0,YEAR(tbRegistroEntradas[[#This Row],[DATA DA COMPETÊNCIA]]))</f>
        <v>2022</v>
      </c>
      <c r="N298" s="84" t="str">
        <f>IF(tbRegistroEntradas[[#This Row],[DATA DO CAIXA PREVISTO]]="N/A","0",UPPER(TEXT(tbRegistroEntradas[[#This Row],[DATA DO CAIXA PREVISTO]],"mmm")))</f>
        <v>MAI</v>
      </c>
      <c r="O298" s="84">
        <f>IF(tbRegistroEntradas[[#This Row],[DATA DO CAIXA PREVISTO]]="N/A",0,YEAR(tbRegistroEntradas[[#This Row],[DATA DO CAIXA PREVISTO]]))</f>
        <v>2022</v>
      </c>
      <c r="P298" s="58" t="str">
        <f ca="1">IF(AND(tbRegistroEntradas[[#This Row],[DATA DE CAIXA REALIZADO]]="N/A",tbRegistroEntradas[[#This Row],[DATA DO CAIXA PREVISTO]]&lt;TODAY()),"Vencida","Não Vencida")</f>
        <v>Não Vencida</v>
      </c>
      <c r="Q298" s="58" t="str">
        <f>IF(tbRegistroEntradas[[#This Row],[DATA DA COMPETÊNCIA]]=tbRegistroEntradas[[#This Row],[DATA DO CAIXA PREVISTO]],"Vista","Prazo")</f>
        <v>Prazo</v>
      </c>
      <c r="R298" s="58" t="str">
        <f>IF(tbRegistroEntradas[[#This Row],[DATA DE CAIXA REALIZADO]]&lt;&gt;"N/A","Em Dia","Com atraso")</f>
        <v>Em Dia</v>
      </c>
    </row>
    <row r="299" spans="1:18" s="52" customFormat="1" ht="14.4" customHeight="1" x14ac:dyDescent="0.3">
      <c r="A299" s="112">
        <v>44750.577499999999</v>
      </c>
      <c r="B299" s="114">
        <v>44654</v>
      </c>
      <c r="C299" s="125">
        <f>tbRegistroEntradas[[#This Row],[DATA DA COMPETÊNCIA]]</f>
        <v>44654</v>
      </c>
      <c r="D299" s="55" t="s">
        <v>138</v>
      </c>
      <c r="E299" s="55" t="s">
        <v>12</v>
      </c>
      <c r="F299" s="55" t="s">
        <v>19</v>
      </c>
      <c r="G299" s="55" t="s">
        <v>227</v>
      </c>
      <c r="H299" s="126" t="s">
        <v>136</v>
      </c>
      <c r="I299" s="119">
        <v>3586</v>
      </c>
      <c r="J299" s="55" t="str">
        <f>IF(tbRegistroEntradas[[#This Row],[DATA DE CAIXA REALIZADO]]="N/A","0",UPPER(TEXT(tbRegistroEntradas[[#This Row],[DATA DE CAIXA REALIZADO]],"mmm")))</f>
        <v>JUL</v>
      </c>
      <c r="K299" s="58">
        <f>IF(tbRegistroEntradas[[#This Row],[DATA DE CAIXA REALIZADO]]="N/A",0,YEAR(tbRegistroEntradas[[#This Row],[DATA DE CAIXA REALIZADO]]))</f>
        <v>2022</v>
      </c>
      <c r="L299" s="79" t="str">
        <f>IF(tbRegistroEntradas[[#This Row],[DATA DA COMPETÊNCIA]]="N/A","0",UPPER(TEXT(tbRegistroEntradas[[#This Row],[DATA DA COMPETÊNCIA]],"mmm")))</f>
        <v>ABR</v>
      </c>
      <c r="M299" s="79">
        <f>IF(tbRegistroEntradas[[#This Row],[DATA DA COMPETÊNCIA]]="N/A",0,YEAR(tbRegistroEntradas[[#This Row],[DATA DA COMPETÊNCIA]]))</f>
        <v>2022</v>
      </c>
      <c r="N299" s="84" t="str">
        <f>IF(tbRegistroEntradas[[#This Row],[DATA DO CAIXA PREVISTO]]="N/A","0",UPPER(TEXT(tbRegistroEntradas[[#This Row],[DATA DO CAIXA PREVISTO]],"mmm")))</f>
        <v>ABR</v>
      </c>
      <c r="O299" s="84">
        <f>IF(tbRegistroEntradas[[#This Row],[DATA DO CAIXA PREVISTO]]="N/A",0,YEAR(tbRegistroEntradas[[#This Row],[DATA DO CAIXA PREVISTO]]))</f>
        <v>2022</v>
      </c>
      <c r="P299" s="58" t="str">
        <f ca="1">IF(AND(tbRegistroEntradas[[#This Row],[DATA DE CAIXA REALIZADO]]="N/A",tbRegistroEntradas[[#This Row],[DATA DO CAIXA PREVISTO]]&lt;TODAY()),"Vencida","Não Vencida")</f>
        <v>Não Vencida</v>
      </c>
      <c r="Q299" s="58" t="str">
        <f>IF(tbRegistroEntradas[[#This Row],[DATA DA COMPETÊNCIA]]=tbRegistroEntradas[[#This Row],[DATA DO CAIXA PREVISTO]],"Vista","Prazo")</f>
        <v>Vista</v>
      </c>
      <c r="R299" s="58" t="str">
        <f>IF(tbRegistroEntradas[[#This Row],[DATA DE CAIXA REALIZADO]]&lt;&gt;"N/A","Em Dia","Com atraso")</f>
        <v>Em Dia</v>
      </c>
    </row>
    <row r="300" spans="1:18" s="52" customFormat="1" ht="14.4" customHeight="1" x14ac:dyDescent="0.3">
      <c r="A300" s="125">
        <v>44687</v>
      </c>
      <c r="B300" s="125">
        <f>A300-31</f>
        <v>44656</v>
      </c>
      <c r="C300" s="125">
        <f>tbRegistroEntradas[[#This Row],[DATA DA COMPETÊNCIA]]</f>
        <v>44656</v>
      </c>
      <c r="D300" s="126" t="s">
        <v>61</v>
      </c>
      <c r="E300" s="126" t="s">
        <v>12</v>
      </c>
      <c r="F300" s="126" t="s">
        <v>18</v>
      </c>
      <c r="G300" s="126" t="s">
        <v>945</v>
      </c>
      <c r="H300" s="52" t="s">
        <v>71</v>
      </c>
      <c r="I300" s="127">
        <v>7132</v>
      </c>
      <c r="J300" s="110" t="str">
        <f>IF(tbRegistroEntradas[[#This Row],[DATA DE CAIXA REALIZADO]]="N/A","0",UPPER(TEXT(tbRegistroEntradas[[#This Row],[DATA DE CAIXA REALIZADO]],"mmm")))</f>
        <v>MAI</v>
      </c>
      <c r="K300" s="57">
        <f>IF(tbRegistroEntradas[[#This Row],[DATA DE CAIXA REALIZADO]]="N/A",0,YEAR(tbRegistroEntradas[[#This Row],[DATA DE CAIXA REALIZADO]]))</f>
        <v>2022</v>
      </c>
      <c r="L300" s="58" t="str">
        <f>IF(tbRegistroEntradas[[#This Row],[DATA DA COMPETÊNCIA]]="N/A","0",UPPER(TEXT(tbRegistroEntradas[[#This Row],[DATA DA COMPETÊNCIA]],"mmm")))</f>
        <v>ABR</v>
      </c>
      <c r="M300" s="58">
        <f>IF(tbRegistroEntradas[[#This Row],[DATA DA COMPETÊNCIA]]="N/A",0,YEAR(tbRegistroEntradas[[#This Row],[DATA DA COMPETÊNCIA]]))</f>
        <v>2022</v>
      </c>
      <c r="N300" s="58" t="str">
        <f>IF(tbRegistroEntradas[[#This Row],[DATA DO CAIXA PREVISTO]]="N/A","0",UPPER(TEXT(tbRegistroEntradas[[#This Row],[DATA DO CAIXA PREVISTO]],"mmm")))</f>
        <v>ABR</v>
      </c>
      <c r="O300" s="58">
        <f>IF(tbRegistroEntradas[[#This Row],[DATA DO CAIXA PREVISTO]]="N/A",0,YEAR(tbRegistroEntradas[[#This Row],[DATA DO CAIXA PREVISTO]]))</f>
        <v>2022</v>
      </c>
      <c r="P300" s="58" t="str">
        <f ca="1">IF(AND(tbRegistroEntradas[[#This Row],[DATA DE CAIXA REALIZADO]]="N/A",tbRegistroEntradas[[#This Row],[DATA DO CAIXA PREVISTO]]&lt;TODAY()),"Vencida","Não Vencida")</f>
        <v>Não Vencida</v>
      </c>
      <c r="Q300" s="58" t="str">
        <f>IF(tbRegistroEntradas[[#This Row],[DATA DA COMPETÊNCIA]]=tbRegistroEntradas[[#This Row],[DATA DO CAIXA PREVISTO]],"Vista","Prazo")</f>
        <v>Vista</v>
      </c>
      <c r="R300" s="58" t="str">
        <f>IF(tbRegistroEntradas[[#This Row],[DATA DE CAIXA REALIZADO]]&lt;&gt;"N/A","Em Dia","Com atraso")</f>
        <v>Em Dia</v>
      </c>
    </row>
    <row r="301" spans="1:18" s="52" customFormat="1" ht="14.4" customHeight="1" x14ac:dyDescent="0.3">
      <c r="A301" s="49">
        <v>44688</v>
      </c>
      <c r="B301" s="49">
        <f>A301-31</f>
        <v>44657</v>
      </c>
      <c r="C301" s="125">
        <f>tbRegistroEntradas[[#This Row],[DATA DA COMPETÊNCIA]]</f>
        <v>44657</v>
      </c>
      <c r="D301" s="52" t="s">
        <v>138</v>
      </c>
      <c r="E301" s="52" t="s">
        <v>12</v>
      </c>
      <c r="F301" s="52" t="s">
        <v>32</v>
      </c>
      <c r="G301" s="52" t="s">
        <v>578</v>
      </c>
      <c r="H301" s="52" t="s">
        <v>68</v>
      </c>
      <c r="I301" s="18">
        <v>1836</v>
      </c>
      <c r="J301" s="110" t="str">
        <f>IF(tbRegistroEntradas[[#This Row],[DATA DE CAIXA REALIZADO]]="N/A","0",UPPER(TEXT(tbRegistroEntradas[[#This Row],[DATA DE CAIXA REALIZADO]],"mmm")))</f>
        <v>MAI</v>
      </c>
      <c r="K301" s="57">
        <f>IF(tbRegistroEntradas[[#This Row],[DATA DE CAIXA REALIZADO]]="N/A",0,YEAR(tbRegistroEntradas[[#This Row],[DATA DE CAIXA REALIZADO]]))</f>
        <v>2022</v>
      </c>
      <c r="L301" s="58" t="str">
        <f>IF(tbRegistroEntradas[[#This Row],[DATA DA COMPETÊNCIA]]="N/A","0",UPPER(TEXT(tbRegistroEntradas[[#This Row],[DATA DA COMPETÊNCIA]],"mmm")))</f>
        <v>ABR</v>
      </c>
      <c r="M301" s="58">
        <f>IF(tbRegistroEntradas[[#This Row],[DATA DA COMPETÊNCIA]]="N/A",0,YEAR(tbRegistroEntradas[[#This Row],[DATA DA COMPETÊNCIA]]))</f>
        <v>2022</v>
      </c>
      <c r="N301" s="58" t="str">
        <f>IF(tbRegistroEntradas[[#This Row],[DATA DO CAIXA PREVISTO]]="N/A","0",UPPER(TEXT(tbRegistroEntradas[[#This Row],[DATA DO CAIXA PREVISTO]],"mmm")))</f>
        <v>ABR</v>
      </c>
      <c r="O301" s="58">
        <f>IF(tbRegistroEntradas[[#This Row],[DATA DO CAIXA PREVISTO]]="N/A",0,YEAR(tbRegistroEntradas[[#This Row],[DATA DO CAIXA PREVISTO]]))</f>
        <v>2022</v>
      </c>
      <c r="P301" s="58" t="str">
        <f ca="1">IF(AND(tbRegistroEntradas[[#This Row],[DATA DE CAIXA REALIZADO]]="N/A",tbRegistroEntradas[[#This Row],[DATA DO CAIXA PREVISTO]]&lt;TODAY()),"Vencida","Não Vencida")</f>
        <v>Não Vencida</v>
      </c>
      <c r="Q301" s="58" t="str">
        <f>IF(tbRegistroEntradas[[#This Row],[DATA DA COMPETÊNCIA]]=tbRegistroEntradas[[#This Row],[DATA DO CAIXA PREVISTO]],"Vista","Prazo")</f>
        <v>Vista</v>
      </c>
      <c r="R301" s="58" t="str">
        <f>IF(tbRegistroEntradas[[#This Row],[DATA DE CAIXA REALIZADO]]&lt;&gt;"N/A","Em Dia","Com atraso")</f>
        <v>Em Dia</v>
      </c>
    </row>
    <row r="302" spans="1:18" s="52" customFormat="1" ht="14.4" customHeight="1" x14ac:dyDescent="0.3">
      <c r="A302" s="113">
        <v>44682.091192129628</v>
      </c>
      <c r="B302" s="115">
        <v>44657</v>
      </c>
      <c r="C302" s="115">
        <v>44682.091192129628</v>
      </c>
      <c r="D302" s="116" t="s">
        <v>67</v>
      </c>
      <c r="E302" s="116" t="s">
        <v>12</v>
      </c>
      <c r="F302" s="116" t="s">
        <v>17</v>
      </c>
      <c r="G302" s="116" t="s">
        <v>228</v>
      </c>
      <c r="H302" s="52" t="s">
        <v>70</v>
      </c>
      <c r="I302" s="120">
        <v>4467</v>
      </c>
      <c r="J302" s="55" t="str">
        <f>IF(tbRegistroEntradas[[#This Row],[DATA DE CAIXA REALIZADO]]="N/A","0",UPPER(TEXT(tbRegistroEntradas[[#This Row],[DATA DE CAIXA REALIZADO]],"mmm")))</f>
        <v>MAI</v>
      </c>
      <c r="K302" s="58">
        <f>IF(tbRegistroEntradas[[#This Row],[DATA DE CAIXA REALIZADO]]="N/A",0,YEAR(tbRegistroEntradas[[#This Row],[DATA DE CAIXA REALIZADO]]))</f>
        <v>2022</v>
      </c>
      <c r="L302" s="79" t="str">
        <f>IF(tbRegistroEntradas[[#This Row],[DATA DA COMPETÊNCIA]]="N/A","0",UPPER(TEXT(tbRegistroEntradas[[#This Row],[DATA DA COMPETÊNCIA]],"mmm")))</f>
        <v>ABR</v>
      </c>
      <c r="M302" s="79">
        <f>IF(tbRegistroEntradas[[#This Row],[DATA DA COMPETÊNCIA]]="N/A",0,YEAR(tbRegistroEntradas[[#This Row],[DATA DA COMPETÊNCIA]]))</f>
        <v>2022</v>
      </c>
      <c r="N302" s="84" t="str">
        <f>IF(tbRegistroEntradas[[#This Row],[DATA DO CAIXA PREVISTO]]="N/A","0",UPPER(TEXT(tbRegistroEntradas[[#This Row],[DATA DO CAIXA PREVISTO]],"mmm")))</f>
        <v>MAI</v>
      </c>
      <c r="O302" s="84">
        <f>IF(tbRegistroEntradas[[#This Row],[DATA DO CAIXA PREVISTO]]="N/A",0,YEAR(tbRegistroEntradas[[#This Row],[DATA DO CAIXA PREVISTO]]))</f>
        <v>2022</v>
      </c>
      <c r="P302" s="58" t="str">
        <f ca="1">IF(AND(tbRegistroEntradas[[#This Row],[DATA DE CAIXA REALIZADO]]="N/A",tbRegistroEntradas[[#This Row],[DATA DO CAIXA PREVISTO]]&lt;TODAY()),"Vencida","Não Vencida")</f>
        <v>Não Vencida</v>
      </c>
      <c r="Q302" s="58" t="str">
        <f>IF(tbRegistroEntradas[[#This Row],[DATA DA COMPETÊNCIA]]=tbRegistroEntradas[[#This Row],[DATA DO CAIXA PREVISTO]],"Vista","Prazo")</f>
        <v>Prazo</v>
      </c>
      <c r="R302" s="58" t="str">
        <f>IF(tbRegistroEntradas[[#This Row],[DATA DE CAIXA REALIZADO]]&lt;&gt;"N/A","Em Dia","Com atraso")</f>
        <v>Em Dia</v>
      </c>
    </row>
    <row r="303" spans="1:18" s="52" customFormat="1" ht="14.4" customHeight="1" x14ac:dyDescent="0.3">
      <c r="A303" s="49">
        <v>44691</v>
      </c>
      <c r="B303" s="49">
        <f>A303-31</f>
        <v>44660</v>
      </c>
      <c r="C303" s="125">
        <f>tbRegistroEntradas[[#This Row],[DATA DA COMPETÊNCIA]]</f>
        <v>44660</v>
      </c>
      <c r="D303" s="52" t="s">
        <v>138</v>
      </c>
      <c r="E303" s="52" t="s">
        <v>12</v>
      </c>
      <c r="F303" s="52" t="s">
        <v>17</v>
      </c>
      <c r="G303" s="52" t="s">
        <v>1016</v>
      </c>
      <c r="H303" s="52" t="s">
        <v>75</v>
      </c>
      <c r="I303" s="18">
        <v>512</v>
      </c>
      <c r="J303" s="110" t="str">
        <f>IF(tbRegistroEntradas[[#This Row],[DATA DE CAIXA REALIZADO]]="N/A","0",UPPER(TEXT(tbRegistroEntradas[[#This Row],[DATA DE CAIXA REALIZADO]],"mmm")))</f>
        <v>MAI</v>
      </c>
      <c r="K303" s="57">
        <f>IF(tbRegistroEntradas[[#This Row],[DATA DE CAIXA REALIZADO]]="N/A",0,YEAR(tbRegistroEntradas[[#This Row],[DATA DE CAIXA REALIZADO]]))</f>
        <v>2022</v>
      </c>
      <c r="L303" s="58" t="str">
        <f>IF(tbRegistroEntradas[[#This Row],[DATA DA COMPETÊNCIA]]="N/A","0",UPPER(TEXT(tbRegistroEntradas[[#This Row],[DATA DA COMPETÊNCIA]],"mmm")))</f>
        <v>ABR</v>
      </c>
      <c r="M303" s="58">
        <f>IF(tbRegistroEntradas[[#This Row],[DATA DA COMPETÊNCIA]]="N/A",0,YEAR(tbRegistroEntradas[[#This Row],[DATA DA COMPETÊNCIA]]))</f>
        <v>2022</v>
      </c>
      <c r="N303" s="58" t="str">
        <f>IF(tbRegistroEntradas[[#This Row],[DATA DO CAIXA PREVISTO]]="N/A","0",UPPER(TEXT(tbRegistroEntradas[[#This Row],[DATA DO CAIXA PREVISTO]],"mmm")))</f>
        <v>ABR</v>
      </c>
      <c r="O303" s="58">
        <f>IF(tbRegistroEntradas[[#This Row],[DATA DO CAIXA PREVISTO]]="N/A",0,YEAR(tbRegistroEntradas[[#This Row],[DATA DO CAIXA PREVISTO]]))</f>
        <v>2022</v>
      </c>
      <c r="P303" s="58" t="str">
        <f ca="1">IF(AND(tbRegistroEntradas[[#This Row],[DATA DE CAIXA REALIZADO]]="N/A",tbRegistroEntradas[[#This Row],[DATA DO CAIXA PREVISTO]]&lt;TODAY()),"Vencida","Não Vencida")</f>
        <v>Não Vencida</v>
      </c>
      <c r="Q303" s="58" t="str">
        <f>IF(tbRegistroEntradas[[#This Row],[DATA DA COMPETÊNCIA]]=tbRegistroEntradas[[#This Row],[DATA DO CAIXA PREVISTO]],"Vista","Prazo")</f>
        <v>Vista</v>
      </c>
      <c r="R303" s="58" t="str">
        <f>IF(tbRegistroEntradas[[#This Row],[DATA DE CAIXA REALIZADO]]&lt;&gt;"N/A","Em Dia","Com atraso")</f>
        <v>Em Dia</v>
      </c>
    </row>
    <row r="304" spans="1:18" s="52" customFormat="1" ht="14.4" customHeight="1" x14ac:dyDescent="0.3">
      <c r="A304" s="112">
        <v>44712.171134259261</v>
      </c>
      <c r="B304" s="114">
        <v>44660</v>
      </c>
      <c r="C304" s="114">
        <v>44712.171134259261</v>
      </c>
      <c r="D304" s="55" t="s">
        <v>66</v>
      </c>
      <c r="E304" s="55" t="s">
        <v>12</v>
      </c>
      <c r="F304" s="55" t="s">
        <v>19</v>
      </c>
      <c r="G304" s="55" t="s">
        <v>229</v>
      </c>
      <c r="H304" s="52" t="s">
        <v>128</v>
      </c>
      <c r="I304" s="119">
        <v>4262</v>
      </c>
      <c r="J304" s="55" t="str">
        <f>IF(tbRegistroEntradas[[#This Row],[DATA DE CAIXA REALIZADO]]="N/A","0",UPPER(TEXT(tbRegistroEntradas[[#This Row],[DATA DE CAIXA REALIZADO]],"mmm")))</f>
        <v>MAI</v>
      </c>
      <c r="K304" s="58">
        <f>IF(tbRegistroEntradas[[#This Row],[DATA DE CAIXA REALIZADO]]="N/A",0,YEAR(tbRegistroEntradas[[#This Row],[DATA DE CAIXA REALIZADO]]))</f>
        <v>2022</v>
      </c>
      <c r="L304" s="79" t="str">
        <f>IF(tbRegistroEntradas[[#This Row],[DATA DA COMPETÊNCIA]]="N/A","0",UPPER(TEXT(tbRegistroEntradas[[#This Row],[DATA DA COMPETÊNCIA]],"mmm")))</f>
        <v>ABR</v>
      </c>
      <c r="M304" s="79">
        <f>IF(tbRegistroEntradas[[#This Row],[DATA DA COMPETÊNCIA]]="N/A",0,YEAR(tbRegistroEntradas[[#This Row],[DATA DA COMPETÊNCIA]]))</f>
        <v>2022</v>
      </c>
      <c r="N304" s="84" t="str">
        <f>IF(tbRegistroEntradas[[#This Row],[DATA DO CAIXA PREVISTO]]="N/A","0",UPPER(TEXT(tbRegistroEntradas[[#This Row],[DATA DO CAIXA PREVISTO]],"mmm")))</f>
        <v>MAI</v>
      </c>
      <c r="O304" s="84">
        <f>IF(tbRegistroEntradas[[#This Row],[DATA DO CAIXA PREVISTO]]="N/A",0,YEAR(tbRegistroEntradas[[#This Row],[DATA DO CAIXA PREVISTO]]))</f>
        <v>2022</v>
      </c>
      <c r="P304" s="58" t="str">
        <f ca="1">IF(AND(tbRegistroEntradas[[#This Row],[DATA DE CAIXA REALIZADO]]="N/A",tbRegistroEntradas[[#This Row],[DATA DO CAIXA PREVISTO]]&lt;TODAY()),"Vencida","Não Vencida")</f>
        <v>Não Vencida</v>
      </c>
      <c r="Q304" s="58" t="str">
        <f>IF(tbRegistroEntradas[[#This Row],[DATA DA COMPETÊNCIA]]=tbRegistroEntradas[[#This Row],[DATA DO CAIXA PREVISTO]],"Vista","Prazo")</f>
        <v>Prazo</v>
      </c>
      <c r="R304" s="58" t="str">
        <f>IF(tbRegistroEntradas[[#This Row],[DATA DE CAIXA REALIZADO]]&lt;&gt;"N/A","Em Dia","Com atraso")</f>
        <v>Em Dia</v>
      </c>
    </row>
    <row r="305" spans="1:18" s="52" customFormat="1" ht="14.4" customHeight="1" x14ac:dyDescent="0.3">
      <c r="A305" s="113">
        <v>44725.892939814818</v>
      </c>
      <c r="B305" s="115">
        <v>44662</v>
      </c>
      <c r="C305" s="115">
        <v>44721.535752314812</v>
      </c>
      <c r="D305" s="116" t="s">
        <v>61</v>
      </c>
      <c r="E305" s="116" t="s">
        <v>12</v>
      </c>
      <c r="F305" s="116" t="s">
        <v>19</v>
      </c>
      <c r="G305" s="116" t="s">
        <v>230</v>
      </c>
      <c r="H305" s="52" t="s">
        <v>81</v>
      </c>
      <c r="I305" s="120">
        <v>2593</v>
      </c>
      <c r="J305" s="55" t="str">
        <f>IF(tbRegistroEntradas[[#This Row],[DATA DE CAIXA REALIZADO]]="N/A","0",UPPER(TEXT(tbRegistroEntradas[[#This Row],[DATA DE CAIXA REALIZADO]],"mmm")))</f>
        <v>JUN</v>
      </c>
      <c r="K305" s="58">
        <f>IF(tbRegistroEntradas[[#This Row],[DATA DE CAIXA REALIZADO]]="N/A",0,YEAR(tbRegistroEntradas[[#This Row],[DATA DE CAIXA REALIZADO]]))</f>
        <v>2022</v>
      </c>
      <c r="L305" s="79" t="str">
        <f>IF(tbRegistroEntradas[[#This Row],[DATA DA COMPETÊNCIA]]="N/A","0",UPPER(TEXT(tbRegistroEntradas[[#This Row],[DATA DA COMPETÊNCIA]],"mmm")))</f>
        <v>ABR</v>
      </c>
      <c r="M305" s="79">
        <f>IF(tbRegistroEntradas[[#This Row],[DATA DA COMPETÊNCIA]]="N/A",0,YEAR(tbRegistroEntradas[[#This Row],[DATA DA COMPETÊNCIA]]))</f>
        <v>2022</v>
      </c>
      <c r="N305" s="84" t="str">
        <f>IF(tbRegistroEntradas[[#This Row],[DATA DO CAIXA PREVISTO]]="N/A","0",UPPER(TEXT(tbRegistroEntradas[[#This Row],[DATA DO CAIXA PREVISTO]],"mmm")))</f>
        <v>JUN</v>
      </c>
      <c r="O305" s="84">
        <f>IF(tbRegistroEntradas[[#This Row],[DATA DO CAIXA PREVISTO]]="N/A",0,YEAR(tbRegistroEntradas[[#This Row],[DATA DO CAIXA PREVISTO]]))</f>
        <v>2022</v>
      </c>
      <c r="P305" s="58" t="str">
        <f ca="1">IF(AND(tbRegistroEntradas[[#This Row],[DATA DE CAIXA REALIZADO]]="N/A",tbRegistroEntradas[[#This Row],[DATA DO CAIXA PREVISTO]]&lt;TODAY()),"Vencida","Não Vencida")</f>
        <v>Não Vencida</v>
      </c>
      <c r="Q305" s="58" t="str">
        <f>IF(tbRegistroEntradas[[#This Row],[DATA DA COMPETÊNCIA]]=tbRegistroEntradas[[#This Row],[DATA DO CAIXA PREVISTO]],"Vista","Prazo")</f>
        <v>Prazo</v>
      </c>
      <c r="R305" s="58" t="str">
        <f>IF(tbRegistroEntradas[[#This Row],[DATA DE CAIXA REALIZADO]]&lt;&gt;"N/A","Em Dia","Com atraso")</f>
        <v>Em Dia</v>
      </c>
    </row>
    <row r="306" spans="1:18" s="52" customFormat="1" ht="14.4" customHeight="1" x14ac:dyDescent="0.3">
      <c r="A306" s="125">
        <v>44693</v>
      </c>
      <c r="B306" s="125">
        <f>A306-31</f>
        <v>44662</v>
      </c>
      <c r="C306" s="125">
        <f>(A306-B306)+B306-15</f>
        <v>44678</v>
      </c>
      <c r="D306" s="126" t="s">
        <v>61</v>
      </c>
      <c r="E306" s="126" t="s">
        <v>12</v>
      </c>
      <c r="F306" s="126" t="s">
        <v>16</v>
      </c>
      <c r="G306" s="126" t="s">
        <v>868</v>
      </c>
      <c r="H306" s="52" t="s">
        <v>79</v>
      </c>
      <c r="I306" s="127">
        <v>4026</v>
      </c>
      <c r="J306" s="110" t="str">
        <f>IF(tbRegistroEntradas[[#This Row],[DATA DE CAIXA REALIZADO]]="N/A","0",UPPER(TEXT(tbRegistroEntradas[[#This Row],[DATA DE CAIXA REALIZADO]],"mmm")))</f>
        <v>MAI</v>
      </c>
      <c r="K306" s="57">
        <f>IF(tbRegistroEntradas[[#This Row],[DATA DE CAIXA REALIZADO]]="N/A",0,YEAR(tbRegistroEntradas[[#This Row],[DATA DE CAIXA REALIZADO]]))</f>
        <v>2022</v>
      </c>
      <c r="L306" s="58" t="str">
        <f>IF(tbRegistroEntradas[[#This Row],[DATA DA COMPETÊNCIA]]="N/A","0",UPPER(TEXT(tbRegistroEntradas[[#This Row],[DATA DA COMPETÊNCIA]],"mmm")))</f>
        <v>ABR</v>
      </c>
      <c r="M306" s="58">
        <f>IF(tbRegistroEntradas[[#This Row],[DATA DA COMPETÊNCIA]]="N/A",0,YEAR(tbRegistroEntradas[[#This Row],[DATA DA COMPETÊNCIA]]))</f>
        <v>2022</v>
      </c>
      <c r="N306" s="58" t="str">
        <f>IF(tbRegistroEntradas[[#This Row],[DATA DO CAIXA PREVISTO]]="N/A","0",UPPER(TEXT(tbRegistroEntradas[[#This Row],[DATA DO CAIXA PREVISTO]],"mmm")))</f>
        <v>ABR</v>
      </c>
      <c r="O306" s="58">
        <f>IF(tbRegistroEntradas[[#This Row],[DATA DO CAIXA PREVISTO]]="N/A",0,YEAR(tbRegistroEntradas[[#This Row],[DATA DO CAIXA PREVISTO]]))</f>
        <v>2022</v>
      </c>
      <c r="P306" s="58" t="str">
        <f ca="1">IF(AND(tbRegistroEntradas[[#This Row],[DATA DE CAIXA REALIZADO]]="N/A",tbRegistroEntradas[[#This Row],[DATA DO CAIXA PREVISTO]]&lt;TODAY()),"Vencida","Não Vencida")</f>
        <v>Não Vencida</v>
      </c>
      <c r="Q306" s="58" t="str">
        <f>IF(tbRegistroEntradas[[#This Row],[DATA DA COMPETÊNCIA]]=tbRegistroEntradas[[#This Row],[DATA DO CAIXA PREVISTO]],"Vista","Prazo")</f>
        <v>Prazo</v>
      </c>
      <c r="R306" s="58" t="str">
        <f>IF(tbRegistroEntradas[[#This Row],[DATA DE CAIXA REALIZADO]]&lt;&gt;"N/A","Em Dia","Com atraso")</f>
        <v>Em Dia</v>
      </c>
    </row>
    <row r="307" spans="1:18" s="52" customFormat="1" ht="14.4" customHeight="1" x14ac:dyDescent="0.3">
      <c r="A307" s="125">
        <v>44693</v>
      </c>
      <c r="B307" s="125">
        <f>A307-31</f>
        <v>44662</v>
      </c>
      <c r="C307" s="125">
        <f>(A307-B307)+B307-15</f>
        <v>44678</v>
      </c>
      <c r="D307" s="126" t="s">
        <v>61</v>
      </c>
      <c r="E307" s="126" t="s">
        <v>12</v>
      </c>
      <c r="F307" s="126" t="s">
        <v>32</v>
      </c>
      <c r="G307" s="126" t="s">
        <v>944</v>
      </c>
      <c r="H307" s="52" t="s">
        <v>80</v>
      </c>
      <c r="I307" s="127">
        <v>4497</v>
      </c>
      <c r="J307" s="110" t="str">
        <f>IF(tbRegistroEntradas[[#This Row],[DATA DE CAIXA REALIZADO]]="N/A","0",UPPER(TEXT(tbRegistroEntradas[[#This Row],[DATA DE CAIXA REALIZADO]],"mmm")))</f>
        <v>MAI</v>
      </c>
      <c r="K307" s="57">
        <f>IF(tbRegistroEntradas[[#This Row],[DATA DE CAIXA REALIZADO]]="N/A",0,YEAR(tbRegistroEntradas[[#This Row],[DATA DE CAIXA REALIZADO]]))</f>
        <v>2022</v>
      </c>
      <c r="L307" s="58" t="str">
        <f>IF(tbRegistroEntradas[[#This Row],[DATA DA COMPETÊNCIA]]="N/A","0",UPPER(TEXT(tbRegistroEntradas[[#This Row],[DATA DA COMPETÊNCIA]],"mmm")))</f>
        <v>ABR</v>
      </c>
      <c r="M307" s="58">
        <f>IF(tbRegistroEntradas[[#This Row],[DATA DA COMPETÊNCIA]]="N/A",0,YEAR(tbRegistroEntradas[[#This Row],[DATA DA COMPETÊNCIA]]))</f>
        <v>2022</v>
      </c>
      <c r="N307" s="58" t="str">
        <f>IF(tbRegistroEntradas[[#This Row],[DATA DO CAIXA PREVISTO]]="N/A","0",UPPER(TEXT(tbRegistroEntradas[[#This Row],[DATA DO CAIXA PREVISTO]],"mmm")))</f>
        <v>ABR</v>
      </c>
      <c r="O307" s="58">
        <f>IF(tbRegistroEntradas[[#This Row],[DATA DO CAIXA PREVISTO]]="N/A",0,YEAR(tbRegistroEntradas[[#This Row],[DATA DO CAIXA PREVISTO]]))</f>
        <v>2022</v>
      </c>
      <c r="P307" s="58" t="str">
        <f ca="1">IF(AND(tbRegistroEntradas[[#This Row],[DATA DE CAIXA REALIZADO]]="N/A",tbRegistroEntradas[[#This Row],[DATA DO CAIXA PREVISTO]]&lt;TODAY()),"Vencida","Não Vencida")</f>
        <v>Não Vencida</v>
      </c>
      <c r="Q307" s="58" t="str">
        <f>IF(tbRegistroEntradas[[#This Row],[DATA DA COMPETÊNCIA]]=tbRegistroEntradas[[#This Row],[DATA DO CAIXA PREVISTO]],"Vista","Prazo")</f>
        <v>Prazo</v>
      </c>
      <c r="R307" s="58" t="str">
        <f>IF(tbRegistroEntradas[[#This Row],[DATA DE CAIXA REALIZADO]]&lt;&gt;"N/A","Em Dia","Com atraso")</f>
        <v>Em Dia</v>
      </c>
    </row>
    <row r="308" spans="1:18" s="52" customFormat="1" ht="14.4" customHeight="1" x14ac:dyDescent="0.3">
      <c r="A308" s="125">
        <v>44694</v>
      </c>
      <c r="B308" s="125">
        <f>A308-31</f>
        <v>44663</v>
      </c>
      <c r="C308" s="125">
        <f>(A308-B308)+B308-15</f>
        <v>44679</v>
      </c>
      <c r="D308" s="126" t="s">
        <v>61</v>
      </c>
      <c r="E308" s="126" t="s">
        <v>12</v>
      </c>
      <c r="F308" s="126" t="s">
        <v>18</v>
      </c>
      <c r="G308" s="126" t="s">
        <v>871</v>
      </c>
      <c r="H308" s="52" t="s">
        <v>82</v>
      </c>
      <c r="I308" s="127">
        <v>3990</v>
      </c>
      <c r="J308" s="110" t="str">
        <f>IF(tbRegistroEntradas[[#This Row],[DATA DE CAIXA REALIZADO]]="N/A","0",UPPER(TEXT(tbRegistroEntradas[[#This Row],[DATA DE CAIXA REALIZADO]],"mmm")))</f>
        <v>MAI</v>
      </c>
      <c r="K308" s="57">
        <f>IF(tbRegistroEntradas[[#This Row],[DATA DE CAIXA REALIZADO]]="N/A",0,YEAR(tbRegistroEntradas[[#This Row],[DATA DE CAIXA REALIZADO]]))</f>
        <v>2022</v>
      </c>
      <c r="L308" s="58" t="str">
        <f>IF(tbRegistroEntradas[[#This Row],[DATA DA COMPETÊNCIA]]="N/A","0",UPPER(TEXT(tbRegistroEntradas[[#This Row],[DATA DA COMPETÊNCIA]],"mmm")))</f>
        <v>ABR</v>
      </c>
      <c r="M308" s="58">
        <f>IF(tbRegistroEntradas[[#This Row],[DATA DA COMPETÊNCIA]]="N/A",0,YEAR(tbRegistroEntradas[[#This Row],[DATA DA COMPETÊNCIA]]))</f>
        <v>2022</v>
      </c>
      <c r="N308" s="58" t="str">
        <f>IF(tbRegistroEntradas[[#This Row],[DATA DO CAIXA PREVISTO]]="N/A","0",UPPER(TEXT(tbRegistroEntradas[[#This Row],[DATA DO CAIXA PREVISTO]],"mmm")))</f>
        <v>ABR</v>
      </c>
      <c r="O308" s="58">
        <f>IF(tbRegistroEntradas[[#This Row],[DATA DO CAIXA PREVISTO]]="N/A",0,YEAR(tbRegistroEntradas[[#This Row],[DATA DO CAIXA PREVISTO]]))</f>
        <v>2022</v>
      </c>
      <c r="P308" s="58" t="str">
        <f ca="1">IF(AND(tbRegistroEntradas[[#This Row],[DATA DE CAIXA REALIZADO]]="N/A",tbRegistroEntradas[[#This Row],[DATA DO CAIXA PREVISTO]]&lt;TODAY()),"Vencida","Não Vencida")</f>
        <v>Não Vencida</v>
      </c>
      <c r="Q308" s="58" t="str">
        <f>IF(tbRegistroEntradas[[#This Row],[DATA DA COMPETÊNCIA]]=tbRegistroEntradas[[#This Row],[DATA DO CAIXA PREVISTO]],"Vista","Prazo")</f>
        <v>Prazo</v>
      </c>
      <c r="R308" s="58" t="str">
        <f>IF(tbRegistroEntradas[[#This Row],[DATA DE CAIXA REALIZADO]]&lt;&gt;"N/A","Em Dia","Com atraso")</f>
        <v>Em Dia</v>
      </c>
    </row>
    <row r="309" spans="1:18" s="52" customFormat="1" ht="14.4" customHeight="1" x14ac:dyDescent="0.3">
      <c r="A309" s="112">
        <v>44685.851469907408</v>
      </c>
      <c r="B309" s="114">
        <v>44665</v>
      </c>
      <c r="C309" s="125">
        <f>tbRegistroEntradas[[#This Row],[DATA DA COMPETÊNCIA]]</f>
        <v>44665</v>
      </c>
      <c r="D309" s="55" t="s">
        <v>67</v>
      </c>
      <c r="E309" s="55" t="s">
        <v>12</v>
      </c>
      <c r="F309" s="55" t="s">
        <v>19</v>
      </c>
      <c r="G309" s="55" t="s">
        <v>231</v>
      </c>
      <c r="H309" s="52" t="s">
        <v>130</v>
      </c>
      <c r="I309" s="119">
        <v>1885</v>
      </c>
      <c r="J309" s="55" t="str">
        <f>IF(tbRegistroEntradas[[#This Row],[DATA DE CAIXA REALIZADO]]="N/A","0",UPPER(TEXT(tbRegistroEntradas[[#This Row],[DATA DE CAIXA REALIZADO]],"mmm")))</f>
        <v>MAI</v>
      </c>
      <c r="K309" s="58">
        <f>IF(tbRegistroEntradas[[#This Row],[DATA DE CAIXA REALIZADO]]="N/A",0,YEAR(tbRegistroEntradas[[#This Row],[DATA DE CAIXA REALIZADO]]))</f>
        <v>2022</v>
      </c>
      <c r="L309" s="79" t="str">
        <f>IF(tbRegistroEntradas[[#This Row],[DATA DA COMPETÊNCIA]]="N/A","0",UPPER(TEXT(tbRegistroEntradas[[#This Row],[DATA DA COMPETÊNCIA]],"mmm")))</f>
        <v>ABR</v>
      </c>
      <c r="M309" s="79">
        <f>IF(tbRegistroEntradas[[#This Row],[DATA DA COMPETÊNCIA]]="N/A",0,YEAR(tbRegistroEntradas[[#This Row],[DATA DA COMPETÊNCIA]]))</f>
        <v>2022</v>
      </c>
      <c r="N309" s="84" t="str">
        <f>IF(tbRegistroEntradas[[#This Row],[DATA DO CAIXA PREVISTO]]="N/A","0",UPPER(TEXT(tbRegistroEntradas[[#This Row],[DATA DO CAIXA PREVISTO]],"mmm")))</f>
        <v>ABR</v>
      </c>
      <c r="O309" s="84">
        <f>IF(tbRegistroEntradas[[#This Row],[DATA DO CAIXA PREVISTO]]="N/A",0,YEAR(tbRegistroEntradas[[#This Row],[DATA DO CAIXA PREVISTO]]))</f>
        <v>2022</v>
      </c>
      <c r="P309" s="58" t="str">
        <f ca="1">IF(AND(tbRegistroEntradas[[#This Row],[DATA DE CAIXA REALIZADO]]="N/A",tbRegistroEntradas[[#This Row],[DATA DO CAIXA PREVISTO]]&lt;TODAY()),"Vencida","Não Vencida")</f>
        <v>Não Vencida</v>
      </c>
      <c r="Q309" s="58" t="str">
        <f>IF(tbRegistroEntradas[[#This Row],[DATA DA COMPETÊNCIA]]=tbRegistroEntradas[[#This Row],[DATA DO CAIXA PREVISTO]],"Vista","Prazo")</f>
        <v>Vista</v>
      </c>
      <c r="R309" s="58" t="str">
        <f>IF(tbRegistroEntradas[[#This Row],[DATA DE CAIXA REALIZADO]]&lt;&gt;"N/A","Em Dia","Com atraso")</f>
        <v>Em Dia</v>
      </c>
    </row>
    <row r="310" spans="1:18" s="52" customFormat="1" ht="14.4" customHeight="1" x14ac:dyDescent="0.3">
      <c r="A310" s="49">
        <v>44696</v>
      </c>
      <c r="B310" s="49">
        <f>A310-31</f>
        <v>44665</v>
      </c>
      <c r="C310" s="49">
        <f>(A310-B310)+B310-15</f>
        <v>44681</v>
      </c>
      <c r="D310" s="52" t="s">
        <v>67</v>
      </c>
      <c r="E310" s="52" t="s">
        <v>12</v>
      </c>
      <c r="F310" s="52" t="s">
        <v>18</v>
      </c>
      <c r="G310" s="52" t="s">
        <v>692</v>
      </c>
      <c r="H310" s="52" t="s">
        <v>129</v>
      </c>
      <c r="I310" s="18">
        <v>1808</v>
      </c>
      <c r="J310" s="110" t="str">
        <f>IF(tbRegistroEntradas[[#This Row],[DATA DE CAIXA REALIZADO]]="N/A","0",UPPER(TEXT(tbRegistroEntradas[[#This Row],[DATA DE CAIXA REALIZADO]],"mmm")))</f>
        <v>MAI</v>
      </c>
      <c r="K310" s="57">
        <f>IF(tbRegistroEntradas[[#This Row],[DATA DE CAIXA REALIZADO]]="N/A",0,YEAR(tbRegistroEntradas[[#This Row],[DATA DE CAIXA REALIZADO]]))</f>
        <v>2022</v>
      </c>
      <c r="L310" s="58" t="str">
        <f>IF(tbRegistroEntradas[[#This Row],[DATA DA COMPETÊNCIA]]="N/A","0",UPPER(TEXT(tbRegistroEntradas[[#This Row],[DATA DA COMPETÊNCIA]],"mmm")))</f>
        <v>ABR</v>
      </c>
      <c r="M310" s="58">
        <f>IF(tbRegistroEntradas[[#This Row],[DATA DA COMPETÊNCIA]]="N/A",0,YEAR(tbRegistroEntradas[[#This Row],[DATA DA COMPETÊNCIA]]))</f>
        <v>2022</v>
      </c>
      <c r="N310" s="58" t="str">
        <f>IF(tbRegistroEntradas[[#This Row],[DATA DO CAIXA PREVISTO]]="N/A","0",UPPER(TEXT(tbRegistroEntradas[[#This Row],[DATA DO CAIXA PREVISTO]],"mmm")))</f>
        <v>ABR</v>
      </c>
      <c r="O310" s="58">
        <f>IF(tbRegistroEntradas[[#This Row],[DATA DO CAIXA PREVISTO]]="N/A",0,YEAR(tbRegistroEntradas[[#This Row],[DATA DO CAIXA PREVISTO]]))</f>
        <v>2022</v>
      </c>
      <c r="P310" s="58" t="str">
        <f ca="1">IF(AND(tbRegistroEntradas[[#This Row],[DATA DE CAIXA REALIZADO]]="N/A",tbRegistroEntradas[[#This Row],[DATA DO CAIXA PREVISTO]]&lt;TODAY()),"Vencida","Não Vencida")</f>
        <v>Não Vencida</v>
      </c>
      <c r="Q310" s="58" t="str">
        <f>IF(tbRegistroEntradas[[#This Row],[DATA DA COMPETÊNCIA]]=tbRegistroEntradas[[#This Row],[DATA DO CAIXA PREVISTO]],"Vista","Prazo")</f>
        <v>Prazo</v>
      </c>
      <c r="R310" s="58" t="str">
        <f>IF(tbRegistroEntradas[[#This Row],[DATA DE CAIXA REALIZADO]]&lt;&gt;"N/A","Em Dia","Com atraso")</f>
        <v>Em Dia</v>
      </c>
    </row>
    <row r="311" spans="1:18" s="52" customFormat="1" ht="14.4" customHeight="1" x14ac:dyDescent="0.3">
      <c r="A311" s="125">
        <v>44696</v>
      </c>
      <c r="B311" s="125">
        <f>A311-31</f>
        <v>44665</v>
      </c>
      <c r="C311" s="125">
        <f>(A311-B311)+B311-15</f>
        <v>44681</v>
      </c>
      <c r="D311" s="126" t="s">
        <v>137</v>
      </c>
      <c r="E311" s="126" t="s">
        <v>12</v>
      </c>
      <c r="F311" s="126" t="s">
        <v>18</v>
      </c>
      <c r="G311" s="126" t="s">
        <v>993</v>
      </c>
      <c r="H311" s="52" t="s">
        <v>73</v>
      </c>
      <c r="I311" s="127">
        <v>919</v>
      </c>
      <c r="J311" s="110" t="str">
        <f>IF(tbRegistroEntradas[[#This Row],[DATA DE CAIXA REALIZADO]]="N/A","0",UPPER(TEXT(tbRegistroEntradas[[#This Row],[DATA DE CAIXA REALIZADO]],"mmm")))</f>
        <v>MAI</v>
      </c>
      <c r="K311" s="57">
        <f>IF(tbRegistroEntradas[[#This Row],[DATA DE CAIXA REALIZADO]]="N/A",0,YEAR(tbRegistroEntradas[[#This Row],[DATA DE CAIXA REALIZADO]]))</f>
        <v>2022</v>
      </c>
      <c r="L311" s="58" t="str">
        <f>IF(tbRegistroEntradas[[#This Row],[DATA DA COMPETÊNCIA]]="N/A","0",UPPER(TEXT(tbRegistroEntradas[[#This Row],[DATA DA COMPETÊNCIA]],"mmm")))</f>
        <v>ABR</v>
      </c>
      <c r="M311" s="58">
        <f>IF(tbRegistroEntradas[[#This Row],[DATA DA COMPETÊNCIA]]="N/A",0,YEAR(tbRegistroEntradas[[#This Row],[DATA DA COMPETÊNCIA]]))</f>
        <v>2022</v>
      </c>
      <c r="N311" s="58" t="str">
        <f>IF(tbRegistroEntradas[[#This Row],[DATA DO CAIXA PREVISTO]]="N/A","0",UPPER(TEXT(tbRegistroEntradas[[#This Row],[DATA DO CAIXA PREVISTO]],"mmm")))</f>
        <v>ABR</v>
      </c>
      <c r="O311" s="58">
        <f>IF(tbRegistroEntradas[[#This Row],[DATA DO CAIXA PREVISTO]]="N/A",0,YEAR(tbRegistroEntradas[[#This Row],[DATA DO CAIXA PREVISTO]]))</f>
        <v>2022</v>
      </c>
      <c r="P311" s="58" t="str">
        <f ca="1">IF(AND(tbRegistroEntradas[[#This Row],[DATA DE CAIXA REALIZADO]]="N/A",tbRegistroEntradas[[#This Row],[DATA DO CAIXA PREVISTO]]&lt;TODAY()),"Vencida","Não Vencida")</f>
        <v>Não Vencida</v>
      </c>
      <c r="Q311" s="58" t="str">
        <f>IF(tbRegistroEntradas[[#This Row],[DATA DA COMPETÊNCIA]]=tbRegistroEntradas[[#This Row],[DATA DO CAIXA PREVISTO]],"Vista","Prazo")</f>
        <v>Prazo</v>
      </c>
      <c r="R311" s="58" t="str">
        <f>IF(tbRegistroEntradas[[#This Row],[DATA DE CAIXA REALIZADO]]&lt;&gt;"N/A","Em Dia","Com atraso")</f>
        <v>Em Dia</v>
      </c>
    </row>
    <row r="312" spans="1:18" s="52" customFormat="1" ht="14.4" customHeight="1" x14ac:dyDescent="0.3">
      <c r="A312" s="49">
        <v>44697</v>
      </c>
      <c r="B312" s="49">
        <f>A312-31</f>
        <v>44666</v>
      </c>
      <c r="C312" s="125">
        <f>tbRegistroEntradas[[#This Row],[DATA DA COMPETÊNCIA]]</f>
        <v>44666</v>
      </c>
      <c r="D312" s="52" t="s">
        <v>65</v>
      </c>
      <c r="E312" s="52" t="s">
        <v>12</v>
      </c>
      <c r="F312" s="52" t="s">
        <v>17</v>
      </c>
      <c r="G312" s="52" t="s">
        <v>678</v>
      </c>
      <c r="H312" s="52" t="s">
        <v>117</v>
      </c>
      <c r="I312" s="18">
        <v>3857</v>
      </c>
      <c r="J312" s="110" t="str">
        <f>IF(tbRegistroEntradas[[#This Row],[DATA DE CAIXA REALIZADO]]="N/A","0",UPPER(TEXT(tbRegistroEntradas[[#This Row],[DATA DE CAIXA REALIZADO]],"mmm")))</f>
        <v>MAI</v>
      </c>
      <c r="K312" s="57">
        <f>IF(tbRegistroEntradas[[#This Row],[DATA DE CAIXA REALIZADO]]="N/A",0,YEAR(tbRegistroEntradas[[#This Row],[DATA DE CAIXA REALIZADO]]))</f>
        <v>2022</v>
      </c>
      <c r="L312" s="58" t="str">
        <f>IF(tbRegistroEntradas[[#This Row],[DATA DA COMPETÊNCIA]]="N/A","0",UPPER(TEXT(tbRegistroEntradas[[#This Row],[DATA DA COMPETÊNCIA]],"mmm")))</f>
        <v>ABR</v>
      </c>
      <c r="M312" s="58">
        <f>IF(tbRegistroEntradas[[#This Row],[DATA DA COMPETÊNCIA]]="N/A",0,YEAR(tbRegistroEntradas[[#This Row],[DATA DA COMPETÊNCIA]]))</f>
        <v>2022</v>
      </c>
      <c r="N312" s="58" t="str">
        <f>IF(tbRegistroEntradas[[#This Row],[DATA DO CAIXA PREVISTO]]="N/A","0",UPPER(TEXT(tbRegistroEntradas[[#This Row],[DATA DO CAIXA PREVISTO]],"mmm")))</f>
        <v>ABR</v>
      </c>
      <c r="O312" s="58">
        <f>IF(tbRegistroEntradas[[#This Row],[DATA DO CAIXA PREVISTO]]="N/A",0,YEAR(tbRegistroEntradas[[#This Row],[DATA DO CAIXA PREVISTO]]))</f>
        <v>2022</v>
      </c>
      <c r="P312" s="58" t="str">
        <f ca="1">IF(AND(tbRegistroEntradas[[#This Row],[DATA DE CAIXA REALIZADO]]="N/A",tbRegistroEntradas[[#This Row],[DATA DO CAIXA PREVISTO]]&lt;TODAY()),"Vencida","Não Vencida")</f>
        <v>Não Vencida</v>
      </c>
      <c r="Q312" s="58" t="str">
        <f>IF(tbRegistroEntradas[[#This Row],[DATA DA COMPETÊNCIA]]=tbRegistroEntradas[[#This Row],[DATA DO CAIXA PREVISTO]],"Vista","Prazo")</f>
        <v>Vista</v>
      </c>
      <c r="R312" s="58" t="str">
        <f>IF(tbRegistroEntradas[[#This Row],[DATA DE CAIXA REALIZADO]]&lt;&gt;"N/A","Em Dia","Com atraso")</f>
        <v>Em Dia</v>
      </c>
    </row>
    <row r="313" spans="1:18" s="52" customFormat="1" ht="14.4" customHeight="1" x14ac:dyDescent="0.3">
      <c r="A313" s="49">
        <v>44698</v>
      </c>
      <c r="B313" s="49">
        <f>A313-31</f>
        <v>44667</v>
      </c>
      <c r="C313" s="49">
        <f>(A313-B313)+B313-15</f>
        <v>44683</v>
      </c>
      <c r="D313" s="52" t="s">
        <v>65</v>
      </c>
      <c r="E313" s="52" t="s">
        <v>12</v>
      </c>
      <c r="F313" s="52" t="s">
        <v>18</v>
      </c>
      <c r="G313" s="52" t="s">
        <v>994</v>
      </c>
      <c r="H313" s="126" t="s">
        <v>116</v>
      </c>
      <c r="I313" s="18">
        <v>6184</v>
      </c>
      <c r="J313" s="110" t="str">
        <f>IF(tbRegistroEntradas[[#This Row],[DATA DE CAIXA REALIZADO]]="N/A","0",UPPER(TEXT(tbRegistroEntradas[[#This Row],[DATA DE CAIXA REALIZADO]],"mmm")))</f>
        <v>MAI</v>
      </c>
      <c r="K313" s="57">
        <f>IF(tbRegistroEntradas[[#This Row],[DATA DE CAIXA REALIZADO]]="N/A",0,YEAR(tbRegistroEntradas[[#This Row],[DATA DE CAIXA REALIZADO]]))</f>
        <v>2022</v>
      </c>
      <c r="L313" s="58" t="str">
        <f>IF(tbRegistroEntradas[[#This Row],[DATA DA COMPETÊNCIA]]="N/A","0",UPPER(TEXT(tbRegistroEntradas[[#This Row],[DATA DA COMPETÊNCIA]],"mmm")))</f>
        <v>ABR</v>
      </c>
      <c r="M313" s="58">
        <f>IF(tbRegistroEntradas[[#This Row],[DATA DA COMPETÊNCIA]]="N/A",0,YEAR(tbRegistroEntradas[[#This Row],[DATA DA COMPETÊNCIA]]))</f>
        <v>2022</v>
      </c>
      <c r="N313" s="58" t="str">
        <f>IF(tbRegistroEntradas[[#This Row],[DATA DO CAIXA PREVISTO]]="N/A","0",UPPER(TEXT(tbRegistroEntradas[[#This Row],[DATA DO CAIXA PREVISTO]],"mmm")))</f>
        <v>MAI</v>
      </c>
      <c r="O313" s="58">
        <f>IF(tbRegistroEntradas[[#This Row],[DATA DO CAIXA PREVISTO]]="N/A",0,YEAR(tbRegistroEntradas[[#This Row],[DATA DO CAIXA PREVISTO]]))</f>
        <v>2022</v>
      </c>
      <c r="P313" s="58" t="str">
        <f ca="1">IF(AND(tbRegistroEntradas[[#This Row],[DATA DE CAIXA REALIZADO]]="N/A",tbRegistroEntradas[[#This Row],[DATA DO CAIXA PREVISTO]]&lt;TODAY()),"Vencida","Não Vencida")</f>
        <v>Não Vencida</v>
      </c>
      <c r="Q313" s="58" t="str">
        <f>IF(tbRegistroEntradas[[#This Row],[DATA DA COMPETÊNCIA]]=tbRegistroEntradas[[#This Row],[DATA DO CAIXA PREVISTO]],"Vista","Prazo")</f>
        <v>Prazo</v>
      </c>
      <c r="R313" s="58" t="str">
        <f>IF(tbRegistroEntradas[[#This Row],[DATA DE CAIXA REALIZADO]]&lt;&gt;"N/A","Em Dia","Com atraso")</f>
        <v>Em Dia</v>
      </c>
    </row>
    <row r="314" spans="1:18" s="52" customFormat="1" ht="14.4" customHeight="1" x14ac:dyDescent="0.3">
      <c r="A314" s="113" t="s">
        <v>141</v>
      </c>
      <c r="B314" s="115">
        <v>44670</v>
      </c>
      <c r="C314" s="115">
        <v>44727.340115740742</v>
      </c>
      <c r="D314" s="116" t="s">
        <v>66</v>
      </c>
      <c r="E314" s="116" t="s">
        <v>12</v>
      </c>
      <c r="F314" s="116" t="s">
        <v>19</v>
      </c>
      <c r="G314" s="116" t="s">
        <v>232</v>
      </c>
      <c r="H314" s="52" t="s">
        <v>90</v>
      </c>
      <c r="I314" s="120">
        <v>2224</v>
      </c>
      <c r="J314" s="55" t="str">
        <f>IF(tbRegistroEntradas[[#This Row],[DATA DE CAIXA REALIZADO]]="N/A","0",UPPER(TEXT(tbRegistroEntradas[[#This Row],[DATA DE CAIXA REALIZADO]],"mmm")))</f>
        <v>0</v>
      </c>
      <c r="K314" s="58">
        <f>IF(tbRegistroEntradas[[#This Row],[DATA DE CAIXA REALIZADO]]="N/A",0,YEAR(tbRegistroEntradas[[#This Row],[DATA DE CAIXA REALIZADO]]))</f>
        <v>0</v>
      </c>
      <c r="L314" s="79" t="str">
        <f>IF(tbRegistroEntradas[[#This Row],[DATA DA COMPETÊNCIA]]="N/A","0",UPPER(TEXT(tbRegistroEntradas[[#This Row],[DATA DA COMPETÊNCIA]],"mmm")))</f>
        <v>ABR</v>
      </c>
      <c r="M314" s="79">
        <f>IF(tbRegistroEntradas[[#This Row],[DATA DA COMPETÊNCIA]]="N/A",0,YEAR(tbRegistroEntradas[[#This Row],[DATA DA COMPETÊNCIA]]))</f>
        <v>2022</v>
      </c>
      <c r="N314" s="84" t="str">
        <f>IF(tbRegistroEntradas[[#This Row],[DATA DO CAIXA PREVISTO]]="N/A","0",UPPER(TEXT(tbRegistroEntradas[[#This Row],[DATA DO CAIXA PREVISTO]],"mmm")))</f>
        <v>JUN</v>
      </c>
      <c r="O314" s="84">
        <f>IF(tbRegistroEntradas[[#This Row],[DATA DO CAIXA PREVISTO]]="N/A",0,YEAR(tbRegistroEntradas[[#This Row],[DATA DO CAIXA PREVISTO]]))</f>
        <v>2022</v>
      </c>
      <c r="P314" s="58" t="str">
        <f ca="1">IF(AND(tbRegistroEntradas[[#This Row],[DATA DE CAIXA REALIZADO]]="N/A",tbRegistroEntradas[[#This Row],[DATA DO CAIXA PREVISTO]]&lt;TODAY()),"Vencida","Não Vencida")</f>
        <v>Vencida</v>
      </c>
      <c r="Q314" s="58" t="str">
        <f>IF(tbRegistroEntradas[[#This Row],[DATA DA COMPETÊNCIA]]=tbRegistroEntradas[[#This Row],[DATA DO CAIXA PREVISTO]],"Vista","Prazo")</f>
        <v>Prazo</v>
      </c>
      <c r="R314" s="58" t="str">
        <f>IF(tbRegistroEntradas[[#This Row],[DATA DE CAIXA REALIZADO]]&lt;&gt;"N/A","Em Dia","Com atraso")</f>
        <v>Com atraso</v>
      </c>
    </row>
    <row r="315" spans="1:18" s="52" customFormat="1" ht="14.4" customHeight="1" x14ac:dyDescent="0.3">
      <c r="A315" s="49">
        <v>44702</v>
      </c>
      <c r="B315" s="49">
        <f>A315-31</f>
        <v>44671</v>
      </c>
      <c r="C315" s="49">
        <f>(A315-B315)+B315-15</f>
        <v>44687</v>
      </c>
      <c r="D315" s="52" t="s">
        <v>64</v>
      </c>
      <c r="E315" s="52" t="s">
        <v>12</v>
      </c>
      <c r="F315" s="52" t="s">
        <v>32</v>
      </c>
      <c r="G315" s="52" t="s">
        <v>736</v>
      </c>
      <c r="H315" s="52" t="s">
        <v>110</v>
      </c>
      <c r="I315" s="18">
        <v>154</v>
      </c>
      <c r="J315" s="110" t="str">
        <f>IF(tbRegistroEntradas[[#This Row],[DATA DE CAIXA REALIZADO]]="N/A","0",UPPER(TEXT(tbRegistroEntradas[[#This Row],[DATA DE CAIXA REALIZADO]],"mmm")))</f>
        <v>MAI</v>
      </c>
      <c r="K315" s="57">
        <f>IF(tbRegistroEntradas[[#This Row],[DATA DE CAIXA REALIZADO]]="N/A",0,YEAR(tbRegistroEntradas[[#This Row],[DATA DE CAIXA REALIZADO]]))</f>
        <v>2022</v>
      </c>
      <c r="L315" s="58" t="str">
        <f>IF(tbRegistroEntradas[[#This Row],[DATA DA COMPETÊNCIA]]="N/A","0",UPPER(TEXT(tbRegistroEntradas[[#This Row],[DATA DA COMPETÊNCIA]],"mmm")))</f>
        <v>ABR</v>
      </c>
      <c r="M315" s="58">
        <f>IF(tbRegistroEntradas[[#This Row],[DATA DA COMPETÊNCIA]]="N/A",0,YEAR(tbRegistroEntradas[[#This Row],[DATA DA COMPETÊNCIA]]))</f>
        <v>2022</v>
      </c>
      <c r="N315" s="58" t="str">
        <f>IF(tbRegistroEntradas[[#This Row],[DATA DO CAIXA PREVISTO]]="N/A","0",UPPER(TEXT(tbRegistroEntradas[[#This Row],[DATA DO CAIXA PREVISTO]],"mmm")))</f>
        <v>MAI</v>
      </c>
      <c r="O315" s="58">
        <f>IF(tbRegistroEntradas[[#This Row],[DATA DO CAIXA PREVISTO]]="N/A",0,YEAR(tbRegistroEntradas[[#This Row],[DATA DO CAIXA PREVISTO]]))</f>
        <v>2022</v>
      </c>
      <c r="P315" s="58" t="str">
        <f ca="1">IF(AND(tbRegistroEntradas[[#This Row],[DATA DE CAIXA REALIZADO]]="N/A",tbRegistroEntradas[[#This Row],[DATA DO CAIXA PREVISTO]]&lt;TODAY()),"Vencida","Não Vencida")</f>
        <v>Não Vencida</v>
      </c>
      <c r="Q315" s="58" t="str">
        <f>IF(tbRegistroEntradas[[#This Row],[DATA DA COMPETÊNCIA]]=tbRegistroEntradas[[#This Row],[DATA DO CAIXA PREVISTO]],"Vista","Prazo")</f>
        <v>Prazo</v>
      </c>
      <c r="R315" s="58" t="str">
        <f>IF(tbRegistroEntradas[[#This Row],[DATA DE CAIXA REALIZADO]]&lt;&gt;"N/A","Em Dia","Com atraso")</f>
        <v>Em Dia</v>
      </c>
    </row>
    <row r="316" spans="1:18" s="52" customFormat="1" ht="14.4" customHeight="1" x14ac:dyDescent="0.3">
      <c r="A316" s="112">
        <v>44763.51734953704</v>
      </c>
      <c r="B316" s="114">
        <v>44674</v>
      </c>
      <c r="C316" s="114">
        <v>44695.087731481479</v>
      </c>
      <c r="D316" s="55" t="s">
        <v>67</v>
      </c>
      <c r="E316" s="55" t="s">
        <v>12</v>
      </c>
      <c r="F316" s="55" t="s">
        <v>19</v>
      </c>
      <c r="G316" s="55" t="s">
        <v>233</v>
      </c>
      <c r="H316" s="5" t="s">
        <v>132</v>
      </c>
      <c r="I316" s="119">
        <v>3223</v>
      </c>
      <c r="J316" s="55" t="str">
        <f>IF(tbRegistroEntradas[[#This Row],[DATA DE CAIXA REALIZADO]]="N/A","0",UPPER(TEXT(tbRegistroEntradas[[#This Row],[DATA DE CAIXA REALIZADO]],"mmm")))</f>
        <v>JUL</v>
      </c>
      <c r="K316" s="58">
        <f>IF(tbRegistroEntradas[[#This Row],[DATA DE CAIXA REALIZADO]]="N/A",0,YEAR(tbRegistroEntradas[[#This Row],[DATA DE CAIXA REALIZADO]]))</f>
        <v>2022</v>
      </c>
      <c r="L316" s="79" t="str">
        <f>IF(tbRegistroEntradas[[#This Row],[DATA DA COMPETÊNCIA]]="N/A","0",UPPER(TEXT(tbRegistroEntradas[[#This Row],[DATA DA COMPETÊNCIA]],"mmm")))</f>
        <v>ABR</v>
      </c>
      <c r="M316" s="79">
        <f>IF(tbRegistroEntradas[[#This Row],[DATA DA COMPETÊNCIA]]="N/A",0,YEAR(tbRegistroEntradas[[#This Row],[DATA DA COMPETÊNCIA]]))</f>
        <v>2022</v>
      </c>
      <c r="N316" s="84" t="str">
        <f>IF(tbRegistroEntradas[[#This Row],[DATA DO CAIXA PREVISTO]]="N/A","0",UPPER(TEXT(tbRegistroEntradas[[#This Row],[DATA DO CAIXA PREVISTO]],"mmm")))</f>
        <v>MAI</v>
      </c>
      <c r="O316" s="84">
        <f>IF(tbRegistroEntradas[[#This Row],[DATA DO CAIXA PREVISTO]]="N/A",0,YEAR(tbRegistroEntradas[[#This Row],[DATA DO CAIXA PREVISTO]]))</f>
        <v>2022</v>
      </c>
      <c r="P316" s="58" t="str">
        <f ca="1">IF(AND(tbRegistroEntradas[[#This Row],[DATA DE CAIXA REALIZADO]]="N/A",tbRegistroEntradas[[#This Row],[DATA DO CAIXA PREVISTO]]&lt;TODAY()),"Vencida","Não Vencida")</f>
        <v>Não Vencida</v>
      </c>
      <c r="Q316" s="58" t="str">
        <f>IF(tbRegistroEntradas[[#This Row],[DATA DA COMPETÊNCIA]]=tbRegistroEntradas[[#This Row],[DATA DO CAIXA PREVISTO]],"Vista","Prazo")</f>
        <v>Prazo</v>
      </c>
      <c r="R316" s="58" t="str">
        <f>IF(tbRegistroEntradas[[#This Row],[DATA DE CAIXA REALIZADO]]&lt;&gt;"N/A","Em Dia","Com atraso")</f>
        <v>Em Dia</v>
      </c>
    </row>
    <row r="317" spans="1:18" s="52" customFormat="1" ht="14.4" customHeight="1" x14ac:dyDescent="0.3">
      <c r="A317" s="113">
        <v>44760.933067129627</v>
      </c>
      <c r="B317" s="115">
        <v>44677</v>
      </c>
      <c r="C317" s="115">
        <v>44726.015381944446</v>
      </c>
      <c r="D317" s="116" t="s">
        <v>61</v>
      </c>
      <c r="E317" s="116" t="s">
        <v>12</v>
      </c>
      <c r="F317" s="116" t="s">
        <v>18</v>
      </c>
      <c r="G317" s="116" t="s">
        <v>234</v>
      </c>
      <c r="H317" s="52" t="s">
        <v>83</v>
      </c>
      <c r="I317" s="120">
        <v>3446</v>
      </c>
      <c r="J317" s="55" t="str">
        <f>IF(tbRegistroEntradas[[#This Row],[DATA DE CAIXA REALIZADO]]="N/A","0",UPPER(TEXT(tbRegistroEntradas[[#This Row],[DATA DE CAIXA REALIZADO]],"mmm")))</f>
        <v>JUL</v>
      </c>
      <c r="K317" s="58">
        <f>IF(tbRegistroEntradas[[#This Row],[DATA DE CAIXA REALIZADO]]="N/A",0,YEAR(tbRegistroEntradas[[#This Row],[DATA DE CAIXA REALIZADO]]))</f>
        <v>2022</v>
      </c>
      <c r="L317" s="79" t="str">
        <f>IF(tbRegistroEntradas[[#This Row],[DATA DA COMPETÊNCIA]]="N/A","0",UPPER(TEXT(tbRegistroEntradas[[#This Row],[DATA DA COMPETÊNCIA]],"mmm")))</f>
        <v>ABR</v>
      </c>
      <c r="M317" s="79">
        <f>IF(tbRegistroEntradas[[#This Row],[DATA DA COMPETÊNCIA]]="N/A",0,YEAR(tbRegistroEntradas[[#This Row],[DATA DA COMPETÊNCIA]]))</f>
        <v>2022</v>
      </c>
      <c r="N317" s="84" t="str">
        <f>IF(tbRegistroEntradas[[#This Row],[DATA DO CAIXA PREVISTO]]="N/A","0",UPPER(TEXT(tbRegistroEntradas[[#This Row],[DATA DO CAIXA PREVISTO]],"mmm")))</f>
        <v>JUN</v>
      </c>
      <c r="O317" s="84">
        <f>IF(tbRegistroEntradas[[#This Row],[DATA DO CAIXA PREVISTO]]="N/A",0,YEAR(tbRegistroEntradas[[#This Row],[DATA DO CAIXA PREVISTO]]))</f>
        <v>2022</v>
      </c>
      <c r="P317" s="58" t="str">
        <f ca="1">IF(AND(tbRegistroEntradas[[#This Row],[DATA DE CAIXA REALIZADO]]="N/A",tbRegistroEntradas[[#This Row],[DATA DO CAIXA PREVISTO]]&lt;TODAY()),"Vencida","Não Vencida")</f>
        <v>Não Vencida</v>
      </c>
      <c r="Q317" s="58" t="str">
        <f>IF(tbRegistroEntradas[[#This Row],[DATA DA COMPETÊNCIA]]=tbRegistroEntradas[[#This Row],[DATA DO CAIXA PREVISTO]],"Vista","Prazo")</f>
        <v>Prazo</v>
      </c>
      <c r="R317" s="58" t="str">
        <f>IF(tbRegistroEntradas[[#This Row],[DATA DE CAIXA REALIZADO]]&lt;&gt;"N/A","Em Dia","Com atraso")</f>
        <v>Em Dia</v>
      </c>
    </row>
    <row r="318" spans="1:18" s="52" customFormat="1" ht="14.4" customHeight="1" x14ac:dyDescent="0.3">
      <c r="A318" s="49">
        <v>44708</v>
      </c>
      <c r="B318" s="49">
        <f>A318-31</f>
        <v>44677</v>
      </c>
      <c r="C318" s="49">
        <f>(A318-B318)+B318-15</f>
        <v>44693</v>
      </c>
      <c r="D318" s="52" t="s">
        <v>63</v>
      </c>
      <c r="E318" s="52" t="s">
        <v>12</v>
      </c>
      <c r="F318" s="52" t="s">
        <v>18</v>
      </c>
      <c r="G318" s="52" t="s">
        <v>664</v>
      </c>
      <c r="H318" s="52" t="s">
        <v>103</v>
      </c>
      <c r="I318" s="18">
        <v>3259</v>
      </c>
      <c r="J318" s="110" t="str">
        <f>IF(tbRegistroEntradas[[#This Row],[DATA DE CAIXA REALIZADO]]="N/A","0",UPPER(TEXT(tbRegistroEntradas[[#This Row],[DATA DE CAIXA REALIZADO]],"mmm")))</f>
        <v>MAI</v>
      </c>
      <c r="K318" s="57">
        <f>IF(tbRegistroEntradas[[#This Row],[DATA DE CAIXA REALIZADO]]="N/A",0,YEAR(tbRegistroEntradas[[#This Row],[DATA DE CAIXA REALIZADO]]))</f>
        <v>2022</v>
      </c>
      <c r="L318" s="58" t="str">
        <f>IF(tbRegistroEntradas[[#This Row],[DATA DA COMPETÊNCIA]]="N/A","0",UPPER(TEXT(tbRegistroEntradas[[#This Row],[DATA DA COMPETÊNCIA]],"mmm")))</f>
        <v>ABR</v>
      </c>
      <c r="M318" s="58">
        <f>IF(tbRegistroEntradas[[#This Row],[DATA DA COMPETÊNCIA]]="N/A",0,YEAR(tbRegistroEntradas[[#This Row],[DATA DA COMPETÊNCIA]]))</f>
        <v>2022</v>
      </c>
      <c r="N318" s="58" t="str">
        <f>IF(tbRegistroEntradas[[#This Row],[DATA DO CAIXA PREVISTO]]="N/A","0",UPPER(TEXT(tbRegistroEntradas[[#This Row],[DATA DO CAIXA PREVISTO]],"mmm")))</f>
        <v>MAI</v>
      </c>
      <c r="O318" s="58">
        <f>IF(tbRegistroEntradas[[#This Row],[DATA DO CAIXA PREVISTO]]="N/A",0,YEAR(tbRegistroEntradas[[#This Row],[DATA DO CAIXA PREVISTO]]))</f>
        <v>2022</v>
      </c>
      <c r="P318" s="58" t="str">
        <f ca="1">IF(AND(tbRegistroEntradas[[#This Row],[DATA DE CAIXA REALIZADO]]="N/A",tbRegistroEntradas[[#This Row],[DATA DO CAIXA PREVISTO]]&lt;TODAY()),"Vencida","Não Vencida")</f>
        <v>Não Vencida</v>
      </c>
      <c r="Q318" s="58" t="str">
        <f>IF(tbRegistroEntradas[[#This Row],[DATA DA COMPETÊNCIA]]=tbRegistroEntradas[[#This Row],[DATA DO CAIXA PREVISTO]],"Vista","Prazo")</f>
        <v>Prazo</v>
      </c>
      <c r="R318" s="58" t="str">
        <f>IF(tbRegistroEntradas[[#This Row],[DATA DE CAIXA REALIZADO]]&lt;&gt;"N/A","Em Dia","Com atraso")</f>
        <v>Em Dia</v>
      </c>
    </row>
    <row r="319" spans="1:18" s="52" customFormat="1" ht="14.4" customHeight="1" x14ac:dyDescent="0.3">
      <c r="A319" s="125">
        <v>44710</v>
      </c>
      <c r="B319" s="125">
        <f>A319-31</f>
        <v>44679</v>
      </c>
      <c r="C319" s="125">
        <f>(A319-B319)+B319-15</f>
        <v>44695</v>
      </c>
      <c r="D319" s="126" t="s">
        <v>65</v>
      </c>
      <c r="E319" s="126" t="s">
        <v>12</v>
      </c>
      <c r="F319" s="126" t="s">
        <v>17</v>
      </c>
      <c r="G319" s="126" t="s">
        <v>961</v>
      </c>
      <c r="H319" s="52" t="s">
        <v>118</v>
      </c>
      <c r="I319" s="127">
        <v>2624</v>
      </c>
      <c r="J319" s="110" t="str">
        <f>IF(tbRegistroEntradas[[#This Row],[DATA DE CAIXA REALIZADO]]="N/A","0",UPPER(TEXT(tbRegistroEntradas[[#This Row],[DATA DE CAIXA REALIZADO]],"mmm")))</f>
        <v>MAI</v>
      </c>
      <c r="K319" s="57">
        <f>IF(tbRegistroEntradas[[#This Row],[DATA DE CAIXA REALIZADO]]="N/A",0,YEAR(tbRegistroEntradas[[#This Row],[DATA DE CAIXA REALIZADO]]))</f>
        <v>2022</v>
      </c>
      <c r="L319" s="58" t="str">
        <f>IF(tbRegistroEntradas[[#This Row],[DATA DA COMPETÊNCIA]]="N/A","0",UPPER(TEXT(tbRegistroEntradas[[#This Row],[DATA DA COMPETÊNCIA]],"mmm")))</f>
        <v>ABR</v>
      </c>
      <c r="M319" s="58">
        <f>IF(tbRegistroEntradas[[#This Row],[DATA DA COMPETÊNCIA]]="N/A",0,YEAR(tbRegistroEntradas[[#This Row],[DATA DA COMPETÊNCIA]]))</f>
        <v>2022</v>
      </c>
      <c r="N319" s="58" t="str">
        <f>IF(tbRegistroEntradas[[#This Row],[DATA DO CAIXA PREVISTO]]="N/A","0",UPPER(TEXT(tbRegistroEntradas[[#This Row],[DATA DO CAIXA PREVISTO]],"mmm")))</f>
        <v>MAI</v>
      </c>
      <c r="O319" s="58">
        <f>IF(tbRegistroEntradas[[#This Row],[DATA DO CAIXA PREVISTO]]="N/A",0,YEAR(tbRegistroEntradas[[#This Row],[DATA DO CAIXA PREVISTO]]))</f>
        <v>2022</v>
      </c>
      <c r="P319" s="58" t="str">
        <f ca="1">IF(AND(tbRegistroEntradas[[#This Row],[DATA DE CAIXA REALIZADO]]="N/A",tbRegistroEntradas[[#This Row],[DATA DO CAIXA PREVISTO]]&lt;TODAY()),"Vencida","Não Vencida")</f>
        <v>Não Vencida</v>
      </c>
      <c r="Q319" s="58" t="str">
        <f>IF(tbRegistroEntradas[[#This Row],[DATA DA COMPETÊNCIA]]=tbRegistroEntradas[[#This Row],[DATA DO CAIXA PREVISTO]],"Vista","Prazo")</f>
        <v>Prazo</v>
      </c>
      <c r="R319" s="58" t="str">
        <f>IF(tbRegistroEntradas[[#This Row],[DATA DE CAIXA REALIZADO]]&lt;&gt;"N/A","Em Dia","Com atraso")</f>
        <v>Em Dia</v>
      </c>
    </row>
    <row r="320" spans="1:18" s="52" customFormat="1" ht="14.4" customHeight="1" x14ac:dyDescent="0.3">
      <c r="A320" s="112">
        <v>44726.56554398148</v>
      </c>
      <c r="B320" s="114">
        <v>44681</v>
      </c>
      <c r="C320" s="125">
        <f>tbRegistroEntradas[[#This Row],[DATA DA COMPETÊNCIA]]</f>
        <v>44681</v>
      </c>
      <c r="D320" s="55" t="s">
        <v>62</v>
      </c>
      <c r="E320" s="55" t="s">
        <v>12</v>
      </c>
      <c r="F320" s="55" t="s">
        <v>19</v>
      </c>
      <c r="G320" s="55" t="s">
        <v>235</v>
      </c>
      <c r="H320" s="110" t="s">
        <v>91</v>
      </c>
      <c r="I320" s="119">
        <v>4540</v>
      </c>
      <c r="J320" s="55" t="str">
        <f>IF(tbRegistroEntradas[[#This Row],[DATA DE CAIXA REALIZADO]]="N/A","0",UPPER(TEXT(tbRegistroEntradas[[#This Row],[DATA DE CAIXA REALIZADO]],"mmm")))</f>
        <v>JUN</v>
      </c>
      <c r="K320" s="58">
        <f>IF(tbRegistroEntradas[[#This Row],[DATA DE CAIXA REALIZADO]]="N/A",0,YEAR(tbRegistroEntradas[[#This Row],[DATA DE CAIXA REALIZADO]]))</f>
        <v>2022</v>
      </c>
      <c r="L320" s="79" t="str">
        <f>IF(tbRegistroEntradas[[#This Row],[DATA DA COMPETÊNCIA]]="N/A","0",UPPER(TEXT(tbRegistroEntradas[[#This Row],[DATA DA COMPETÊNCIA]],"mmm")))</f>
        <v>ABR</v>
      </c>
      <c r="M320" s="79">
        <f>IF(tbRegistroEntradas[[#This Row],[DATA DA COMPETÊNCIA]]="N/A",0,YEAR(tbRegistroEntradas[[#This Row],[DATA DA COMPETÊNCIA]]))</f>
        <v>2022</v>
      </c>
      <c r="N320" s="84" t="str">
        <f>IF(tbRegistroEntradas[[#This Row],[DATA DO CAIXA PREVISTO]]="N/A","0",UPPER(TEXT(tbRegistroEntradas[[#This Row],[DATA DO CAIXA PREVISTO]],"mmm")))</f>
        <v>ABR</v>
      </c>
      <c r="O320" s="84">
        <f>IF(tbRegistroEntradas[[#This Row],[DATA DO CAIXA PREVISTO]]="N/A",0,YEAR(tbRegistroEntradas[[#This Row],[DATA DO CAIXA PREVISTO]]))</f>
        <v>2022</v>
      </c>
      <c r="P320" s="58" t="str">
        <f ca="1">IF(AND(tbRegistroEntradas[[#This Row],[DATA DE CAIXA REALIZADO]]="N/A",tbRegistroEntradas[[#This Row],[DATA DO CAIXA PREVISTO]]&lt;TODAY()),"Vencida","Não Vencida")</f>
        <v>Não Vencida</v>
      </c>
      <c r="Q320" s="58" t="str">
        <f>IF(tbRegistroEntradas[[#This Row],[DATA DA COMPETÊNCIA]]=tbRegistroEntradas[[#This Row],[DATA DO CAIXA PREVISTO]],"Vista","Prazo")</f>
        <v>Vista</v>
      </c>
      <c r="R320" s="58" t="str">
        <f>IF(tbRegistroEntradas[[#This Row],[DATA DE CAIXA REALIZADO]]&lt;&gt;"N/A","Em Dia","Com atraso")</f>
        <v>Em Dia</v>
      </c>
    </row>
    <row r="321" spans="1:18" s="52" customFormat="1" ht="14.4" customHeight="1" x14ac:dyDescent="0.3">
      <c r="A321" s="49">
        <v>44713</v>
      </c>
      <c r="B321" s="49">
        <f>A321-31</f>
        <v>44682</v>
      </c>
      <c r="C321" s="49">
        <f>(A321-B321)+B321-15</f>
        <v>44698</v>
      </c>
      <c r="D321" s="52" t="s">
        <v>65</v>
      </c>
      <c r="E321" s="52" t="s">
        <v>12</v>
      </c>
      <c r="F321" s="52" t="s">
        <v>32</v>
      </c>
      <c r="G321" s="52" t="s">
        <v>931</v>
      </c>
      <c r="H321" s="52" t="s">
        <v>89</v>
      </c>
      <c r="I321" s="18">
        <v>3866</v>
      </c>
      <c r="J321" s="110" t="str">
        <f>IF(tbRegistroEntradas[[#This Row],[DATA DE CAIXA REALIZADO]]="N/A","0",UPPER(TEXT(tbRegistroEntradas[[#This Row],[DATA DE CAIXA REALIZADO]],"mmm")))</f>
        <v>JUN</v>
      </c>
      <c r="K321" s="57">
        <f>IF(tbRegistroEntradas[[#This Row],[DATA DE CAIXA REALIZADO]]="N/A",0,YEAR(tbRegistroEntradas[[#This Row],[DATA DE CAIXA REALIZADO]]))</f>
        <v>2022</v>
      </c>
      <c r="L321" s="58" t="str">
        <f>IF(tbRegistroEntradas[[#This Row],[DATA DA COMPETÊNCIA]]="N/A","0",UPPER(TEXT(tbRegistroEntradas[[#This Row],[DATA DA COMPETÊNCIA]],"mmm")))</f>
        <v>MAI</v>
      </c>
      <c r="M321" s="58">
        <f>IF(tbRegistroEntradas[[#This Row],[DATA DA COMPETÊNCIA]]="N/A",0,YEAR(tbRegistroEntradas[[#This Row],[DATA DA COMPETÊNCIA]]))</f>
        <v>2022</v>
      </c>
      <c r="N321" s="58" t="str">
        <f>IF(tbRegistroEntradas[[#This Row],[DATA DO CAIXA PREVISTO]]="N/A","0",UPPER(TEXT(tbRegistroEntradas[[#This Row],[DATA DO CAIXA PREVISTO]],"mmm")))</f>
        <v>MAI</v>
      </c>
      <c r="O321" s="58">
        <f>IF(tbRegistroEntradas[[#This Row],[DATA DO CAIXA PREVISTO]]="N/A",0,YEAR(tbRegistroEntradas[[#This Row],[DATA DO CAIXA PREVISTO]]))</f>
        <v>2022</v>
      </c>
      <c r="P321" s="58" t="str">
        <f ca="1">IF(AND(tbRegistroEntradas[[#This Row],[DATA DE CAIXA REALIZADO]]="N/A",tbRegistroEntradas[[#This Row],[DATA DO CAIXA PREVISTO]]&lt;TODAY()),"Vencida","Não Vencida")</f>
        <v>Não Vencida</v>
      </c>
      <c r="Q321" s="58" t="str">
        <f>IF(tbRegistroEntradas[[#This Row],[DATA DA COMPETÊNCIA]]=tbRegistroEntradas[[#This Row],[DATA DO CAIXA PREVISTO]],"Vista","Prazo")</f>
        <v>Prazo</v>
      </c>
      <c r="R321" s="58" t="str">
        <f>IF(tbRegistroEntradas[[#This Row],[DATA DE CAIXA REALIZADO]]&lt;&gt;"N/A","Em Dia","Com atraso")</f>
        <v>Em Dia</v>
      </c>
    </row>
    <row r="322" spans="1:18" s="52" customFormat="1" ht="14.4" customHeight="1" x14ac:dyDescent="0.3">
      <c r="A322" s="125">
        <v>44713</v>
      </c>
      <c r="B322" s="125">
        <f>A322-31</f>
        <v>44682</v>
      </c>
      <c r="C322" s="125">
        <f>(A322-B322)+B322-15</f>
        <v>44698</v>
      </c>
      <c r="D322" s="126" t="s">
        <v>138</v>
      </c>
      <c r="E322" s="126" t="s">
        <v>12</v>
      </c>
      <c r="F322" s="126" t="s">
        <v>16</v>
      </c>
      <c r="G322" s="126" t="s">
        <v>820</v>
      </c>
      <c r="H322" s="52" t="s">
        <v>76</v>
      </c>
      <c r="I322" s="127">
        <v>290</v>
      </c>
      <c r="J322" s="110" t="str">
        <f>IF(tbRegistroEntradas[[#This Row],[DATA DE CAIXA REALIZADO]]="N/A","0",UPPER(TEXT(tbRegistroEntradas[[#This Row],[DATA DE CAIXA REALIZADO]],"mmm")))</f>
        <v>JUN</v>
      </c>
      <c r="K322" s="57">
        <f>IF(tbRegistroEntradas[[#This Row],[DATA DE CAIXA REALIZADO]]="N/A",0,YEAR(tbRegistroEntradas[[#This Row],[DATA DE CAIXA REALIZADO]]))</f>
        <v>2022</v>
      </c>
      <c r="L322" s="58" t="str">
        <f>IF(tbRegistroEntradas[[#This Row],[DATA DA COMPETÊNCIA]]="N/A","0",UPPER(TEXT(tbRegistroEntradas[[#This Row],[DATA DA COMPETÊNCIA]],"mmm")))</f>
        <v>MAI</v>
      </c>
      <c r="M322" s="58">
        <f>IF(tbRegistroEntradas[[#This Row],[DATA DA COMPETÊNCIA]]="N/A",0,YEAR(tbRegistroEntradas[[#This Row],[DATA DA COMPETÊNCIA]]))</f>
        <v>2022</v>
      </c>
      <c r="N322" s="58" t="str">
        <f>IF(tbRegistroEntradas[[#This Row],[DATA DO CAIXA PREVISTO]]="N/A","0",UPPER(TEXT(tbRegistroEntradas[[#This Row],[DATA DO CAIXA PREVISTO]],"mmm")))</f>
        <v>MAI</v>
      </c>
      <c r="O322" s="58">
        <f>IF(tbRegistroEntradas[[#This Row],[DATA DO CAIXA PREVISTO]]="N/A",0,YEAR(tbRegistroEntradas[[#This Row],[DATA DO CAIXA PREVISTO]]))</f>
        <v>2022</v>
      </c>
      <c r="P322" s="58" t="str">
        <f ca="1">IF(AND(tbRegistroEntradas[[#This Row],[DATA DE CAIXA REALIZADO]]="N/A",tbRegistroEntradas[[#This Row],[DATA DO CAIXA PREVISTO]]&lt;TODAY()),"Vencida","Não Vencida")</f>
        <v>Não Vencida</v>
      </c>
      <c r="Q322" s="58" t="str">
        <f>IF(tbRegistroEntradas[[#This Row],[DATA DA COMPETÊNCIA]]=tbRegistroEntradas[[#This Row],[DATA DO CAIXA PREVISTO]],"Vista","Prazo")</f>
        <v>Prazo</v>
      </c>
      <c r="R322" s="58" t="str">
        <f>IF(tbRegistroEntradas[[#This Row],[DATA DE CAIXA REALIZADO]]&lt;&gt;"N/A","Em Dia","Com atraso")</f>
        <v>Em Dia</v>
      </c>
    </row>
    <row r="323" spans="1:18" s="52" customFormat="1" ht="14.4" customHeight="1" x14ac:dyDescent="0.3">
      <c r="A323" s="125">
        <v>44714</v>
      </c>
      <c r="B323" s="125">
        <f>A323-31</f>
        <v>44683</v>
      </c>
      <c r="C323" s="125">
        <f>(A323-B323)+B323-15</f>
        <v>44699</v>
      </c>
      <c r="D323" s="126" t="s">
        <v>61</v>
      </c>
      <c r="E323" s="126" t="s">
        <v>12</v>
      </c>
      <c r="F323" s="126" t="s">
        <v>16</v>
      </c>
      <c r="G323" s="126" t="s">
        <v>743</v>
      </c>
      <c r="H323" s="52" t="s">
        <v>84</v>
      </c>
      <c r="I323" s="127">
        <v>2214</v>
      </c>
      <c r="J323" s="110" t="str">
        <f>IF(tbRegistroEntradas[[#This Row],[DATA DE CAIXA REALIZADO]]="N/A","0",UPPER(TEXT(tbRegistroEntradas[[#This Row],[DATA DE CAIXA REALIZADO]],"mmm")))</f>
        <v>JUN</v>
      </c>
      <c r="K323" s="57">
        <f>IF(tbRegistroEntradas[[#This Row],[DATA DE CAIXA REALIZADO]]="N/A",0,YEAR(tbRegistroEntradas[[#This Row],[DATA DE CAIXA REALIZADO]]))</f>
        <v>2022</v>
      </c>
      <c r="L323" s="58" t="str">
        <f>IF(tbRegistroEntradas[[#This Row],[DATA DA COMPETÊNCIA]]="N/A","0",UPPER(TEXT(tbRegistroEntradas[[#This Row],[DATA DA COMPETÊNCIA]],"mmm")))</f>
        <v>MAI</v>
      </c>
      <c r="M323" s="58">
        <f>IF(tbRegistroEntradas[[#This Row],[DATA DA COMPETÊNCIA]]="N/A",0,YEAR(tbRegistroEntradas[[#This Row],[DATA DA COMPETÊNCIA]]))</f>
        <v>2022</v>
      </c>
      <c r="N323" s="58" t="str">
        <f>IF(tbRegistroEntradas[[#This Row],[DATA DO CAIXA PREVISTO]]="N/A","0",UPPER(TEXT(tbRegistroEntradas[[#This Row],[DATA DO CAIXA PREVISTO]],"mmm")))</f>
        <v>MAI</v>
      </c>
      <c r="O323" s="58">
        <f>IF(tbRegistroEntradas[[#This Row],[DATA DO CAIXA PREVISTO]]="N/A",0,YEAR(tbRegistroEntradas[[#This Row],[DATA DO CAIXA PREVISTO]]))</f>
        <v>2022</v>
      </c>
      <c r="P323" s="58" t="str">
        <f ca="1">IF(AND(tbRegistroEntradas[[#This Row],[DATA DE CAIXA REALIZADO]]="N/A",tbRegistroEntradas[[#This Row],[DATA DO CAIXA PREVISTO]]&lt;TODAY()),"Vencida","Não Vencida")</f>
        <v>Não Vencida</v>
      </c>
      <c r="Q323" s="58" t="str">
        <f>IF(tbRegistroEntradas[[#This Row],[DATA DA COMPETÊNCIA]]=tbRegistroEntradas[[#This Row],[DATA DO CAIXA PREVISTO]],"Vista","Prazo")</f>
        <v>Prazo</v>
      </c>
      <c r="R323" s="58" t="str">
        <f>IF(tbRegistroEntradas[[#This Row],[DATA DE CAIXA REALIZADO]]&lt;&gt;"N/A","Em Dia","Com atraso")</f>
        <v>Em Dia</v>
      </c>
    </row>
    <row r="324" spans="1:18" s="52" customFormat="1" ht="14.4" customHeight="1" x14ac:dyDescent="0.3">
      <c r="A324" s="49">
        <v>44715</v>
      </c>
      <c r="B324" s="49">
        <f>A324-31</f>
        <v>44684</v>
      </c>
      <c r="C324" s="49">
        <f>(A324-B324)+B324-15</f>
        <v>44700</v>
      </c>
      <c r="D324" s="52" t="s">
        <v>67</v>
      </c>
      <c r="E324" s="52" t="s">
        <v>12</v>
      </c>
      <c r="F324" s="52" t="s">
        <v>32</v>
      </c>
      <c r="G324" s="52" t="s">
        <v>687</v>
      </c>
      <c r="H324" s="52" t="s">
        <v>133</v>
      </c>
      <c r="I324" s="18">
        <v>2337</v>
      </c>
      <c r="J324" s="110" t="str">
        <f>IF(tbRegistroEntradas[[#This Row],[DATA DE CAIXA REALIZADO]]="N/A","0",UPPER(TEXT(tbRegistroEntradas[[#This Row],[DATA DE CAIXA REALIZADO]],"mmm")))</f>
        <v>JUN</v>
      </c>
      <c r="K324" s="57">
        <f>IF(tbRegistroEntradas[[#This Row],[DATA DE CAIXA REALIZADO]]="N/A",0,YEAR(tbRegistroEntradas[[#This Row],[DATA DE CAIXA REALIZADO]]))</f>
        <v>2022</v>
      </c>
      <c r="L324" s="58" t="str">
        <f>IF(tbRegistroEntradas[[#This Row],[DATA DA COMPETÊNCIA]]="N/A","0",UPPER(TEXT(tbRegistroEntradas[[#This Row],[DATA DA COMPETÊNCIA]],"mmm")))</f>
        <v>MAI</v>
      </c>
      <c r="M324" s="58">
        <f>IF(tbRegistroEntradas[[#This Row],[DATA DA COMPETÊNCIA]]="N/A",0,YEAR(tbRegistroEntradas[[#This Row],[DATA DA COMPETÊNCIA]]))</f>
        <v>2022</v>
      </c>
      <c r="N324" s="58" t="str">
        <f>IF(tbRegistroEntradas[[#This Row],[DATA DO CAIXA PREVISTO]]="N/A","0",UPPER(TEXT(tbRegistroEntradas[[#This Row],[DATA DO CAIXA PREVISTO]],"mmm")))</f>
        <v>MAI</v>
      </c>
      <c r="O324" s="58">
        <f>IF(tbRegistroEntradas[[#This Row],[DATA DO CAIXA PREVISTO]]="N/A",0,YEAR(tbRegistroEntradas[[#This Row],[DATA DO CAIXA PREVISTO]]))</f>
        <v>2022</v>
      </c>
      <c r="P324" s="58" t="str">
        <f ca="1">IF(AND(tbRegistroEntradas[[#This Row],[DATA DE CAIXA REALIZADO]]="N/A",tbRegistroEntradas[[#This Row],[DATA DO CAIXA PREVISTO]]&lt;TODAY()),"Vencida","Não Vencida")</f>
        <v>Não Vencida</v>
      </c>
      <c r="Q324" s="58" t="str">
        <f>IF(tbRegistroEntradas[[#This Row],[DATA DA COMPETÊNCIA]]=tbRegistroEntradas[[#This Row],[DATA DO CAIXA PREVISTO]],"Vista","Prazo")</f>
        <v>Prazo</v>
      </c>
      <c r="R324" s="58" t="str">
        <f>IF(tbRegistroEntradas[[#This Row],[DATA DE CAIXA REALIZADO]]&lt;&gt;"N/A","Em Dia","Com atraso")</f>
        <v>Em Dia</v>
      </c>
    </row>
    <row r="325" spans="1:18" s="52" customFormat="1" ht="14.4" customHeight="1" x14ac:dyDescent="0.3">
      <c r="A325" s="125">
        <v>44715</v>
      </c>
      <c r="B325" s="125">
        <f>A325-31</f>
        <v>44684</v>
      </c>
      <c r="C325" s="125">
        <f>(A325-B325)+B325-15</f>
        <v>44700</v>
      </c>
      <c r="D325" s="126" t="s">
        <v>137</v>
      </c>
      <c r="E325" s="126" t="s">
        <v>12</v>
      </c>
      <c r="F325" s="126" t="s">
        <v>18</v>
      </c>
      <c r="G325" s="126" t="s">
        <v>960</v>
      </c>
      <c r="H325" s="52" t="s">
        <v>105</v>
      </c>
      <c r="I325" s="127">
        <v>3033</v>
      </c>
      <c r="J325" s="110" t="str">
        <f>IF(tbRegistroEntradas[[#This Row],[DATA DE CAIXA REALIZADO]]="N/A","0",UPPER(TEXT(tbRegistroEntradas[[#This Row],[DATA DE CAIXA REALIZADO]],"mmm")))</f>
        <v>JUN</v>
      </c>
      <c r="K325" s="57">
        <f>IF(tbRegistroEntradas[[#This Row],[DATA DE CAIXA REALIZADO]]="N/A",0,YEAR(tbRegistroEntradas[[#This Row],[DATA DE CAIXA REALIZADO]]))</f>
        <v>2022</v>
      </c>
      <c r="L325" s="58" t="str">
        <f>IF(tbRegistroEntradas[[#This Row],[DATA DA COMPETÊNCIA]]="N/A","0",UPPER(TEXT(tbRegistroEntradas[[#This Row],[DATA DA COMPETÊNCIA]],"mmm")))</f>
        <v>MAI</v>
      </c>
      <c r="M325" s="58">
        <f>IF(tbRegistroEntradas[[#This Row],[DATA DA COMPETÊNCIA]]="N/A",0,YEAR(tbRegistroEntradas[[#This Row],[DATA DA COMPETÊNCIA]]))</f>
        <v>2022</v>
      </c>
      <c r="N325" s="58" t="str">
        <f>IF(tbRegistroEntradas[[#This Row],[DATA DO CAIXA PREVISTO]]="N/A","0",UPPER(TEXT(tbRegistroEntradas[[#This Row],[DATA DO CAIXA PREVISTO]],"mmm")))</f>
        <v>MAI</v>
      </c>
      <c r="O325" s="58">
        <f>IF(tbRegistroEntradas[[#This Row],[DATA DO CAIXA PREVISTO]]="N/A",0,YEAR(tbRegistroEntradas[[#This Row],[DATA DO CAIXA PREVISTO]]))</f>
        <v>2022</v>
      </c>
      <c r="P325" s="58" t="str">
        <f ca="1">IF(AND(tbRegistroEntradas[[#This Row],[DATA DE CAIXA REALIZADO]]="N/A",tbRegistroEntradas[[#This Row],[DATA DO CAIXA PREVISTO]]&lt;TODAY()),"Vencida","Não Vencida")</f>
        <v>Não Vencida</v>
      </c>
      <c r="Q325" s="58" t="str">
        <f>IF(tbRegistroEntradas[[#This Row],[DATA DA COMPETÊNCIA]]=tbRegistroEntradas[[#This Row],[DATA DO CAIXA PREVISTO]],"Vista","Prazo")</f>
        <v>Prazo</v>
      </c>
      <c r="R325" s="58" t="str">
        <f>IF(tbRegistroEntradas[[#This Row],[DATA DE CAIXA REALIZADO]]&lt;&gt;"N/A","Em Dia","Com atraso")</f>
        <v>Em Dia</v>
      </c>
    </row>
    <row r="326" spans="1:18" s="52" customFormat="1" ht="14.4" customHeight="1" x14ac:dyDescent="0.3">
      <c r="A326" s="49">
        <v>44716</v>
      </c>
      <c r="B326" s="49">
        <f>A326-31</f>
        <v>44685</v>
      </c>
      <c r="C326" s="49">
        <f>(A326-B326)+B326-15</f>
        <v>44701</v>
      </c>
      <c r="D326" s="52" t="s">
        <v>66</v>
      </c>
      <c r="E326" s="52" t="s">
        <v>12</v>
      </c>
      <c r="F326" s="52" t="s">
        <v>17</v>
      </c>
      <c r="G326" s="52" t="s">
        <v>899</v>
      </c>
      <c r="H326" s="52" t="s">
        <v>125</v>
      </c>
      <c r="I326" s="18">
        <v>5249</v>
      </c>
      <c r="J326" s="110" t="str">
        <f>IF(tbRegistroEntradas[[#This Row],[DATA DE CAIXA REALIZADO]]="N/A","0",UPPER(TEXT(tbRegistroEntradas[[#This Row],[DATA DE CAIXA REALIZADO]],"mmm")))</f>
        <v>JUN</v>
      </c>
      <c r="K326" s="57">
        <f>IF(tbRegistroEntradas[[#This Row],[DATA DE CAIXA REALIZADO]]="N/A",0,YEAR(tbRegistroEntradas[[#This Row],[DATA DE CAIXA REALIZADO]]))</f>
        <v>2022</v>
      </c>
      <c r="L326" s="58" t="str">
        <f>IF(tbRegistroEntradas[[#This Row],[DATA DA COMPETÊNCIA]]="N/A","0",UPPER(TEXT(tbRegistroEntradas[[#This Row],[DATA DA COMPETÊNCIA]],"mmm")))</f>
        <v>MAI</v>
      </c>
      <c r="M326" s="58">
        <f>IF(tbRegistroEntradas[[#This Row],[DATA DA COMPETÊNCIA]]="N/A",0,YEAR(tbRegistroEntradas[[#This Row],[DATA DA COMPETÊNCIA]]))</f>
        <v>2022</v>
      </c>
      <c r="N326" s="58" t="str">
        <f>IF(tbRegistroEntradas[[#This Row],[DATA DO CAIXA PREVISTO]]="N/A","0",UPPER(TEXT(tbRegistroEntradas[[#This Row],[DATA DO CAIXA PREVISTO]],"mmm")))</f>
        <v>MAI</v>
      </c>
      <c r="O326" s="58">
        <f>IF(tbRegistroEntradas[[#This Row],[DATA DO CAIXA PREVISTO]]="N/A",0,YEAR(tbRegistroEntradas[[#This Row],[DATA DO CAIXA PREVISTO]]))</f>
        <v>2022</v>
      </c>
      <c r="P326" s="58" t="str">
        <f ca="1">IF(AND(tbRegistroEntradas[[#This Row],[DATA DE CAIXA REALIZADO]]="N/A",tbRegistroEntradas[[#This Row],[DATA DO CAIXA PREVISTO]]&lt;TODAY()),"Vencida","Não Vencida")</f>
        <v>Não Vencida</v>
      </c>
      <c r="Q326" s="58" t="str">
        <f>IF(tbRegistroEntradas[[#This Row],[DATA DA COMPETÊNCIA]]=tbRegistroEntradas[[#This Row],[DATA DO CAIXA PREVISTO]],"Vista","Prazo")</f>
        <v>Prazo</v>
      </c>
      <c r="R326" s="58" t="str">
        <f>IF(tbRegistroEntradas[[#This Row],[DATA DE CAIXA REALIZADO]]&lt;&gt;"N/A","Em Dia","Com atraso")</f>
        <v>Em Dia</v>
      </c>
    </row>
    <row r="327" spans="1:18" s="52" customFormat="1" ht="14.4" customHeight="1" x14ac:dyDescent="0.3">
      <c r="A327" s="125">
        <v>44717</v>
      </c>
      <c r="B327" s="125">
        <f>A327-31</f>
        <v>44686</v>
      </c>
      <c r="C327" s="125">
        <f>tbRegistroEntradas[[#This Row],[DATA DA COMPETÊNCIA]]</f>
        <v>44686</v>
      </c>
      <c r="D327" s="126" t="s">
        <v>66</v>
      </c>
      <c r="E327" s="126" t="s">
        <v>12</v>
      </c>
      <c r="F327" s="126" t="s">
        <v>18</v>
      </c>
      <c r="G327" s="126" t="s">
        <v>891</v>
      </c>
      <c r="H327" s="52" t="s">
        <v>123</v>
      </c>
      <c r="I327" s="127">
        <v>6981</v>
      </c>
      <c r="J327" s="110" t="str">
        <f>IF(tbRegistroEntradas[[#This Row],[DATA DE CAIXA REALIZADO]]="N/A","0",UPPER(TEXT(tbRegistroEntradas[[#This Row],[DATA DE CAIXA REALIZADO]],"mmm")))</f>
        <v>JUN</v>
      </c>
      <c r="K327" s="57">
        <f>IF(tbRegistroEntradas[[#This Row],[DATA DE CAIXA REALIZADO]]="N/A",0,YEAR(tbRegistroEntradas[[#This Row],[DATA DE CAIXA REALIZADO]]))</f>
        <v>2022</v>
      </c>
      <c r="L327" s="58" t="str">
        <f>IF(tbRegistroEntradas[[#This Row],[DATA DA COMPETÊNCIA]]="N/A","0",UPPER(TEXT(tbRegistroEntradas[[#This Row],[DATA DA COMPETÊNCIA]],"mmm")))</f>
        <v>MAI</v>
      </c>
      <c r="M327" s="58">
        <f>IF(tbRegistroEntradas[[#This Row],[DATA DA COMPETÊNCIA]]="N/A",0,YEAR(tbRegistroEntradas[[#This Row],[DATA DA COMPETÊNCIA]]))</f>
        <v>2022</v>
      </c>
      <c r="N327" s="58" t="str">
        <f>IF(tbRegistroEntradas[[#This Row],[DATA DO CAIXA PREVISTO]]="N/A","0",UPPER(TEXT(tbRegistroEntradas[[#This Row],[DATA DO CAIXA PREVISTO]],"mmm")))</f>
        <v>MAI</v>
      </c>
      <c r="O327" s="58">
        <f>IF(tbRegistroEntradas[[#This Row],[DATA DO CAIXA PREVISTO]]="N/A",0,YEAR(tbRegistroEntradas[[#This Row],[DATA DO CAIXA PREVISTO]]))</f>
        <v>2022</v>
      </c>
      <c r="P327" s="58" t="str">
        <f ca="1">IF(AND(tbRegistroEntradas[[#This Row],[DATA DE CAIXA REALIZADO]]="N/A",tbRegistroEntradas[[#This Row],[DATA DO CAIXA PREVISTO]]&lt;TODAY()),"Vencida","Não Vencida")</f>
        <v>Não Vencida</v>
      </c>
      <c r="Q327" s="58" t="str">
        <f>IF(tbRegistroEntradas[[#This Row],[DATA DA COMPETÊNCIA]]=tbRegistroEntradas[[#This Row],[DATA DO CAIXA PREVISTO]],"Vista","Prazo")</f>
        <v>Vista</v>
      </c>
      <c r="R327" s="58" t="str">
        <f>IF(tbRegistroEntradas[[#This Row],[DATA DE CAIXA REALIZADO]]&lt;&gt;"N/A","Em Dia","Com atraso")</f>
        <v>Em Dia</v>
      </c>
    </row>
    <row r="328" spans="1:18" s="52" customFormat="1" ht="14.4" customHeight="1" x14ac:dyDescent="0.3">
      <c r="A328" s="49">
        <v>44717</v>
      </c>
      <c r="B328" s="49">
        <f>A328-31</f>
        <v>44686</v>
      </c>
      <c r="C328" s="125">
        <f>tbRegistroEntradas[[#This Row],[DATA DA COMPETÊNCIA]]</f>
        <v>44686</v>
      </c>
      <c r="D328" s="52" t="s">
        <v>66</v>
      </c>
      <c r="E328" s="52" t="s">
        <v>12</v>
      </c>
      <c r="F328" s="52" t="s">
        <v>32</v>
      </c>
      <c r="G328" s="52" t="s">
        <v>949</v>
      </c>
      <c r="H328" s="52" t="s">
        <v>124</v>
      </c>
      <c r="I328" s="18">
        <v>5226</v>
      </c>
      <c r="J328" s="110" t="str">
        <f>IF(tbRegistroEntradas[[#This Row],[DATA DE CAIXA REALIZADO]]="N/A","0",UPPER(TEXT(tbRegistroEntradas[[#This Row],[DATA DE CAIXA REALIZADO]],"mmm")))</f>
        <v>JUN</v>
      </c>
      <c r="K328" s="57">
        <f>IF(tbRegistroEntradas[[#This Row],[DATA DE CAIXA REALIZADO]]="N/A",0,YEAR(tbRegistroEntradas[[#This Row],[DATA DE CAIXA REALIZADO]]))</f>
        <v>2022</v>
      </c>
      <c r="L328" s="58" t="str">
        <f>IF(tbRegistroEntradas[[#This Row],[DATA DA COMPETÊNCIA]]="N/A","0",UPPER(TEXT(tbRegistroEntradas[[#This Row],[DATA DA COMPETÊNCIA]],"mmm")))</f>
        <v>MAI</v>
      </c>
      <c r="M328" s="58">
        <f>IF(tbRegistroEntradas[[#This Row],[DATA DA COMPETÊNCIA]]="N/A",0,YEAR(tbRegistroEntradas[[#This Row],[DATA DA COMPETÊNCIA]]))</f>
        <v>2022</v>
      </c>
      <c r="N328" s="58" t="str">
        <f>IF(tbRegistroEntradas[[#This Row],[DATA DO CAIXA PREVISTO]]="N/A","0",UPPER(TEXT(tbRegistroEntradas[[#This Row],[DATA DO CAIXA PREVISTO]],"mmm")))</f>
        <v>MAI</v>
      </c>
      <c r="O328" s="58">
        <f>IF(tbRegistroEntradas[[#This Row],[DATA DO CAIXA PREVISTO]]="N/A",0,YEAR(tbRegistroEntradas[[#This Row],[DATA DO CAIXA PREVISTO]]))</f>
        <v>2022</v>
      </c>
      <c r="P328" s="58" t="str">
        <f ca="1">IF(AND(tbRegistroEntradas[[#This Row],[DATA DE CAIXA REALIZADO]]="N/A",tbRegistroEntradas[[#This Row],[DATA DO CAIXA PREVISTO]]&lt;TODAY()),"Vencida","Não Vencida")</f>
        <v>Não Vencida</v>
      </c>
      <c r="Q328" s="58" t="str">
        <f>IF(tbRegistroEntradas[[#This Row],[DATA DA COMPETÊNCIA]]=tbRegistroEntradas[[#This Row],[DATA DO CAIXA PREVISTO]],"Vista","Prazo")</f>
        <v>Vista</v>
      </c>
      <c r="R328" s="58" t="str">
        <f>IF(tbRegistroEntradas[[#This Row],[DATA DE CAIXA REALIZADO]]&lt;&gt;"N/A","Em Dia","Com atraso")</f>
        <v>Em Dia</v>
      </c>
    </row>
    <row r="329" spans="1:18" s="52" customFormat="1" ht="14.4" customHeight="1" x14ac:dyDescent="0.3">
      <c r="A329" s="113">
        <v>44791.643379629626</v>
      </c>
      <c r="B329" s="115">
        <v>44689</v>
      </c>
      <c r="C329" s="115">
        <v>44744.921087962961</v>
      </c>
      <c r="D329" s="116" t="s">
        <v>62</v>
      </c>
      <c r="E329" s="116" t="s">
        <v>12</v>
      </c>
      <c r="F329" s="116" t="s">
        <v>32</v>
      </c>
      <c r="G329" s="116" t="s">
        <v>236</v>
      </c>
      <c r="H329" s="143" t="s">
        <v>92</v>
      </c>
      <c r="I329" s="120">
        <v>3862</v>
      </c>
      <c r="J329" s="55" t="str">
        <f>IF(tbRegistroEntradas[[#This Row],[DATA DE CAIXA REALIZADO]]="N/A","0",UPPER(TEXT(tbRegistroEntradas[[#This Row],[DATA DE CAIXA REALIZADO]],"mmm")))</f>
        <v>AGO</v>
      </c>
      <c r="K329" s="58">
        <f>IF(tbRegistroEntradas[[#This Row],[DATA DE CAIXA REALIZADO]]="N/A",0,YEAR(tbRegistroEntradas[[#This Row],[DATA DE CAIXA REALIZADO]]))</f>
        <v>2022</v>
      </c>
      <c r="L329" s="79" t="str">
        <f>IF(tbRegistroEntradas[[#This Row],[DATA DA COMPETÊNCIA]]="N/A","0",UPPER(TEXT(tbRegistroEntradas[[#This Row],[DATA DA COMPETÊNCIA]],"mmm")))</f>
        <v>MAI</v>
      </c>
      <c r="M329" s="79">
        <f>IF(tbRegistroEntradas[[#This Row],[DATA DA COMPETÊNCIA]]="N/A",0,YEAR(tbRegistroEntradas[[#This Row],[DATA DA COMPETÊNCIA]]))</f>
        <v>2022</v>
      </c>
      <c r="N329" s="84" t="str">
        <f>IF(tbRegistroEntradas[[#This Row],[DATA DO CAIXA PREVISTO]]="N/A","0",UPPER(TEXT(tbRegistroEntradas[[#This Row],[DATA DO CAIXA PREVISTO]],"mmm")))</f>
        <v>JUL</v>
      </c>
      <c r="O329" s="84">
        <f>IF(tbRegistroEntradas[[#This Row],[DATA DO CAIXA PREVISTO]]="N/A",0,YEAR(tbRegistroEntradas[[#This Row],[DATA DO CAIXA PREVISTO]]))</f>
        <v>2022</v>
      </c>
      <c r="P329" s="58" t="str">
        <f ca="1">IF(AND(tbRegistroEntradas[[#This Row],[DATA DE CAIXA REALIZADO]]="N/A",tbRegistroEntradas[[#This Row],[DATA DO CAIXA PREVISTO]]&lt;TODAY()),"Vencida","Não Vencida")</f>
        <v>Não Vencida</v>
      </c>
      <c r="Q329" s="58" t="str">
        <f>IF(tbRegistroEntradas[[#This Row],[DATA DA COMPETÊNCIA]]=tbRegistroEntradas[[#This Row],[DATA DO CAIXA PREVISTO]],"Vista","Prazo")</f>
        <v>Prazo</v>
      </c>
      <c r="R329" s="58" t="str">
        <f>IF(tbRegistroEntradas[[#This Row],[DATA DE CAIXA REALIZADO]]&lt;&gt;"N/A","Em Dia","Com atraso")</f>
        <v>Em Dia</v>
      </c>
    </row>
    <row r="330" spans="1:18" s="52" customFormat="1" ht="14.4" customHeight="1" x14ac:dyDescent="0.3">
      <c r="A330" s="49">
        <v>44722</v>
      </c>
      <c r="B330" s="49">
        <f>A330-31</f>
        <v>44691</v>
      </c>
      <c r="C330" s="49">
        <f>(A330-B330)+B330-15</f>
        <v>44707</v>
      </c>
      <c r="D330" s="52" t="s">
        <v>138</v>
      </c>
      <c r="E330" s="52" t="s">
        <v>12</v>
      </c>
      <c r="F330" s="52" t="s">
        <v>32</v>
      </c>
      <c r="G330" s="52" t="s">
        <v>874</v>
      </c>
      <c r="H330" s="52" t="s">
        <v>77</v>
      </c>
      <c r="I330" s="18">
        <v>7921</v>
      </c>
      <c r="J330" s="110" t="str">
        <f>IF(tbRegistroEntradas[[#This Row],[DATA DE CAIXA REALIZADO]]="N/A","0",UPPER(TEXT(tbRegistroEntradas[[#This Row],[DATA DE CAIXA REALIZADO]],"mmm")))</f>
        <v>JUN</v>
      </c>
      <c r="K330" s="57">
        <f>IF(tbRegistroEntradas[[#This Row],[DATA DE CAIXA REALIZADO]]="N/A",0,YEAR(tbRegistroEntradas[[#This Row],[DATA DE CAIXA REALIZADO]]))</f>
        <v>2022</v>
      </c>
      <c r="L330" s="58" t="str">
        <f>IF(tbRegistroEntradas[[#This Row],[DATA DA COMPETÊNCIA]]="N/A","0",UPPER(TEXT(tbRegistroEntradas[[#This Row],[DATA DA COMPETÊNCIA]],"mmm")))</f>
        <v>MAI</v>
      </c>
      <c r="M330" s="58">
        <f>IF(tbRegistroEntradas[[#This Row],[DATA DA COMPETÊNCIA]]="N/A",0,YEAR(tbRegistroEntradas[[#This Row],[DATA DA COMPETÊNCIA]]))</f>
        <v>2022</v>
      </c>
      <c r="N330" s="58" t="str">
        <f>IF(tbRegistroEntradas[[#This Row],[DATA DO CAIXA PREVISTO]]="N/A","0",UPPER(TEXT(tbRegistroEntradas[[#This Row],[DATA DO CAIXA PREVISTO]],"mmm")))</f>
        <v>MAI</v>
      </c>
      <c r="O330" s="58">
        <f>IF(tbRegistroEntradas[[#This Row],[DATA DO CAIXA PREVISTO]]="N/A",0,YEAR(tbRegistroEntradas[[#This Row],[DATA DO CAIXA PREVISTO]]))</f>
        <v>2022</v>
      </c>
      <c r="P330" s="58" t="str">
        <f ca="1">IF(AND(tbRegistroEntradas[[#This Row],[DATA DE CAIXA REALIZADO]]="N/A",tbRegistroEntradas[[#This Row],[DATA DO CAIXA PREVISTO]]&lt;TODAY()),"Vencida","Não Vencida")</f>
        <v>Não Vencida</v>
      </c>
      <c r="Q330" s="58" t="str">
        <f>IF(tbRegistroEntradas[[#This Row],[DATA DA COMPETÊNCIA]]=tbRegistroEntradas[[#This Row],[DATA DO CAIXA PREVISTO]],"Vista","Prazo")</f>
        <v>Prazo</v>
      </c>
      <c r="R330" s="58" t="str">
        <f>IF(tbRegistroEntradas[[#This Row],[DATA DE CAIXA REALIZADO]]&lt;&gt;"N/A","Em Dia","Com atraso")</f>
        <v>Em Dia</v>
      </c>
    </row>
    <row r="331" spans="1:18" s="52" customFormat="1" ht="14.4" customHeight="1" x14ac:dyDescent="0.3">
      <c r="A331" s="125">
        <v>44722</v>
      </c>
      <c r="B331" s="125">
        <f>A331-31</f>
        <v>44691</v>
      </c>
      <c r="C331" s="125">
        <f>(A331-B331)+B331-15</f>
        <v>44707</v>
      </c>
      <c r="D331" s="126" t="s">
        <v>137</v>
      </c>
      <c r="E331" s="126" t="s">
        <v>12</v>
      </c>
      <c r="F331" s="126" t="s">
        <v>17</v>
      </c>
      <c r="G331" s="126" t="s">
        <v>869</v>
      </c>
      <c r="H331" s="52" t="s">
        <v>104</v>
      </c>
      <c r="I331" s="127">
        <v>2740</v>
      </c>
      <c r="J331" s="110" t="str">
        <f>IF(tbRegistroEntradas[[#This Row],[DATA DE CAIXA REALIZADO]]="N/A","0",UPPER(TEXT(tbRegistroEntradas[[#This Row],[DATA DE CAIXA REALIZADO]],"mmm")))</f>
        <v>JUN</v>
      </c>
      <c r="K331" s="57">
        <f>IF(tbRegistroEntradas[[#This Row],[DATA DE CAIXA REALIZADO]]="N/A",0,YEAR(tbRegistroEntradas[[#This Row],[DATA DE CAIXA REALIZADO]]))</f>
        <v>2022</v>
      </c>
      <c r="L331" s="58" t="str">
        <f>IF(tbRegistroEntradas[[#This Row],[DATA DA COMPETÊNCIA]]="N/A","0",UPPER(TEXT(tbRegistroEntradas[[#This Row],[DATA DA COMPETÊNCIA]],"mmm")))</f>
        <v>MAI</v>
      </c>
      <c r="M331" s="58">
        <f>IF(tbRegistroEntradas[[#This Row],[DATA DA COMPETÊNCIA]]="N/A",0,YEAR(tbRegistroEntradas[[#This Row],[DATA DA COMPETÊNCIA]]))</f>
        <v>2022</v>
      </c>
      <c r="N331" s="58" t="str">
        <f>IF(tbRegistroEntradas[[#This Row],[DATA DO CAIXA PREVISTO]]="N/A","0",UPPER(TEXT(tbRegistroEntradas[[#This Row],[DATA DO CAIXA PREVISTO]],"mmm")))</f>
        <v>MAI</v>
      </c>
      <c r="O331" s="58">
        <f>IF(tbRegistroEntradas[[#This Row],[DATA DO CAIXA PREVISTO]]="N/A",0,YEAR(tbRegistroEntradas[[#This Row],[DATA DO CAIXA PREVISTO]]))</f>
        <v>2022</v>
      </c>
      <c r="P331" s="58" t="str">
        <f ca="1">IF(AND(tbRegistroEntradas[[#This Row],[DATA DE CAIXA REALIZADO]]="N/A",tbRegistroEntradas[[#This Row],[DATA DO CAIXA PREVISTO]]&lt;TODAY()),"Vencida","Não Vencida")</f>
        <v>Não Vencida</v>
      </c>
      <c r="Q331" s="58" t="str">
        <f>IF(tbRegistroEntradas[[#This Row],[DATA DA COMPETÊNCIA]]=tbRegistroEntradas[[#This Row],[DATA DO CAIXA PREVISTO]],"Vista","Prazo")</f>
        <v>Prazo</v>
      </c>
      <c r="R331" s="58" t="str">
        <f>IF(tbRegistroEntradas[[#This Row],[DATA DE CAIXA REALIZADO]]&lt;&gt;"N/A","Em Dia","Com atraso")</f>
        <v>Em Dia</v>
      </c>
    </row>
    <row r="332" spans="1:18" s="52" customFormat="1" ht="14.4" customHeight="1" x14ac:dyDescent="0.3">
      <c r="A332" s="112">
        <v>44740.381018518521</v>
      </c>
      <c r="B332" s="114">
        <v>44692</v>
      </c>
      <c r="C332" s="114">
        <v>44740.381018518521</v>
      </c>
      <c r="D332" s="55" t="s">
        <v>61</v>
      </c>
      <c r="E332" s="55" t="s">
        <v>12</v>
      </c>
      <c r="F332" s="55" t="s">
        <v>18</v>
      </c>
      <c r="G332" s="55" t="s">
        <v>237</v>
      </c>
      <c r="H332" s="5" t="s">
        <v>85</v>
      </c>
      <c r="I332" s="119">
        <v>611</v>
      </c>
      <c r="J332" s="55" t="str">
        <f>IF(tbRegistroEntradas[[#This Row],[DATA DE CAIXA REALIZADO]]="N/A","0",UPPER(TEXT(tbRegistroEntradas[[#This Row],[DATA DE CAIXA REALIZADO]],"mmm")))</f>
        <v>JUN</v>
      </c>
      <c r="K332" s="58">
        <f>IF(tbRegistroEntradas[[#This Row],[DATA DE CAIXA REALIZADO]]="N/A",0,YEAR(tbRegistroEntradas[[#This Row],[DATA DE CAIXA REALIZADO]]))</f>
        <v>2022</v>
      </c>
      <c r="L332" s="79" t="str">
        <f>IF(tbRegistroEntradas[[#This Row],[DATA DA COMPETÊNCIA]]="N/A","0",UPPER(TEXT(tbRegistroEntradas[[#This Row],[DATA DA COMPETÊNCIA]],"mmm")))</f>
        <v>MAI</v>
      </c>
      <c r="M332" s="79">
        <f>IF(tbRegistroEntradas[[#This Row],[DATA DA COMPETÊNCIA]]="N/A",0,YEAR(tbRegistroEntradas[[#This Row],[DATA DA COMPETÊNCIA]]))</f>
        <v>2022</v>
      </c>
      <c r="N332" s="84" t="str">
        <f>IF(tbRegistroEntradas[[#This Row],[DATA DO CAIXA PREVISTO]]="N/A","0",UPPER(TEXT(tbRegistroEntradas[[#This Row],[DATA DO CAIXA PREVISTO]],"mmm")))</f>
        <v>JUN</v>
      </c>
      <c r="O332" s="84">
        <f>IF(tbRegistroEntradas[[#This Row],[DATA DO CAIXA PREVISTO]]="N/A",0,YEAR(tbRegistroEntradas[[#This Row],[DATA DO CAIXA PREVISTO]]))</f>
        <v>2022</v>
      </c>
      <c r="P332" s="58" t="str">
        <f ca="1">IF(AND(tbRegistroEntradas[[#This Row],[DATA DE CAIXA REALIZADO]]="N/A",tbRegistroEntradas[[#This Row],[DATA DO CAIXA PREVISTO]]&lt;TODAY()),"Vencida","Não Vencida")</f>
        <v>Não Vencida</v>
      </c>
      <c r="Q332" s="58" t="str">
        <f>IF(tbRegistroEntradas[[#This Row],[DATA DA COMPETÊNCIA]]=tbRegistroEntradas[[#This Row],[DATA DO CAIXA PREVISTO]],"Vista","Prazo")</f>
        <v>Prazo</v>
      </c>
      <c r="R332" s="58" t="str">
        <f>IF(tbRegistroEntradas[[#This Row],[DATA DE CAIXA REALIZADO]]&lt;&gt;"N/A","Em Dia","Com atraso")</f>
        <v>Em Dia</v>
      </c>
    </row>
    <row r="333" spans="1:18" s="52" customFormat="1" ht="14.4" customHeight="1" x14ac:dyDescent="0.3">
      <c r="A333" s="125">
        <v>44723</v>
      </c>
      <c r="B333" s="125">
        <f>A333-31</f>
        <v>44692</v>
      </c>
      <c r="C333" s="125">
        <f>(A333-B333)+B333-15</f>
        <v>44708</v>
      </c>
      <c r="D333" s="126" t="s">
        <v>67</v>
      </c>
      <c r="E333" s="126" t="s">
        <v>12</v>
      </c>
      <c r="F333" s="126" t="s">
        <v>16</v>
      </c>
      <c r="G333" s="126" t="s">
        <v>823</v>
      </c>
      <c r="H333" s="52" t="s">
        <v>131</v>
      </c>
      <c r="I333" s="127">
        <v>5542</v>
      </c>
      <c r="J333" s="110" t="str">
        <f>IF(tbRegistroEntradas[[#This Row],[DATA DE CAIXA REALIZADO]]="N/A","0",UPPER(TEXT(tbRegistroEntradas[[#This Row],[DATA DE CAIXA REALIZADO]],"mmm")))</f>
        <v>JUN</v>
      </c>
      <c r="K333" s="57">
        <f>IF(tbRegistroEntradas[[#This Row],[DATA DE CAIXA REALIZADO]]="N/A",0,YEAR(tbRegistroEntradas[[#This Row],[DATA DE CAIXA REALIZADO]]))</f>
        <v>2022</v>
      </c>
      <c r="L333" s="58" t="str">
        <f>IF(tbRegistroEntradas[[#This Row],[DATA DA COMPETÊNCIA]]="N/A","0",UPPER(TEXT(tbRegistroEntradas[[#This Row],[DATA DA COMPETÊNCIA]],"mmm")))</f>
        <v>MAI</v>
      </c>
      <c r="M333" s="58">
        <f>IF(tbRegistroEntradas[[#This Row],[DATA DA COMPETÊNCIA]]="N/A",0,YEAR(tbRegistroEntradas[[#This Row],[DATA DA COMPETÊNCIA]]))</f>
        <v>2022</v>
      </c>
      <c r="N333" s="58" t="str">
        <f>IF(tbRegistroEntradas[[#This Row],[DATA DO CAIXA PREVISTO]]="N/A","0",UPPER(TEXT(tbRegistroEntradas[[#This Row],[DATA DO CAIXA PREVISTO]],"mmm")))</f>
        <v>MAI</v>
      </c>
      <c r="O333" s="58">
        <f>IF(tbRegistroEntradas[[#This Row],[DATA DO CAIXA PREVISTO]]="N/A",0,YEAR(tbRegistroEntradas[[#This Row],[DATA DO CAIXA PREVISTO]]))</f>
        <v>2022</v>
      </c>
      <c r="P333" s="58" t="str">
        <f ca="1">IF(AND(tbRegistroEntradas[[#This Row],[DATA DE CAIXA REALIZADO]]="N/A",tbRegistroEntradas[[#This Row],[DATA DO CAIXA PREVISTO]]&lt;TODAY()),"Vencida","Não Vencida")</f>
        <v>Não Vencida</v>
      </c>
      <c r="Q333" s="58" t="str">
        <f>IF(tbRegistroEntradas[[#This Row],[DATA DA COMPETÊNCIA]]=tbRegistroEntradas[[#This Row],[DATA DO CAIXA PREVISTO]],"Vista","Prazo")</f>
        <v>Prazo</v>
      </c>
      <c r="R333" s="58" t="str">
        <f>IF(tbRegistroEntradas[[#This Row],[DATA DE CAIXA REALIZADO]]&lt;&gt;"N/A","Em Dia","Com atraso")</f>
        <v>Em Dia</v>
      </c>
    </row>
    <row r="334" spans="1:18" s="52" customFormat="1" ht="14.4" customHeight="1" x14ac:dyDescent="0.3">
      <c r="A334" s="113">
        <v>44746.463136574072</v>
      </c>
      <c r="B334" s="115">
        <v>44694</v>
      </c>
      <c r="C334" s="115">
        <v>44746.463136574072</v>
      </c>
      <c r="D334" s="116" t="s">
        <v>61</v>
      </c>
      <c r="E334" s="116" t="s">
        <v>12</v>
      </c>
      <c r="F334" s="116" t="s">
        <v>16</v>
      </c>
      <c r="G334" s="116" t="s">
        <v>238</v>
      </c>
      <c r="H334" s="52" t="s">
        <v>86</v>
      </c>
      <c r="I334" s="120">
        <v>1486</v>
      </c>
      <c r="J334" s="55" t="str">
        <f>IF(tbRegistroEntradas[[#This Row],[DATA DE CAIXA REALIZADO]]="N/A","0",UPPER(TEXT(tbRegistroEntradas[[#This Row],[DATA DE CAIXA REALIZADO]],"mmm")))</f>
        <v>JUL</v>
      </c>
      <c r="K334" s="58">
        <f>IF(tbRegistroEntradas[[#This Row],[DATA DE CAIXA REALIZADO]]="N/A",0,YEAR(tbRegistroEntradas[[#This Row],[DATA DE CAIXA REALIZADO]]))</f>
        <v>2022</v>
      </c>
      <c r="L334" s="79" t="str">
        <f>IF(tbRegistroEntradas[[#This Row],[DATA DA COMPETÊNCIA]]="N/A","0",UPPER(TEXT(tbRegistroEntradas[[#This Row],[DATA DA COMPETÊNCIA]],"mmm")))</f>
        <v>MAI</v>
      </c>
      <c r="M334" s="79">
        <f>IF(tbRegistroEntradas[[#This Row],[DATA DA COMPETÊNCIA]]="N/A",0,YEAR(tbRegistroEntradas[[#This Row],[DATA DA COMPETÊNCIA]]))</f>
        <v>2022</v>
      </c>
      <c r="N334" s="84" t="str">
        <f>IF(tbRegistroEntradas[[#This Row],[DATA DO CAIXA PREVISTO]]="N/A","0",UPPER(TEXT(tbRegistroEntradas[[#This Row],[DATA DO CAIXA PREVISTO]],"mmm")))</f>
        <v>JUL</v>
      </c>
      <c r="O334" s="84">
        <f>IF(tbRegistroEntradas[[#This Row],[DATA DO CAIXA PREVISTO]]="N/A",0,YEAR(tbRegistroEntradas[[#This Row],[DATA DO CAIXA PREVISTO]]))</f>
        <v>2022</v>
      </c>
      <c r="P334" s="58" t="str">
        <f ca="1">IF(AND(tbRegistroEntradas[[#This Row],[DATA DE CAIXA REALIZADO]]="N/A",tbRegistroEntradas[[#This Row],[DATA DO CAIXA PREVISTO]]&lt;TODAY()),"Vencida","Não Vencida")</f>
        <v>Não Vencida</v>
      </c>
      <c r="Q334" s="58" t="str">
        <f>IF(tbRegistroEntradas[[#This Row],[DATA DA COMPETÊNCIA]]=tbRegistroEntradas[[#This Row],[DATA DO CAIXA PREVISTO]],"Vista","Prazo")</f>
        <v>Prazo</v>
      </c>
      <c r="R334" s="58" t="str">
        <f>IF(tbRegistroEntradas[[#This Row],[DATA DE CAIXA REALIZADO]]&lt;&gt;"N/A","Em Dia","Com atraso")</f>
        <v>Em Dia</v>
      </c>
    </row>
    <row r="335" spans="1:18" s="52" customFormat="1" ht="14.4" customHeight="1" x14ac:dyDescent="0.3">
      <c r="A335" s="112">
        <v>44713.121504629627</v>
      </c>
      <c r="B335" s="114">
        <v>44702</v>
      </c>
      <c r="C335" s="114">
        <v>44713.121504629627</v>
      </c>
      <c r="D335" s="55" t="s">
        <v>138</v>
      </c>
      <c r="E335" s="55" t="s">
        <v>12</v>
      </c>
      <c r="F335" s="55" t="s">
        <v>19</v>
      </c>
      <c r="G335" s="55" t="s">
        <v>239</v>
      </c>
      <c r="H335" s="52" t="s">
        <v>78</v>
      </c>
      <c r="I335" s="119">
        <v>4850</v>
      </c>
      <c r="J335" s="55" t="str">
        <f>IF(tbRegistroEntradas[[#This Row],[DATA DE CAIXA REALIZADO]]="N/A","0",UPPER(TEXT(tbRegistroEntradas[[#This Row],[DATA DE CAIXA REALIZADO]],"mmm")))</f>
        <v>JUN</v>
      </c>
      <c r="K335" s="58">
        <f>IF(tbRegistroEntradas[[#This Row],[DATA DE CAIXA REALIZADO]]="N/A",0,YEAR(tbRegistroEntradas[[#This Row],[DATA DE CAIXA REALIZADO]]))</f>
        <v>2022</v>
      </c>
      <c r="L335" s="79" t="str">
        <f>IF(tbRegistroEntradas[[#This Row],[DATA DA COMPETÊNCIA]]="N/A","0",UPPER(TEXT(tbRegistroEntradas[[#This Row],[DATA DA COMPETÊNCIA]],"mmm")))</f>
        <v>MAI</v>
      </c>
      <c r="M335" s="79">
        <f>IF(tbRegistroEntradas[[#This Row],[DATA DA COMPETÊNCIA]]="N/A",0,YEAR(tbRegistroEntradas[[#This Row],[DATA DA COMPETÊNCIA]]))</f>
        <v>2022</v>
      </c>
      <c r="N335" s="84" t="str">
        <f>IF(tbRegistroEntradas[[#This Row],[DATA DO CAIXA PREVISTO]]="N/A","0",UPPER(TEXT(tbRegistroEntradas[[#This Row],[DATA DO CAIXA PREVISTO]],"mmm")))</f>
        <v>JUN</v>
      </c>
      <c r="O335" s="84">
        <f>IF(tbRegistroEntradas[[#This Row],[DATA DO CAIXA PREVISTO]]="N/A",0,YEAR(tbRegistroEntradas[[#This Row],[DATA DO CAIXA PREVISTO]]))</f>
        <v>2022</v>
      </c>
      <c r="P335" s="58" t="str">
        <f ca="1">IF(AND(tbRegistroEntradas[[#This Row],[DATA DE CAIXA REALIZADO]]="N/A",tbRegistroEntradas[[#This Row],[DATA DO CAIXA PREVISTO]]&lt;TODAY()),"Vencida","Não Vencida")</f>
        <v>Não Vencida</v>
      </c>
      <c r="Q335" s="58" t="str">
        <f>IF(tbRegistroEntradas[[#This Row],[DATA DA COMPETÊNCIA]]=tbRegistroEntradas[[#This Row],[DATA DO CAIXA PREVISTO]],"Vista","Prazo")</f>
        <v>Prazo</v>
      </c>
      <c r="R335" s="58" t="str">
        <f>IF(tbRegistroEntradas[[#This Row],[DATA DE CAIXA REALIZADO]]&lt;&gt;"N/A","Em Dia","Com atraso")</f>
        <v>Em Dia</v>
      </c>
    </row>
    <row r="336" spans="1:18" s="52" customFormat="1" ht="14.4" customHeight="1" x14ac:dyDescent="0.3">
      <c r="A336" s="125">
        <v>44733</v>
      </c>
      <c r="B336" s="125">
        <f>A336-31</f>
        <v>44702</v>
      </c>
      <c r="C336" s="125">
        <f>(A336-B336)+B336-15</f>
        <v>44718</v>
      </c>
      <c r="D336" s="126" t="s">
        <v>67</v>
      </c>
      <c r="E336" s="126" t="s">
        <v>12</v>
      </c>
      <c r="F336" s="126" t="s">
        <v>16</v>
      </c>
      <c r="G336" s="126" t="s">
        <v>481</v>
      </c>
      <c r="H336" s="52" t="s">
        <v>134</v>
      </c>
      <c r="I336" s="127">
        <v>4232</v>
      </c>
      <c r="J336" s="110" t="str">
        <f>IF(tbRegistroEntradas[[#This Row],[DATA DE CAIXA REALIZADO]]="N/A","0",UPPER(TEXT(tbRegistroEntradas[[#This Row],[DATA DE CAIXA REALIZADO]],"mmm")))</f>
        <v>JUN</v>
      </c>
      <c r="K336" s="57">
        <f>IF(tbRegistroEntradas[[#This Row],[DATA DE CAIXA REALIZADO]]="N/A",0,YEAR(tbRegistroEntradas[[#This Row],[DATA DE CAIXA REALIZADO]]))</f>
        <v>2022</v>
      </c>
      <c r="L336" s="58" t="str">
        <f>IF(tbRegistroEntradas[[#This Row],[DATA DA COMPETÊNCIA]]="N/A","0",UPPER(TEXT(tbRegistroEntradas[[#This Row],[DATA DA COMPETÊNCIA]],"mmm")))</f>
        <v>MAI</v>
      </c>
      <c r="M336" s="58">
        <f>IF(tbRegistroEntradas[[#This Row],[DATA DA COMPETÊNCIA]]="N/A",0,YEAR(tbRegistroEntradas[[#This Row],[DATA DA COMPETÊNCIA]]))</f>
        <v>2022</v>
      </c>
      <c r="N336" s="58" t="str">
        <f>IF(tbRegistroEntradas[[#This Row],[DATA DO CAIXA PREVISTO]]="N/A","0",UPPER(TEXT(tbRegistroEntradas[[#This Row],[DATA DO CAIXA PREVISTO]],"mmm")))</f>
        <v>JUN</v>
      </c>
      <c r="O336" s="58">
        <f>IF(tbRegistroEntradas[[#This Row],[DATA DO CAIXA PREVISTO]]="N/A",0,YEAR(tbRegistroEntradas[[#This Row],[DATA DO CAIXA PREVISTO]]))</f>
        <v>2022</v>
      </c>
      <c r="P336" s="58" t="str">
        <f ca="1">IF(AND(tbRegistroEntradas[[#This Row],[DATA DE CAIXA REALIZADO]]="N/A",tbRegistroEntradas[[#This Row],[DATA DO CAIXA PREVISTO]]&lt;TODAY()),"Vencida","Não Vencida")</f>
        <v>Não Vencida</v>
      </c>
      <c r="Q336" s="58" t="str">
        <f>IF(tbRegistroEntradas[[#This Row],[DATA DA COMPETÊNCIA]]=tbRegistroEntradas[[#This Row],[DATA DO CAIXA PREVISTO]],"Vista","Prazo")</f>
        <v>Prazo</v>
      </c>
      <c r="R336" s="58" t="str">
        <f>IF(tbRegistroEntradas[[#This Row],[DATA DE CAIXA REALIZADO]]&lt;&gt;"N/A","Em Dia","Com atraso")</f>
        <v>Em Dia</v>
      </c>
    </row>
    <row r="337" spans="1:18" s="52" customFormat="1" ht="14.4" customHeight="1" x14ac:dyDescent="0.3">
      <c r="A337" s="49">
        <v>44735</v>
      </c>
      <c r="B337" s="49">
        <f>A337-31</f>
        <v>44704</v>
      </c>
      <c r="C337" s="49">
        <f>(A337-B337)+B337-15</f>
        <v>44720</v>
      </c>
      <c r="D337" s="52" t="s">
        <v>65</v>
      </c>
      <c r="E337" s="52" t="s">
        <v>12</v>
      </c>
      <c r="F337" s="52" t="s">
        <v>18</v>
      </c>
      <c r="G337" s="52" t="s">
        <v>1018</v>
      </c>
      <c r="H337" s="52" t="s">
        <v>119</v>
      </c>
      <c r="I337" s="18">
        <v>6471</v>
      </c>
      <c r="J337" s="110" t="str">
        <f>IF(tbRegistroEntradas[[#This Row],[DATA DE CAIXA REALIZADO]]="N/A","0",UPPER(TEXT(tbRegistroEntradas[[#This Row],[DATA DE CAIXA REALIZADO]],"mmm")))</f>
        <v>JUN</v>
      </c>
      <c r="K337" s="57">
        <f>IF(tbRegistroEntradas[[#This Row],[DATA DE CAIXA REALIZADO]]="N/A",0,YEAR(tbRegistroEntradas[[#This Row],[DATA DE CAIXA REALIZADO]]))</f>
        <v>2022</v>
      </c>
      <c r="L337" s="58" t="str">
        <f>IF(tbRegistroEntradas[[#This Row],[DATA DA COMPETÊNCIA]]="N/A","0",UPPER(TEXT(tbRegistroEntradas[[#This Row],[DATA DA COMPETÊNCIA]],"mmm")))</f>
        <v>MAI</v>
      </c>
      <c r="M337" s="58">
        <f>IF(tbRegistroEntradas[[#This Row],[DATA DA COMPETÊNCIA]]="N/A",0,YEAR(tbRegistroEntradas[[#This Row],[DATA DA COMPETÊNCIA]]))</f>
        <v>2022</v>
      </c>
      <c r="N337" s="58" t="str">
        <f>IF(tbRegistroEntradas[[#This Row],[DATA DO CAIXA PREVISTO]]="N/A","0",UPPER(TEXT(tbRegistroEntradas[[#This Row],[DATA DO CAIXA PREVISTO]],"mmm")))</f>
        <v>JUN</v>
      </c>
      <c r="O337" s="58">
        <f>IF(tbRegistroEntradas[[#This Row],[DATA DO CAIXA PREVISTO]]="N/A",0,YEAR(tbRegistroEntradas[[#This Row],[DATA DO CAIXA PREVISTO]]))</f>
        <v>2022</v>
      </c>
      <c r="P337" s="58" t="str">
        <f ca="1">IF(AND(tbRegistroEntradas[[#This Row],[DATA DE CAIXA REALIZADO]]="N/A",tbRegistroEntradas[[#This Row],[DATA DO CAIXA PREVISTO]]&lt;TODAY()),"Vencida","Não Vencida")</f>
        <v>Não Vencida</v>
      </c>
      <c r="Q337" s="58" t="str">
        <f>IF(tbRegistroEntradas[[#This Row],[DATA DA COMPETÊNCIA]]=tbRegistroEntradas[[#This Row],[DATA DO CAIXA PREVISTO]],"Vista","Prazo")</f>
        <v>Prazo</v>
      </c>
      <c r="R337" s="58" t="str">
        <f>IF(tbRegistroEntradas[[#This Row],[DATA DE CAIXA REALIZADO]]&lt;&gt;"N/A","Em Dia","Com atraso")</f>
        <v>Em Dia</v>
      </c>
    </row>
    <row r="338" spans="1:18" s="52" customFormat="1" ht="14.4" customHeight="1" x14ac:dyDescent="0.3">
      <c r="A338" s="113" t="s">
        <v>141</v>
      </c>
      <c r="B338" s="115">
        <v>44705</v>
      </c>
      <c r="C338" s="115">
        <v>44736.457465277781</v>
      </c>
      <c r="D338" s="116" t="s">
        <v>137</v>
      </c>
      <c r="E338" s="116" t="s">
        <v>12</v>
      </c>
      <c r="F338" s="116" t="s">
        <v>16</v>
      </c>
      <c r="G338" s="116" t="s">
        <v>178</v>
      </c>
      <c r="H338" s="52" t="s">
        <v>106</v>
      </c>
      <c r="I338" s="120">
        <v>3878</v>
      </c>
      <c r="J338" s="55" t="str">
        <f>IF(tbRegistroEntradas[[#This Row],[DATA DE CAIXA REALIZADO]]="N/A","0",UPPER(TEXT(tbRegistroEntradas[[#This Row],[DATA DE CAIXA REALIZADO]],"mmm")))</f>
        <v>0</v>
      </c>
      <c r="K338" s="58">
        <f>IF(tbRegistroEntradas[[#This Row],[DATA DE CAIXA REALIZADO]]="N/A",0,YEAR(tbRegistroEntradas[[#This Row],[DATA DE CAIXA REALIZADO]]))</f>
        <v>0</v>
      </c>
      <c r="L338" s="79" t="str">
        <f>IF(tbRegistroEntradas[[#This Row],[DATA DA COMPETÊNCIA]]="N/A","0",UPPER(TEXT(tbRegistroEntradas[[#This Row],[DATA DA COMPETÊNCIA]],"mmm")))</f>
        <v>MAI</v>
      </c>
      <c r="M338" s="79">
        <f>IF(tbRegistroEntradas[[#This Row],[DATA DA COMPETÊNCIA]]="N/A",0,YEAR(tbRegistroEntradas[[#This Row],[DATA DA COMPETÊNCIA]]))</f>
        <v>2022</v>
      </c>
      <c r="N338" s="84" t="str">
        <f>IF(tbRegistroEntradas[[#This Row],[DATA DO CAIXA PREVISTO]]="N/A","0",UPPER(TEXT(tbRegistroEntradas[[#This Row],[DATA DO CAIXA PREVISTO]],"mmm")))</f>
        <v>JUN</v>
      </c>
      <c r="O338" s="84">
        <f>IF(tbRegistroEntradas[[#This Row],[DATA DO CAIXA PREVISTO]]="N/A",0,YEAR(tbRegistroEntradas[[#This Row],[DATA DO CAIXA PREVISTO]]))</f>
        <v>2022</v>
      </c>
      <c r="P338" s="58" t="str">
        <f ca="1">IF(AND(tbRegistroEntradas[[#This Row],[DATA DE CAIXA REALIZADO]]="N/A",tbRegistroEntradas[[#This Row],[DATA DO CAIXA PREVISTO]]&lt;TODAY()),"Vencida","Não Vencida")</f>
        <v>Vencida</v>
      </c>
      <c r="Q338" s="58" t="str">
        <f>IF(tbRegistroEntradas[[#This Row],[DATA DA COMPETÊNCIA]]=tbRegistroEntradas[[#This Row],[DATA DO CAIXA PREVISTO]],"Vista","Prazo")</f>
        <v>Prazo</v>
      </c>
      <c r="R338" s="58" t="str">
        <f>IF(tbRegistroEntradas[[#This Row],[DATA DE CAIXA REALIZADO]]&lt;&gt;"N/A","Em Dia","Com atraso")</f>
        <v>Com atraso</v>
      </c>
    </row>
    <row r="339" spans="1:18" s="52" customFormat="1" ht="14.4" customHeight="1" x14ac:dyDescent="0.3">
      <c r="A339" s="49">
        <v>44739</v>
      </c>
      <c r="B339" s="49">
        <f>A339-31</f>
        <v>44708</v>
      </c>
      <c r="C339" s="49">
        <f>(A339-B339)+B339-15</f>
        <v>44724</v>
      </c>
      <c r="D339" s="52" t="s">
        <v>65</v>
      </c>
      <c r="E339" s="52" t="s">
        <v>12</v>
      </c>
      <c r="F339" s="52" t="s">
        <v>17</v>
      </c>
      <c r="G339" s="52" t="s">
        <v>740</v>
      </c>
      <c r="H339" s="52" t="s">
        <v>120</v>
      </c>
      <c r="I339" s="18">
        <v>4414</v>
      </c>
      <c r="J339" s="110" t="str">
        <f>IF(tbRegistroEntradas[[#This Row],[DATA DE CAIXA REALIZADO]]="N/A","0",UPPER(TEXT(tbRegistroEntradas[[#This Row],[DATA DE CAIXA REALIZADO]],"mmm")))</f>
        <v>JUN</v>
      </c>
      <c r="K339" s="57">
        <f>IF(tbRegistroEntradas[[#This Row],[DATA DE CAIXA REALIZADO]]="N/A",0,YEAR(tbRegistroEntradas[[#This Row],[DATA DE CAIXA REALIZADO]]))</f>
        <v>2022</v>
      </c>
      <c r="L339" s="58" t="str">
        <f>IF(tbRegistroEntradas[[#This Row],[DATA DA COMPETÊNCIA]]="N/A","0",UPPER(TEXT(tbRegistroEntradas[[#This Row],[DATA DA COMPETÊNCIA]],"mmm")))</f>
        <v>MAI</v>
      </c>
      <c r="M339" s="58">
        <f>IF(tbRegistroEntradas[[#This Row],[DATA DA COMPETÊNCIA]]="N/A",0,YEAR(tbRegistroEntradas[[#This Row],[DATA DA COMPETÊNCIA]]))</f>
        <v>2022</v>
      </c>
      <c r="N339" s="58" t="str">
        <f>IF(tbRegistroEntradas[[#This Row],[DATA DO CAIXA PREVISTO]]="N/A","0",UPPER(TEXT(tbRegistroEntradas[[#This Row],[DATA DO CAIXA PREVISTO]],"mmm")))</f>
        <v>JUN</v>
      </c>
      <c r="O339" s="58">
        <f>IF(tbRegistroEntradas[[#This Row],[DATA DO CAIXA PREVISTO]]="N/A",0,YEAR(tbRegistroEntradas[[#This Row],[DATA DO CAIXA PREVISTO]]))</f>
        <v>2022</v>
      </c>
      <c r="P339" s="58" t="str">
        <f ca="1">IF(AND(tbRegistroEntradas[[#This Row],[DATA DE CAIXA REALIZADO]]="N/A",tbRegistroEntradas[[#This Row],[DATA DO CAIXA PREVISTO]]&lt;TODAY()),"Vencida","Não Vencida")</f>
        <v>Não Vencida</v>
      </c>
      <c r="Q339" s="58" t="str">
        <f>IF(tbRegistroEntradas[[#This Row],[DATA DA COMPETÊNCIA]]=tbRegistroEntradas[[#This Row],[DATA DO CAIXA PREVISTO]],"Vista","Prazo")</f>
        <v>Prazo</v>
      </c>
      <c r="R339" s="58" t="str">
        <f>IF(tbRegistroEntradas[[#This Row],[DATA DE CAIXA REALIZADO]]&lt;&gt;"N/A","Em Dia","Com atraso")</f>
        <v>Em Dia</v>
      </c>
    </row>
    <row r="340" spans="1:18" s="52" customFormat="1" ht="14.4" customHeight="1" x14ac:dyDescent="0.3">
      <c r="A340" s="112">
        <v>44736.663969907408</v>
      </c>
      <c r="B340" s="114">
        <v>44710</v>
      </c>
      <c r="C340" s="114">
        <v>44736.663969907408</v>
      </c>
      <c r="D340" s="55" t="s">
        <v>65</v>
      </c>
      <c r="E340" s="55" t="s">
        <v>12</v>
      </c>
      <c r="F340" s="55" t="s">
        <v>16</v>
      </c>
      <c r="G340" s="55" t="s">
        <v>240</v>
      </c>
      <c r="H340" s="52" t="s">
        <v>116</v>
      </c>
      <c r="I340" s="119">
        <v>976</v>
      </c>
      <c r="J340" s="55" t="str">
        <f>IF(tbRegistroEntradas[[#This Row],[DATA DE CAIXA REALIZADO]]="N/A","0",UPPER(TEXT(tbRegistroEntradas[[#This Row],[DATA DE CAIXA REALIZADO]],"mmm")))</f>
        <v>JUN</v>
      </c>
      <c r="K340" s="58">
        <f>IF(tbRegistroEntradas[[#This Row],[DATA DE CAIXA REALIZADO]]="N/A",0,YEAR(tbRegistroEntradas[[#This Row],[DATA DE CAIXA REALIZADO]]))</f>
        <v>2022</v>
      </c>
      <c r="L340" s="79" t="str">
        <f>IF(tbRegistroEntradas[[#This Row],[DATA DA COMPETÊNCIA]]="N/A","0",UPPER(TEXT(tbRegistroEntradas[[#This Row],[DATA DA COMPETÊNCIA]],"mmm")))</f>
        <v>MAI</v>
      </c>
      <c r="M340" s="79">
        <f>IF(tbRegistroEntradas[[#This Row],[DATA DA COMPETÊNCIA]]="N/A",0,YEAR(tbRegistroEntradas[[#This Row],[DATA DA COMPETÊNCIA]]))</f>
        <v>2022</v>
      </c>
      <c r="N340" s="84" t="str">
        <f>IF(tbRegistroEntradas[[#This Row],[DATA DO CAIXA PREVISTO]]="N/A","0",UPPER(TEXT(tbRegistroEntradas[[#This Row],[DATA DO CAIXA PREVISTO]],"mmm")))</f>
        <v>JUN</v>
      </c>
      <c r="O340" s="84">
        <f>IF(tbRegistroEntradas[[#This Row],[DATA DO CAIXA PREVISTO]]="N/A",0,YEAR(tbRegistroEntradas[[#This Row],[DATA DO CAIXA PREVISTO]]))</f>
        <v>2022</v>
      </c>
      <c r="P340" s="58" t="str">
        <f ca="1">IF(AND(tbRegistroEntradas[[#This Row],[DATA DE CAIXA REALIZADO]]="N/A",tbRegistroEntradas[[#This Row],[DATA DO CAIXA PREVISTO]]&lt;TODAY()),"Vencida","Não Vencida")</f>
        <v>Não Vencida</v>
      </c>
      <c r="Q340" s="58" t="str">
        <f>IF(tbRegistroEntradas[[#This Row],[DATA DA COMPETÊNCIA]]=tbRegistroEntradas[[#This Row],[DATA DO CAIXA PREVISTO]],"Vista","Prazo")</f>
        <v>Prazo</v>
      </c>
      <c r="R340" s="58" t="str">
        <f>IF(tbRegistroEntradas[[#This Row],[DATA DE CAIXA REALIZADO]]&lt;&gt;"N/A","Em Dia","Com atraso")</f>
        <v>Em Dia</v>
      </c>
    </row>
    <row r="341" spans="1:18" s="52" customFormat="1" ht="14.4" customHeight="1" x14ac:dyDescent="0.3">
      <c r="A341" s="113">
        <v>44726.409328703703</v>
      </c>
      <c r="B341" s="115">
        <v>44711</v>
      </c>
      <c r="C341" s="115">
        <v>44726.409328703703</v>
      </c>
      <c r="D341" s="116" t="s">
        <v>65</v>
      </c>
      <c r="E341" s="116" t="s">
        <v>12</v>
      </c>
      <c r="F341" s="116" t="s">
        <v>32</v>
      </c>
      <c r="G341" s="116" t="s">
        <v>241</v>
      </c>
      <c r="H341" s="52" t="s">
        <v>118</v>
      </c>
      <c r="I341" s="120">
        <v>3346</v>
      </c>
      <c r="J341" s="55" t="str">
        <f>IF(tbRegistroEntradas[[#This Row],[DATA DE CAIXA REALIZADO]]="N/A","0",UPPER(TEXT(tbRegistroEntradas[[#This Row],[DATA DE CAIXA REALIZADO]],"mmm")))</f>
        <v>JUN</v>
      </c>
      <c r="K341" s="58">
        <f>IF(tbRegistroEntradas[[#This Row],[DATA DE CAIXA REALIZADO]]="N/A",0,YEAR(tbRegistroEntradas[[#This Row],[DATA DE CAIXA REALIZADO]]))</f>
        <v>2022</v>
      </c>
      <c r="L341" s="79" t="str">
        <f>IF(tbRegistroEntradas[[#This Row],[DATA DA COMPETÊNCIA]]="N/A","0",UPPER(TEXT(tbRegistroEntradas[[#This Row],[DATA DA COMPETÊNCIA]],"mmm")))</f>
        <v>MAI</v>
      </c>
      <c r="M341" s="79">
        <f>IF(tbRegistroEntradas[[#This Row],[DATA DA COMPETÊNCIA]]="N/A",0,YEAR(tbRegistroEntradas[[#This Row],[DATA DA COMPETÊNCIA]]))</f>
        <v>2022</v>
      </c>
      <c r="N341" s="84" t="str">
        <f>IF(tbRegistroEntradas[[#This Row],[DATA DO CAIXA PREVISTO]]="N/A","0",UPPER(TEXT(tbRegistroEntradas[[#This Row],[DATA DO CAIXA PREVISTO]],"mmm")))</f>
        <v>JUN</v>
      </c>
      <c r="O341" s="84">
        <f>IF(tbRegistroEntradas[[#This Row],[DATA DO CAIXA PREVISTO]]="N/A",0,YEAR(tbRegistroEntradas[[#This Row],[DATA DO CAIXA PREVISTO]]))</f>
        <v>2022</v>
      </c>
      <c r="P341" s="58" t="str">
        <f ca="1">IF(AND(tbRegistroEntradas[[#This Row],[DATA DE CAIXA REALIZADO]]="N/A",tbRegistroEntradas[[#This Row],[DATA DO CAIXA PREVISTO]]&lt;TODAY()),"Vencida","Não Vencida")</f>
        <v>Não Vencida</v>
      </c>
      <c r="Q341" s="58" t="str">
        <f>IF(tbRegistroEntradas[[#This Row],[DATA DA COMPETÊNCIA]]=tbRegistroEntradas[[#This Row],[DATA DO CAIXA PREVISTO]],"Vista","Prazo")</f>
        <v>Prazo</v>
      </c>
      <c r="R341" s="58" t="str">
        <f>IF(tbRegistroEntradas[[#This Row],[DATA DE CAIXA REALIZADO]]&lt;&gt;"N/A","Em Dia","Com atraso")</f>
        <v>Em Dia</v>
      </c>
    </row>
    <row r="342" spans="1:18" s="52" customFormat="1" ht="14.4" customHeight="1" x14ac:dyDescent="0.3">
      <c r="A342" s="125">
        <v>44745</v>
      </c>
      <c r="B342" s="125">
        <f>A342-31</f>
        <v>44714</v>
      </c>
      <c r="C342" s="125">
        <f>tbRegistroEntradas[[#This Row],[DATA DA COMPETÊNCIA]]</f>
        <v>44714</v>
      </c>
      <c r="D342" s="126" t="s">
        <v>61</v>
      </c>
      <c r="E342" s="126" t="s">
        <v>12</v>
      </c>
      <c r="F342" s="126" t="s">
        <v>32</v>
      </c>
      <c r="G342" s="126" t="s">
        <v>676</v>
      </c>
      <c r="H342" s="52" t="s">
        <v>87</v>
      </c>
      <c r="I342" s="127">
        <v>6196</v>
      </c>
      <c r="J342" s="110" t="str">
        <f>IF(tbRegistroEntradas[[#This Row],[DATA DE CAIXA REALIZADO]]="N/A","0",UPPER(TEXT(tbRegistroEntradas[[#This Row],[DATA DE CAIXA REALIZADO]],"mmm")))</f>
        <v>JUL</v>
      </c>
      <c r="K342" s="57">
        <f>IF(tbRegistroEntradas[[#This Row],[DATA DE CAIXA REALIZADO]]="N/A",0,YEAR(tbRegistroEntradas[[#This Row],[DATA DE CAIXA REALIZADO]]))</f>
        <v>2022</v>
      </c>
      <c r="L342" s="58" t="str">
        <f>IF(tbRegistroEntradas[[#This Row],[DATA DA COMPETÊNCIA]]="N/A","0",UPPER(TEXT(tbRegistroEntradas[[#This Row],[DATA DA COMPETÊNCIA]],"mmm")))</f>
        <v>JUN</v>
      </c>
      <c r="M342" s="58">
        <f>IF(tbRegistroEntradas[[#This Row],[DATA DA COMPETÊNCIA]]="N/A",0,YEAR(tbRegistroEntradas[[#This Row],[DATA DA COMPETÊNCIA]]))</f>
        <v>2022</v>
      </c>
      <c r="N342" s="58" t="str">
        <f>IF(tbRegistroEntradas[[#This Row],[DATA DO CAIXA PREVISTO]]="N/A","0",UPPER(TEXT(tbRegistroEntradas[[#This Row],[DATA DO CAIXA PREVISTO]],"mmm")))</f>
        <v>JUN</v>
      </c>
      <c r="O342" s="58">
        <f>IF(tbRegistroEntradas[[#This Row],[DATA DO CAIXA PREVISTO]]="N/A",0,YEAR(tbRegistroEntradas[[#This Row],[DATA DO CAIXA PREVISTO]]))</f>
        <v>2022</v>
      </c>
      <c r="P342" s="58" t="str">
        <f ca="1">IF(AND(tbRegistroEntradas[[#This Row],[DATA DE CAIXA REALIZADO]]="N/A",tbRegistroEntradas[[#This Row],[DATA DO CAIXA PREVISTO]]&lt;TODAY()),"Vencida","Não Vencida")</f>
        <v>Não Vencida</v>
      </c>
      <c r="Q342" s="58" t="str">
        <f>IF(tbRegistroEntradas[[#This Row],[DATA DA COMPETÊNCIA]]=tbRegistroEntradas[[#This Row],[DATA DO CAIXA PREVISTO]],"Vista","Prazo")</f>
        <v>Vista</v>
      </c>
      <c r="R342" s="58" t="str">
        <f>IF(tbRegistroEntradas[[#This Row],[DATA DE CAIXA REALIZADO]]&lt;&gt;"N/A","Em Dia","Com atraso")</f>
        <v>Em Dia</v>
      </c>
    </row>
    <row r="343" spans="1:18" s="52" customFormat="1" ht="14.4" customHeight="1" x14ac:dyDescent="0.3">
      <c r="A343" s="112">
        <v>44774.778333333335</v>
      </c>
      <c r="B343" s="114">
        <v>44715</v>
      </c>
      <c r="C343" s="125">
        <f>tbRegistroEntradas[[#This Row],[DATA DA COMPETÊNCIA]]</f>
        <v>44715</v>
      </c>
      <c r="D343" s="55" t="s">
        <v>138</v>
      </c>
      <c r="E343" s="55" t="s">
        <v>12</v>
      </c>
      <c r="F343" s="55" t="s">
        <v>18</v>
      </c>
      <c r="G343" s="55" t="s">
        <v>242</v>
      </c>
      <c r="H343" s="52" t="s">
        <v>135</v>
      </c>
      <c r="I343" s="119">
        <v>443</v>
      </c>
      <c r="J343" s="55" t="str">
        <f>IF(tbRegistroEntradas[[#This Row],[DATA DE CAIXA REALIZADO]]="N/A","0",UPPER(TEXT(tbRegistroEntradas[[#This Row],[DATA DE CAIXA REALIZADO]],"mmm")))</f>
        <v>AGO</v>
      </c>
      <c r="K343" s="58">
        <f>IF(tbRegistroEntradas[[#This Row],[DATA DE CAIXA REALIZADO]]="N/A",0,YEAR(tbRegistroEntradas[[#This Row],[DATA DE CAIXA REALIZADO]]))</f>
        <v>2022</v>
      </c>
      <c r="L343" s="79" t="str">
        <f>IF(tbRegistroEntradas[[#This Row],[DATA DA COMPETÊNCIA]]="N/A","0",UPPER(TEXT(tbRegistroEntradas[[#This Row],[DATA DA COMPETÊNCIA]],"mmm")))</f>
        <v>JUN</v>
      </c>
      <c r="M343" s="79">
        <f>IF(tbRegistroEntradas[[#This Row],[DATA DA COMPETÊNCIA]]="N/A",0,YEAR(tbRegistroEntradas[[#This Row],[DATA DA COMPETÊNCIA]]))</f>
        <v>2022</v>
      </c>
      <c r="N343" s="84" t="str">
        <f>IF(tbRegistroEntradas[[#This Row],[DATA DO CAIXA PREVISTO]]="N/A","0",UPPER(TEXT(tbRegistroEntradas[[#This Row],[DATA DO CAIXA PREVISTO]],"mmm")))</f>
        <v>JUN</v>
      </c>
      <c r="O343" s="84">
        <f>IF(tbRegistroEntradas[[#This Row],[DATA DO CAIXA PREVISTO]]="N/A",0,YEAR(tbRegistroEntradas[[#This Row],[DATA DO CAIXA PREVISTO]]))</f>
        <v>2022</v>
      </c>
      <c r="P343" s="58" t="str">
        <f ca="1">IF(AND(tbRegistroEntradas[[#This Row],[DATA DE CAIXA REALIZADO]]="N/A",tbRegistroEntradas[[#This Row],[DATA DO CAIXA PREVISTO]]&lt;TODAY()),"Vencida","Não Vencida")</f>
        <v>Não Vencida</v>
      </c>
      <c r="Q343" s="58" t="str">
        <f>IF(tbRegistroEntradas[[#This Row],[DATA DA COMPETÊNCIA]]=tbRegistroEntradas[[#This Row],[DATA DO CAIXA PREVISTO]],"Vista","Prazo")</f>
        <v>Vista</v>
      </c>
      <c r="R343" s="58" t="str">
        <f>IF(tbRegistroEntradas[[#This Row],[DATA DE CAIXA REALIZADO]]&lt;&gt;"N/A","Em Dia","Com atraso")</f>
        <v>Em Dia</v>
      </c>
    </row>
    <row r="344" spans="1:18" s="52" customFormat="1" ht="14.4" customHeight="1" x14ac:dyDescent="0.3">
      <c r="A344" s="113">
        <v>44770.034479166665</v>
      </c>
      <c r="B344" s="115">
        <v>44716</v>
      </c>
      <c r="C344" s="115">
        <v>44770.034479166665</v>
      </c>
      <c r="D344" s="116" t="s">
        <v>67</v>
      </c>
      <c r="E344" s="116" t="s">
        <v>12</v>
      </c>
      <c r="F344" s="116" t="s">
        <v>18</v>
      </c>
      <c r="G344" s="116" t="s">
        <v>243</v>
      </c>
      <c r="H344" s="52" t="s">
        <v>70</v>
      </c>
      <c r="I344" s="120">
        <v>2781</v>
      </c>
      <c r="J344" s="55" t="str">
        <f>IF(tbRegistroEntradas[[#This Row],[DATA DE CAIXA REALIZADO]]="N/A","0",UPPER(TEXT(tbRegistroEntradas[[#This Row],[DATA DE CAIXA REALIZADO]],"mmm")))</f>
        <v>JUL</v>
      </c>
      <c r="K344" s="58">
        <f>IF(tbRegistroEntradas[[#This Row],[DATA DE CAIXA REALIZADO]]="N/A",0,YEAR(tbRegistroEntradas[[#This Row],[DATA DE CAIXA REALIZADO]]))</f>
        <v>2022</v>
      </c>
      <c r="L344" s="79" t="str">
        <f>IF(tbRegistroEntradas[[#This Row],[DATA DA COMPETÊNCIA]]="N/A","0",UPPER(TEXT(tbRegistroEntradas[[#This Row],[DATA DA COMPETÊNCIA]],"mmm")))</f>
        <v>JUN</v>
      </c>
      <c r="M344" s="79">
        <f>IF(tbRegistroEntradas[[#This Row],[DATA DA COMPETÊNCIA]]="N/A",0,YEAR(tbRegistroEntradas[[#This Row],[DATA DA COMPETÊNCIA]]))</f>
        <v>2022</v>
      </c>
      <c r="N344" s="84" t="str">
        <f>IF(tbRegistroEntradas[[#This Row],[DATA DO CAIXA PREVISTO]]="N/A","0",UPPER(TEXT(tbRegistroEntradas[[#This Row],[DATA DO CAIXA PREVISTO]],"mmm")))</f>
        <v>JUL</v>
      </c>
      <c r="O344" s="84">
        <f>IF(tbRegistroEntradas[[#This Row],[DATA DO CAIXA PREVISTO]]="N/A",0,YEAR(tbRegistroEntradas[[#This Row],[DATA DO CAIXA PREVISTO]]))</f>
        <v>2022</v>
      </c>
      <c r="P344" s="58" t="str">
        <f ca="1">IF(AND(tbRegistroEntradas[[#This Row],[DATA DE CAIXA REALIZADO]]="N/A",tbRegistroEntradas[[#This Row],[DATA DO CAIXA PREVISTO]]&lt;TODAY()),"Vencida","Não Vencida")</f>
        <v>Não Vencida</v>
      </c>
      <c r="Q344" s="58" t="str">
        <f>IF(tbRegistroEntradas[[#This Row],[DATA DA COMPETÊNCIA]]=tbRegistroEntradas[[#This Row],[DATA DO CAIXA PREVISTO]],"Vista","Prazo")</f>
        <v>Prazo</v>
      </c>
      <c r="R344" s="58" t="str">
        <f>IF(tbRegistroEntradas[[#This Row],[DATA DE CAIXA REALIZADO]]&lt;&gt;"N/A","Em Dia","Com atraso")</f>
        <v>Em Dia</v>
      </c>
    </row>
    <row r="345" spans="1:18" s="52" customFormat="1" ht="14.4" customHeight="1" x14ac:dyDescent="0.3">
      <c r="A345" s="112">
        <v>44728.639791666668</v>
      </c>
      <c r="B345" s="114">
        <v>44717</v>
      </c>
      <c r="C345" s="114">
        <v>44728.639791666668</v>
      </c>
      <c r="D345" s="55" t="s">
        <v>66</v>
      </c>
      <c r="E345" s="55" t="s">
        <v>12</v>
      </c>
      <c r="F345" s="55" t="s">
        <v>16</v>
      </c>
      <c r="G345" s="55" t="s">
        <v>244</v>
      </c>
      <c r="H345" s="52" t="s">
        <v>126</v>
      </c>
      <c r="I345" s="119">
        <v>1875</v>
      </c>
      <c r="J345" s="55" t="str">
        <f>IF(tbRegistroEntradas[[#This Row],[DATA DE CAIXA REALIZADO]]="N/A","0",UPPER(TEXT(tbRegistroEntradas[[#This Row],[DATA DE CAIXA REALIZADO]],"mmm")))</f>
        <v>JUN</v>
      </c>
      <c r="K345" s="58">
        <f>IF(tbRegistroEntradas[[#This Row],[DATA DE CAIXA REALIZADO]]="N/A",0,YEAR(tbRegistroEntradas[[#This Row],[DATA DE CAIXA REALIZADO]]))</f>
        <v>2022</v>
      </c>
      <c r="L345" s="79" t="str">
        <f>IF(tbRegistroEntradas[[#This Row],[DATA DA COMPETÊNCIA]]="N/A","0",UPPER(TEXT(tbRegistroEntradas[[#This Row],[DATA DA COMPETÊNCIA]],"mmm")))</f>
        <v>JUN</v>
      </c>
      <c r="M345" s="79">
        <f>IF(tbRegistroEntradas[[#This Row],[DATA DA COMPETÊNCIA]]="N/A",0,YEAR(tbRegistroEntradas[[#This Row],[DATA DA COMPETÊNCIA]]))</f>
        <v>2022</v>
      </c>
      <c r="N345" s="84" t="str">
        <f>IF(tbRegistroEntradas[[#This Row],[DATA DO CAIXA PREVISTO]]="N/A","0",UPPER(TEXT(tbRegistroEntradas[[#This Row],[DATA DO CAIXA PREVISTO]],"mmm")))</f>
        <v>JUN</v>
      </c>
      <c r="O345" s="84">
        <f>IF(tbRegistroEntradas[[#This Row],[DATA DO CAIXA PREVISTO]]="N/A",0,YEAR(tbRegistroEntradas[[#This Row],[DATA DO CAIXA PREVISTO]]))</f>
        <v>2022</v>
      </c>
      <c r="P345" s="58" t="str">
        <f ca="1">IF(AND(tbRegistroEntradas[[#This Row],[DATA DE CAIXA REALIZADO]]="N/A",tbRegistroEntradas[[#This Row],[DATA DO CAIXA PREVISTO]]&lt;TODAY()),"Vencida","Não Vencida")</f>
        <v>Não Vencida</v>
      </c>
      <c r="Q345" s="58" t="str">
        <f>IF(tbRegistroEntradas[[#This Row],[DATA DA COMPETÊNCIA]]=tbRegistroEntradas[[#This Row],[DATA DO CAIXA PREVISTO]],"Vista","Prazo")</f>
        <v>Prazo</v>
      </c>
      <c r="R345" s="58" t="str">
        <f>IF(tbRegistroEntradas[[#This Row],[DATA DE CAIXA REALIZADO]]&lt;&gt;"N/A","Em Dia","Com atraso")</f>
        <v>Em Dia</v>
      </c>
    </row>
    <row r="346" spans="1:18" s="52" customFormat="1" ht="14.4" customHeight="1" x14ac:dyDescent="0.3">
      <c r="A346" s="125">
        <v>44749</v>
      </c>
      <c r="B346" s="125">
        <f>A346-31</f>
        <v>44718</v>
      </c>
      <c r="C346" s="125">
        <f>(A346-B346)+B346-15</f>
        <v>44734</v>
      </c>
      <c r="D346" s="126" t="s">
        <v>65</v>
      </c>
      <c r="E346" s="126" t="s">
        <v>12</v>
      </c>
      <c r="F346" s="126" t="s">
        <v>16</v>
      </c>
      <c r="G346" s="126" t="s">
        <v>936</v>
      </c>
      <c r="H346" s="52" t="s">
        <v>121</v>
      </c>
      <c r="I346" s="127">
        <v>5226</v>
      </c>
      <c r="J346" s="110" t="str">
        <f>IF(tbRegistroEntradas[[#This Row],[DATA DE CAIXA REALIZADO]]="N/A","0",UPPER(TEXT(tbRegistroEntradas[[#This Row],[DATA DE CAIXA REALIZADO]],"mmm")))</f>
        <v>JUL</v>
      </c>
      <c r="K346" s="57">
        <f>IF(tbRegistroEntradas[[#This Row],[DATA DE CAIXA REALIZADO]]="N/A",0,YEAR(tbRegistroEntradas[[#This Row],[DATA DE CAIXA REALIZADO]]))</f>
        <v>2022</v>
      </c>
      <c r="L346" s="58" t="str">
        <f>IF(tbRegistroEntradas[[#This Row],[DATA DA COMPETÊNCIA]]="N/A","0",UPPER(TEXT(tbRegistroEntradas[[#This Row],[DATA DA COMPETÊNCIA]],"mmm")))</f>
        <v>JUN</v>
      </c>
      <c r="M346" s="58">
        <f>IF(tbRegistroEntradas[[#This Row],[DATA DA COMPETÊNCIA]]="N/A",0,YEAR(tbRegistroEntradas[[#This Row],[DATA DA COMPETÊNCIA]]))</f>
        <v>2022</v>
      </c>
      <c r="N346" s="58" t="str">
        <f>IF(tbRegistroEntradas[[#This Row],[DATA DO CAIXA PREVISTO]]="N/A","0",UPPER(TEXT(tbRegistroEntradas[[#This Row],[DATA DO CAIXA PREVISTO]],"mmm")))</f>
        <v>JUN</v>
      </c>
      <c r="O346" s="58">
        <f>IF(tbRegistroEntradas[[#This Row],[DATA DO CAIXA PREVISTO]]="N/A",0,YEAR(tbRegistroEntradas[[#This Row],[DATA DO CAIXA PREVISTO]]))</f>
        <v>2022</v>
      </c>
      <c r="P346" s="58" t="str">
        <f ca="1">IF(AND(tbRegistroEntradas[[#This Row],[DATA DE CAIXA REALIZADO]]="N/A",tbRegistroEntradas[[#This Row],[DATA DO CAIXA PREVISTO]]&lt;TODAY()),"Vencida","Não Vencida")</f>
        <v>Não Vencida</v>
      </c>
      <c r="Q346" s="58" t="str">
        <f>IF(tbRegistroEntradas[[#This Row],[DATA DA COMPETÊNCIA]]=tbRegistroEntradas[[#This Row],[DATA DO CAIXA PREVISTO]],"Vista","Prazo")</f>
        <v>Prazo</v>
      </c>
      <c r="R346" s="58" t="str">
        <f>IF(tbRegistroEntradas[[#This Row],[DATA DE CAIXA REALIZADO]]&lt;&gt;"N/A","Em Dia","Com atraso")</f>
        <v>Em Dia</v>
      </c>
    </row>
    <row r="347" spans="1:18" s="52" customFormat="1" ht="14.4" customHeight="1" x14ac:dyDescent="0.3">
      <c r="A347" s="125">
        <v>44750</v>
      </c>
      <c r="B347" s="125">
        <f>A347-31</f>
        <v>44719</v>
      </c>
      <c r="C347" s="125">
        <f>(A347-B347)+B347-15</f>
        <v>44735</v>
      </c>
      <c r="D347" s="126" t="s">
        <v>137</v>
      </c>
      <c r="E347" s="126" t="s">
        <v>12</v>
      </c>
      <c r="F347" s="126" t="s">
        <v>17</v>
      </c>
      <c r="G347" s="126" t="s">
        <v>795</v>
      </c>
      <c r="H347" s="52" t="s">
        <v>107</v>
      </c>
      <c r="I347" s="127">
        <v>4187</v>
      </c>
      <c r="J347" s="110" t="str">
        <f>IF(tbRegistroEntradas[[#This Row],[DATA DE CAIXA REALIZADO]]="N/A","0",UPPER(TEXT(tbRegistroEntradas[[#This Row],[DATA DE CAIXA REALIZADO]],"mmm")))</f>
        <v>JUL</v>
      </c>
      <c r="K347" s="57">
        <f>IF(tbRegistroEntradas[[#This Row],[DATA DE CAIXA REALIZADO]]="N/A",0,YEAR(tbRegistroEntradas[[#This Row],[DATA DE CAIXA REALIZADO]]))</f>
        <v>2022</v>
      </c>
      <c r="L347" s="58" t="str">
        <f>IF(tbRegistroEntradas[[#This Row],[DATA DA COMPETÊNCIA]]="N/A","0",UPPER(TEXT(tbRegistroEntradas[[#This Row],[DATA DA COMPETÊNCIA]],"mmm")))</f>
        <v>JUN</v>
      </c>
      <c r="M347" s="58">
        <f>IF(tbRegistroEntradas[[#This Row],[DATA DA COMPETÊNCIA]]="N/A",0,YEAR(tbRegistroEntradas[[#This Row],[DATA DA COMPETÊNCIA]]))</f>
        <v>2022</v>
      </c>
      <c r="N347" s="58" t="str">
        <f>IF(tbRegistroEntradas[[#This Row],[DATA DO CAIXA PREVISTO]]="N/A","0",UPPER(TEXT(tbRegistroEntradas[[#This Row],[DATA DO CAIXA PREVISTO]],"mmm")))</f>
        <v>JUN</v>
      </c>
      <c r="O347" s="58">
        <f>IF(tbRegistroEntradas[[#This Row],[DATA DO CAIXA PREVISTO]]="N/A",0,YEAR(tbRegistroEntradas[[#This Row],[DATA DO CAIXA PREVISTO]]))</f>
        <v>2022</v>
      </c>
      <c r="P347" s="58" t="str">
        <f ca="1">IF(AND(tbRegistroEntradas[[#This Row],[DATA DE CAIXA REALIZADO]]="N/A",tbRegistroEntradas[[#This Row],[DATA DO CAIXA PREVISTO]]&lt;TODAY()),"Vencida","Não Vencida")</f>
        <v>Não Vencida</v>
      </c>
      <c r="Q347" s="58" t="str">
        <f>IF(tbRegistroEntradas[[#This Row],[DATA DA COMPETÊNCIA]]=tbRegistroEntradas[[#This Row],[DATA DO CAIXA PREVISTO]],"Vista","Prazo")</f>
        <v>Prazo</v>
      </c>
      <c r="R347" s="58" t="str">
        <f>IF(tbRegistroEntradas[[#This Row],[DATA DE CAIXA REALIZADO]]&lt;&gt;"N/A","Em Dia","Com atraso")</f>
        <v>Em Dia</v>
      </c>
    </row>
    <row r="348" spans="1:18" s="52" customFormat="1" ht="14.4" customHeight="1" x14ac:dyDescent="0.3">
      <c r="A348" s="125">
        <v>44751</v>
      </c>
      <c r="B348" s="125">
        <f>A348-31</f>
        <v>44720</v>
      </c>
      <c r="C348" s="125">
        <f>(A348-B348)+B348-15</f>
        <v>44736</v>
      </c>
      <c r="D348" s="126" t="s">
        <v>137</v>
      </c>
      <c r="E348" s="126" t="s">
        <v>12</v>
      </c>
      <c r="F348" s="126" t="s">
        <v>32</v>
      </c>
      <c r="G348" s="126" t="s">
        <v>875</v>
      </c>
      <c r="H348" s="52" t="s">
        <v>73</v>
      </c>
      <c r="I348" s="127">
        <v>7765</v>
      </c>
      <c r="J348" s="110" t="str">
        <f>IF(tbRegistroEntradas[[#This Row],[DATA DE CAIXA REALIZADO]]="N/A","0",UPPER(TEXT(tbRegistroEntradas[[#This Row],[DATA DE CAIXA REALIZADO]],"mmm")))</f>
        <v>JUL</v>
      </c>
      <c r="K348" s="57">
        <f>IF(tbRegistroEntradas[[#This Row],[DATA DE CAIXA REALIZADO]]="N/A",0,YEAR(tbRegistroEntradas[[#This Row],[DATA DE CAIXA REALIZADO]]))</f>
        <v>2022</v>
      </c>
      <c r="L348" s="58" t="str">
        <f>IF(tbRegistroEntradas[[#This Row],[DATA DA COMPETÊNCIA]]="N/A","0",UPPER(TEXT(tbRegistroEntradas[[#This Row],[DATA DA COMPETÊNCIA]],"mmm")))</f>
        <v>JUN</v>
      </c>
      <c r="M348" s="58">
        <f>IF(tbRegistroEntradas[[#This Row],[DATA DA COMPETÊNCIA]]="N/A",0,YEAR(tbRegistroEntradas[[#This Row],[DATA DA COMPETÊNCIA]]))</f>
        <v>2022</v>
      </c>
      <c r="N348" s="58" t="str">
        <f>IF(tbRegistroEntradas[[#This Row],[DATA DO CAIXA PREVISTO]]="N/A","0",UPPER(TEXT(tbRegistroEntradas[[#This Row],[DATA DO CAIXA PREVISTO]],"mmm")))</f>
        <v>JUN</v>
      </c>
      <c r="O348" s="58">
        <f>IF(tbRegistroEntradas[[#This Row],[DATA DO CAIXA PREVISTO]]="N/A",0,YEAR(tbRegistroEntradas[[#This Row],[DATA DO CAIXA PREVISTO]]))</f>
        <v>2022</v>
      </c>
      <c r="P348" s="58" t="str">
        <f ca="1">IF(AND(tbRegistroEntradas[[#This Row],[DATA DE CAIXA REALIZADO]]="N/A",tbRegistroEntradas[[#This Row],[DATA DO CAIXA PREVISTO]]&lt;TODAY()),"Vencida","Não Vencida")</f>
        <v>Não Vencida</v>
      </c>
      <c r="Q348" s="58" t="str">
        <f>IF(tbRegistroEntradas[[#This Row],[DATA DA COMPETÊNCIA]]=tbRegistroEntradas[[#This Row],[DATA DO CAIXA PREVISTO]],"Vista","Prazo")</f>
        <v>Prazo</v>
      </c>
      <c r="R348" s="58" t="str">
        <f>IF(tbRegistroEntradas[[#This Row],[DATA DE CAIXA REALIZADO]]&lt;&gt;"N/A","Em Dia","Com atraso")</f>
        <v>Em Dia</v>
      </c>
    </row>
    <row r="349" spans="1:18" s="52" customFormat="1" ht="14.4" customHeight="1" x14ac:dyDescent="0.3">
      <c r="A349" s="113">
        <v>44756.992731481485</v>
      </c>
      <c r="B349" s="115">
        <v>44720</v>
      </c>
      <c r="C349" s="115">
        <v>44756.992731481485</v>
      </c>
      <c r="D349" s="116" t="s">
        <v>63</v>
      </c>
      <c r="E349" s="116" t="s">
        <v>12</v>
      </c>
      <c r="F349" s="116" t="s">
        <v>19</v>
      </c>
      <c r="G349" s="116" t="s">
        <v>245</v>
      </c>
      <c r="H349" s="52" t="s">
        <v>69</v>
      </c>
      <c r="I349" s="120">
        <v>3134</v>
      </c>
      <c r="J349" s="55" t="str">
        <f>IF(tbRegistroEntradas[[#This Row],[DATA DE CAIXA REALIZADO]]="N/A","0",UPPER(TEXT(tbRegistroEntradas[[#This Row],[DATA DE CAIXA REALIZADO]],"mmm")))</f>
        <v>JUL</v>
      </c>
      <c r="K349" s="58">
        <f>IF(tbRegistroEntradas[[#This Row],[DATA DE CAIXA REALIZADO]]="N/A",0,YEAR(tbRegistroEntradas[[#This Row],[DATA DE CAIXA REALIZADO]]))</f>
        <v>2022</v>
      </c>
      <c r="L349" s="79" t="str">
        <f>IF(tbRegistroEntradas[[#This Row],[DATA DA COMPETÊNCIA]]="N/A","0",UPPER(TEXT(tbRegistroEntradas[[#This Row],[DATA DA COMPETÊNCIA]],"mmm")))</f>
        <v>JUN</v>
      </c>
      <c r="M349" s="79">
        <f>IF(tbRegistroEntradas[[#This Row],[DATA DA COMPETÊNCIA]]="N/A",0,YEAR(tbRegistroEntradas[[#This Row],[DATA DA COMPETÊNCIA]]))</f>
        <v>2022</v>
      </c>
      <c r="N349" s="84" t="str">
        <f>IF(tbRegistroEntradas[[#This Row],[DATA DO CAIXA PREVISTO]]="N/A","0",UPPER(TEXT(tbRegistroEntradas[[#This Row],[DATA DO CAIXA PREVISTO]],"mmm")))</f>
        <v>JUL</v>
      </c>
      <c r="O349" s="84">
        <f>IF(tbRegistroEntradas[[#This Row],[DATA DO CAIXA PREVISTO]]="N/A",0,YEAR(tbRegistroEntradas[[#This Row],[DATA DO CAIXA PREVISTO]]))</f>
        <v>2022</v>
      </c>
      <c r="P349" s="58" t="str">
        <f ca="1">IF(AND(tbRegistroEntradas[[#This Row],[DATA DE CAIXA REALIZADO]]="N/A",tbRegistroEntradas[[#This Row],[DATA DO CAIXA PREVISTO]]&lt;TODAY()),"Vencida","Não Vencida")</f>
        <v>Não Vencida</v>
      </c>
      <c r="Q349" s="58" t="str">
        <f>IF(tbRegistroEntradas[[#This Row],[DATA DA COMPETÊNCIA]]=tbRegistroEntradas[[#This Row],[DATA DO CAIXA PREVISTO]],"Vista","Prazo")</f>
        <v>Prazo</v>
      </c>
      <c r="R349" s="58" t="str">
        <f>IF(tbRegistroEntradas[[#This Row],[DATA DE CAIXA REALIZADO]]&lt;&gt;"N/A","Em Dia","Com atraso")</f>
        <v>Em Dia</v>
      </c>
    </row>
    <row r="350" spans="1:18" s="52" customFormat="1" ht="14.4" customHeight="1" x14ac:dyDescent="0.3">
      <c r="A350" s="112">
        <v>44737.511493055557</v>
      </c>
      <c r="B350" s="114">
        <v>44722</v>
      </c>
      <c r="C350" s="114">
        <v>44737.511493055557</v>
      </c>
      <c r="D350" s="55" t="s">
        <v>137</v>
      </c>
      <c r="E350" s="55" t="s">
        <v>12</v>
      </c>
      <c r="F350" s="55" t="s">
        <v>17</v>
      </c>
      <c r="G350" s="55" t="s">
        <v>246</v>
      </c>
      <c r="H350" s="52" t="s">
        <v>105</v>
      </c>
      <c r="I350" s="119">
        <v>2114</v>
      </c>
      <c r="J350" s="55" t="str">
        <f>IF(tbRegistroEntradas[[#This Row],[DATA DE CAIXA REALIZADO]]="N/A","0",UPPER(TEXT(tbRegistroEntradas[[#This Row],[DATA DE CAIXA REALIZADO]],"mmm")))</f>
        <v>JUN</v>
      </c>
      <c r="K350" s="58">
        <f>IF(tbRegistroEntradas[[#This Row],[DATA DE CAIXA REALIZADO]]="N/A",0,YEAR(tbRegistroEntradas[[#This Row],[DATA DE CAIXA REALIZADO]]))</f>
        <v>2022</v>
      </c>
      <c r="L350" s="79" t="str">
        <f>IF(tbRegistroEntradas[[#This Row],[DATA DA COMPETÊNCIA]]="N/A","0",UPPER(TEXT(tbRegistroEntradas[[#This Row],[DATA DA COMPETÊNCIA]],"mmm")))</f>
        <v>JUN</v>
      </c>
      <c r="M350" s="79">
        <f>IF(tbRegistroEntradas[[#This Row],[DATA DA COMPETÊNCIA]]="N/A",0,YEAR(tbRegistroEntradas[[#This Row],[DATA DA COMPETÊNCIA]]))</f>
        <v>2022</v>
      </c>
      <c r="N350" s="84" t="str">
        <f>IF(tbRegistroEntradas[[#This Row],[DATA DO CAIXA PREVISTO]]="N/A","0",UPPER(TEXT(tbRegistroEntradas[[#This Row],[DATA DO CAIXA PREVISTO]],"mmm")))</f>
        <v>JUN</v>
      </c>
      <c r="O350" s="84">
        <f>IF(tbRegistroEntradas[[#This Row],[DATA DO CAIXA PREVISTO]]="N/A",0,YEAR(tbRegistroEntradas[[#This Row],[DATA DO CAIXA PREVISTO]]))</f>
        <v>2022</v>
      </c>
      <c r="P350" s="58" t="str">
        <f ca="1">IF(AND(tbRegistroEntradas[[#This Row],[DATA DE CAIXA REALIZADO]]="N/A",tbRegistroEntradas[[#This Row],[DATA DO CAIXA PREVISTO]]&lt;TODAY()),"Vencida","Não Vencida")</f>
        <v>Não Vencida</v>
      </c>
      <c r="Q350" s="58" t="str">
        <f>IF(tbRegistroEntradas[[#This Row],[DATA DA COMPETÊNCIA]]=tbRegistroEntradas[[#This Row],[DATA DO CAIXA PREVISTO]],"Vista","Prazo")</f>
        <v>Prazo</v>
      </c>
      <c r="R350" s="58" t="str">
        <f>IF(tbRegistroEntradas[[#This Row],[DATA DE CAIXA REALIZADO]]&lt;&gt;"N/A","Em Dia","Com atraso")</f>
        <v>Em Dia</v>
      </c>
    </row>
    <row r="351" spans="1:18" s="52" customFormat="1" ht="14.4" customHeight="1" x14ac:dyDescent="0.3">
      <c r="A351" s="49">
        <v>44754</v>
      </c>
      <c r="B351" s="49">
        <f>A351-31</f>
        <v>44723</v>
      </c>
      <c r="C351" s="49">
        <f>(A351-B351)+B351-15</f>
        <v>44739</v>
      </c>
      <c r="D351" s="52" t="s">
        <v>138</v>
      </c>
      <c r="E351" s="52" t="s">
        <v>12</v>
      </c>
      <c r="F351" s="52" t="s">
        <v>18</v>
      </c>
      <c r="G351" s="52" t="s">
        <v>712</v>
      </c>
      <c r="H351" s="126" t="s">
        <v>136</v>
      </c>
      <c r="I351" s="18">
        <v>965</v>
      </c>
      <c r="J351" s="110" t="str">
        <f>IF(tbRegistroEntradas[[#This Row],[DATA DE CAIXA REALIZADO]]="N/A","0",UPPER(TEXT(tbRegistroEntradas[[#This Row],[DATA DE CAIXA REALIZADO]],"mmm")))</f>
        <v>JUL</v>
      </c>
      <c r="K351" s="57">
        <f>IF(tbRegistroEntradas[[#This Row],[DATA DE CAIXA REALIZADO]]="N/A",0,YEAR(tbRegistroEntradas[[#This Row],[DATA DE CAIXA REALIZADO]]))</f>
        <v>2022</v>
      </c>
      <c r="L351" s="58" t="str">
        <f>IF(tbRegistroEntradas[[#This Row],[DATA DA COMPETÊNCIA]]="N/A","0",UPPER(TEXT(tbRegistroEntradas[[#This Row],[DATA DA COMPETÊNCIA]],"mmm")))</f>
        <v>JUN</v>
      </c>
      <c r="M351" s="58">
        <f>IF(tbRegistroEntradas[[#This Row],[DATA DA COMPETÊNCIA]]="N/A",0,YEAR(tbRegistroEntradas[[#This Row],[DATA DA COMPETÊNCIA]]))</f>
        <v>2022</v>
      </c>
      <c r="N351" s="58" t="str">
        <f>IF(tbRegistroEntradas[[#This Row],[DATA DO CAIXA PREVISTO]]="N/A","0",UPPER(TEXT(tbRegistroEntradas[[#This Row],[DATA DO CAIXA PREVISTO]],"mmm")))</f>
        <v>JUN</v>
      </c>
      <c r="O351" s="58">
        <f>IF(tbRegistroEntradas[[#This Row],[DATA DO CAIXA PREVISTO]]="N/A",0,YEAR(tbRegistroEntradas[[#This Row],[DATA DO CAIXA PREVISTO]]))</f>
        <v>2022</v>
      </c>
      <c r="P351" s="58" t="str">
        <f ca="1">IF(AND(tbRegistroEntradas[[#This Row],[DATA DE CAIXA REALIZADO]]="N/A",tbRegistroEntradas[[#This Row],[DATA DO CAIXA PREVISTO]]&lt;TODAY()),"Vencida","Não Vencida")</f>
        <v>Não Vencida</v>
      </c>
      <c r="Q351" s="58" t="str">
        <f>IF(tbRegistroEntradas[[#This Row],[DATA DA COMPETÊNCIA]]=tbRegistroEntradas[[#This Row],[DATA DO CAIXA PREVISTO]],"Vista","Prazo")</f>
        <v>Prazo</v>
      </c>
      <c r="R351" s="58" t="str">
        <f>IF(tbRegistroEntradas[[#This Row],[DATA DE CAIXA REALIZADO]]&lt;&gt;"N/A","Em Dia","Com atraso")</f>
        <v>Em Dia</v>
      </c>
    </row>
    <row r="352" spans="1:18" s="52" customFormat="1" ht="14.4" customHeight="1" x14ac:dyDescent="0.3">
      <c r="A352" s="125">
        <v>44755</v>
      </c>
      <c r="B352" s="125">
        <f>A352-31</f>
        <v>44724</v>
      </c>
      <c r="C352" s="125">
        <f>(A352-B352)+B352-15</f>
        <v>44740</v>
      </c>
      <c r="D352" s="126" t="s">
        <v>63</v>
      </c>
      <c r="E352" s="126" t="s">
        <v>12</v>
      </c>
      <c r="F352" s="126" t="s">
        <v>32</v>
      </c>
      <c r="G352" s="126" t="s">
        <v>802</v>
      </c>
      <c r="H352" s="52" t="s">
        <v>99</v>
      </c>
      <c r="I352" s="127">
        <v>679</v>
      </c>
      <c r="J352" s="110" t="str">
        <f>IF(tbRegistroEntradas[[#This Row],[DATA DE CAIXA REALIZADO]]="N/A","0",UPPER(TEXT(tbRegistroEntradas[[#This Row],[DATA DE CAIXA REALIZADO]],"mmm")))</f>
        <v>JUL</v>
      </c>
      <c r="K352" s="57">
        <f>IF(tbRegistroEntradas[[#This Row],[DATA DE CAIXA REALIZADO]]="N/A",0,YEAR(tbRegistroEntradas[[#This Row],[DATA DE CAIXA REALIZADO]]))</f>
        <v>2022</v>
      </c>
      <c r="L352" s="58" t="str">
        <f>IF(tbRegistroEntradas[[#This Row],[DATA DA COMPETÊNCIA]]="N/A","0",UPPER(TEXT(tbRegistroEntradas[[#This Row],[DATA DA COMPETÊNCIA]],"mmm")))</f>
        <v>JUN</v>
      </c>
      <c r="M352" s="58">
        <f>IF(tbRegistroEntradas[[#This Row],[DATA DA COMPETÊNCIA]]="N/A",0,YEAR(tbRegistroEntradas[[#This Row],[DATA DA COMPETÊNCIA]]))</f>
        <v>2022</v>
      </c>
      <c r="N352" s="58" t="str">
        <f>IF(tbRegistroEntradas[[#This Row],[DATA DO CAIXA PREVISTO]]="N/A","0",UPPER(TEXT(tbRegistroEntradas[[#This Row],[DATA DO CAIXA PREVISTO]],"mmm")))</f>
        <v>JUN</v>
      </c>
      <c r="O352" s="58">
        <f>IF(tbRegistroEntradas[[#This Row],[DATA DO CAIXA PREVISTO]]="N/A",0,YEAR(tbRegistroEntradas[[#This Row],[DATA DO CAIXA PREVISTO]]))</f>
        <v>2022</v>
      </c>
      <c r="P352" s="58" t="str">
        <f ca="1">IF(AND(tbRegistroEntradas[[#This Row],[DATA DE CAIXA REALIZADO]]="N/A",tbRegistroEntradas[[#This Row],[DATA DO CAIXA PREVISTO]]&lt;TODAY()),"Vencida","Não Vencida")</f>
        <v>Não Vencida</v>
      </c>
      <c r="Q352" s="58" t="str">
        <f>IF(tbRegistroEntradas[[#This Row],[DATA DA COMPETÊNCIA]]=tbRegistroEntradas[[#This Row],[DATA DO CAIXA PREVISTO]],"Vista","Prazo")</f>
        <v>Prazo</v>
      </c>
      <c r="R352" s="58" t="str">
        <f>IF(tbRegistroEntradas[[#This Row],[DATA DE CAIXA REALIZADO]]&lt;&gt;"N/A","Em Dia","Com atraso")</f>
        <v>Em Dia</v>
      </c>
    </row>
    <row r="353" spans="1:18" s="52" customFormat="1" ht="14.4" customHeight="1" x14ac:dyDescent="0.3">
      <c r="A353" s="113">
        <v>44781.151516203703</v>
      </c>
      <c r="B353" s="115">
        <v>44725</v>
      </c>
      <c r="C353" s="125">
        <f>tbRegistroEntradas[[#This Row],[DATA DA COMPETÊNCIA]]</f>
        <v>44725</v>
      </c>
      <c r="D353" s="116" t="s">
        <v>137</v>
      </c>
      <c r="E353" s="116" t="s">
        <v>12</v>
      </c>
      <c r="F353" s="116" t="s">
        <v>16</v>
      </c>
      <c r="G353" s="116" t="s">
        <v>247</v>
      </c>
      <c r="H353" s="52" t="s">
        <v>104</v>
      </c>
      <c r="I353" s="120">
        <v>4961</v>
      </c>
      <c r="J353" s="55" t="str">
        <f>IF(tbRegistroEntradas[[#This Row],[DATA DE CAIXA REALIZADO]]="N/A","0",UPPER(TEXT(tbRegistroEntradas[[#This Row],[DATA DE CAIXA REALIZADO]],"mmm")))</f>
        <v>AGO</v>
      </c>
      <c r="K353" s="58">
        <f>IF(tbRegistroEntradas[[#This Row],[DATA DE CAIXA REALIZADO]]="N/A",0,YEAR(tbRegistroEntradas[[#This Row],[DATA DE CAIXA REALIZADO]]))</f>
        <v>2022</v>
      </c>
      <c r="L353" s="79" t="str">
        <f>IF(tbRegistroEntradas[[#This Row],[DATA DA COMPETÊNCIA]]="N/A","0",UPPER(TEXT(tbRegistroEntradas[[#This Row],[DATA DA COMPETÊNCIA]],"mmm")))</f>
        <v>JUN</v>
      </c>
      <c r="M353" s="79">
        <f>IF(tbRegistroEntradas[[#This Row],[DATA DA COMPETÊNCIA]]="N/A",0,YEAR(tbRegistroEntradas[[#This Row],[DATA DA COMPETÊNCIA]]))</f>
        <v>2022</v>
      </c>
      <c r="N353" s="84" t="str">
        <f>IF(tbRegistroEntradas[[#This Row],[DATA DO CAIXA PREVISTO]]="N/A","0",UPPER(TEXT(tbRegistroEntradas[[#This Row],[DATA DO CAIXA PREVISTO]],"mmm")))</f>
        <v>JUN</v>
      </c>
      <c r="O353" s="84">
        <f>IF(tbRegistroEntradas[[#This Row],[DATA DO CAIXA PREVISTO]]="N/A",0,YEAR(tbRegistroEntradas[[#This Row],[DATA DO CAIXA PREVISTO]]))</f>
        <v>2022</v>
      </c>
      <c r="P353" s="58" t="str">
        <f ca="1">IF(AND(tbRegistroEntradas[[#This Row],[DATA DE CAIXA REALIZADO]]="N/A",tbRegistroEntradas[[#This Row],[DATA DO CAIXA PREVISTO]]&lt;TODAY()),"Vencida","Não Vencida")</f>
        <v>Não Vencida</v>
      </c>
      <c r="Q353" s="58" t="str">
        <f>IF(tbRegistroEntradas[[#This Row],[DATA DA COMPETÊNCIA]]=tbRegistroEntradas[[#This Row],[DATA DO CAIXA PREVISTO]],"Vista","Prazo")</f>
        <v>Vista</v>
      </c>
      <c r="R353" s="58" t="str">
        <f>IF(tbRegistroEntradas[[#This Row],[DATA DE CAIXA REALIZADO]]&lt;&gt;"N/A","Em Dia","Com atraso")</f>
        <v>Em Dia</v>
      </c>
    </row>
    <row r="354" spans="1:18" s="52" customFormat="1" ht="14.4" customHeight="1" x14ac:dyDescent="0.3">
      <c r="A354" s="125">
        <v>44757</v>
      </c>
      <c r="B354" s="125">
        <f>A354-31</f>
        <v>44726</v>
      </c>
      <c r="C354" s="125">
        <f>(A354-B354)+B354-15</f>
        <v>44742</v>
      </c>
      <c r="D354" s="126" t="s">
        <v>65</v>
      </c>
      <c r="E354" s="126" t="s">
        <v>12</v>
      </c>
      <c r="F354" s="126" t="s">
        <v>32</v>
      </c>
      <c r="G354" s="126" t="s">
        <v>905</v>
      </c>
      <c r="H354" s="52" t="s">
        <v>122</v>
      </c>
      <c r="I354" s="127">
        <v>4336</v>
      </c>
      <c r="J354" s="110" t="str">
        <f>IF(tbRegistroEntradas[[#This Row],[DATA DE CAIXA REALIZADO]]="N/A","0",UPPER(TEXT(tbRegistroEntradas[[#This Row],[DATA DE CAIXA REALIZADO]],"mmm")))</f>
        <v>JUL</v>
      </c>
      <c r="K354" s="57">
        <f>IF(tbRegistroEntradas[[#This Row],[DATA DE CAIXA REALIZADO]]="N/A",0,YEAR(tbRegistroEntradas[[#This Row],[DATA DE CAIXA REALIZADO]]))</f>
        <v>2022</v>
      </c>
      <c r="L354" s="58" t="str">
        <f>IF(tbRegistroEntradas[[#This Row],[DATA DA COMPETÊNCIA]]="N/A","0",UPPER(TEXT(tbRegistroEntradas[[#This Row],[DATA DA COMPETÊNCIA]],"mmm")))</f>
        <v>JUN</v>
      </c>
      <c r="M354" s="58">
        <f>IF(tbRegistroEntradas[[#This Row],[DATA DA COMPETÊNCIA]]="N/A",0,YEAR(tbRegistroEntradas[[#This Row],[DATA DA COMPETÊNCIA]]))</f>
        <v>2022</v>
      </c>
      <c r="N354" s="58" t="str">
        <f>IF(tbRegistroEntradas[[#This Row],[DATA DO CAIXA PREVISTO]]="N/A","0",UPPER(TEXT(tbRegistroEntradas[[#This Row],[DATA DO CAIXA PREVISTO]],"mmm")))</f>
        <v>JUN</v>
      </c>
      <c r="O354" s="58">
        <f>IF(tbRegistroEntradas[[#This Row],[DATA DO CAIXA PREVISTO]]="N/A",0,YEAR(tbRegistroEntradas[[#This Row],[DATA DO CAIXA PREVISTO]]))</f>
        <v>2022</v>
      </c>
      <c r="P354" s="58" t="str">
        <f ca="1">IF(AND(tbRegistroEntradas[[#This Row],[DATA DE CAIXA REALIZADO]]="N/A",tbRegistroEntradas[[#This Row],[DATA DO CAIXA PREVISTO]]&lt;TODAY()),"Vencida","Não Vencida")</f>
        <v>Não Vencida</v>
      </c>
      <c r="Q354" s="58" t="str">
        <f>IF(tbRegistroEntradas[[#This Row],[DATA DA COMPETÊNCIA]]=tbRegistroEntradas[[#This Row],[DATA DO CAIXA PREVISTO]],"Vista","Prazo")</f>
        <v>Prazo</v>
      </c>
      <c r="R354" s="58" t="str">
        <f>IF(tbRegistroEntradas[[#This Row],[DATA DE CAIXA REALIZADO]]&lt;&gt;"N/A","Em Dia","Com atraso")</f>
        <v>Em Dia</v>
      </c>
    </row>
    <row r="355" spans="1:18" s="52" customFormat="1" ht="14.4" customHeight="1" x14ac:dyDescent="0.3">
      <c r="A355" s="112">
        <v>44764.335949074077</v>
      </c>
      <c r="B355" s="114">
        <v>44726</v>
      </c>
      <c r="C355" s="114">
        <v>44764.335949074077</v>
      </c>
      <c r="D355" s="55" t="s">
        <v>62</v>
      </c>
      <c r="E355" s="55" t="s">
        <v>12</v>
      </c>
      <c r="F355" s="55" t="s">
        <v>19</v>
      </c>
      <c r="G355" s="55" t="s">
        <v>248</v>
      </c>
      <c r="H355" s="110" t="s">
        <v>93</v>
      </c>
      <c r="I355" s="119">
        <v>909</v>
      </c>
      <c r="J355" s="55" t="str">
        <f>IF(tbRegistroEntradas[[#This Row],[DATA DE CAIXA REALIZADO]]="N/A","0",UPPER(TEXT(tbRegistroEntradas[[#This Row],[DATA DE CAIXA REALIZADO]],"mmm")))</f>
        <v>JUL</v>
      </c>
      <c r="K355" s="58">
        <f>IF(tbRegistroEntradas[[#This Row],[DATA DE CAIXA REALIZADO]]="N/A",0,YEAR(tbRegistroEntradas[[#This Row],[DATA DE CAIXA REALIZADO]]))</f>
        <v>2022</v>
      </c>
      <c r="L355" s="79" t="str">
        <f>IF(tbRegistroEntradas[[#This Row],[DATA DA COMPETÊNCIA]]="N/A","0",UPPER(TEXT(tbRegistroEntradas[[#This Row],[DATA DA COMPETÊNCIA]],"mmm")))</f>
        <v>JUN</v>
      </c>
      <c r="M355" s="79">
        <f>IF(tbRegistroEntradas[[#This Row],[DATA DA COMPETÊNCIA]]="N/A",0,YEAR(tbRegistroEntradas[[#This Row],[DATA DA COMPETÊNCIA]]))</f>
        <v>2022</v>
      </c>
      <c r="N355" s="84" t="str">
        <f>IF(tbRegistroEntradas[[#This Row],[DATA DO CAIXA PREVISTO]]="N/A","0",UPPER(TEXT(tbRegistroEntradas[[#This Row],[DATA DO CAIXA PREVISTO]],"mmm")))</f>
        <v>JUL</v>
      </c>
      <c r="O355" s="84">
        <f>IF(tbRegistroEntradas[[#This Row],[DATA DO CAIXA PREVISTO]]="N/A",0,YEAR(tbRegistroEntradas[[#This Row],[DATA DO CAIXA PREVISTO]]))</f>
        <v>2022</v>
      </c>
      <c r="P355" s="58" t="str">
        <f ca="1">IF(AND(tbRegistroEntradas[[#This Row],[DATA DE CAIXA REALIZADO]]="N/A",tbRegistroEntradas[[#This Row],[DATA DO CAIXA PREVISTO]]&lt;TODAY()),"Vencida","Não Vencida")</f>
        <v>Não Vencida</v>
      </c>
      <c r="Q355" s="58" t="str">
        <f>IF(tbRegistroEntradas[[#This Row],[DATA DA COMPETÊNCIA]]=tbRegistroEntradas[[#This Row],[DATA DO CAIXA PREVISTO]],"Vista","Prazo")</f>
        <v>Prazo</v>
      </c>
      <c r="R355" s="58" t="str">
        <f>IF(tbRegistroEntradas[[#This Row],[DATA DE CAIXA REALIZADO]]&lt;&gt;"N/A","Em Dia","Com atraso")</f>
        <v>Em Dia</v>
      </c>
    </row>
    <row r="356" spans="1:18" s="52" customFormat="1" ht="14.4" customHeight="1" x14ac:dyDescent="0.3">
      <c r="A356" s="113">
        <v>44754.38554398148</v>
      </c>
      <c r="B356" s="115">
        <v>44727</v>
      </c>
      <c r="C356" s="125">
        <f>tbRegistroEntradas[[#This Row],[DATA DA COMPETÊNCIA]]</f>
        <v>44727</v>
      </c>
      <c r="D356" s="116" t="s">
        <v>64</v>
      </c>
      <c r="E356" s="116" t="s">
        <v>12</v>
      </c>
      <c r="F356" s="116" t="s">
        <v>19</v>
      </c>
      <c r="G356" s="116" t="s">
        <v>249</v>
      </c>
      <c r="H356" s="52" t="s">
        <v>111</v>
      </c>
      <c r="I356" s="120">
        <v>2197</v>
      </c>
      <c r="J356" s="55" t="str">
        <f>IF(tbRegistroEntradas[[#This Row],[DATA DE CAIXA REALIZADO]]="N/A","0",UPPER(TEXT(tbRegistroEntradas[[#This Row],[DATA DE CAIXA REALIZADO]],"mmm")))</f>
        <v>JUL</v>
      </c>
      <c r="K356" s="58">
        <f>IF(tbRegistroEntradas[[#This Row],[DATA DE CAIXA REALIZADO]]="N/A",0,YEAR(tbRegistroEntradas[[#This Row],[DATA DE CAIXA REALIZADO]]))</f>
        <v>2022</v>
      </c>
      <c r="L356" s="79" t="str">
        <f>IF(tbRegistroEntradas[[#This Row],[DATA DA COMPETÊNCIA]]="N/A","0",UPPER(TEXT(tbRegistroEntradas[[#This Row],[DATA DA COMPETÊNCIA]],"mmm")))</f>
        <v>JUN</v>
      </c>
      <c r="M356" s="79">
        <f>IF(tbRegistroEntradas[[#This Row],[DATA DA COMPETÊNCIA]]="N/A",0,YEAR(tbRegistroEntradas[[#This Row],[DATA DA COMPETÊNCIA]]))</f>
        <v>2022</v>
      </c>
      <c r="N356" s="84" t="str">
        <f>IF(tbRegistroEntradas[[#This Row],[DATA DO CAIXA PREVISTO]]="N/A","0",UPPER(TEXT(tbRegistroEntradas[[#This Row],[DATA DO CAIXA PREVISTO]],"mmm")))</f>
        <v>JUN</v>
      </c>
      <c r="O356" s="84">
        <f>IF(tbRegistroEntradas[[#This Row],[DATA DO CAIXA PREVISTO]]="N/A",0,YEAR(tbRegistroEntradas[[#This Row],[DATA DO CAIXA PREVISTO]]))</f>
        <v>2022</v>
      </c>
      <c r="P356" s="58" t="str">
        <f ca="1">IF(AND(tbRegistroEntradas[[#This Row],[DATA DE CAIXA REALIZADO]]="N/A",tbRegistroEntradas[[#This Row],[DATA DO CAIXA PREVISTO]]&lt;TODAY()),"Vencida","Não Vencida")</f>
        <v>Não Vencida</v>
      </c>
      <c r="Q356" s="58" t="str">
        <f>IF(tbRegistroEntradas[[#This Row],[DATA DA COMPETÊNCIA]]=tbRegistroEntradas[[#This Row],[DATA DO CAIXA PREVISTO]],"Vista","Prazo")</f>
        <v>Vista</v>
      </c>
      <c r="R356" s="58" t="str">
        <f>IF(tbRegistroEntradas[[#This Row],[DATA DE CAIXA REALIZADO]]&lt;&gt;"N/A","Em Dia","Com atraso")</f>
        <v>Em Dia</v>
      </c>
    </row>
    <row r="357" spans="1:18" s="52" customFormat="1" ht="14.4" customHeight="1" x14ac:dyDescent="0.3">
      <c r="A357" s="49">
        <v>44759</v>
      </c>
      <c r="B357" s="49">
        <f>A357-31</f>
        <v>44728</v>
      </c>
      <c r="C357" s="125">
        <f>tbRegistroEntradas[[#This Row],[DATA DA COMPETÊNCIA]]</f>
        <v>44728</v>
      </c>
      <c r="D357" s="52" t="s">
        <v>66</v>
      </c>
      <c r="E357" s="52" t="s">
        <v>12</v>
      </c>
      <c r="F357" s="52" t="s">
        <v>17</v>
      </c>
      <c r="G357" s="52" t="s">
        <v>1054</v>
      </c>
      <c r="H357" s="5" t="s">
        <v>127</v>
      </c>
      <c r="I357" s="18">
        <v>3744</v>
      </c>
      <c r="J357" s="110" t="str">
        <f>IF(tbRegistroEntradas[[#This Row],[DATA DE CAIXA REALIZADO]]="N/A","0",UPPER(TEXT(tbRegistroEntradas[[#This Row],[DATA DE CAIXA REALIZADO]],"mmm")))</f>
        <v>JUL</v>
      </c>
      <c r="K357" s="57">
        <f>IF(tbRegistroEntradas[[#This Row],[DATA DE CAIXA REALIZADO]]="N/A",0,YEAR(tbRegistroEntradas[[#This Row],[DATA DE CAIXA REALIZADO]]))</f>
        <v>2022</v>
      </c>
      <c r="L357" s="58" t="str">
        <f>IF(tbRegistroEntradas[[#This Row],[DATA DA COMPETÊNCIA]]="N/A","0",UPPER(TEXT(tbRegistroEntradas[[#This Row],[DATA DA COMPETÊNCIA]],"mmm")))</f>
        <v>JUN</v>
      </c>
      <c r="M357" s="58">
        <f>IF(tbRegistroEntradas[[#This Row],[DATA DA COMPETÊNCIA]]="N/A",0,YEAR(tbRegistroEntradas[[#This Row],[DATA DA COMPETÊNCIA]]))</f>
        <v>2022</v>
      </c>
      <c r="N357" s="58" t="str">
        <f>IF(tbRegistroEntradas[[#This Row],[DATA DO CAIXA PREVISTO]]="N/A","0",UPPER(TEXT(tbRegistroEntradas[[#This Row],[DATA DO CAIXA PREVISTO]],"mmm")))</f>
        <v>JUN</v>
      </c>
      <c r="O357" s="58">
        <f>IF(tbRegistroEntradas[[#This Row],[DATA DO CAIXA PREVISTO]]="N/A",0,YEAR(tbRegistroEntradas[[#This Row],[DATA DO CAIXA PREVISTO]]))</f>
        <v>2022</v>
      </c>
      <c r="P357" s="58" t="str">
        <f ca="1">IF(AND(tbRegistroEntradas[[#This Row],[DATA DE CAIXA REALIZADO]]="N/A",tbRegistroEntradas[[#This Row],[DATA DO CAIXA PREVISTO]]&lt;TODAY()),"Vencida","Não Vencida")</f>
        <v>Não Vencida</v>
      </c>
      <c r="Q357" s="58" t="str">
        <f>IF(tbRegistroEntradas[[#This Row],[DATA DA COMPETÊNCIA]]=tbRegistroEntradas[[#This Row],[DATA DO CAIXA PREVISTO]],"Vista","Prazo")</f>
        <v>Vista</v>
      </c>
      <c r="R357" s="58" t="str">
        <f>IF(tbRegistroEntradas[[#This Row],[DATA DE CAIXA REALIZADO]]&lt;&gt;"N/A","Em Dia","Com atraso")</f>
        <v>Em Dia</v>
      </c>
    </row>
    <row r="358" spans="1:18" s="52" customFormat="1" ht="14.4" customHeight="1" x14ac:dyDescent="0.3">
      <c r="A358" s="49">
        <v>44759</v>
      </c>
      <c r="B358" s="49">
        <f>A358-31</f>
        <v>44728</v>
      </c>
      <c r="C358" s="125">
        <f>tbRegistroEntradas[[#This Row],[DATA DA COMPETÊNCIA]]</f>
        <v>44728</v>
      </c>
      <c r="D358" s="52" t="s">
        <v>63</v>
      </c>
      <c r="E358" s="52" t="s">
        <v>12</v>
      </c>
      <c r="F358" s="52" t="s">
        <v>32</v>
      </c>
      <c r="G358" s="52" t="s">
        <v>966</v>
      </c>
      <c r="H358" s="52" t="s">
        <v>100</v>
      </c>
      <c r="I358" s="18">
        <v>3494</v>
      </c>
      <c r="J358" s="110" t="str">
        <f>IF(tbRegistroEntradas[[#This Row],[DATA DE CAIXA REALIZADO]]="N/A","0",UPPER(TEXT(tbRegistroEntradas[[#This Row],[DATA DE CAIXA REALIZADO]],"mmm")))</f>
        <v>JUL</v>
      </c>
      <c r="K358" s="57">
        <f>IF(tbRegistroEntradas[[#This Row],[DATA DE CAIXA REALIZADO]]="N/A",0,YEAR(tbRegistroEntradas[[#This Row],[DATA DE CAIXA REALIZADO]]))</f>
        <v>2022</v>
      </c>
      <c r="L358" s="58" t="str">
        <f>IF(tbRegistroEntradas[[#This Row],[DATA DA COMPETÊNCIA]]="N/A","0",UPPER(TEXT(tbRegistroEntradas[[#This Row],[DATA DA COMPETÊNCIA]],"mmm")))</f>
        <v>JUN</v>
      </c>
      <c r="M358" s="58">
        <f>IF(tbRegistroEntradas[[#This Row],[DATA DA COMPETÊNCIA]]="N/A",0,YEAR(tbRegistroEntradas[[#This Row],[DATA DA COMPETÊNCIA]]))</f>
        <v>2022</v>
      </c>
      <c r="N358" s="58" t="str">
        <f>IF(tbRegistroEntradas[[#This Row],[DATA DO CAIXA PREVISTO]]="N/A","0",UPPER(TEXT(tbRegistroEntradas[[#This Row],[DATA DO CAIXA PREVISTO]],"mmm")))</f>
        <v>JUN</v>
      </c>
      <c r="O358" s="58">
        <f>IF(tbRegistroEntradas[[#This Row],[DATA DO CAIXA PREVISTO]]="N/A",0,YEAR(tbRegistroEntradas[[#This Row],[DATA DO CAIXA PREVISTO]]))</f>
        <v>2022</v>
      </c>
      <c r="P358" s="58" t="str">
        <f ca="1">IF(AND(tbRegistroEntradas[[#This Row],[DATA DE CAIXA REALIZADO]]="N/A",tbRegistroEntradas[[#This Row],[DATA DO CAIXA PREVISTO]]&lt;TODAY()),"Vencida","Não Vencida")</f>
        <v>Não Vencida</v>
      </c>
      <c r="Q358" s="58" t="str">
        <f>IF(tbRegistroEntradas[[#This Row],[DATA DA COMPETÊNCIA]]=tbRegistroEntradas[[#This Row],[DATA DO CAIXA PREVISTO]],"Vista","Prazo")</f>
        <v>Vista</v>
      </c>
      <c r="R358" s="58" t="str">
        <f>IF(tbRegistroEntradas[[#This Row],[DATA DE CAIXA REALIZADO]]&lt;&gt;"N/A","Em Dia","Com atraso")</f>
        <v>Em Dia</v>
      </c>
    </row>
    <row r="359" spans="1:18" s="52" customFormat="1" ht="14.4" customHeight="1" x14ac:dyDescent="0.3">
      <c r="A359" s="112">
        <v>44808.784699074073</v>
      </c>
      <c r="B359" s="114">
        <v>44729</v>
      </c>
      <c r="C359" s="114">
        <v>44771.260046296295</v>
      </c>
      <c r="D359" s="55" t="s">
        <v>65</v>
      </c>
      <c r="E359" s="55" t="s">
        <v>12</v>
      </c>
      <c r="F359" s="55" t="s">
        <v>32</v>
      </c>
      <c r="G359" s="55" t="s">
        <v>250</v>
      </c>
      <c r="H359" s="52" t="s">
        <v>89</v>
      </c>
      <c r="I359" s="119">
        <v>3045</v>
      </c>
      <c r="J359" s="55" t="str">
        <f>IF(tbRegistroEntradas[[#This Row],[DATA DE CAIXA REALIZADO]]="N/A","0",UPPER(TEXT(tbRegistroEntradas[[#This Row],[DATA DE CAIXA REALIZADO]],"mmm")))</f>
        <v>SET</v>
      </c>
      <c r="K359" s="58">
        <f>IF(tbRegistroEntradas[[#This Row],[DATA DE CAIXA REALIZADO]]="N/A",0,YEAR(tbRegistroEntradas[[#This Row],[DATA DE CAIXA REALIZADO]]))</f>
        <v>2022</v>
      </c>
      <c r="L359" s="79" t="str">
        <f>IF(tbRegistroEntradas[[#This Row],[DATA DA COMPETÊNCIA]]="N/A","0",UPPER(TEXT(tbRegistroEntradas[[#This Row],[DATA DA COMPETÊNCIA]],"mmm")))</f>
        <v>JUN</v>
      </c>
      <c r="M359" s="79">
        <f>IF(tbRegistroEntradas[[#This Row],[DATA DA COMPETÊNCIA]]="N/A",0,YEAR(tbRegistroEntradas[[#This Row],[DATA DA COMPETÊNCIA]]))</f>
        <v>2022</v>
      </c>
      <c r="N359" s="84" t="str">
        <f>IF(tbRegistroEntradas[[#This Row],[DATA DO CAIXA PREVISTO]]="N/A","0",UPPER(TEXT(tbRegistroEntradas[[#This Row],[DATA DO CAIXA PREVISTO]],"mmm")))</f>
        <v>JUL</v>
      </c>
      <c r="O359" s="84">
        <f>IF(tbRegistroEntradas[[#This Row],[DATA DO CAIXA PREVISTO]]="N/A",0,YEAR(tbRegistroEntradas[[#This Row],[DATA DO CAIXA PREVISTO]]))</f>
        <v>2022</v>
      </c>
      <c r="P359" s="58" t="str">
        <f ca="1">IF(AND(tbRegistroEntradas[[#This Row],[DATA DE CAIXA REALIZADO]]="N/A",tbRegistroEntradas[[#This Row],[DATA DO CAIXA PREVISTO]]&lt;TODAY()),"Vencida","Não Vencida")</f>
        <v>Não Vencida</v>
      </c>
      <c r="Q359" s="58" t="str">
        <f>IF(tbRegistroEntradas[[#This Row],[DATA DA COMPETÊNCIA]]=tbRegistroEntradas[[#This Row],[DATA DO CAIXA PREVISTO]],"Vista","Prazo")</f>
        <v>Prazo</v>
      </c>
      <c r="R359" s="58" t="str">
        <f>IF(tbRegistroEntradas[[#This Row],[DATA DE CAIXA REALIZADO]]&lt;&gt;"N/A","Em Dia","Com atraso")</f>
        <v>Em Dia</v>
      </c>
    </row>
    <row r="360" spans="1:18" s="52" customFormat="1" ht="14.4" customHeight="1" x14ac:dyDescent="0.3">
      <c r="A360" s="49">
        <v>44762</v>
      </c>
      <c r="B360" s="49">
        <f>A360-31</f>
        <v>44731</v>
      </c>
      <c r="C360" s="125">
        <f>tbRegistroEntradas[[#This Row],[DATA DA COMPETÊNCIA]]</f>
        <v>44731</v>
      </c>
      <c r="D360" s="52" t="s">
        <v>65</v>
      </c>
      <c r="E360" s="52" t="s">
        <v>12</v>
      </c>
      <c r="F360" s="52" t="s">
        <v>17</v>
      </c>
      <c r="G360" s="52" t="s">
        <v>1049</v>
      </c>
      <c r="H360" s="52" t="s">
        <v>116</v>
      </c>
      <c r="I360" s="18">
        <v>1728</v>
      </c>
      <c r="J360" s="110" t="str">
        <f>IF(tbRegistroEntradas[[#This Row],[DATA DE CAIXA REALIZADO]]="N/A","0",UPPER(TEXT(tbRegistroEntradas[[#This Row],[DATA DE CAIXA REALIZADO]],"mmm")))</f>
        <v>JUL</v>
      </c>
      <c r="K360" s="57">
        <f>IF(tbRegistroEntradas[[#This Row],[DATA DE CAIXA REALIZADO]]="N/A",0,YEAR(tbRegistroEntradas[[#This Row],[DATA DE CAIXA REALIZADO]]))</f>
        <v>2022</v>
      </c>
      <c r="L360" s="58" t="str">
        <f>IF(tbRegistroEntradas[[#This Row],[DATA DA COMPETÊNCIA]]="N/A","0",UPPER(TEXT(tbRegistroEntradas[[#This Row],[DATA DA COMPETÊNCIA]],"mmm")))</f>
        <v>JUN</v>
      </c>
      <c r="M360" s="58">
        <f>IF(tbRegistroEntradas[[#This Row],[DATA DA COMPETÊNCIA]]="N/A",0,YEAR(tbRegistroEntradas[[#This Row],[DATA DA COMPETÊNCIA]]))</f>
        <v>2022</v>
      </c>
      <c r="N360" s="58" t="str">
        <f>IF(tbRegistroEntradas[[#This Row],[DATA DO CAIXA PREVISTO]]="N/A","0",UPPER(TEXT(tbRegistroEntradas[[#This Row],[DATA DO CAIXA PREVISTO]],"mmm")))</f>
        <v>JUN</v>
      </c>
      <c r="O360" s="58">
        <f>IF(tbRegistroEntradas[[#This Row],[DATA DO CAIXA PREVISTO]]="N/A",0,YEAR(tbRegistroEntradas[[#This Row],[DATA DO CAIXA PREVISTO]]))</f>
        <v>2022</v>
      </c>
      <c r="P360" s="58" t="str">
        <f ca="1">IF(AND(tbRegistroEntradas[[#This Row],[DATA DE CAIXA REALIZADO]]="N/A",tbRegistroEntradas[[#This Row],[DATA DO CAIXA PREVISTO]]&lt;TODAY()),"Vencida","Não Vencida")</f>
        <v>Não Vencida</v>
      </c>
      <c r="Q360" s="58" t="str">
        <f>IF(tbRegistroEntradas[[#This Row],[DATA DA COMPETÊNCIA]]=tbRegistroEntradas[[#This Row],[DATA DO CAIXA PREVISTO]],"Vista","Prazo")</f>
        <v>Vista</v>
      </c>
      <c r="R360" s="58" t="str">
        <f>IF(tbRegistroEntradas[[#This Row],[DATA DE CAIXA REALIZADO]]&lt;&gt;"N/A","Em Dia","Com atraso")</f>
        <v>Em Dia</v>
      </c>
    </row>
    <row r="361" spans="1:18" s="52" customFormat="1" ht="14.4" customHeight="1" x14ac:dyDescent="0.3">
      <c r="A361" s="49">
        <v>44762</v>
      </c>
      <c r="B361" s="49">
        <f>A361-31</f>
        <v>44731</v>
      </c>
      <c r="C361" s="49">
        <f>(A361-B361)+B361-15</f>
        <v>44747</v>
      </c>
      <c r="D361" s="52" t="s">
        <v>65</v>
      </c>
      <c r="E361" s="52" t="s">
        <v>12</v>
      </c>
      <c r="F361" s="52" t="s">
        <v>16</v>
      </c>
      <c r="G361" s="52" t="s">
        <v>665</v>
      </c>
      <c r="H361" s="52" t="s">
        <v>117</v>
      </c>
      <c r="I361" s="18">
        <v>1244</v>
      </c>
      <c r="J361" s="110" t="str">
        <f>IF(tbRegistroEntradas[[#This Row],[DATA DE CAIXA REALIZADO]]="N/A","0",UPPER(TEXT(tbRegistroEntradas[[#This Row],[DATA DE CAIXA REALIZADO]],"mmm")))</f>
        <v>JUL</v>
      </c>
      <c r="K361" s="57">
        <f>IF(tbRegistroEntradas[[#This Row],[DATA DE CAIXA REALIZADO]]="N/A",0,YEAR(tbRegistroEntradas[[#This Row],[DATA DE CAIXA REALIZADO]]))</f>
        <v>2022</v>
      </c>
      <c r="L361" s="58" t="str">
        <f>IF(tbRegistroEntradas[[#This Row],[DATA DA COMPETÊNCIA]]="N/A","0",UPPER(TEXT(tbRegistroEntradas[[#This Row],[DATA DA COMPETÊNCIA]],"mmm")))</f>
        <v>JUN</v>
      </c>
      <c r="M361" s="58">
        <f>IF(tbRegistroEntradas[[#This Row],[DATA DA COMPETÊNCIA]]="N/A",0,YEAR(tbRegistroEntradas[[#This Row],[DATA DA COMPETÊNCIA]]))</f>
        <v>2022</v>
      </c>
      <c r="N361" s="58" t="str">
        <f>IF(tbRegistroEntradas[[#This Row],[DATA DO CAIXA PREVISTO]]="N/A","0",UPPER(TEXT(tbRegistroEntradas[[#This Row],[DATA DO CAIXA PREVISTO]],"mmm")))</f>
        <v>JUL</v>
      </c>
      <c r="O361" s="58">
        <f>IF(tbRegistroEntradas[[#This Row],[DATA DO CAIXA PREVISTO]]="N/A",0,YEAR(tbRegistroEntradas[[#This Row],[DATA DO CAIXA PREVISTO]]))</f>
        <v>2022</v>
      </c>
      <c r="P361" s="58" t="str">
        <f ca="1">IF(AND(tbRegistroEntradas[[#This Row],[DATA DE CAIXA REALIZADO]]="N/A",tbRegistroEntradas[[#This Row],[DATA DO CAIXA PREVISTO]]&lt;TODAY()),"Vencida","Não Vencida")</f>
        <v>Não Vencida</v>
      </c>
      <c r="Q361" s="58" t="str">
        <f>IF(tbRegistroEntradas[[#This Row],[DATA DA COMPETÊNCIA]]=tbRegistroEntradas[[#This Row],[DATA DO CAIXA PREVISTO]],"Vista","Prazo")</f>
        <v>Prazo</v>
      </c>
      <c r="R361" s="58" t="str">
        <f>IF(tbRegistroEntradas[[#This Row],[DATA DE CAIXA REALIZADO]]&lt;&gt;"N/A","Em Dia","Com atraso")</f>
        <v>Em Dia</v>
      </c>
    </row>
    <row r="362" spans="1:18" s="52" customFormat="1" ht="14.4" customHeight="1" x14ac:dyDescent="0.3">
      <c r="A362" s="125">
        <v>44762</v>
      </c>
      <c r="B362" s="125">
        <f>A362-31</f>
        <v>44731</v>
      </c>
      <c r="C362" s="125">
        <f>(A362-B362)+B362-15</f>
        <v>44747</v>
      </c>
      <c r="D362" s="126" t="s">
        <v>61</v>
      </c>
      <c r="E362" s="126" t="s">
        <v>12</v>
      </c>
      <c r="F362" s="126" t="s">
        <v>17</v>
      </c>
      <c r="G362" s="126" t="s">
        <v>746</v>
      </c>
      <c r="H362" s="52" t="s">
        <v>88</v>
      </c>
      <c r="I362" s="127">
        <v>3555</v>
      </c>
      <c r="J362" s="110" t="str">
        <f>IF(tbRegistroEntradas[[#This Row],[DATA DE CAIXA REALIZADO]]="N/A","0",UPPER(TEXT(tbRegistroEntradas[[#This Row],[DATA DE CAIXA REALIZADO]],"mmm")))</f>
        <v>JUL</v>
      </c>
      <c r="K362" s="57">
        <f>IF(tbRegistroEntradas[[#This Row],[DATA DE CAIXA REALIZADO]]="N/A",0,YEAR(tbRegistroEntradas[[#This Row],[DATA DE CAIXA REALIZADO]]))</f>
        <v>2022</v>
      </c>
      <c r="L362" s="58" t="str">
        <f>IF(tbRegistroEntradas[[#This Row],[DATA DA COMPETÊNCIA]]="N/A","0",UPPER(TEXT(tbRegistroEntradas[[#This Row],[DATA DA COMPETÊNCIA]],"mmm")))</f>
        <v>JUN</v>
      </c>
      <c r="M362" s="58">
        <f>IF(tbRegistroEntradas[[#This Row],[DATA DA COMPETÊNCIA]]="N/A",0,YEAR(tbRegistroEntradas[[#This Row],[DATA DA COMPETÊNCIA]]))</f>
        <v>2022</v>
      </c>
      <c r="N362" s="58" t="str">
        <f>IF(tbRegistroEntradas[[#This Row],[DATA DO CAIXA PREVISTO]]="N/A","0",UPPER(TEXT(tbRegistroEntradas[[#This Row],[DATA DO CAIXA PREVISTO]],"mmm")))</f>
        <v>JUL</v>
      </c>
      <c r="O362" s="58">
        <f>IF(tbRegistroEntradas[[#This Row],[DATA DO CAIXA PREVISTO]]="N/A",0,YEAR(tbRegistroEntradas[[#This Row],[DATA DO CAIXA PREVISTO]]))</f>
        <v>2022</v>
      </c>
      <c r="P362" s="58" t="str">
        <f ca="1">IF(AND(tbRegistroEntradas[[#This Row],[DATA DE CAIXA REALIZADO]]="N/A",tbRegistroEntradas[[#This Row],[DATA DO CAIXA PREVISTO]]&lt;TODAY()),"Vencida","Não Vencida")</f>
        <v>Não Vencida</v>
      </c>
      <c r="Q362" s="58" t="str">
        <f>IF(tbRegistroEntradas[[#This Row],[DATA DA COMPETÊNCIA]]=tbRegistroEntradas[[#This Row],[DATA DO CAIXA PREVISTO]],"Vista","Prazo")</f>
        <v>Prazo</v>
      </c>
      <c r="R362" s="58" t="str">
        <f>IF(tbRegistroEntradas[[#This Row],[DATA DE CAIXA REALIZADO]]&lt;&gt;"N/A","Em Dia","Com atraso")</f>
        <v>Em Dia</v>
      </c>
    </row>
    <row r="363" spans="1:18" s="52" customFormat="1" ht="14.4" customHeight="1" x14ac:dyDescent="0.3">
      <c r="A363" s="125">
        <v>44763</v>
      </c>
      <c r="B363" s="125">
        <f>A363-31</f>
        <v>44732</v>
      </c>
      <c r="C363" s="125">
        <f>(A363-B363)+B363-15</f>
        <v>44748</v>
      </c>
      <c r="D363" s="126" t="s">
        <v>66</v>
      </c>
      <c r="E363" s="126" t="s">
        <v>12</v>
      </c>
      <c r="F363" s="126" t="s">
        <v>19</v>
      </c>
      <c r="G363" s="126" t="s">
        <v>785</v>
      </c>
      <c r="H363" s="52" t="s">
        <v>128</v>
      </c>
      <c r="I363" s="127">
        <v>3919</v>
      </c>
      <c r="J363" s="110" t="str">
        <f>IF(tbRegistroEntradas[[#This Row],[DATA DE CAIXA REALIZADO]]="N/A","0",UPPER(TEXT(tbRegistroEntradas[[#This Row],[DATA DE CAIXA REALIZADO]],"mmm")))</f>
        <v>JUL</v>
      </c>
      <c r="K363" s="57">
        <f>IF(tbRegistroEntradas[[#This Row],[DATA DE CAIXA REALIZADO]]="N/A",0,YEAR(tbRegistroEntradas[[#This Row],[DATA DE CAIXA REALIZADO]]))</f>
        <v>2022</v>
      </c>
      <c r="L363" s="58" t="str">
        <f>IF(tbRegistroEntradas[[#This Row],[DATA DA COMPETÊNCIA]]="N/A","0",UPPER(TEXT(tbRegistroEntradas[[#This Row],[DATA DA COMPETÊNCIA]],"mmm")))</f>
        <v>JUN</v>
      </c>
      <c r="M363" s="58">
        <f>IF(tbRegistroEntradas[[#This Row],[DATA DA COMPETÊNCIA]]="N/A",0,YEAR(tbRegistroEntradas[[#This Row],[DATA DA COMPETÊNCIA]]))</f>
        <v>2022</v>
      </c>
      <c r="N363" s="58" t="str">
        <f>IF(tbRegistroEntradas[[#This Row],[DATA DO CAIXA PREVISTO]]="N/A","0",UPPER(TEXT(tbRegistroEntradas[[#This Row],[DATA DO CAIXA PREVISTO]],"mmm")))</f>
        <v>JUL</v>
      </c>
      <c r="O363" s="58">
        <f>IF(tbRegistroEntradas[[#This Row],[DATA DO CAIXA PREVISTO]]="N/A",0,YEAR(tbRegistroEntradas[[#This Row],[DATA DO CAIXA PREVISTO]]))</f>
        <v>2022</v>
      </c>
      <c r="P363" s="58" t="str">
        <f ca="1">IF(AND(tbRegistroEntradas[[#This Row],[DATA DE CAIXA REALIZADO]]="N/A",tbRegistroEntradas[[#This Row],[DATA DO CAIXA PREVISTO]]&lt;TODAY()),"Vencida","Não Vencida")</f>
        <v>Não Vencida</v>
      </c>
      <c r="Q363" s="58" t="str">
        <f>IF(tbRegistroEntradas[[#This Row],[DATA DA COMPETÊNCIA]]=tbRegistroEntradas[[#This Row],[DATA DO CAIXA PREVISTO]],"Vista","Prazo")</f>
        <v>Prazo</v>
      </c>
      <c r="R363" s="58" t="str">
        <f>IF(tbRegistroEntradas[[#This Row],[DATA DE CAIXA REALIZADO]]&lt;&gt;"N/A","Em Dia","Com atraso")</f>
        <v>Em Dia</v>
      </c>
    </row>
    <row r="364" spans="1:18" s="52" customFormat="1" ht="14.4" customHeight="1" x14ac:dyDescent="0.3">
      <c r="A364" s="49">
        <v>44764</v>
      </c>
      <c r="B364" s="49">
        <f>A364-31</f>
        <v>44733</v>
      </c>
      <c r="C364" s="125">
        <f>tbRegistroEntradas[[#This Row],[DATA DA COMPETÊNCIA]]</f>
        <v>44733</v>
      </c>
      <c r="D364" s="52" t="s">
        <v>65</v>
      </c>
      <c r="E364" s="52" t="s">
        <v>12</v>
      </c>
      <c r="F364" s="52" t="s">
        <v>18</v>
      </c>
      <c r="G364" s="52" t="s">
        <v>340</v>
      </c>
      <c r="H364" s="52" t="s">
        <v>118</v>
      </c>
      <c r="I364" s="18">
        <v>731</v>
      </c>
      <c r="J364" s="110" t="str">
        <f>IF(tbRegistroEntradas[[#This Row],[DATA DE CAIXA REALIZADO]]="N/A","0",UPPER(TEXT(tbRegistroEntradas[[#This Row],[DATA DE CAIXA REALIZADO]],"mmm")))</f>
        <v>JUL</v>
      </c>
      <c r="K364" s="57">
        <f>IF(tbRegistroEntradas[[#This Row],[DATA DE CAIXA REALIZADO]]="N/A",0,YEAR(tbRegistroEntradas[[#This Row],[DATA DE CAIXA REALIZADO]]))</f>
        <v>2022</v>
      </c>
      <c r="L364" s="58" t="str">
        <f>IF(tbRegistroEntradas[[#This Row],[DATA DA COMPETÊNCIA]]="N/A","0",UPPER(TEXT(tbRegistroEntradas[[#This Row],[DATA DA COMPETÊNCIA]],"mmm")))</f>
        <v>JUN</v>
      </c>
      <c r="M364" s="58">
        <f>IF(tbRegistroEntradas[[#This Row],[DATA DA COMPETÊNCIA]]="N/A",0,YEAR(tbRegistroEntradas[[#This Row],[DATA DA COMPETÊNCIA]]))</f>
        <v>2022</v>
      </c>
      <c r="N364" s="58" t="str">
        <f>IF(tbRegistroEntradas[[#This Row],[DATA DO CAIXA PREVISTO]]="N/A","0",UPPER(TEXT(tbRegistroEntradas[[#This Row],[DATA DO CAIXA PREVISTO]],"mmm")))</f>
        <v>JUN</v>
      </c>
      <c r="O364" s="58">
        <f>IF(tbRegistroEntradas[[#This Row],[DATA DO CAIXA PREVISTO]]="N/A",0,YEAR(tbRegistroEntradas[[#This Row],[DATA DO CAIXA PREVISTO]]))</f>
        <v>2022</v>
      </c>
      <c r="P364" s="58" t="str">
        <f ca="1">IF(AND(tbRegistroEntradas[[#This Row],[DATA DE CAIXA REALIZADO]]="N/A",tbRegistroEntradas[[#This Row],[DATA DO CAIXA PREVISTO]]&lt;TODAY()),"Vencida","Não Vencida")</f>
        <v>Não Vencida</v>
      </c>
      <c r="Q364" s="58" t="str">
        <f>IF(tbRegistroEntradas[[#This Row],[DATA DA COMPETÊNCIA]]=tbRegistroEntradas[[#This Row],[DATA DO CAIXA PREVISTO]],"Vista","Prazo")</f>
        <v>Vista</v>
      </c>
      <c r="R364" s="58" t="str">
        <f>IF(tbRegistroEntradas[[#This Row],[DATA DE CAIXA REALIZADO]]&lt;&gt;"N/A","Em Dia","Com atraso")</f>
        <v>Em Dia</v>
      </c>
    </row>
    <row r="365" spans="1:18" s="52" customFormat="1" ht="14.4" customHeight="1" x14ac:dyDescent="0.3">
      <c r="A365" s="113">
        <v>44789.142627314817</v>
      </c>
      <c r="B365" s="115">
        <v>44733</v>
      </c>
      <c r="C365" s="115">
        <v>44770.393449074072</v>
      </c>
      <c r="D365" s="116" t="s">
        <v>64</v>
      </c>
      <c r="E365" s="116" t="s">
        <v>12</v>
      </c>
      <c r="F365" s="116" t="s">
        <v>32</v>
      </c>
      <c r="G365" s="116" t="s">
        <v>251</v>
      </c>
      <c r="H365" s="52" t="s">
        <v>112</v>
      </c>
      <c r="I365" s="120">
        <v>460</v>
      </c>
      <c r="J365" s="55" t="str">
        <f>IF(tbRegistroEntradas[[#This Row],[DATA DE CAIXA REALIZADO]]="N/A","0",UPPER(TEXT(tbRegistroEntradas[[#This Row],[DATA DE CAIXA REALIZADO]],"mmm")))</f>
        <v>AGO</v>
      </c>
      <c r="K365" s="58">
        <f>IF(tbRegistroEntradas[[#This Row],[DATA DE CAIXA REALIZADO]]="N/A",0,YEAR(tbRegistroEntradas[[#This Row],[DATA DE CAIXA REALIZADO]]))</f>
        <v>2022</v>
      </c>
      <c r="L365" s="79" t="str">
        <f>IF(tbRegistroEntradas[[#This Row],[DATA DA COMPETÊNCIA]]="N/A","0",UPPER(TEXT(tbRegistroEntradas[[#This Row],[DATA DA COMPETÊNCIA]],"mmm")))</f>
        <v>JUN</v>
      </c>
      <c r="M365" s="79">
        <f>IF(tbRegistroEntradas[[#This Row],[DATA DA COMPETÊNCIA]]="N/A",0,YEAR(tbRegistroEntradas[[#This Row],[DATA DA COMPETÊNCIA]]))</f>
        <v>2022</v>
      </c>
      <c r="N365" s="84" t="str">
        <f>IF(tbRegistroEntradas[[#This Row],[DATA DO CAIXA PREVISTO]]="N/A","0",UPPER(TEXT(tbRegistroEntradas[[#This Row],[DATA DO CAIXA PREVISTO]],"mmm")))</f>
        <v>JUL</v>
      </c>
      <c r="O365" s="84">
        <f>IF(tbRegistroEntradas[[#This Row],[DATA DO CAIXA PREVISTO]]="N/A",0,YEAR(tbRegistroEntradas[[#This Row],[DATA DO CAIXA PREVISTO]]))</f>
        <v>2022</v>
      </c>
      <c r="P365" s="58" t="str">
        <f ca="1">IF(AND(tbRegistroEntradas[[#This Row],[DATA DE CAIXA REALIZADO]]="N/A",tbRegistroEntradas[[#This Row],[DATA DO CAIXA PREVISTO]]&lt;TODAY()),"Vencida","Não Vencida")</f>
        <v>Não Vencida</v>
      </c>
      <c r="Q365" s="58" t="str">
        <f>IF(tbRegistroEntradas[[#This Row],[DATA DA COMPETÊNCIA]]=tbRegistroEntradas[[#This Row],[DATA DO CAIXA PREVISTO]],"Vista","Prazo")</f>
        <v>Prazo</v>
      </c>
      <c r="R365" s="58" t="str">
        <f>IF(tbRegistroEntradas[[#This Row],[DATA DE CAIXA REALIZADO]]&lt;&gt;"N/A","Em Dia","Com atraso")</f>
        <v>Em Dia</v>
      </c>
    </row>
    <row r="366" spans="1:18" s="52" customFormat="1" ht="14.4" customHeight="1" x14ac:dyDescent="0.3">
      <c r="A366" s="49">
        <v>44764</v>
      </c>
      <c r="B366" s="49">
        <f>A366-31</f>
        <v>44733</v>
      </c>
      <c r="C366" s="49">
        <f>(A366-B366)+B366-15</f>
        <v>44749</v>
      </c>
      <c r="D366" s="52" t="s">
        <v>67</v>
      </c>
      <c r="E366" s="52" t="s">
        <v>12</v>
      </c>
      <c r="F366" s="52" t="s">
        <v>17</v>
      </c>
      <c r="G366" s="52" t="s">
        <v>928</v>
      </c>
      <c r="H366" s="52" t="s">
        <v>129</v>
      </c>
      <c r="I366" s="18">
        <v>6338</v>
      </c>
      <c r="J366" s="110" t="str">
        <f>IF(tbRegistroEntradas[[#This Row],[DATA DE CAIXA REALIZADO]]="N/A","0",UPPER(TEXT(tbRegistroEntradas[[#This Row],[DATA DE CAIXA REALIZADO]],"mmm")))</f>
        <v>JUL</v>
      </c>
      <c r="K366" s="57">
        <f>IF(tbRegistroEntradas[[#This Row],[DATA DE CAIXA REALIZADO]]="N/A",0,YEAR(tbRegistroEntradas[[#This Row],[DATA DE CAIXA REALIZADO]]))</f>
        <v>2022</v>
      </c>
      <c r="L366" s="58" t="str">
        <f>IF(tbRegistroEntradas[[#This Row],[DATA DA COMPETÊNCIA]]="N/A","0",UPPER(TEXT(tbRegistroEntradas[[#This Row],[DATA DA COMPETÊNCIA]],"mmm")))</f>
        <v>JUN</v>
      </c>
      <c r="M366" s="58">
        <f>IF(tbRegistroEntradas[[#This Row],[DATA DA COMPETÊNCIA]]="N/A",0,YEAR(tbRegistroEntradas[[#This Row],[DATA DA COMPETÊNCIA]]))</f>
        <v>2022</v>
      </c>
      <c r="N366" s="58" t="str">
        <f>IF(tbRegistroEntradas[[#This Row],[DATA DO CAIXA PREVISTO]]="N/A","0",UPPER(TEXT(tbRegistroEntradas[[#This Row],[DATA DO CAIXA PREVISTO]],"mmm")))</f>
        <v>JUL</v>
      </c>
      <c r="O366" s="58">
        <f>IF(tbRegistroEntradas[[#This Row],[DATA DO CAIXA PREVISTO]]="N/A",0,YEAR(tbRegistroEntradas[[#This Row],[DATA DO CAIXA PREVISTO]]))</f>
        <v>2022</v>
      </c>
      <c r="P366" s="58" t="str">
        <f ca="1">IF(AND(tbRegistroEntradas[[#This Row],[DATA DE CAIXA REALIZADO]]="N/A",tbRegistroEntradas[[#This Row],[DATA DO CAIXA PREVISTO]]&lt;TODAY()),"Vencida","Não Vencida")</f>
        <v>Não Vencida</v>
      </c>
      <c r="Q366" s="58" t="str">
        <f>IF(tbRegistroEntradas[[#This Row],[DATA DA COMPETÊNCIA]]=tbRegistroEntradas[[#This Row],[DATA DO CAIXA PREVISTO]],"Vista","Prazo")</f>
        <v>Prazo</v>
      </c>
      <c r="R366" s="58" t="str">
        <f>IF(tbRegistroEntradas[[#This Row],[DATA DE CAIXA REALIZADO]]&lt;&gt;"N/A","Em Dia","Com atraso")</f>
        <v>Em Dia</v>
      </c>
    </row>
    <row r="367" spans="1:18" s="52" customFormat="1" ht="14.4" customHeight="1" x14ac:dyDescent="0.3">
      <c r="A367" s="125">
        <v>44765</v>
      </c>
      <c r="B367" s="125">
        <f>A367-31</f>
        <v>44734</v>
      </c>
      <c r="C367" s="125">
        <f>(A367-B367)+B367-15</f>
        <v>44750</v>
      </c>
      <c r="D367" s="126" t="s">
        <v>137</v>
      </c>
      <c r="E367" s="126" t="s">
        <v>12</v>
      </c>
      <c r="F367" s="126" t="s">
        <v>17</v>
      </c>
      <c r="G367" s="126" t="s">
        <v>893</v>
      </c>
      <c r="H367" s="52" t="s">
        <v>106</v>
      </c>
      <c r="I367" s="127">
        <v>6317</v>
      </c>
      <c r="J367" s="110" t="str">
        <f>IF(tbRegistroEntradas[[#This Row],[DATA DE CAIXA REALIZADO]]="N/A","0",UPPER(TEXT(tbRegistroEntradas[[#This Row],[DATA DE CAIXA REALIZADO]],"mmm")))</f>
        <v>JUL</v>
      </c>
      <c r="K367" s="57">
        <f>IF(tbRegistroEntradas[[#This Row],[DATA DE CAIXA REALIZADO]]="N/A",0,YEAR(tbRegistroEntradas[[#This Row],[DATA DE CAIXA REALIZADO]]))</f>
        <v>2022</v>
      </c>
      <c r="L367" s="58" t="str">
        <f>IF(tbRegistroEntradas[[#This Row],[DATA DA COMPETÊNCIA]]="N/A","0",UPPER(TEXT(tbRegistroEntradas[[#This Row],[DATA DA COMPETÊNCIA]],"mmm")))</f>
        <v>JUN</v>
      </c>
      <c r="M367" s="58">
        <f>IF(tbRegistroEntradas[[#This Row],[DATA DA COMPETÊNCIA]]="N/A",0,YEAR(tbRegistroEntradas[[#This Row],[DATA DA COMPETÊNCIA]]))</f>
        <v>2022</v>
      </c>
      <c r="N367" s="58" t="str">
        <f>IF(tbRegistroEntradas[[#This Row],[DATA DO CAIXA PREVISTO]]="N/A","0",UPPER(TEXT(tbRegistroEntradas[[#This Row],[DATA DO CAIXA PREVISTO]],"mmm")))</f>
        <v>JUL</v>
      </c>
      <c r="O367" s="58">
        <f>IF(tbRegistroEntradas[[#This Row],[DATA DO CAIXA PREVISTO]]="N/A",0,YEAR(tbRegistroEntradas[[#This Row],[DATA DO CAIXA PREVISTO]]))</f>
        <v>2022</v>
      </c>
      <c r="P367" s="58" t="str">
        <f ca="1">IF(AND(tbRegistroEntradas[[#This Row],[DATA DE CAIXA REALIZADO]]="N/A",tbRegistroEntradas[[#This Row],[DATA DO CAIXA PREVISTO]]&lt;TODAY()),"Vencida","Não Vencida")</f>
        <v>Não Vencida</v>
      </c>
      <c r="Q367" s="58" t="str">
        <f>IF(tbRegistroEntradas[[#This Row],[DATA DA COMPETÊNCIA]]=tbRegistroEntradas[[#This Row],[DATA DO CAIXA PREVISTO]],"Vista","Prazo")</f>
        <v>Prazo</v>
      </c>
      <c r="R367" s="58" t="str">
        <f>IF(tbRegistroEntradas[[#This Row],[DATA DE CAIXA REALIZADO]]&lt;&gt;"N/A","Em Dia","Com atraso")</f>
        <v>Em Dia</v>
      </c>
    </row>
    <row r="368" spans="1:18" s="52" customFormat="1" ht="14.4" customHeight="1" x14ac:dyDescent="0.3">
      <c r="A368" s="49">
        <v>44766</v>
      </c>
      <c r="B368" s="49">
        <f>A368-31</f>
        <v>44735</v>
      </c>
      <c r="C368" s="125">
        <f>tbRegistroEntradas[[#This Row],[DATA DA COMPETÊNCIA]]</f>
        <v>44735</v>
      </c>
      <c r="D368" s="52" t="s">
        <v>63</v>
      </c>
      <c r="E368" s="52" t="s">
        <v>12</v>
      </c>
      <c r="F368" s="52" t="s">
        <v>32</v>
      </c>
      <c r="G368" s="52" t="s">
        <v>790</v>
      </c>
      <c r="H368" s="5" t="s">
        <v>101</v>
      </c>
      <c r="I368" s="18">
        <v>150</v>
      </c>
      <c r="J368" s="110" t="str">
        <f>IF(tbRegistroEntradas[[#This Row],[DATA DE CAIXA REALIZADO]]="N/A","0",UPPER(TEXT(tbRegistroEntradas[[#This Row],[DATA DE CAIXA REALIZADO]],"mmm")))</f>
        <v>JUL</v>
      </c>
      <c r="K368" s="57">
        <f>IF(tbRegistroEntradas[[#This Row],[DATA DE CAIXA REALIZADO]]="N/A",0,YEAR(tbRegistroEntradas[[#This Row],[DATA DE CAIXA REALIZADO]]))</f>
        <v>2022</v>
      </c>
      <c r="L368" s="58" t="str">
        <f>IF(tbRegistroEntradas[[#This Row],[DATA DA COMPETÊNCIA]]="N/A","0",UPPER(TEXT(tbRegistroEntradas[[#This Row],[DATA DA COMPETÊNCIA]],"mmm")))</f>
        <v>JUN</v>
      </c>
      <c r="M368" s="58">
        <f>IF(tbRegistroEntradas[[#This Row],[DATA DA COMPETÊNCIA]]="N/A",0,YEAR(tbRegistroEntradas[[#This Row],[DATA DA COMPETÊNCIA]]))</f>
        <v>2022</v>
      </c>
      <c r="N368" s="58" t="str">
        <f>IF(tbRegistroEntradas[[#This Row],[DATA DO CAIXA PREVISTO]]="N/A","0",UPPER(TEXT(tbRegistroEntradas[[#This Row],[DATA DO CAIXA PREVISTO]],"mmm")))</f>
        <v>JUN</v>
      </c>
      <c r="O368" s="58">
        <f>IF(tbRegistroEntradas[[#This Row],[DATA DO CAIXA PREVISTO]]="N/A",0,YEAR(tbRegistroEntradas[[#This Row],[DATA DO CAIXA PREVISTO]]))</f>
        <v>2022</v>
      </c>
      <c r="P368" s="58" t="str">
        <f ca="1">IF(AND(tbRegistroEntradas[[#This Row],[DATA DE CAIXA REALIZADO]]="N/A",tbRegistroEntradas[[#This Row],[DATA DO CAIXA PREVISTO]]&lt;TODAY()),"Vencida","Não Vencida")</f>
        <v>Não Vencida</v>
      </c>
      <c r="Q368" s="58" t="str">
        <f>IF(tbRegistroEntradas[[#This Row],[DATA DA COMPETÊNCIA]]=tbRegistroEntradas[[#This Row],[DATA DO CAIXA PREVISTO]],"Vista","Prazo")</f>
        <v>Vista</v>
      </c>
      <c r="R368" s="58" t="str">
        <f>IF(tbRegistroEntradas[[#This Row],[DATA DE CAIXA REALIZADO]]&lt;&gt;"N/A","Em Dia","Com atraso")</f>
        <v>Em Dia</v>
      </c>
    </row>
    <row r="369" spans="1:18" s="52" customFormat="1" ht="14.4" customHeight="1" x14ac:dyDescent="0.3">
      <c r="A369" s="112" t="s">
        <v>141</v>
      </c>
      <c r="B369" s="114">
        <v>44736</v>
      </c>
      <c r="C369" s="125">
        <f>tbRegistroEntradas[[#This Row],[DATA DA COMPETÊNCIA]]</f>
        <v>44736</v>
      </c>
      <c r="D369" s="55" t="s">
        <v>61</v>
      </c>
      <c r="E369" s="55" t="s">
        <v>12</v>
      </c>
      <c r="F369" s="55" t="s">
        <v>32</v>
      </c>
      <c r="G369" s="55" t="s">
        <v>252</v>
      </c>
      <c r="H369" s="52" t="s">
        <v>79</v>
      </c>
      <c r="I369" s="119">
        <v>770</v>
      </c>
      <c r="J369" s="55" t="str">
        <f>IF(tbRegistroEntradas[[#This Row],[DATA DE CAIXA REALIZADO]]="N/A","0",UPPER(TEXT(tbRegistroEntradas[[#This Row],[DATA DE CAIXA REALIZADO]],"mmm")))</f>
        <v>0</v>
      </c>
      <c r="K369" s="58">
        <f>IF(tbRegistroEntradas[[#This Row],[DATA DE CAIXA REALIZADO]]="N/A",0,YEAR(tbRegistroEntradas[[#This Row],[DATA DE CAIXA REALIZADO]]))</f>
        <v>0</v>
      </c>
      <c r="L369" s="79" t="str">
        <f>IF(tbRegistroEntradas[[#This Row],[DATA DA COMPETÊNCIA]]="N/A","0",UPPER(TEXT(tbRegistroEntradas[[#This Row],[DATA DA COMPETÊNCIA]],"mmm")))</f>
        <v>JUN</v>
      </c>
      <c r="M369" s="79">
        <f>IF(tbRegistroEntradas[[#This Row],[DATA DA COMPETÊNCIA]]="N/A",0,YEAR(tbRegistroEntradas[[#This Row],[DATA DA COMPETÊNCIA]]))</f>
        <v>2022</v>
      </c>
      <c r="N369" s="84" t="str">
        <f>IF(tbRegistroEntradas[[#This Row],[DATA DO CAIXA PREVISTO]]="N/A","0",UPPER(TEXT(tbRegistroEntradas[[#This Row],[DATA DO CAIXA PREVISTO]],"mmm")))</f>
        <v>JUN</v>
      </c>
      <c r="O369" s="84">
        <f>IF(tbRegistroEntradas[[#This Row],[DATA DO CAIXA PREVISTO]]="N/A",0,YEAR(tbRegistroEntradas[[#This Row],[DATA DO CAIXA PREVISTO]]))</f>
        <v>2022</v>
      </c>
      <c r="P369" s="58" t="str">
        <f ca="1">IF(AND(tbRegistroEntradas[[#This Row],[DATA DE CAIXA REALIZADO]]="N/A",tbRegistroEntradas[[#This Row],[DATA DO CAIXA PREVISTO]]&lt;TODAY()),"Vencida","Não Vencida")</f>
        <v>Vencida</v>
      </c>
      <c r="Q369" s="58" t="str">
        <f>IF(tbRegistroEntradas[[#This Row],[DATA DA COMPETÊNCIA]]=tbRegistroEntradas[[#This Row],[DATA DO CAIXA PREVISTO]],"Vista","Prazo")</f>
        <v>Vista</v>
      </c>
      <c r="R369" s="58" t="str">
        <f>IF(tbRegistroEntradas[[#This Row],[DATA DE CAIXA REALIZADO]]&lt;&gt;"N/A","Em Dia","Com atraso")</f>
        <v>Com atraso</v>
      </c>
    </row>
    <row r="370" spans="1:18" s="52" customFormat="1" ht="14.4" customHeight="1" x14ac:dyDescent="0.3">
      <c r="A370" s="125">
        <v>44767</v>
      </c>
      <c r="B370" s="125">
        <f>A370-31</f>
        <v>44736</v>
      </c>
      <c r="C370" s="125">
        <f>(A370-B370)+B370-15</f>
        <v>44752</v>
      </c>
      <c r="D370" s="126" t="s">
        <v>61</v>
      </c>
      <c r="E370" s="126" t="s">
        <v>12</v>
      </c>
      <c r="F370" s="126" t="s">
        <v>18</v>
      </c>
      <c r="G370" s="126" t="s">
        <v>771</v>
      </c>
      <c r="H370" s="52" t="s">
        <v>71</v>
      </c>
      <c r="I370" s="127">
        <v>2461</v>
      </c>
      <c r="J370" s="110" t="str">
        <f>IF(tbRegistroEntradas[[#This Row],[DATA DE CAIXA REALIZADO]]="N/A","0",UPPER(TEXT(tbRegistroEntradas[[#This Row],[DATA DE CAIXA REALIZADO]],"mmm")))</f>
        <v>JUL</v>
      </c>
      <c r="K370" s="57">
        <f>IF(tbRegistroEntradas[[#This Row],[DATA DE CAIXA REALIZADO]]="N/A",0,YEAR(tbRegistroEntradas[[#This Row],[DATA DE CAIXA REALIZADO]]))</f>
        <v>2022</v>
      </c>
      <c r="L370" s="58" t="str">
        <f>IF(tbRegistroEntradas[[#This Row],[DATA DA COMPETÊNCIA]]="N/A","0",UPPER(TEXT(tbRegistroEntradas[[#This Row],[DATA DA COMPETÊNCIA]],"mmm")))</f>
        <v>JUN</v>
      </c>
      <c r="M370" s="58">
        <f>IF(tbRegistroEntradas[[#This Row],[DATA DA COMPETÊNCIA]]="N/A",0,YEAR(tbRegistroEntradas[[#This Row],[DATA DA COMPETÊNCIA]]))</f>
        <v>2022</v>
      </c>
      <c r="N370" s="58" t="str">
        <f>IF(tbRegistroEntradas[[#This Row],[DATA DO CAIXA PREVISTO]]="N/A","0",UPPER(TEXT(tbRegistroEntradas[[#This Row],[DATA DO CAIXA PREVISTO]],"mmm")))</f>
        <v>JUL</v>
      </c>
      <c r="O370" s="58">
        <f>IF(tbRegistroEntradas[[#This Row],[DATA DO CAIXA PREVISTO]]="N/A",0,YEAR(tbRegistroEntradas[[#This Row],[DATA DO CAIXA PREVISTO]]))</f>
        <v>2022</v>
      </c>
      <c r="P370" s="58" t="str">
        <f ca="1">IF(AND(tbRegistroEntradas[[#This Row],[DATA DE CAIXA REALIZADO]]="N/A",tbRegistroEntradas[[#This Row],[DATA DO CAIXA PREVISTO]]&lt;TODAY()),"Vencida","Não Vencida")</f>
        <v>Não Vencida</v>
      </c>
      <c r="Q370" s="58" t="str">
        <f>IF(tbRegistroEntradas[[#This Row],[DATA DA COMPETÊNCIA]]=tbRegistroEntradas[[#This Row],[DATA DO CAIXA PREVISTO]],"Vista","Prazo")</f>
        <v>Prazo</v>
      </c>
      <c r="R370" s="58" t="str">
        <f>IF(tbRegistroEntradas[[#This Row],[DATA DE CAIXA REALIZADO]]&lt;&gt;"N/A","Em Dia","Com atraso")</f>
        <v>Em Dia</v>
      </c>
    </row>
    <row r="371" spans="1:18" s="52" customFormat="1" ht="14.4" customHeight="1" x14ac:dyDescent="0.3">
      <c r="A371" s="49">
        <v>44768</v>
      </c>
      <c r="B371" s="49">
        <f>A371-31</f>
        <v>44737</v>
      </c>
      <c r="C371" s="125">
        <f>tbRegistroEntradas[[#This Row],[DATA DA COMPETÊNCIA]]</f>
        <v>44737</v>
      </c>
      <c r="D371" s="52" t="s">
        <v>67</v>
      </c>
      <c r="E371" s="52" t="s">
        <v>12</v>
      </c>
      <c r="F371" s="52" t="s">
        <v>17</v>
      </c>
      <c r="G371" s="52" t="s">
        <v>910</v>
      </c>
      <c r="H371" s="52" t="s">
        <v>130</v>
      </c>
      <c r="I371" s="18">
        <v>4174</v>
      </c>
      <c r="J371" s="110" t="str">
        <f>IF(tbRegistroEntradas[[#This Row],[DATA DE CAIXA REALIZADO]]="N/A","0",UPPER(TEXT(tbRegistroEntradas[[#This Row],[DATA DE CAIXA REALIZADO]],"mmm")))</f>
        <v>JUL</v>
      </c>
      <c r="K371" s="57">
        <f>IF(tbRegistroEntradas[[#This Row],[DATA DE CAIXA REALIZADO]]="N/A",0,YEAR(tbRegistroEntradas[[#This Row],[DATA DE CAIXA REALIZADO]]))</f>
        <v>2022</v>
      </c>
      <c r="L371" s="58" t="str">
        <f>IF(tbRegistroEntradas[[#This Row],[DATA DA COMPETÊNCIA]]="N/A","0",UPPER(TEXT(tbRegistroEntradas[[#This Row],[DATA DA COMPETÊNCIA]],"mmm")))</f>
        <v>JUN</v>
      </c>
      <c r="M371" s="58">
        <f>IF(tbRegistroEntradas[[#This Row],[DATA DA COMPETÊNCIA]]="N/A",0,YEAR(tbRegistroEntradas[[#This Row],[DATA DA COMPETÊNCIA]]))</f>
        <v>2022</v>
      </c>
      <c r="N371" s="58" t="str">
        <f>IF(tbRegistroEntradas[[#This Row],[DATA DO CAIXA PREVISTO]]="N/A","0",UPPER(TEXT(tbRegistroEntradas[[#This Row],[DATA DO CAIXA PREVISTO]],"mmm")))</f>
        <v>JUN</v>
      </c>
      <c r="O371" s="58">
        <f>IF(tbRegistroEntradas[[#This Row],[DATA DO CAIXA PREVISTO]]="N/A",0,YEAR(tbRegistroEntradas[[#This Row],[DATA DO CAIXA PREVISTO]]))</f>
        <v>2022</v>
      </c>
      <c r="P371" s="58" t="str">
        <f ca="1">IF(AND(tbRegistroEntradas[[#This Row],[DATA DE CAIXA REALIZADO]]="N/A",tbRegistroEntradas[[#This Row],[DATA DO CAIXA PREVISTO]]&lt;TODAY()),"Vencida","Não Vencida")</f>
        <v>Não Vencida</v>
      </c>
      <c r="Q371" s="58" t="str">
        <f>IF(tbRegistroEntradas[[#This Row],[DATA DA COMPETÊNCIA]]=tbRegistroEntradas[[#This Row],[DATA DO CAIXA PREVISTO]],"Vista","Prazo")</f>
        <v>Vista</v>
      </c>
      <c r="R371" s="58" t="str">
        <f>IF(tbRegistroEntradas[[#This Row],[DATA DE CAIXA REALIZADO]]&lt;&gt;"N/A","Em Dia","Com atraso")</f>
        <v>Em Dia</v>
      </c>
    </row>
    <row r="372" spans="1:18" s="52" customFormat="1" ht="14.4" customHeight="1" x14ac:dyDescent="0.3">
      <c r="A372" s="113">
        <v>44782.066180555557</v>
      </c>
      <c r="B372" s="115">
        <v>44737</v>
      </c>
      <c r="C372" s="115">
        <v>44778.738043981481</v>
      </c>
      <c r="D372" s="116" t="s">
        <v>61</v>
      </c>
      <c r="E372" s="116" t="s">
        <v>12</v>
      </c>
      <c r="F372" s="116" t="s">
        <v>19</v>
      </c>
      <c r="G372" s="116" t="s">
        <v>253</v>
      </c>
      <c r="H372" s="52" t="s">
        <v>80</v>
      </c>
      <c r="I372" s="120">
        <v>3646</v>
      </c>
      <c r="J372" s="55" t="str">
        <f>IF(tbRegistroEntradas[[#This Row],[DATA DE CAIXA REALIZADO]]="N/A","0",UPPER(TEXT(tbRegistroEntradas[[#This Row],[DATA DE CAIXA REALIZADO]],"mmm")))</f>
        <v>AGO</v>
      </c>
      <c r="K372" s="58">
        <f>IF(tbRegistroEntradas[[#This Row],[DATA DE CAIXA REALIZADO]]="N/A",0,YEAR(tbRegistroEntradas[[#This Row],[DATA DE CAIXA REALIZADO]]))</f>
        <v>2022</v>
      </c>
      <c r="L372" s="79" t="str">
        <f>IF(tbRegistroEntradas[[#This Row],[DATA DA COMPETÊNCIA]]="N/A","0",UPPER(TEXT(tbRegistroEntradas[[#This Row],[DATA DA COMPETÊNCIA]],"mmm")))</f>
        <v>JUN</v>
      </c>
      <c r="M372" s="79">
        <f>IF(tbRegistroEntradas[[#This Row],[DATA DA COMPETÊNCIA]]="N/A",0,YEAR(tbRegistroEntradas[[#This Row],[DATA DA COMPETÊNCIA]]))</f>
        <v>2022</v>
      </c>
      <c r="N372" s="84" t="str">
        <f>IF(tbRegistroEntradas[[#This Row],[DATA DO CAIXA PREVISTO]]="N/A","0",UPPER(TEXT(tbRegistroEntradas[[#This Row],[DATA DO CAIXA PREVISTO]],"mmm")))</f>
        <v>AGO</v>
      </c>
      <c r="O372" s="84">
        <f>IF(tbRegistroEntradas[[#This Row],[DATA DO CAIXA PREVISTO]]="N/A",0,YEAR(tbRegistroEntradas[[#This Row],[DATA DO CAIXA PREVISTO]]))</f>
        <v>2022</v>
      </c>
      <c r="P372" s="58" t="str">
        <f ca="1">IF(AND(tbRegistroEntradas[[#This Row],[DATA DE CAIXA REALIZADO]]="N/A",tbRegistroEntradas[[#This Row],[DATA DO CAIXA PREVISTO]]&lt;TODAY()),"Vencida","Não Vencida")</f>
        <v>Não Vencida</v>
      </c>
      <c r="Q372" s="58" t="str">
        <f>IF(tbRegistroEntradas[[#This Row],[DATA DA COMPETÊNCIA]]=tbRegistroEntradas[[#This Row],[DATA DO CAIXA PREVISTO]],"Vista","Prazo")</f>
        <v>Prazo</v>
      </c>
      <c r="R372" s="58" t="str">
        <f>IF(tbRegistroEntradas[[#This Row],[DATA DE CAIXA REALIZADO]]&lt;&gt;"N/A","Em Dia","Com atraso")</f>
        <v>Em Dia</v>
      </c>
    </row>
    <row r="373" spans="1:18" s="52" customFormat="1" ht="14.4" customHeight="1" x14ac:dyDescent="0.3">
      <c r="A373" s="49">
        <v>44770</v>
      </c>
      <c r="B373" s="49">
        <f>A373-31</f>
        <v>44739</v>
      </c>
      <c r="C373" s="49">
        <f>(A373-B373)+B373-15</f>
        <v>44755</v>
      </c>
      <c r="D373" s="52" t="s">
        <v>63</v>
      </c>
      <c r="E373" s="52" t="s">
        <v>12</v>
      </c>
      <c r="F373" s="52" t="s">
        <v>19</v>
      </c>
      <c r="G373" s="52" t="s">
        <v>720</v>
      </c>
      <c r="H373" s="52" t="s">
        <v>98</v>
      </c>
      <c r="I373" s="18">
        <v>3289</v>
      </c>
      <c r="J373" s="110" t="str">
        <f>IF(tbRegistroEntradas[[#This Row],[DATA DE CAIXA REALIZADO]]="N/A","0",UPPER(TEXT(tbRegistroEntradas[[#This Row],[DATA DE CAIXA REALIZADO]],"mmm")))</f>
        <v>JUL</v>
      </c>
      <c r="K373" s="57">
        <f>IF(tbRegistroEntradas[[#This Row],[DATA DE CAIXA REALIZADO]]="N/A",0,YEAR(tbRegistroEntradas[[#This Row],[DATA DE CAIXA REALIZADO]]))</f>
        <v>2022</v>
      </c>
      <c r="L373" s="58" t="str">
        <f>IF(tbRegistroEntradas[[#This Row],[DATA DA COMPETÊNCIA]]="N/A","0",UPPER(TEXT(tbRegistroEntradas[[#This Row],[DATA DA COMPETÊNCIA]],"mmm")))</f>
        <v>JUN</v>
      </c>
      <c r="M373" s="58">
        <f>IF(tbRegistroEntradas[[#This Row],[DATA DA COMPETÊNCIA]]="N/A",0,YEAR(tbRegistroEntradas[[#This Row],[DATA DA COMPETÊNCIA]]))</f>
        <v>2022</v>
      </c>
      <c r="N373" s="58" t="str">
        <f>IF(tbRegistroEntradas[[#This Row],[DATA DO CAIXA PREVISTO]]="N/A","0",UPPER(TEXT(tbRegistroEntradas[[#This Row],[DATA DO CAIXA PREVISTO]],"mmm")))</f>
        <v>JUL</v>
      </c>
      <c r="O373" s="58">
        <f>IF(tbRegistroEntradas[[#This Row],[DATA DO CAIXA PREVISTO]]="N/A",0,YEAR(tbRegistroEntradas[[#This Row],[DATA DO CAIXA PREVISTO]]))</f>
        <v>2022</v>
      </c>
      <c r="P373" s="58" t="str">
        <f ca="1">IF(AND(tbRegistroEntradas[[#This Row],[DATA DE CAIXA REALIZADO]]="N/A",tbRegistroEntradas[[#This Row],[DATA DO CAIXA PREVISTO]]&lt;TODAY()),"Vencida","Não Vencida")</f>
        <v>Não Vencida</v>
      </c>
      <c r="Q373" s="58" t="str">
        <f>IF(tbRegistroEntradas[[#This Row],[DATA DA COMPETÊNCIA]]=tbRegistroEntradas[[#This Row],[DATA DO CAIXA PREVISTO]],"Vista","Prazo")</f>
        <v>Prazo</v>
      </c>
      <c r="R373" s="58" t="str">
        <f>IF(tbRegistroEntradas[[#This Row],[DATA DE CAIXA REALIZADO]]&lt;&gt;"N/A","Em Dia","Com atraso")</f>
        <v>Em Dia</v>
      </c>
    </row>
    <row r="374" spans="1:18" s="52" customFormat="1" ht="14.4" customHeight="1" x14ac:dyDescent="0.3">
      <c r="A374" s="112">
        <v>44789.896215277775</v>
      </c>
      <c r="B374" s="114">
        <v>44741</v>
      </c>
      <c r="C374" s="125">
        <f>tbRegistroEntradas[[#This Row],[DATA DA COMPETÊNCIA]]</f>
        <v>44741</v>
      </c>
      <c r="D374" s="55" t="s">
        <v>67</v>
      </c>
      <c r="E374" s="55" t="s">
        <v>12</v>
      </c>
      <c r="F374" s="55" t="s">
        <v>19</v>
      </c>
      <c r="G374" s="55" t="s">
        <v>254</v>
      </c>
      <c r="H374" s="5" t="s">
        <v>132</v>
      </c>
      <c r="I374" s="119">
        <v>2376</v>
      </c>
      <c r="J374" s="55" t="str">
        <f>IF(tbRegistroEntradas[[#This Row],[DATA DE CAIXA REALIZADO]]="N/A","0",UPPER(TEXT(tbRegistroEntradas[[#This Row],[DATA DE CAIXA REALIZADO]],"mmm")))</f>
        <v>AGO</v>
      </c>
      <c r="K374" s="58">
        <f>IF(tbRegistroEntradas[[#This Row],[DATA DE CAIXA REALIZADO]]="N/A",0,YEAR(tbRegistroEntradas[[#This Row],[DATA DE CAIXA REALIZADO]]))</f>
        <v>2022</v>
      </c>
      <c r="L374" s="79" t="str">
        <f>IF(tbRegistroEntradas[[#This Row],[DATA DA COMPETÊNCIA]]="N/A","0",UPPER(TEXT(tbRegistroEntradas[[#This Row],[DATA DA COMPETÊNCIA]],"mmm")))</f>
        <v>JUN</v>
      </c>
      <c r="M374" s="79">
        <f>IF(tbRegistroEntradas[[#This Row],[DATA DA COMPETÊNCIA]]="N/A",0,YEAR(tbRegistroEntradas[[#This Row],[DATA DA COMPETÊNCIA]]))</f>
        <v>2022</v>
      </c>
      <c r="N374" s="84" t="str">
        <f>IF(tbRegistroEntradas[[#This Row],[DATA DO CAIXA PREVISTO]]="N/A","0",UPPER(TEXT(tbRegistroEntradas[[#This Row],[DATA DO CAIXA PREVISTO]],"mmm")))</f>
        <v>JUN</v>
      </c>
      <c r="O374" s="84">
        <f>IF(tbRegistroEntradas[[#This Row],[DATA DO CAIXA PREVISTO]]="N/A",0,YEAR(tbRegistroEntradas[[#This Row],[DATA DO CAIXA PREVISTO]]))</f>
        <v>2022</v>
      </c>
      <c r="P374" s="58" t="str">
        <f ca="1">IF(AND(tbRegistroEntradas[[#This Row],[DATA DE CAIXA REALIZADO]]="N/A",tbRegistroEntradas[[#This Row],[DATA DO CAIXA PREVISTO]]&lt;TODAY()),"Vencida","Não Vencida")</f>
        <v>Não Vencida</v>
      </c>
      <c r="Q374" s="58" t="str">
        <f>IF(tbRegistroEntradas[[#This Row],[DATA DA COMPETÊNCIA]]=tbRegistroEntradas[[#This Row],[DATA DO CAIXA PREVISTO]],"Vista","Prazo")</f>
        <v>Vista</v>
      </c>
      <c r="R374" s="58" t="str">
        <f>IF(tbRegistroEntradas[[#This Row],[DATA DE CAIXA REALIZADO]]&lt;&gt;"N/A","Em Dia","Com atraso")</f>
        <v>Em Dia</v>
      </c>
    </row>
    <row r="375" spans="1:18" s="52" customFormat="1" ht="14.4" customHeight="1" x14ac:dyDescent="0.3">
      <c r="A375" s="49">
        <v>44773</v>
      </c>
      <c r="B375" s="49">
        <f>A375-31</f>
        <v>44742</v>
      </c>
      <c r="C375" s="125">
        <f>tbRegistroEntradas[[#This Row],[DATA DA COMPETÊNCIA]]</f>
        <v>44742</v>
      </c>
      <c r="D375" s="52" t="s">
        <v>67</v>
      </c>
      <c r="E375" s="52" t="s">
        <v>12</v>
      </c>
      <c r="F375" s="52" t="s">
        <v>32</v>
      </c>
      <c r="G375" s="52" t="s">
        <v>915</v>
      </c>
      <c r="H375" s="52" t="s">
        <v>133</v>
      </c>
      <c r="I375" s="18">
        <v>3343</v>
      </c>
      <c r="J375" s="110" t="str">
        <f>IF(tbRegistroEntradas[[#This Row],[DATA DE CAIXA REALIZADO]]="N/A","0",UPPER(TEXT(tbRegistroEntradas[[#This Row],[DATA DE CAIXA REALIZADO]],"mmm")))</f>
        <v>JUL</v>
      </c>
      <c r="K375" s="57">
        <f>IF(tbRegistroEntradas[[#This Row],[DATA DE CAIXA REALIZADO]]="N/A",0,YEAR(tbRegistroEntradas[[#This Row],[DATA DE CAIXA REALIZADO]]))</f>
        <v>2022</v>
      </c>
      <c r="L375" s="58" t="str">
        <f>IF(tbRegistroEntradas[[#This Row],[DATA DA COMPETÊNCIA]]="N/A","0",UPPER(TEXT(tbRegistroEntradas[[#This Row],[DATA DA COMPETÊNCIA]],"mmm")))</f>
        <v>JUN</v>
      </c>
      <c r="M375" s="58">
        <f>IF(tbRegistroEntradas[[#This Row],[DATA DA COMPETÊNCIA]]="N/A",0,YEAR(tbRegistroEntradas[[#This Row],[DATA DA COMPETÊNCIA]]))</f>
        <v>2022</v>
      </c>
      <c r="N375" s="58" t="str">
        <f>IF(tbRegistroEntradas[[#This Row],[DATA DO CAIXA PREVISTO]]="N/A","0",UPPER(TEXT(tbRegistroEntradas[[#This Row],[DATA DO CAIXA PREVISTO]],"mmm")))</f>
        <v>JUN</v>
      </c>
      <c r="O375" s="58">
        <f>IF(tbRegistroEntradas[[#This Row],[DATA DO CAIXA PREVISTO]]="N/A",0,YEAR(tbRegistroEntradas[[#This Row],[DATA DO CAIXA PREVISTO]]))</f>
        <v>2022</v>
      </c>
      <c r="P375" s="58" t="str">
        <f ca="1">IF(AND(tbRegistroEntradas[[#This Row],[DATA DE CAIXA REALIZADO]]="N/A",tbRegistroEntradas[[#This Row],[DATA DO CAIXA PREVISTO]]&lt;TODAY()),"Vencida","Não Vencida")</f>
        <v>Não Vencida</v>
      </c>
      <c r="Q375" s="58" t="str">
        <f>IF(tbRegistroEntradas[[#This Row],[DATA DA COMPETÊNCIA]]=tbRegistroEntradas[[#This Row],[DATA DO CAIXA PREVISTO]],"Vista","Prazo")</f>
        <v>Vista</v>
      </c>
      <c r="R375" s="58" t="str">
        <f>IF(tbRegistroEntradas[[#This Row],[DATA DE CAIXA REALIZADO]]&lt;&gt;"N/A","Em Dia","Com atraso")</f>
        <v>Em Dia</v>
      </c>
    </row>
    <row r="376" spans="1:18" s="52" customFormat="1" ht="14.4" customHeight="1" x14ac:dyDescent="0.3">
      <c r="A376" s="125">
        <v>44774</v>
      </c>
      <c r="B376" s="125">
        <f>A376-31</f>
        <v>44743</v>
      </c>
      <c r="C376" s="125">
        <f>(A376-B376)+B376-15</f>
        <v>44759</v>
      </c>
      <c r="D376" s="126" t="s">
        <v>66</v>
      </c>
      <c r="E376" s="126" t="s">
        <v>12</v>
      </c>
      <c r="F376" s="126" t="s">
        <v>19</v>
      </c>
      <c r="G376" s="126" t="s">
        <v>348</v>
      </c>
      <c r="H376" s="126" t="s">
        <v>90</v>
      </c>
      <c r="I376" s="127">
        <v>3131</v>
      </c>
      <c r="J376" s="110" t="str">
        <f>IF(tbRegistroEntradas[[#This Row],[DATA DE CAIXA REALIZADO]]="N/A","0",UPPER(TEXT(tbRegistroEntradas[[#This Row],[DATA DE CAIXA REALIZADO]],"mmm")))</f>
        <v>AGO</v>
      </c>
      <c r="K376" s="57">
        <f>IF(tbRegistroEntradas[[#This Row],[DATA DE CAIXA REALIZADO]]="N/A",0,YEAR(tbRegistroEntradas[[#This Row],[DATA DE CAIXA REALIZADO]]))</f>
        <v>2022</v>
      </c>
      <c r="L376" s="58" t="str">
        <f>IF(tbRegistroEntradas[[#This Row],[DATA DA COMPETÊNCIA]]="N/A","0",UPPER(TEXT(tbRegistroEntradas[[#This Row],[DATA DA COMPETÊNCIA]],"mmm")))</f>
        <v>JUL</v>
      </c>
      <c r="M376" s="58">
        <f>IF(tbRegistroEntradas[[#This Row],[DATA DA COMPETÊNCIA]]="N/A",0,YEAR(tbRegistroEntradas[[#This Row],[DATA DA COMPETÊNCIA]]))</f>
        <v>2022</v>
      </c>
      <c r="N376" s="58" t="str">
        <f>IF(tbRegistroEntradas[[#This Row],[DATA DO CAIXA PREVISTO]]="N/A","0",UPPER(TEXT(tbRegistroEntradas[[#This Row],[DATA DO CAIXA PREVISTO]],"mmm")))</f>
        <v>JUL</v>
      </c>
      <c r="O376" s="58">
        <f>IF(tbRegistroEntradas[[#This Row],[DATA DO CAIXA PREVISTO]]="N/A",0,YEAR(tbRegistroEntradas[[#This Row],[DATA DO CAIXA PREVISTO]]))</f>
        <v>2022</v>
      </c>
      <c r="P376" s="58" t="str">
        <f ca="1">IF(AND(tbRegistroEntradas[[#This Row],[DATA DE CAIXA REALIZADO]]="N/A",tbRegistroEntradas[[#This Row],[DATA DO CAIXA PREVISTO]]&lt;TODAY()),"Vencida","Não Vencida")</f>
        <v>Não Vencida</v>
      </c>
      <c r="Q376" s="58" t="str">
        <f>IF(tbRegistroEntradas[[#This Row],[DATA DA COMPETÊNCIA]]=tbRegistroEntradas[[#This Row],[DATA DO CAIXA PREVISTO]],"Vista","Prazo")</f>
        <v>Prazo</v>
      </c>
      <c r="R376" s="58" t="str">
        <f>IF(tbRegistroEntradas[[#This Row],[DATA DE CAIXA REALIZADO]]&lt;&gt;"N/A","Em Dia","Com atraso")</f>
        <v>Em Dia</v>
      </c>
    </row>
    <row r="377" spans="1:18" s="52" customFormat="1" ht="14.4" customHeight="1" x14ac:dyDescent="0.3">
      <c r="A377" s="113">
        <v>44771.362557870372</v>
      </c>
      <c r="B377" s="115">
        <v>44745</v>
      </c>
      <c r="C377" s="125">
        <f>tbRegistroEntradas[[#This Row],[DATA DA COMPETÊNCIA]]</f>
        <v>44745</v>
      </c>
      <c r="D377" s="116" t="s">
        <v>137</v>
      </c>
      <c r="E377" s="116" t="s">
        <v>12</v>
      </c>
      <c r="F377" s="116" t="s">
        <v>19</v>
      </c>
      <c r="G377" s="116" t="s">
        <v>255</v>
      </c>
      <c r="H377" s="52" t="s">
        <v>107</v>
      </c>
      <c r="I377" s="120">
        <v>3940</v>
      </c>
      <c r="J377" s="55" t="str">
        <f>IF(tbRegistroEntradas[[#This Row],[DATA DE CAIXA REALIZADO]]="N/A","0",UPPER(TEXT(tbRegistroEntradas[[#This Row],[DATA DE CAIXA REALIZADO]],"mmm")))</f>
        <v>JUL</v>
      </c>
      <c r="K377" s="58">
        <f>IF(tbRegistroEntradas[[#This Row],[DATA DE CAIXA REALIZADO]]="N/A",0,YEAR(tbRegistroEntradas[[#This Row],[DATA DE CAIXA REALIZADO]]))</f>
        <v>2022</v>
      </c>
      <c r="L377" s="79" t="str">
        <f>IF(tbRegistroEntradas[[#This Row],[DATA DA COMPETÊNCIA]]="N/A","0",UPPER(TEXT(tbRegistroEntradas[[#This Row],[DATA DA COMPETÊNCIA]],"mmm")))</f>
        <v>JUL</v>
      </c>
      <c r="M377" s="79">
        <f>IF(tbRegistroEntradas[[#This Row],[DATA DA COMPETÊNCIA]]="N/A",0,YEAR(tbRegistroEntradas[[#This Row],[DATA DA COMPETÊNCIA]]))</f>
        <v>2022</v>
      </c>
      <c r="N377" s="84" t="str">
        <f>IF(tbRegistroEntradas[[#This Row],[DATA DO CAIXA PREVISTO]]="N/A","0",UPPER(TEXT(tbRegistroEntradas[[#This Row],[DATA DO CAIXA PREVISTO]],"mmm")))</f>
        <v>JUL</v>
      </c>
      <c r="O377" s="84">
        <f>IF(tbRegistroEntradas[[#This Row],[DATA DO CAIXA PREVISTO]]="N/A",0,YEAR(tbRegistroEntradas[[#This Row],[DATA DO CAIXA PREVISTO]]))</f>
        <v>2022</v>
      </c>
      <c r="P377" s="58" t="str">
        <f ca="1">IF(AND(tbRegistroEntradas[[#This Row],[DATA DE CAIXA REALIZADO]]="N/A",tbRegistroEntradas[[#This Row],[DATA DO CAIXA PREVISTO]]&lt;TODAY()),"Vencida","Não Vencida")</f>
        <v>Não Vencida</v>
      </c>
      <c r="Q377" s="58" t="str">
        <f>IF(tbRegistroEntradas[[#This Row],[DATA DA COMPETÊNCIA]]=tbRegistroEntradas[[#This Row],[DATA DO CAIXA PREVISTO]],"Vista","Prazo")</f>
        <v>Vista</v>
      </c>
      <c r="R377" s="58" t="str">
        <f>IF(tbRegistroEntradas[[#This Row],[DATA DE CAIXA REALIZADO]]&lt;&gt;"N/A","Em Dia","Com atraso")</f>
        <v>Em Dia</v>
      </c>
    </row>
    <row r="378" spans="1:18" s="52" customFormat="1" ht="14.4" customHeight="1" x14ac:dyDescent="0.3">
      <c r="A378" s="112">
        <v>44804.848263888889</v>
      </c>
      <c r="B378" s="114">
        <v>44746</v>
      </c>
      <c r="C378" s="114">
        <v>44804.848263888889</v>
      </c>
      <c r="D378" s="55" t="s">
        <v>65</v>
      </c>
      <c r="E378" s="55" t="s">
        <v>12</v>
      </c>
      <c r="F378" s="55" t="s">
        <v>19</v>
      </c>
      <c r="G378" s="55" t="s">
        <v>256</v>
      </c>
      <c r="H378" s="52" t="s">
        <v>119</v>
      </c>
      <c r="I378" s="119">
        <v>1732</v>
      </c>
      <c r="J378" s="55" t="str">
        <f>IF(tbRegistroEntradas[[#This Row],[DATA DE CAIXA REALIZADO]]="N/A","0",UPPER(TEXT(tbRegistroEntradas[[#This Row],[DATA DE CAIXA REALIZADO]],"mmm")))</f>
        <v>AGO</v>
      </c>
      <c r="K378" s="58">
        <f>IF(tbRegistroEntradas[[#This Row],[DATA DE CAIXA REALIZADO]]="N/A",0,YEAR(tbRegistroEntradas[[#This Row],[DATA DE CAIXA REALIZADO]]))</f>
        <v>2022</v>
      </c>
      <c r="L378" s="79" t="str">
        <f>IF(tbRegistroEntradas[[#This Row],[DATA DA COMPETÊNCIA]]="N/A","0",UPPER(TEXT(tbRegistroEntradas[[#This Row],[DATA DA COMPETÊNCIA]],"mmm")))</f>
        <v>JUL</v>
      </c>
      <c r="M378" s="79">
        <f>IF(tbRegistroEntradas[[#This Row],[DATA DA COMPETÊNCIA]]="N/A",0,YEAR(tbRegistroEntradas[[#This Row],[DATA DA COMPETÊNCIA]]))</f>
        <v>2022</v>
      </c>
      <c r="N378" s="84" t="str">
        <f>IF(tbRegistroEntradas[[#This Row],[DATA DO CAIXA PREVISTO]]="N/A","0",UPPER(TEXT(tbRegistroEntradas[[#This Row],[DATA DO CAIXA PREVISTO]],"mmm")))</f>
        <v>AGO</v>
      </c>
      <c r="O378" s="84">
        <f>IF(tbRegistroEntradas[[#This Row],[DATA DO CAIXA PREVISTO]]="N/A",0,YEAR(tbRegistroEntradas[[#This Row],[DATA DO CAIXA PREVISTO]]))</f>
        <v>2022</v>
      </c>
      <c r="P378" s="58" t="str">
        <f ca="1">IF(AND(tbRegistroEntradas[[#This Row],[DATA DE CAIXA REALIZADO]]="N/A",tbRegistroEntradas[[#This Row],[DATA DO CAIXA PREVISTO]]&lt;TODAY()),"Vencida","Não Vencida")</f>
        <v>Não Vencida</v>
      </c>
      <c r="Q378" s="58" t="str">
        <f>IF(tbRegistroEntradas[[#This Row],[DATA DA COMPETÊNCIA]]=tbRegistroEntradas[[#This Row],[DATA DO CAIXA PREVISTO]],"Vista","Prazo")</f>
        <v>Prazo</v>
      </c>
      <c r="R378" s="58" t="str">
        <f>IF(tbRegistroEntradas[[#This Row],[DATA DE CAIXA REALIZADO]]&lt;&gt;"N/A","Em Dia","Com atraso")</f>
        <v>Em Dia</v>
      </c>
    </row>
    <row r="379" spans="1:18" s="52" customFormat="1" ht="14.4" customHeight="1" x14ac:dyDescent="0.3">
      <c r="A379" s="125">
        <v>44777</v>
      </c>
      <c r="B379" s="125">
        <f>A379-31</f>
        <v>44746</v>
      </c>
      <c r="C379" s="125">
        <f>(A379-B379)+B379-15</f>
        <v>44762</v>
      </c>
      <c r="D379" s="126" t="s">
        <v>138</v>
      </c>
      <c r="E379" s="126" t="s">
        <v>12</v>
      </c>
      <c r="F379" s="126" t="s">
        <v>17</v>
      </c>
      <c r="G379" s="126" t="s">
        <v>719</v>
      </c>
      <c r="H379" s="52" t="s">
        <v>68</v>
      </c>
      <c r="I379" s="127">
        <v>2267</v>
      </c>
      <c r="J379" s="110" t="str">
        <f>IF(tbRegistroEntradas[[#This Row],[DATA DE CAIXA REALIZADO]]="N/A","0",UPPER(TEXT(tbRegistroEntradas[[#This Row],[DATA DE CAIXA REALIZADO]],"mmm")))</f>
        <v>AGO</v>
      </c>
      <c r="K379" s="57">
        <f>IF(tbRegistroEntradas[[#This Row],[DATA DE CAIXA REALIZADO]]="N/A",0,YEAR(tbRegistroEntradas[[#This Row],[DATA DE CAIXA REALIZADO]]))</f>
        <v>2022</v>
      </c>
      <c r="L379" s="58" t="str">
        <f>IF(tbRegistroEntradas[[#This Row],[DATA DA COMPETÊNCIA]]="N/A","0",UPPER(TEXT(tbRegistroEntradas[[#This Row],[DATA DA COMPETÊNCIA]],"mmm")))</f>
        <v>JUL</v>
      </c>
      <c r="M379" s="58">
        <f>IF(tbRegistroEntradas[[#This Row],[DATA DA COMPETÊNCIA]]="N/A",0,YEAR(tbRegistroEntradas[[#This Row],[DATA DA COMPETÊNCIA]]))</f>
        <v>2022</v>
      </c>
      <c r="N379" s="58" t="str">
        <f>IF(tbRegistroEntradas[[#This Row],[DATA DO CAIXA PREVISTO]]="N/A","0",UPPER(TEXT(tbRegistroEntradas[[#This Row],[DATA DO CAIXA PREVISTO]],"mmm")))</f>
        <v>JUL</v>
      </c>
      <c r="O379" s="58">
        <f>IF(tbRegistroEntradas[[#This Row],[DATA DO CAIXA PREVISTO]]="N/A",0,YEAR(tbRegistroEntradas[[#This Row],[DATA DO CAIXA PREVISTO]]))</f>
        <v>2022</v>
      </c>
      <c r="P379" s="58" t="str">
        <f ca="1">IF(AND(tbRegistroEntradas[[#This Row],[DATA DE CAIXA REALIZADO]]="N/A",tbRegistroEntradas[[#This Row],[DATA DO CAIXA PREVISTO]]&lt;TODAY()),"Vencida","Não Vencida")</f>
        <v>Não Vencida</v>
      </c>
      <c r="Q379" s="58" t="str">
        <f>IF(tbRegistroEntradas[[#This Row],[DATA DA COMPETÊNCIA]]=tbRegistroEntradas[[#This Row],[DATA DO CAIXA PREVISTO]],"Vista","Prazo")</f>
        <v>Prazo</v>
      </c>
      <c r="R379" s="58" t="str">
        <f>IF(tbRegistroEntradas[[#This Row],[DATA DE CAIXA REALIZADO]]&lt;&gt;"N/A","Em Dia","Com atraso")</f>
        <v>Em Dia</v>
      </c>
    </row>
    <row r="380" spans="1:18" s="52" customFormat="1" ht="14.4" customHeight="1" x14ac:dyDescent="0.3">
      <c r="A380" s="113">
        <v>44777.086898148147</v>
      </c>
      <c r="B380" s="115">
        <v>44747</v>
      </c>
      <c r="C380" s="115">
        <v>44777.086898148147</v>
      </c>
      <c r="D380" s="116" t="s">
        <v>64</v>
      </c>
      <c r="E380" s="116" t="s">
        <v>12</v>
      </c>
      <c r="F380" s="116" t="s">
        <v>18</v>
      </c>
      <c r="G380" s="116" t="s">
        <v>257</v>
      </c>
      <c r="H380" s="52" t="s">
        <v>113</v>
      </c>
      <c r="I380" s="120">
        <v>1306</v>
      </c>
      <c r="J380" s="55" t="str">
        <f>IF(tbRegistroEntradas[[#This Row],[DATA DE CAIXA REALIZADO]]="N/A","0",UPPER(TEXT(tbRegistroEntradas[[#This Row],[DATA DE CAIXA REALIZADO]],"mmm")))</f>
        <v>AGO</v>
      </c>
      <c r="K380" s="58">
        <f>IF(tbRegistroEntradas[[#This Row],[DATA DE CAIXA REALIZADO]]="N/A",0,YEAR(tbRegistroEntradas[[#This Row],[DATA DE CAIXA REALIZADO]]))</f>
        <v>2022</v>
      </c>
      <c r="L380" s="79" t="str">
        <f>IF(tbRegistroEntradas[[#This Row],[DATA DA COMPETÊNCIA]]="N/A","0",UPPER(TEXT(tbRegistroEntradas[[#This Row],[DATA DA COMPETÊNCIA]],"mmm")))</f>
        <v>JUL</v>
      </c>
      <c r="M380" s="79">
        <f>IF(tbRegistroEntradas[[#This Row],[DATA DA COMPETÊNCIA]]="N/A",0,YEAR(tbRegistroEntradas[[#This Row],[DATA DA COMPETÊNCIA]]))</f>
        <v>2022</v>
      </c>
      <c r="N380" s="84" t="str">
        <f>IF(tbRegistroEntradas[[#This Row],[DATA DO CAIXA PREVISTO]]="N/A","0",UPPER(TEXT(tbRegistroEntradas[[#This Row],[DATA DO CAIXA PREVISTO]],"mmm")))</f>
        <v>AGO</v>
      </c>
      <c r="O380" s="84">
        <f>IF(tbRegistroEntradas[[#This Row],[DATA DO CAIXA PREVISTO]]="N/A",0,YEAR(tbRegistroEntradas[[#This Row],[DATA DO CAIXA PREVISTO]]))</f>
        <v>2022</v>
      </c>
      <c r="P380" s="58" t="str">
        <f ca="1">IF(AND(tbRegistroEntradas[[#This Row],[DATA DE CAIXA REALIZADO]]="N/A",tbRegistroEntradas[[#This Row],[DATA DO CAIXA PREVISTO]]&lt;TODAY()),"Vencida","Não Vencida")</f>
        <v>Não Vencida</v>
      </c>
      <c r="Q380" s="58" t="str">
        <f>IF(tbRegistroEntradas[[#This Row],[DATA DA COMPETÊNCIA]]=tbRegistroEntradas[[#This Row],[DATA DO CAIXA PREVISTO]],"Vista","Prazo")</f>
        <v>Prazo</v>
      </c>
      <c r="R380" s="58" t="str">
        <f>IF(tbRegistroEntradas[[#This Row],[DATA DE CAIXA REALIZADO]]&lt;&gt;"N/A","Em Dia","Com atraso")</f>
        <v>Em Dia</v>
      </c>
    </row>
    <row r="381" spans="1:18" s="52" customFormat="1" ht="14.4" customHeight="1" x14ac:dyDescent="0.3">
      <c r="A381" s="125">
        <v>44778</v>
      </c>
      <c r="B381" s="125">
        <f>A381-31</f>
        <v>44747</v>
      </c>
      <c r="C381" s="125">
        <f>(A381-B381)+B381-15</f>
        <v>44763</v>
      </c>
      <c r="D381" s="126" t="s">
        <v>63</v>
      </c>
      <c r="E381" s="126" t="s">
        <v>12</v>
      </c>
      <c r="F381" s="126" t="s">
        <v>19</v>
      </c>
      <c r="G381" s="126" t="s">
        <v>1025</v>
      </c>
      <c r="H381" s="52" t="s">
        <v>102</v>
      </c>
      <c r="I381" s="127">
        <v>355</v>
      </c>
      <c r="J381" s="110" t="str">
        <f>IF(tbRegistroEntradas[[#This Row],[DATA DE CAIXA REALIZADO]]="N/A","0",UPPER(TEXT(tbRegistroEntradas[[#This Row],[DATA DE CAIXA REALIZADO]],"mmm")))</f>
        <v>AGO</v>
      </c>
      <c r="K381" s="57">
        <f>IF(tbRegistroEntradas[[#This Row],[DATA DE CAIXA REALIZADO]]="N/A",0,YEAR(tbRegistroEntradas[[#This Row],[DATA DE CAIXA REALIZADO]]))</f>
        <v>2022</v>
      </c>
      <c r="L381" s="58" t="str">
        <f>IF(tbRegistroEntradas[[#This Row],[DATA DA COMPETÊNCIA]]="N/A","0",UPPER(TEXT(tbRegistroEntradas[[#This Row],[DATA DA COMPETÊNCIA]],"mmm")))</f>
        <v>JUL</v>
      </c>
      <c r="M381" s="58">
        <f>IF(tbRegistroEntradas[[#This Row],[DATA DA COMPETÊNCIA]]="N/A",0,YEAR(tbRegistroEntradas[[#This Row],[DATA DA COMPETÊNCIA]]))</f>
        <v>2022</v>
      </c>
      <c r="N381" s="58" t="str">
        <f>IF(tbRegistroEntradas[[#This Row],[DATA DO CAIXA PREVISTO]]="N/A","0",UPPER(TEXT(tbRegistroEntradas[[#This Row],[DATA DO CAIXA PREVISTO]],"mmm")))</f>
        <v>JUL</v>
      </c>
      <c r="O381" s="58">
        <f>IF(tbRegistroEntradas[[#This Row],[DATA DO CAIXA PREVISTO]]="N/A",0,YEAR(tbRegistroEntradas[[#This Row],[DATA DO CAIXA PREVISTO]]))</f>
        <v>2022</v>
      </c>
      <c r="P381" s="58" t="str">
        <f ca="1">IF(AND(tbRegistroEntradas[[#This Row],[DATA DE CAIXA REALIZADO]]="N/A",tbRegistroEntradas[[#This Row],[DATA DO CAIXA PREVISTO]]&lt;TODAY()),"Vencida","Não Vencida")</f>
        <v>Não Vencida</v>
      </c>
      <c r="Q381" s="58" t="str">
        <f>IF(tbRegistroEntradas[[#This Row],[DATA DA COMPETÊNCIA]]=tbRegistroEntradas[[#This Row],[DATA DO CAIXA PREVISTO]],"Vista","Prazo")</f>
        <v>Prazo</v>
      </c>
      <c r="R381" s="58" t="str">
        <f>IF(tbRegistroEntradas[[#This Row],[DATA DE CAIXA REALIZADO]]&lt;&gt;"N/A","Em Dia","Com atraso")</f>
        <v>Em Dia</v>
      </c>
    </row>
    <row r="382" spans="1:18" s="52" customFormat="1" ht="14.4" customHeight="1" x14ac:dyDescent="0.3">
      <c r="A382" s="125">
        <v>44779</v>
      </c>
      <c r="B382" s="125">
        <f>A382-31</f>
        <v>44748</v>
      </c>
      <c r="C382" s="125">
        <f>(A382-B382)+B382-15</f>
        <v>44764</v>
      </c>
      <c r="D382" s="126" t="s">
        <v>61</v>
      </c>
      <c r="E382" s="126" t="s">
        <v>12</v>
      </c>
      <c r="F382" s="126" t="s">
        <v>17</v>
      </c>
      <c r="G382" s="126" t="s">
        <v>925</v>
      </c>
      <c r="H382" s="52" t="s">
        <v>81</v>
      </c>
      <c r="I382" s="127">
        <v>4424</v>
      </c>
      <c r="J382" s="110" t="str">
        <f>IF(tbRegistroEntradas[[#This Row],[DATA DE CAIXA REALIZADO]]="N/A","0",UPPER(TEXT(tbRegistroEntradas[[#This Row],[DATA DE CAIXA REALIZADO]],"mmm")))</f>
        <v>AGO</v>
      </c>
      <c r="K382" s="57">
        <f>IF(tbRegistroEntradas[[#This Row],[DATA DE CAIXA REALIZADO]]="N/A",0,YEAR(tbRegistroEntradas[[#This Row],[DATA DE CAIXA REALIZADO]]))</f>
        <v>2022</v>
      </c>
      <c r="L382" s="58" t="str">
        <f>IF(tbRegistroEntradas[[#This Row],[DATA DA COMPETÊNCIA]]="N/A","0",UPPER(TEXT(tbRegistroEntradas[[#This Row],[DATA DA COMPETÊNCIA]],"mmm")))</f>
        <v>JUL</v>
      </c>
      <c r="M382" s="58">
        <f>IF(tbRegistroEntradas[[#This Row],[DATA DA COMPETÊNCIA]]="N/A",0,YEAR(tbRegistroEntradas[[#This Row],[DATA DA COMPETÊNCIA]]))</f>
        <v>2022</v>
      </c>
      <c r="N382" s="58" t="str">
        <f>IF(tbRegistroEntradas[[#This Row],[DATA DO CAIXA PREVISTO]]="N/A","0",UPPER(TEXT(tbRegistroEntradas[[#This Row],[DATA DO CAIXA PREVISTO]],"mmm")))</f>
        <v>JUL</v>
      </c>
      <c r="O382" s="58">
        <f>IF(tbRegistroEntradas[[#This Row],[DATA DO CAIXA PREVISTO]]="N/A",0,YEAR(tbRegistroEntradas[[#This Row],[DATA DO CAIXA PREVISTO]]))</f>
        <v>2022</v>
      </c>
      <c r="P382" s="58" t="str">
        <f ca="1">IF(AND(tbRegistroEntradas[[#This Row],[DATA DE CAIXA REALIZADO]]="N/A",tbRegistroEntradas[[#This Row],[DATA DO CAIXA PREVISTO]]&lt;TODAY()),"Vencida","Não Vencida")</f>
        <v>Não Vencida</v>
      </c>
      <c r="Q382" s="58" t="str">
        <f>IF(tbRegistroEntradas[[#This Row],[DATA DA COMPETÊNCIA]]=tbRegistroEntradas[[#This Row],[DATA DO CAIXA PREVISTO]],"Vista","Prazo")</f>
        <v>Prazo</v>
      </c>
      <c r="R382" s="58" t="str">
        <f>IF(tbRegistroEntradas[[#This Row],[DATA DE CAIXA REALIZADO]]&lt;&gt;"N/A","Em Dia","Com atraso")</f>
        <v>Em Dia</v>
      </c>
    </row>
    <row r="383" spans="1:18" s="52" customFormat="1" ht="14.4" customHeight="1" x14ac:dyDescent="0.3">
      <c r="A383" s="112">
        <v>44797.184363425928</v>
      </c>
      <c r="B383" s="114">
        <v>44749</v>
      </c>
      <c r="C383" s="114">
        <v>44797.184363425928</v>
      </c>
      <c r="D383" s="55" t="s">
        <v>67</v>
      </c>
      <c r="E383" s="55" t="s">
        <v>12</v>
      </c>
      <c r="F383" s="55" t="s">
        <v>17</v>
      </c>
      <c r="G383" s="55" t="s">
        <v>258</v>
      </c>
      <c r="H383" s="52" t="s">
        <v>131</v>
      </c>
      <c r="I383" s="119">
        <v>3954</v>
      </c>
      <c r="J383" s="55" t="str">
        <f>IF(tbRegistroEntradas[[#This Row],[DATA DE CAIXA REALIZADO]]="N/A","0",UPPER(TEXT(tbRegistroEntradas[[#This Row],[DATA DE CAIXA REALIZADO]],"mmm")))</f>
        <v>AGO</v>
      </c>
      <c r="K383" s="58">
        <f>IF(tbRegistroEntradas[[#This Row],[DATA DE CAIXA REALIZADO]]="N/A",0,YEAR(tbRegistroEntradas[[#This Row],[DATA DE CAIXA REALIZADO]]))</f>
        <v>2022</v>
      </c>
      <c r="L383" s="79" t="str">
        <f>IF(tbRegistroEntradas[[#This Row],[DATA DA COMPETÊNCIA]]="N/A","0",UPPER(TEXT(tbRegistroEntradas[[#This Row],[DATA DA COMPETÊNCIA]],"mmm")))</f>
        <v>JUL</v>
      </c>
      <c r="M383" s="79">
        <f>IF(tbRegistroEntradas[[#This Row],[DATA DA COMPETÊNCIA]]="N/A",0,YEAR(tbRegistroEntradas[[#This Row],[DATA DA COMPETÊNCIA]]))</f>
        <v>2022</v>
      </c>
      <c r="N383" s="84" t="str">
        <f>IF(tbRegistroEntradas[[#This Row],[DATA DO CAIXA PREVISTO]]="N/A","0",UPPER(TEXT(tbRegistroEntradas[[#This Row],[DATA DO CAIXA PREVISTO]],"mmm")))</f>
        <v>AGO</v>
      </c>
      <c r="O383" s="84">
        <f>IF(tbRegistroEntradas[[#This Row],[DATA DO CAIXA PREVISTO]]="N/A",0,YEAR(tbRegistroEntradas[[#This Row],[DATA DO CAIXA PREVISTO]]))</f>
        <v>2022</v>
      </c>
      <c r="P383" s="58" t="str">
        <f ca="1">IF(AND(tbRegistroEntradas[[#This Row],[DATA DE CAIXA REALIZADO]]="N/A",tbRegistroEntradas[[#This Row],[DATA DO CAIXA PREVISTO]]&lt;TODAY()),"Vencida","Não Vencida")</f>
        <v>Não Vencida</v>
      </c>
      <c r="Q383" s="58" t="str">
        <f>IF(tbRegistroEntradas[[#This Row],[DATA DA COMPETÊNCIA]]=tbRegistroEntradas[[#This Row],[DATA DO CAIXA PREVISTO]],"Vista","Prazo")</f>
        <v>Prazo</v>
      </c>
      <c r="R383" s="58" t="str">
        <f>IF(tbRegistroEntradas[[#This Row],[DATA DE CAIXA REALIZADO]]&lt;&gt;"N/A","Em Dia","Com atraso")</f>
        <v>Em Dia</v>
      </c>
    </row>
    <row r="384" spans="1:18" s="52" customFormat="1" ht="14.4" customHeight="1" x14ac:dyDescent="0.3">
      <c r="A384" s="49">
        <v>44781</v>
      </c>
      <c r="B384" s="49">
        <f>A384-31</f>
        <v>44750</v>
      </c>
      <c r="C384" s="49">
        <f>(A384-B384)+B384-15</f>
        <v>44766</v>
      </c>
      <c r="D384" s="52" t="s">
        <v>64</v>
      </c>
      <c r="E384" s="52" t="s">
        <v>12</v>
      </c>
      <c r="F384" s="52" t="s">
        <v>18</v>
      </c>
      <c r="G384" s="52" t="s">
        <v>979</v>
      </c>
      <c r="H384" s="52" t="s">
        <v>114</v>
      </c>
      <c r="I384" s="18">
        <v>5279</v>
      </c>
      <c r="J384" s="110" t="str">
        <f>IF(tbRegistroEntradas[[#This Row],[DATA DE CAIXA REALIZADO]]="N/A","0",UPPER(TEXT(tbRegistroEntradas[[#This Row],[DATA DE CAIXA REALIZADO]],"mmm")))</f>
        <v>AGO</v>
      </c>
      <c r="K384" s="57">
        <f>IF(tbRegistroEntradas[[#This Row],[DATA DE CAIXA REALIZADO]]="N/A",0,YEAR(tbRegistroEntradas[[#This Row],[DATA DE CAIXA REALIZADO]]))</f>
        <v>2022</v>
      </c>
      <c r="L384" s="58" t="str">
        <f>IF(tbRegistroEntradas[[#This Row],[DATA DA COMPETÊNCIA]]="N/A","0",UPPER(TEXT(tbRegistroEntradas[[#This Row],[DATA DA COMPETÊNCIA]],"mmm")))</f>
        <v>JUL</v>
      </c>
      <c r="M384" s="58">
        <f>IF(tbRegistroEntradas[[#This Row],[DATA DA COMPETÊNCIA]]="N/A",0,YEAR(tbRegistroEntradas[[#This Row],[DATA DA COMPETÊNCIA]]))</f>
        <v>2022</v>
      </c>
      <c r="N384" s="58" t="str">
        <f>IF(tbRegistroEntradas[[#This Row],[DATA DO CAIXA PREVISTO]]="N/A","0",UPPER(TEXT(tbRegistroEntradas[[#This Row],[DATA DO CAIXA PREVISTO]],"mmm")))</f>
        <v>JUL</v>
      </c>
      <c r="O384" s="58">
        <f>IF(tbRegistroEntradas[[#This Row],[DATA DO CAIXA PREVISTO]]="N/A",0,YEAR(tbRegistroEntradas[[#This Row],[DATA DO CAIXA PREVISTO]]))</f>
        <v>2022</v>
      </c>
      <c r="P384" s="58" t="str">
        <f ca="1">IF(AND(tbRegistroEntradas[[#This Row],[DATA DE CAIXA REALIZADO]]="N/A",tbRegistroEntradas[[#This Row],[DATA DO CAIXA PREVISTO]]&lt;TODAY()),"Vencida","Não Vencida")</f>
        <v>Não Vencida</v>
      </c>
      <c r="Q384" s="58" t="str">
        <f>IF(tbRegistroEntradas[[#This Row],[DATA DA COMPETÊNCIA]]=tbRegistroEntradas[[#This Row],[DATA DO CAIXA PREVISTO]],"Vista","Prazo")</f>
        <v>Prazo</v>
      </c>
      <c r="R384" s="58" t="str">
        <f>IF(tbRegistroEntradas[[#This Row],[DATA DE CAIXA REALIZADO]]&lt;&gt;"N/A","Em Dia","Com atraso")</f>
        <v>Em Dia</v>
      </c>
    </row>
    <row r="385" spans="1:18" s="52" customFormat="1" ht="14.4" customHeight="1" x14ac:dyDescent="0.3">
      <c r="A385" s="49">
        <v>44781</v>
      </c>
      <c r="B385" s="49">
        <f>A385-31</f>
        <v>44750</v>
      </c>
      <c r="C385" s="49">
        <f>(A385-B385)+B385-15</f>
        <v>44766</v>
      </c>
      <c r="D385" s="52" t="s">
        <v>63</v>
      </c>
      <c r="E385" s="52" t="s">
        <v>12</v>
      </c>
      <c r="F385" s="52" t="s">
        <v>17</v>
      </c>
      <c r="G385" s="52" t="s">
        <v>855</v>
      </c>
      <c r="H385" s="52" t="s">
        <v>103</v>
      </c>
      <c r="I385" s="18">
        <v>7465</v>
      </c>
      <c r="J385" s="110" t="str">
        <f>IF(tbRegistroEntradas[[#This Row],[DATA DE CAIXA REALIZADO]]="N/A","0",UPPER(TEXT(tbRegistroEntradas[[#This Row],[DATA DE CAIXA REALIZADO]],"mmm")))</f>
        <v>AGO</v>
      </c>
      <c r="K385" s="57">
        <f>IF(tbRegistroEntradas[[#This Row],[DATA DE CAIXA REALIZADO]]="N/A",0,YEAR(tbRegistroEntradas[[#This Row],[DATA DE CAIXA REALIZADO]]))</f>
        <v>2022</v>
      </c>
      <c r="L385" s="58" t="str">
        <f>IF(tbRegistroEntradas[[#This Row],[DATA DA COMPETÊNCIA]]="N/A","0",UPPER(TEXT(tbRegistroEntradas[[#This Row],[DATA DA COMPETÊNCIA]],"mmm")))</f>
        <v>JUL</v>
      </c>
      <c r="M385" s="58">
        <f>IF(tbRegistroEntradas[[#This Row],[DATA DA COMPETÊNCIA]]="N/A",0,YEAR(tbRegistroEntradas[[#This Row],[DATA DA COMPETÊNCIA]]))</f>
        <v>2022</v>
      </c>
      <c r="N385" s="58" t="str">
        <f>IF(tbRegistroEntradas[[#This Row],[DATA DO CAIXA PREVISTO]]="N/A","0",UPPER(TEXT(tbRegistroEntradas[[#This Row],[DATA DO CAIXA PREVISTO]],"mmm")))</f>
        <v>JUL</v>
      </c>
      <c r="O385" s="58">
        <f>IF(tbRegistroEntradas[[#This Row],[DATA DO CAIXA PREVISTO]]="N/A",0,YEAR(tbRegistroEntradas[[#This Row],[DATA DO CAIXA PREVISTO]]))</f>
        <v>2022</v>
      </c>
      <c r="P385" s="58" t="str">
        <f ca="1">IF(AND(tbRegistroEntradas[[#This Row],[DATA DE CAIXA REALIZADO]]="N/A",tbRegistroEntradas[[#This Row],[DATA DO CAIXA PREVISTO]]&lt;TODAY()),"Vencida","Não Vencida")</f>
        <v>Não Vencida</v>
      </c>
      <c r="Q385" s="58" t="str">
        <f>IF(tbRegistroEntradas[[#This Row],[DATA DA COMPETÊNCIA]]=tbRegistroEntradas[[#This Row],[DATA DO CAIXA PREVISTO]],"Vista","Prazo")</f>
        <v>Prazo</v>
      </c>
      <c r="R385" s="58" t="str">
        <f>IF(tbRegistroEntradas[[#This Row],[DATA DE CAIXA REALIZADO]]&lt;&gt;"N/A","Em Dia","Com atraso")</f>
        <v>Em Dia</v>
      </c>
    </row>
    <row r="386" spans="1:18" s="52" customFormat="1" ht="14.4" customHeight="1" x14ac:dyDescent="0.3">
      <c r="A386" s="113">
        <v>44828.055844907409</v>
      </c>
      <c r="B386" s="115">
        <v>44753</v>
      </c>
      <c r="C386" s="115">
        <v>44784.65898148148</v>
      </c>
      <c r="D386" s="116" t="s">
        <v>66</v>
      </c>
      <c r="E386" s="116" t="s">
        <v>12</v>
      </c>
      <c r="F386" s="116" t="s">
        <v>32</v>
      </c>
      <c r="G386" s="116" t="s">
        <v>259</v>
      </c>
      <c r="H386" s="52" t="s">
        <v>125</v>
      </c>
      <c r="I386" s="120">
        <v>4090</v>
      </c>
      <c r="J386" s="55" t="str">
        <f>IF(tbRegistroEntradas[[#This Row],[DATA DE CAIXA REALIZADO]]="N/A","0",UPPER(TEXT(tbRegistroEntradas[[#This Row],[DATA DE CAIXA REALIZADO]],"mmm")))</f>
        <v>SET</v>
      </c>
      <c r="K386" s="58">
        <f>IF(tbRegistroEntradas[[#This Row],[DATA DE CAIXA REALIZADO]]="N/A",0,YEAR(tbRegistroEntradas[[#This Row],[DATA DE CAIXA REALIZADO]]))</f>
        <v>2022</v>
      </c>
      <c r="L386" s="79" t="str">
        <f>IF(tbRegistroEntradas[[#This Row],[DATA DA COMPETÊNCIA]]="N/A","0",UPPER(TEXT(tbRegistroEntradas[[#This Row],[DATA DA COMPETÊNCIA]],"mmm")))</f>
        <v>JUL</v>
      </c>
      <c r="M386" s="79">
        <f>IF(tbRegistroEntradas[[#This Row],[DATA DA COMPETÊNCIA]]="N/A",0,YEAR(tbRegistroEntradas[[#This Row],[DATA DA COMPETÊNCIA]]))</f>
        <v>2022</v>
      </c>
      <c r="N386" s="84" t="str">
        <f>IF(tbRegistroEntradas[[#This Row],[DATA DO CAIXA PREVISTO]]="N/A","0",UPPER(TEXT(tbRegistroEntradas[[#This Row],[DATA DO CAIXA PREVISTO]],"mmm")))</f>
        <v>AGO</v>
      </c>
      <c r="O386" s="84">
        <f>IF(tbRegistroEntradas[[#This Row],[DATA DO CAIXA PREVISTO]]="N/A",0,YEAR(tbRegistroEntradas[[#This Row],[DATA DO CAIXA PREVISTO]]))</f>
        <v>2022</v>
      </c>
      <c r="P386" s="58" t="str">
        <f ca="1">IF(AND(tbRegistroEntradas[[#This Row],[DATA DE CAIXA REALIZADO]]="N/A",tbRegistroEntradas[[#This Row],[DATA DO CAIXA PREVISTO]]&lt;TODAY()),"Vencida","Não Vencida")</f>
        <v>Não Vencida</v>
      </c>
      <c r="Q386" s="58" t="str">
        <f>IF(tbRegistroEntradas[[#This Row],[DATA DA COMPETÊNCIA]]=tbRegistroEntradas[[#This Row],[DATA DO CAIXA PREVISTO]],"Vista","Prazo")</f>
        <v>Prazo</v>
      </c>
      <c r="R386" s="58" t="str">
        <f>IF(tbRegistroEntradas[[#This Row],[DATA DE CAIXA REALIZADO]]&lt;&gt;"N/A","Em Dia","Com atraso")</f>
        <v>Em Dia</v>
      </c>
    </row>
    <row r="387" spans="1:18" s="52" customFormat="1" ht="14.4" customHeight="1" x14ac:dyDescent="0.3">
      <c r="A387" s="49">
        <v>44785</v>
      </c>
      <c r="B387" s="49">
        <f>A387-31</f>
        <v>44754</v>
      </c>
      <c r="C387" s="49">
        <f>(A387-B387)+B387-15</f>
        <v>44770</v>
      </c>
      <c r="D387" s="52" t="s">
        <v>67</v>
      </c>
      <c r="E387" s="52" t="s">
        <v>12</v>
      </c>
      <c r="F387" s="52" t="s">
        <v>17</v>
      </c>
      <c r="G387" s="52" t="s">
        <v>884</v>
      </c>
      <c r="H387" s="52" t="s">
        <v>134</v>
      </c>
      <c r="I387" s="18">
        <v>299</v>
      </c>
      <c r="J387" s="110" t="str">
        <f>IF(tbRegistroEntradas[[#This Row],[DATA DE CAIXA REALIZADO]]="N/A","0",UPPER(TEXT(tbRegistroEntradas[[#This Row],[DATA DE CAIXA REALIZADO]],"mmm")))</f>
        <v>AGO</v>
      </c>
      <c r="K387" s="57">
        <f>IF(tbRegistroEntradas[[#This Row],[DATA DE CAIXA REALIZADO]]="N/A",0,YEAR(tbRegistroEntradas[[#This Row],[DATA DE CAIXA REALIZADO]]))</f>
        <v>2022</v>
      </c>
      <c r="L387" s="58" t="str">
        <f>IF(tbRegistroEntradas[[#This Row],[DATA DA COMPETÊNCIA]]="N/A","0",UPPER(TEXT(tbRegistroEntradas[[#This Row],[DATA DA COMPETÊNCIA]],"mmm")))</f>
        <v>JUL</v>
      </c>
      <c r="M387" s="58">
        <f>IF(tbRegistroEntradas[[#This Row],[DATA DA COMPETÊNCIA]]="N/A",0,YEAR(tbRegistroEntradas[[#This Row],[DATA DA COMPETÊNCIA]]))</f>
        <v>2022</v>
      </c>
      <c r="N387" s="58" t="str">
        <f>IF(tbRegistroEntradas[[#This Row],[DATA DO CAIXA PREVISTO]]="N/A","0",UPPER(TEXT(tbRegistroEntradas[[#This Row],[DATA DO CAIXA PREVISTO]],"mmm")))</f>
        <v>JUL</v>
      </c>
      <c r="O387" s="58">
        <f>IF(tbRegistroEntradas[[#This Row],[DATA DO CAIXA PREVISTO]]="N/A",0,YEAR(tbRegistroEntradas[[#This Row],[DATA DO CAIXA PREVISTO]]))</f>
        <v>2022</v>
      </c>
      <c r="P387" s="58" t="str">
        <f ca="1">IF(AND(tbRegistroEntradas[[#This Row],[DATA DE CAIXA REALIZADO]]="N/A",tbRegistroEntradas[[#This Row],[DATA DO CAIXA PREVISTO]]&lt;TODAY()),"Vencida","Não Vencida")</f>
        <v>Não Vencida</v>
      </c>
      <c r="Q387" s="58" t="str">
        <f>IF(tbRegistroEntradas[[#This Row],[DATA DA COMPETÊNCIA]]=tbRegistroEntradas[[#This Row],[DATA DO CAIXA PREVISTO]],"Vista","Prazo")</f>
        <v>Prazo</v>
      </c>
      <c r="R387" s="58" t="str">
        <f>IF(tbRegistroEntradas[[#This Row],[DATA DE CAIXA REALIZADO]]&lt;&gt;"N/A","Em Dia","Com atraso")</f>
        <v>Em Dia</v>
      </c>
    </row>
    <row r="388" spans="1:18" s="52" customFormat="1" ht="14.4" customHeight="1" x14ac:dyDescent="0.3">
      <c r="A388" s="112">
        <v>44772.051747685182</v>
      </c>
      <c r="B388" s="114">
        <v>44754</v>
      </c>
      <c r="C388" s="114">
        <v>44772.051747685182</v>
      </c>
      <c r="D388" s="55" t="s">
        <v>137</v>
      </c>
      <c r="E388" s="55" t="s">
        <v>12</v>
      </c>
      <c r="F388" s="55" t="s">
        <v>16</v>
      </c>
      <c r="G388" s="55" t="s">
        <v>260</v>
      </c>
      <c r="H388" s="110" t="s">
        <v>105</v>
      </c>
      <c r="I388" s="119">
        <v>2713</v>
      </c>
      <c r="J388" s="55" t="str">
        <f>IF(tbRegistroEntradas[[#This Row],[DATA DE CAIXA REALIZADO]]="N/A","0",UPPER(TEXT(tbRegistroEntradas[[#This Row],[DATA DE CAIXA REALIZADO]],"mmm")))</f>
        <v>JUL</v>
      </c>
      <c r="K388" s="58">
        <f>IF(tbRegistroEntradas[[#This Row],[DATA DE CAIXA REALIZADO]]="N/A",0,YEAR(tbRegistroEntradas[[#This Row],[DATA DE CAIXA REALIZADO]]))</f>
        <v>2022</v>
      </c>
      <c r="L388" s="79" t="str">
        <f>IF(tbRegistroEntradas[[#This Row],[DATA DA COMPETÊNCIA]]="N/A","0",UPPER(TEXT(tbRegistroEntradas[[#This Row],[DATA DA COMPETÊNCIA]],"mmm")))</f>
        <v>JUL</v>
      </c>
      <c r="M388" s="79">
        <f>IF(tbRegistroEntradas[[#This Row],[DATA DA COMPETÊNCIA]]="N/A",0,YEAR(tbRegistroEntradas[[#This Row],[DATA DA COMPETÊNCIA]]))</f>
        <v>2022</v>
      </c>
      <c r="N388" s="84" t="str">
        <f>IF(tbRegistroEntradas[[#This Row],[DATA DO CAIXA PREVISTO]]="N/A","0",UPPER(TEXT(tbRegistroEntradas[[#This Row],[DATA DO CAIXA PREVISTO]],"mmm")))</f>
        <v>JUL</v>
      </c>
      <c r="O388" s="84">
        <f>IF(tbRegistroEntradas[[#This Row],[DATA DO CAIXA PREVISTO]]="N/A",0,YEAR(tbRegistroEntradas[[#This Row],[DATA DO CAIXA PREVISTO]]))</f>
        <v>2022</v>
      </c>
      <c r="P388" s="58" t="str">
        <f ca="1">IF(AND(tbRegistroEntradas[[#This Row],[DATA DE CAIXA REALIZADO]]="N/A",tbRegistroEntradas[[#This Row],[DATA DO CAIXA PREVISTO]]&lt;TODAY()),"Vencida","Não Vencida")</f>
        <v>Não Vencida</v>
      </c>
      <c r="Q388" s="58" t="str">
        <f>IF(tbRegistroEntradas[[#This Row],[DATA DA COMPETÊNCIA]]=tbRegistroEntradas[[#This Row],[DATA DO CAIXA PREVISTO]],"Vista","Prazo")</f>
        <v>Prazo</v>
      </c>
      <c r="R388" s="58" t="str">
        <f>IF(tbRegistroEntradas[[#This Row],[DATA DE CAIXA REALIZADO]]&lt;&gt;"N/A","Em Dia","Com atraso")</f>
        <v>Em Dia</v>
      </c>
    </row>
    <row r="389" spans="1:18" s="52" customFormat="1" ht="14.4" customHeight="1" x14ac:dyDescent="0.3">
      <c r="A389" s="125">
        <v>44786</v>
      </c>
      <c r="B389" s="125">
        <f>A389-31</f>
        <v>44755</v>
      </c>
      <c r="C389" s="125">
        <f>(A389-B389)+B389-15</f>
        <v>44771</v>
      </c>
      <c r="D389" s="126" t="s">
        <v>67</v>
      </c>
      <c r="E389" s="126" t="s">
        <v>12</v>
      </c>
      <c r="F389" s="126" t="s">
        <v>32</v>
      </c>
      <c r="G389" s="126" t="s">
        <v>778</v>
      </c>
      <c r="H389" s="52" t="s">
        <v>70</v>
      </c>
      <c r="I389" s="127">
        <v>6096</v>
      </c>
      <c r="J389" s="110" t="str">
        <f>IF(tbRegistroEntradas[[#This Row],[DATA DE CAIXA REALIZADO]]="N/A","0",UPPER(TEXT(tbRegistroEntradas[[#This Row],[DATA DE CAIXA REALIZADO]],"mmm")))</f>
        <v>AGO</v>
      </c>
      <c r="K389" s="57">
        <f>IF(tbRegistroEntradas[[#This Row],[DATA DE CAIXA REALIZADO]]="N/A",0,YEAR(tbRegistroEntradas[[#This Row],[DATA DE CAIXA REALIZADO]]))</f>
        <v>2022</v>
      </c>
      <c r="L389" s="58" t="str">
        <f>IF(tbRegistroEntradas[[#This Row],[DATA DA COMPETÊNCIA]]="N/A","0",UPPER(TEXT(tbRegistroEntradas[[#This Row],[DATA DA COMPETÊNCIA]],"mmm")))</f>
        <v>JUL</v>
      </c>
      <c r="M389" s="58">
        <f>IF(tbRegistroEntradas[[#This Row],[DATA DA COMPETÊNCIA]]="N/A",0,YEAR(tbRegistroEntradas[[#This Row],[DATA DA COMPETÊNCIA]]))</f>
        <v>2022</v>
      </c>
      <c r="N389" s="58" t="str">
        <f>IF(tbRegistroEntradas[[#This Row],[DATA DO CAIXA PREVISTO]]="N/A","0",UPPER(TEXT(tbRegistroEntradas[[#This Row],[DATA DO CAIXA PREVISTO]],"mmm")))</f>
        <v>JUL</v>
      </c>
      <c r="O389" s="58">
        <f>IF(tbRegistroEntradas[[#This Row],[DATA DO CAIXA PREVISTO]]="N/A",0,YEAR(tbRegistroEntradas[[#This Row],[DATA DO CAIXA PREVISTO]]))</f>
        <v>2022</v>
      </c>
      <c r="P389" s="58" t="str">
        <f ca="1">IF(AND(tbRegistroEntradas[[#This Row],[DATA DE CAIXA REALIZADO]]="N/A",tbRegistroEntradas[[#This Row],[DATA DO CAIXA PREVISTO]]&lt;TODAY()),"Vencida","Não Vencida")</f>
        <v>Não Vencida</v>
      </c>
      <c r="Q389" s="58" t="str">
        <f>IF(tbRegistroEntradas[[#This Row],[DATA DA COMPETÊNCIA]]=tbRegistroEntradas[[#This Row],[DATA DO CAIXA PREVISTO]],"Vista","Prazo")</f>
        <v>Prazo</v>
      </c>
      <c r="R389" s="58" t="str">
        <f>IF(tbRegistroEntradas[[#This Row],[DATA DE CAIXA REALIZADO]]&lt;&gt;"N/A","Em Dia","Com atraso")</f>
        <v>Em Dia</v>
      </c>
    </row>
    <row r="390" spans="1:18" s="52" customFormat="1" ht="14.4" customHeight="1" x14ac:dyDescent="0.3">
      <c r="A390" s="125">
        <v>44789</v>
      </c>
      <c r="B390" s="125">
        <f>A390-31</f>
        <v>44758</v>
      </c>
      <c r="C390" s="125">
        <f>tbRegistroEntradas[[#This Row],[DATA DA COMPETÊNCIA]]</f>
        <v>44758</v>
      </c>
      <c r="D390" s="126" t="s">
        <v>61</v>
      </c>
      <c r="E390" s="126" t="s">
        <v>12</v>
      </c>
      <c r="F390" s="126" t="s">
        <v>16</v>
      </c>
      <c r="G390" s="126" t="s">
        <v>801</v>
      </c>
      <c r="H390" s="52" t="s">
        <v>82</v>
      </c>
      <c r="I390" s="127">
        <v>3770</v>
      </c>
      <c r="J390" s="110" t="str">
        <f>IF(tbRegistroEntradas[[#This Row],[DATA DE CAIXA REALIZADO]]="N/A","0",UPPER(TEXT(tbRegistroEntradas[[#This Row],[DATA DE CAIXA REALIZADO]],"mmm")))</f>
        <v>AGO</v>
      </c>
      <c r="K390" s="57">
        <f>IF(tbRegistroEntradas[[#This Row],[DATA DE CAIXA REALIZADO]]="N/A",0,YEAR(tbRegistroEntradas[[#This Row],[DATA DE CAIXA REALIZADO]]))</f>
        <v>2022</v>
      </c>
      <c r="L390" s="58" t="str">
        <f>IF(tbRegistroEntradas[[#This Row],[DATA DA COMPETÊNCIA]]="N/A","0",UPPER(TEXT(tbRegistroEntradas[[#This Row],[DATA DA COMPETÊNCIA]],"mmm")))</f>
        <v>JUL</v>
      </c>
      <c r="M390" s="58">
        <f>IF(tbRegistroEntradas[[#This Row],[DATA DA COMPETÊNCIA]]="N/A",0,YEAR(tbRegistroEntradas[[#This Row],[DATA DA COMPETÊNCIA]]))</f>
        <v>2022</v>
      </c>
      <c r="N390" s="58" t="str">
        <f>IF(tbRegistroEntradas[[#This Row],[DATA DO CAIXA PREVISTO]]="N/A","0",UPPER(TEXT(tbRegistroEntradas[[#This Row],[DATA DO CAIXA PREVISTO]],"mmm")))</f>
        <v>JUL</v>
      </c>
      <c r="O390" s="58">
        <f>IF(tbRegistroEntradas[[#This Row],[DATA DO CAIXA PREVISTO]]="N/A",0,YEAR(tbRegistroEntradas[[#This Row],[DATA DO CAIXA PREVISTO]]))</f>
        <v>2022</v>
      </c>
      <c r="P390" s="58" t="str">
        <f ca="1">IF(AND(tbRegistroEntradas[[#This Row],[DATA DE CAIXA REALIZADO]]="N/A",tbRegistroEntradas[[#This Row],[DATA DO CAIXA PREVISTO]]&lt;TODAY()),"Vencida","Não Vencida")</f>
        <v>Não Vencida</v>
      </c>
      <c r="Q390" s="58" t="str">
        <f>IF(tbRegistroEntradas[[#This Row],[DATA DA COMPETÊNCIA]]=tbRegistroEntradas[[#This Row],[DATA DO CAIXA PREVISTO]],"Vista","Prazo")</f>
        <v>Vista</v>
      </c>
      <c r="R390" s="58" t="str">
        <f>IF(tbRegistroEntradas[[#This Row],[DATA DE CAIXA REALIZADO]]&lt;&gt;"N/A","Em Dia","Com atraso")</f>
        <v>Em Dia</v>
      </c>
    </row>
    <row r="391" spans="1:18" s="52" customFormat="1" ht="14.4" customHeight="1" x14ac:dyDescent="0.3">
      <c r="A391" s="113">
        <v>44763.671412037038</v>
      </c>
      <c r="B391" s="115">
        <v>44758</v>
      </c>
      <c r="C391" s="115">
        <v>44763.671412037038</v>
      </c>
      <c r="D391" s="116" t="s">
        <v>63</v>
      </c>
      <c r="E391" s="116" t="s">
        <v>12</v>
      </c>
      <c r="F391" s="116" t="s">
        <v>19</v>
      </c>
      <c r="G391" s="116" t="s">
        <v>261</v>
      </c>
      <c r="H391" s="52" t="s">
        <v>69</v>
      </c>
      <c r="I391" s="120">
        <v>3482</v>
      </c>
      <c r="J391" s="55" t="str">
        <f>IF(tbRegistroEntradas[[#This Row],[DATA DE CAIXA REALIZADO]]="N/A","0",UPPER(TEXT(tbRegistroEntradas[[#This Row],[DATA DE CAIXA REALIZADO]],"mmm")))</f>
        <v>JUL</v>
      </c>
      <c r="K391" s="58">
        <f>IF(tbRegistroEntradas[[#This Row],[DATA DE CAIXA REALIZADO]]="N/A",0,YEAR(tbRegistroEntradas[[#This Row],[DATA DE CAIXA REALIZADO]]))</f>
        <v>2022</v>
      </c>
      <c r="L391" s="79" t="str">
        <f>IF(tbRegistroEntradas[[#This Row],[DATA DA COMPETÊNCIA]]="N/A","0",UPPER(TEXT(tbRegistroEntradas[[#This Row],[DATA DA COMPETÊNCIA]],"mmm")))</f>
        <v>JUL</v>
      </c>
      <c r="M391" s="79">
        <f>IF(tbRegistroEntradas[[#This Row],[DATA DA COMPETÊNCIA]]="N/A",0,YEAR(tbRegistroEntradas[[#This Row],[DATA DA COMPETÊNCIA]]))</f>
        <v>2022</v>
      </c>
      <c r="N391" s="84" t="str">
        <f>IF(tbRegistroEntradas[[#This Row],[DATA DO CAIXA PREVISTO]]="N/A","0",UPPER(TEXT(tbRegistroEntradas[[#This Row],[DATA DO CAIXA PREVISTO]],"mmm")))</f>
        <v>JUL</v>
      </c>
      <c r="O391" s="84">
        <f>IF(tbRegistroEntradas[[#This Row],[DATA DO CAIXA PREVISTO]]="N/A",0,YEAR(tbRegistroEntradas[[#This Row],[DATA DO CAIXA PREVISTO]]))</f>
        <v>2022</v>
      </c>
      <c r="P391" s="58" t="str">
        <f ca="1">IF(AND(tbRegistroEntradas[[#This Row],[DATA DE CAIXA REALIZADO]]="N/A",tbRegistroEntradas[[#This Row],[DATA DO CAIXA PREVISTO]]&lt;TODAY()),"Vencida","Não Vencida")</f>
        <v>Não Vencida</v>
      </c>
      <c r="Q391" s="58" t="str">
        <f>IF(tbRegistroEntradas[[#This Row],[DATA DA COMPETÊNCIA]]=tbRegistroEntradas[[#This Row],[DATA DO CAIXA PREVISTO]],"Vista","Prazo")</f>
        <v>Prazo</v>
      </c>
      <c r="R391" s="58" t="str">
        <f>IF(tbRegistroEntradas[[#This Row],[DATA DE CAIXA REALIZADO]]&lt;&gt;"N/A","Em Dia","Com atraso")</f>
        <v>Em Dia</v>
      </c>
    </row>
    <row r="392" spans="1:18" s="52" customFormat="1" ht="14.4" customHeight="1" x14ac:dyDescent="0.3">
      <c r="A392" s="112">
        <v>44807.313148148147</v>
      </c>
      <c r="B392" s="114">
        <v>44760</v>
      </c>
      <c r="C392" s="114">
        <v>44807.313148148147</v>
      </c>
      <c r="D392" s="55" t="s">
        <v>138</v>
      </c>
      <c r="E392" s="55" t="s">
        <v>12</v>
      </c>
      <c r="F392" s="55" t="s">
        <v>19</v>
      </c>
      <c r="G392" s="55" t="s">
        <v>262</v>
      </c>
      <c r="H392" s="52" t="s">
        <v>75</v>
      </c>
      <c r="I392" s="119">
        <v>2071</v>
      </c>
      <c r="J392" s="55" t="str">
        <f>IF(tbRegistroEntradas[[#This Row],[DATA DE CAIXA REALIZADO]]="N/A","0",UPPER(TEXT(tbRegistroEntradas[[#This Row],[DATA DE CAIXA REALIZADO]],"mmm")))</f>
        <v>SET</v>
      </c>
      <c r="K392" s="58">
        <f>IF(tbRegistroEntradas[[#This Row],[DATA DE CAIXA REALIZADO]]="N/A",0,YEAR(tbRegistroEntradas[[#This Row],[DATA DE CAIXA REALIZADO]]))</f>
        <v>2022</v>
      </c>
      <c r="L392" s="79" t="str">
        <f>IF(tbRegistroEntradas[[#This Row],[DATA DA COMPETÊNCIA]]="N/A","0",UPPER(TEXT(tbRegistroEntradas[[#This Row],[DATA DA COMPETÊNCIA]],"mmm")))</f>
        <v>JUL</v>
      </c>
      <c r="M392" s="79">
        <f>IF(tbRegistroEntradas[[#This Row],[DATA DA COMPETÊNCIA]]="N/A",0,YEAR(tbRegistroEntradas[[#This Row],[DATA DA COMPETÊNCIA]]))</f>
        <v>2022</v>
      </c>
      <c r="N392" s="84" t="str">
        <f>IF(tbRegistroEntradas[[#This Row],[DATA DO CAIXA PREVISTO]]="N/A","0",UPPER(TEXT(tbRegistroEntradas[[#This Row],[DATA DO CAIXA PREVISTO]],"mmm")))</f>
        <v>SET</v>
      </c>
      <c r="O392" s="84">
        <f>IF(tbRegistroEntradas[[#This Row],[DATA DO CAIXA PREVISTO]]="N/A",0,YEAR(tbRegistroEntradas[[#This Row],[DATA DO CAIXA PREVISTO]]))</f>
        <v>2022</v>
      </c>
      <c r="P392" s="58" t="str">
        <f ca="1">IF(AND(tbRegistroEntradas[[#This Row],[DATA DE CAIXA REALIZADO]]="N/A",tbRegistroEntradas[[#This Row],[DATA DO CAIXA PREVISTO]]&lt;TODAY()),"Vencida","Não Vencida")</f>
        <v>Não Vencida</v>
      </c>
      <c r="Q392" s="58" t="str">
        <f>IF(tbRegistroEntradas[[#This Row],[DATA DA COMPETÊNCIA]]=tbRegistroEntradas[[#This Row],[DATA DO CAIXA PREVISTO]],"Vista","Prazo")</f>
        <v>Prazo</v>
      </c>
      <c r="R392" s="58" t="str">
        <f>IF(tbRegistroEntradas[[#This Row],[DATA DE CAIXA REALIZADO]]&lt;&gt;"N/A","Em Dia","Com atraso")</f>
        <v>Em Dia</v>
      </c>
    </row>
    <row r="393" spans="1:18" s="52" customFormat="1" ht="14.4" customHeight="1" x14ac:dyDescent="0.3">
      <c r="A393" s="49">
        <v>44792</v>
      </c>
      <c r="B393" s="49">
        <f>A393-31</f>
        <v>44761</v>
      </c>
      <c r="C393" s="125">
        <f>tbRegistroEntradas[[#This Row],[DATA DA COMPETÊNCIA]]</f>
        <v>44761</v>
      </c>
      <c r="D393" s="52" t="s">
        <v>66</v>
      </c>
      <c r="E393" s="52" t="s">
        <v>12</v>
      </c>
      <c r="F393" s="52" t="s">
        <v>16</v>
      </c>
      <c r="G393" s="52" t="s">
        <v>953</v>
      </c>
      <c r="H393" s="52" t="s">
        <v>123</v>
      </c>
      <c r="I393" s="18">
        <v>4473</v>
      </c>
      <c r="J393" s="110" t="str">
        <f>IF(tbRegistroEntradas[[#This Row],[DATA DE CAIXA REALIZADO]]="N/A","0",UPPER(TEXT(tbRegistroEntradas[[#This Row],[DATA DE CAIXA REALIZADO]],"mmm")))</f>
        <v>AGO</v>
      </c>
      <c r="K393" s="57">
        <f>IF(tbRegistroEntradas[[#This Row],[DATA DE CAIXA REALIZADO]]="N/A",0,YEAR(tbRegistroEntradas[[#This Row],[DATA DE CAIXA REALIZADO]]))</f>
        <v>2022</v>
      </c>
      <c r="L393" s="58" t="str">
        <f>IF(tbRegistroEntradas[[#This Row],[DATA DA COMPETÊNCIA]]="N/A","0",UPPER(TEXT(tbRegistroEntradas[[#This Row],[DATA DA COMPETÊNCIA]],"mmm")))</f>
        <v>JUL</v>
      </c>
      <c r="M393" s="58">
        <f>IF(tbRegistroEntradas[[#This Row],[DATA DA COMPETÊNCIA]]="N/A",0,YEAR(tbRegistroEntradas[[#This Row],[DATA DA COMPETÊNCIA]]))</f>
        <v>2022</v>
      </c>
      <c r="N393" s="58" t="str">
        <f>IF(tbRegistroEntradas[[#This Row],[DATA DO CAIXA PREVISTO]]="N/A","0",UPPER(TEXT(tbRegistroEntradas[[#This Row],[DATA DO CAIXA PREVISTO]],"mmm")))</f>
        <v>JUL</v>
      </c>
      <c r="O393" s="58">
        <f>IF(tbRegistroEntradas[[#This Row],[DATA DO CAIXA PREVISTO]]="N/A",0,YEAR(tbRegistroEntradas[[#This Row],[DATA DO CAIXA PREVISTO]]))</f>
        <v>2022</v>
      </c>
      <c r="P393" s="58" t="str">
        <f ca="1">IF(AND(tbRegistroEntradas[[#This Row],[DATA DE CAIXA REALIZADO]]="N/A",tbRegistroEntradas[[#This Row],[DATA DO CAIXA PREVISTO]]&lt;TODAY()),"Vencida","Não Vencida")</f>
        <v>Não Vencida</v>
      </c>
      <c r="Q393" s="58" t="str">
        <f>IF(tbRegistroEntradas[[#This Row],[DATA DA COMPETÊNCIA]]=tbRegistroEntradas[[#This Row],[DATA DO CAIXA PREVISTO]],"Vista","Prazo")</f>
        <v>Vista</v>
      </c>
      <c r="R393" s="58" t="str">
        <f>IF(tbRegistroEntradas[[#This Row],[DATA DE CAIXA REALIZADO]]&lt;&gt;"N/A","Em Dia","Com atraso")</f>
        <v>Em Dia</v>
      </c>
    </row>
    <row r="394" spans="1:18" s="52" customFormat="1" ht="14.4" customHeight="1" x14ac:dyDescent="0.3">
      <c r="A394" s="125">
        <v>44794</v>
      </c>
      <c r="B394" s="125">
        <f>A394-31</f>
        <v>44763</v>
      </c>
      <c r="C394" s="125">
        <f>tbRegistroEntradas[[#This Row],[DATA DA COMPETÊNCIA]]</f>
        <v>44763</v>
      </c>
      <c r="D394" s="126" t="s">
        <v>137</v>
      </c>
      <c r="E394" s="126" t="s">
        <v>12</v>
      </c>
      <c r="F394" s="126" t="s">
        <v>19</v>
      </c>
      <c r="G394" s="126" t="s">
        <v>1026</v>
      </c>
      <c r="H394" s="52" t="s">
        <v>73</v>
      </c>
      <c r="I394" s="127">
        <v>4354</v>
      </c>
      <c r="J394" s="110" t="str">
        <f>IF(tbRegistroEntradas[[#This Row],[DATA DE CAIXA REALIZADO]]="N/A","0",UPPER(TEXT(tbRegistroEntradas[[#This Row],[DATA DE CAIXA REALIZADO]],"mmm")))</f>
        <v>AGO</v>
      </c>
      <c r="K394" s="57">
        <f>IF(tbRegistroEntradas[[#This Row],[DATA DE CAIXA REALIZADO]]="N/A",0,YEAR(tbRegistroEntradas[[#This Row],[DATA DE CAIXA REALIZADO]]))</f>
        <v>2022</v>
      </c>
      <c r="L394" s="58" t="str">
        <f>IF(tbRegistroEntradas[[#This Row],[DATA DA COMPETÊNCIA]]="N/A","0",UPPER(TEXT(tbRegistroEntradas[[#This Row],[DATA DA COMPETÊNCIA]],"mmm")))</f>
        <v>JUL</v>
      </c>
      <c r="M394" s="58">
        <f>IF(tbRegistroEntradas[[#This Row],[DATA DA COMPETÊNCIA]]="N/A",0,YEAR(tbRegistroEntradas[[#This Row],[DATA DA COMPETÊNCIA]]))</f>
        <v>2022</v>
      </c>
      <c r="N394" s="58" t="str">
        <f>IF(tbRegistroEntradas[[#This Row],[DATA DO CAIXA PREVISTO]]="N/A","0",UPPER(TEXT(tbRegistroEntradas[[#This Row],[DATA DO CAIXA PREVISTO]],"mmm")))</f>
        <v>JUL</v>
      </c>
      <c r="O394" s="58">
        <f>IF(tbRegistroEntradas[[#This Row],[DATA DO CAIXA PREVISTO]]="N/A",0,YEAR(tbRegistroEntradas[[#This Row],[DATA DO CAIXA PREVISTO]]))</f>
        <v>2022</v>
      </c>
      <c r="P394" s="58" t="str">
        <f ca="1">IF(AND(tbRegistroEntradas[[#This Row],[DATA DE CAIXA REALIZADO]]="N/A",tbRegistroEntradas[[#This Row],[DATA DO CAIXA PREVISTO]]&lt;TODAY()),"Vencida","Não Vencida")</f>
        <v>Não Vencida</v>
      </c>
      <c r="Q394" s="58" t="str">
        <f>IF(tbRegistroEntradas[[#This Row],[DATA DA COMPETÊNCIA]]=tbRegistroEntradas[[#This Row],[DATA DO CAIXA PREVISTO]],"Vista","Prazo")</f>
        <v>Vista</v>
      </c>
      <c r="R394" s="58" t="str">
        <f>IF(tbRegistroEntradas[[#This Row],[DATA DE CAIXA REALIZADO]]&lt;&gt;"N/A","Em Dia","Com atraso")</f>
        <v>Em Dia</v>
      </c>
    </row>
    <row r="395" spans="1:18" s="52" customFormat="1" ht="14.4" customHeight="1" x14ac:dyDescent="0.3">
      <c r="A395" s="49">
        <v>44795</v>
      </c>
      <c r="B395" s="49">
        <f>A395-31</f>
        <v>44764</v>
      </c>
      <c r="C395" s="125">
        <f>tbRegistroEntradas[[#This Row],[DATA DA COMPETÊNCIA]]</f>
        <v>44764</v>
      </c>
      <c r="D395" s="52" t="s">
        <v>65</v>
      </c>
      <c r="E395" s="52" t="s">
        <v>12</v>
      </c>
      <c r="F395" s="52" t="s">
        <v>18</v>
      </c>
      <c r="G395" s="52" t="s">
        <v>895</v>
      </c>
      <c r="H395" s="52" t="s">
        <v>89</v>
      </c>
      <c r="I395" s="18">
        <v>5265</v>
      </c>
      <c r="J395" s="110" t="str">
        <f>IF(tbRegistroEntradas[[#This Row],[DATA DE CAIXA REALIZADO]]="N/A","0",UPPER(TEXT(tbRegistroEntradas[[#This Row],[DATA DE CAIXA REALIZADO]],"mmm")))</f>
        <v>AGO</v>
      </c>
      <c r="K395" s="57">
        <f>IF(tbRegistroEntradas[[#This Row],[DATA DE CAIXA REALIZADO]]="N/A",0,YEAR(tbRegistroEntradas[[#This Row],[DATA DE CAIXA REALIZADO]]))</f>
        <v>2022</v>
      </c>
      <c r="L395" s="58" t="str">
        <f>IF(tbRegistroEntradas[[#This Row],[DATA DA COMPETÊNCIA]]="N/A","0",UPPER(TEXT(tbRegistroEntradas[[#This Row],[DATA DA COMPETÊNCIA]],"mmm")))</f>
        <v>JUL</v>
      </c>
      <c r="M395" s="58">
        <f>IF(tbRegistroEntradas[[#This Row],[DATA DA COMPETÊNCIA]]="N/A",0,YEAR(tbRegistroEntradas[[#This Row],[DATA DA COMPETÊNCIA]]))</f>
        <v>2022</v>
      </c>
      <c r="N395" s="58" t="str">
        <f>IF(tbRegistroEntradas[[#This Row],[DATA DO CAIXA PREVISTO]]="N/A","0",UPPER(TEXT(tbRegistroEntradas[[#This Row],[DATA DO CAIXA PREVISTO]],"mmm")))</f>
        <v>JUL</v>
      </c>
      <c r="O395" s="58">
        <f>IF(tbRegistroEntradas[[#This Row],[DATA DO CAIXA PREVISTO]]="N/A",0,YEAR(tbRegistroEntradas[[#This Row],[DATA DO CAIXA PREVISTO]]))</f>
        <v>2022</v>
      </c>
      <c r="P395" s="58" t="str">
        <f ca="1">IF(AND(tbRegistroEntradas[[#This Row],[DATA DE CAIXA REALIZADO]]="N/A",tbRegistroEntradas[[#This Row],[DATA DO CAIXA PREVISTO]]&lt;TODAY()),"Vencida","Não Vencida")</f>
        <v>Não Vencida</v>
      </c>
      <c r="Q395" s="58" t="str">
        <f>IF(tbRegistroEntradas[[#This Row],[DATA DA COMPETÊNCIA]]=tbRegistroEntradas[[#This Row],[DATA DO CAIXA PREVISTO]],"Vista","Prazo")</f>
        <v>Vista</v>
      </c>
      <c r="R395" s="58" t="str">
        <f>IF(tbRegistroEntradas[[#This Row],[DATA DE CAIXA REALIZADO]]&lt;&gt;"N/A","Em Dia","Com atraso")</f>
        <v>Em Dia</v>
      </c>
    </row>
    <row r="396" spans="1:18" s="52" customFormat="1" ht="14.4" customHeight="1" x14ac:dyDescent="0.3">
      <c r="A396" s="113">
        <v>44794.777245370373</v>
      </c>
      <c r="B396" s="115">
        <v>44765</v>
      </c>
      <c r="C396" s="115">
        <v>44794.777245370373</v>
      </c>
      <c r="D396" s="116" t="s">
        <v>61</v>
      </c>
      <c r="E396" s="116" t="s">
        <v>12</v>
      </c>
      <c r="F396" s="116" t="s">
        <v>32</v>
      </c>
      <c r="G396" s="116" t="s">
        <v>263</v>
      </c>
      <c r="H396" s="52" t="s">
        <v>83</v>
      </c>
      <c r="I396" s="120">
        <v>4258</v>
      </c>
      <c r="J396" s="55" t="str">
        <f>IF(tbRegistroEntradas[[#This Row],[DATA DE CAIXA REALIZADO]]="N/A","0",UPPER(TEXT(tbRegistroEntradas[[#This Row],[DATA DE CAIXA REALIZADO]],"mmm")))</f>
        <v>AGO</v>
      </c>
      <c r="K396" s="58">
        <f>IF(tbRegistroEntradas[[#This Row],[DATA DE CAIXA REALIZADO]]="N/A",0,YEAR(tbRegistroEntradas[[#This Row],[DATA DE CAIXA REALIZADO]]))</f>
        <v>2022</v>
      </c>
      <c r="L396" s="79" t="str">
        <f>IF(tbRegistroEntradas[[#This Row],[DATA DA COMPETÊNCIA]]="N/A","0",UPPER(TEXT(tbRegistroEntradas[[#This Row],[DATA DA COMPETÊNCIA]],"mmm")))</f>
        <v>JUL</v>
      </c>
      <c r="M396" s="79">
        <f>IF(tbRegistroEntradas[[#This Row],[DATA DA COMPETÊNCIA]]="N/A",0,YEAR(tbRegistroEntradas[[#This Row],[DATA DA COMPETÊNCIA]]))</f>
        <v>2022</v>
      </c>
      <c r="N396" s="84" t="str">
        <f>IF(tbRegistroEntradas[[#This Row],[DATA DO CAIXA PREVISTO]]="N/A","0",UPPER(TEXT(tbRegistroEntradas[[#This Row],[DATA DO CAIXA PREVISTO]],"mmm")))</f>
        <v>AGO</v>
      </c>
      <c r="O396" s="84">
        <f>IF(tbRegistroEntradas[[#This Row],[DATA DO CAIXA PREVISTO]]="N/A",0,YEAR(tbRegistroEntradas[[#This Row],[DATA DO CAIXA PREVISTO]]))</f>
        <v>2022</v>
      </c>
      <c r="P396" s="58" t="str">
        <f ca="1">IF(AND(tbRegistroEntradas[[#This Row],[DATA DE CAIXA REALIZADO]]="N/A",tbRegistroEntradas[[#This Row],[DATA DO CAIXA PREVISTO]]&lt;TODAY()),"Vencida","Não Vencida")</f>
        <v>Não Vencida</v>
      </c>
      <c r="Q396" s="58" t="str">
        <f>IF(tbRegistroEntradas[[#This Row],[DATA DA COMPETÊNCIA]]=tbRegistroEntradas[[#This Row],[DATA DO CAIXA PREVISTO]],"Vista","Prazo")</f>
        <v>Prazo</v>
      </c>
      <c r="R396" s="58" t="str">
        <f>IF(tbRegistroEntradas[[#This Row],[DATA DE CAIXA REALIZADO]]&lt;&gt;"N/A","Em Dia","Com atraso")</f>
        <v>Em Dia</v>
      </c>
    </row>
    <row r="397" spans="1:18" s="52" customFormat="1" ht="14.4" customHeight="1" x14ac:dyDescent="0.3">
      <c r="A397" s="112">
        <v>44889.73128472222</v>
      </c>
      <c r="B397" s="114">
        <v>44767</v>
      </c>
      <c r="C397" s="125">
        <f>tbRegistroEntradas[[#This Row],[DATA DA COMPETÊNCIA]]</f>
        <v>44767</v>
      </c>
      <c r="D397" s="55" t="s">
        <v>61</v>
      </c>
      <c r="E397" s="55" t="s">
        <v>12</v>
      </c>
      <c r="F397" s="55" t="s">
        <v>17</v>
      </c>
      <c r="G397" s="55" t="s">
        <v>264</v>
      </c>
      <c r="H397" s="52" t="s">
        <v>84</v>
      </c>
      <c r="I397" s="119">
        <v>4383</v>
      </c>
      <c r="J397" s="55" t="str">
        <f>IF(tbRegistroEntradas[[#This Row],[DATA DE CAIXA REALIZADO]]="N/A","0",UPPER(TEXT(tbRegistroEntradas[[#This Row],[DATA DE CAIXA REALIZADO]],"mmm")))</f>
        <v>NOV</v>
      </c>
      <c r="K397" s="58">
        <f>IF(tbRegistroEntradas[[#This Row],[DATA DE CAIXA REALIZADO]]="N/A",0,YEAR(tbRegistroEntradas[[#This Row],[DATA DE CAIXA REALIZADO]]))</f>
        <v>2022</v>
      </c>
      <c r="L397" s="79" t="str">
        <f>IF(tbRegistroEntradas[[#This Row],[DATA DA COMPETÊNCIA]]="N/A","0",UPPER(TEXT(tbRegistroEntradas[[#This Row],[DATA DA COMPETÊNCIA]],"mmm")))</f>
        <v>JUL</v>
      </c>
      <c r="M397" s="79">
        <f>IF(tbRegistroEntradas[[#This Row],[DATA DA COMPETÊNCIA]]="N/A",0,YEAR(tbRegistroEntradas[[#This Row],[DATA DA COMPETÊNCIA]]))</f>
        <v>2022</v>
      </c>
      <c r="N397" s="84" t="str">
        <f>IF(tbRegistroEntradas[[#This Row],[DATA DO CAIXA PREVISTO]]="N/A","0",UPPER(TEXT(tbRegistroEntradas[[#This Row],[DATA DO CAIXA PREVISTO]],"mmm")))</f>
        <v>JUL</v>
      </c>
      <c r="O397" s="84">
        <f>IF(tbRegistroEntradas[[#This Row],[DATA DO CAIXA PREVISTO]]="N/A",0,YEAR(tbRegistroEntradas[[#This Row],[DATA DO CAIXA PREVISTO]]))</f>
        <v>2022</v>
      </c>
      <c r="P397" s="58" t="str">
        <f ca="1">IF(AND(tbRegistroEntradas[[#This Row],[DATA DE CAIXA REALIZADO]]="N/A",tbRegistroEntradas[[#This Row],[DATA DO CAIXA PREVISTO]]&lt;TODAY()),"Vencida","Não Vencida")</f>
        <v>Não Vencida</v>
      </c>
      <c r="Q397" s="58" t="str">
        <f>IF(tbRegistroEntradas[[#This Row],[DATA DA COMPETÊNCIA]]=tbRegistroEntradas[[#This Row],[DATA DO CAIXA PREVISTO]],"Vista","Prazo")</f>
        <v>Vista</v>
      </c>
      <c r="R397" s="58" t="str">
        <f>IF(tbRegistroEntradas[[#This Row],[DATA DE CAIXA REALIZADO]]&lt;&gt;"N/A","Em Dia","Com atraso")</f>
        <v>Em Dia</v>
      </c>
    </row>
    <row r="398" spans="1:18" s="52" customFormat="1" ht="14.4" customHeight="1" x14ac:dyDescent="0.3">
      <c r="A398" s="113">
        <v>44813.696215277778</v>
      </c>
      <c r="B398" s="115">
        <v>44771</v>
      </c>
      <c r="C398" s="125">
        <f>tbRegistroEntradas[[#This Row],[DATA DA COMPETÊNCIA]]</f>
        <v>44771</v>
      </c>
      <c r="D398" s="115" t="s">
        <v>62</v>
      </c>
      <c r="E398" s="116" t="s">
        <v>12</v>
      </c>
      <c r="F398" s="116" t="s">
        <v>19</v>
      </c>
      <c r="G398" s="116" t="s">
        <v>265</v>
      </c>
      <c r="H398" s="143" t="s">
        <v>94</v>
      </c>
      <c r="I398" s="120">
        <v>1369</v>
      </c>
      <c r="J398" s="55" t="str">
        <f>IF(tbRegistroEntradas[[#This Row],[DATA DE CAIXA REALIZADO]]="N/A","0",UPPER(TEXT(tbRegistroEntradas[[#This Row],[DATA DE CAIXA REALIZADO]],"mmm")))</f>
        <v>SET</v>
      </c>
      <c r="K398" s="58">
        <f>IF(tbRegistroEntradas[[#This Row],[DATA DE CAIXA REALIZADO]]="N/A",0,YEAR(tbRegistroEntradas[[#This Row],[DATA DE CAIXA REALIZADO]]))</f>
        <v>2022</v>
      </c>
      <c r="L398" s="79" t="str">
        <f>IF(tbRegistroEntradas[[#This Row],[DATA DA COMPETÊNCIA]]="N/A","0",UPPER(TEXT(tbRegistroEntradas[[#This Row],[DATA DA COMPETÊNCIA]],"mmm")))</f>
        <v>JUL</v>
      </c>
      <c r="M398" s="79">
        <f>IF(tbRegistroEntradas[[#This Row],[DATA DA COMPETÊNCIA]]="N/A",0,YEAR(tbRegistroEntradas[[#This Row],[DATA DA COMPETÊNCIA]]))</f>
        <v>2022</v>
      </c>
      <c r="N398" s="84" t="str">
        <f>IF(tbRegistroEntradas[[#This Row],[DATA DO CAIXA PREVISTO]]="N/A","0",UPPER(TEXT(tbRegistroEntradas[[#This Row],[DATA DO CAIXA PREVISTO]],"mmm")))</f>
        <v>JUL</v>
      </c>
      <c r="O398" s="84">
        <f>IF(tbRegistroEntradas[[#This Row],[DATA DO CAIXA PREVISTO]]="N/A",0,YEAR(tbRegistroEntradas[[#This Row],[DATA DO CAIXA PREVISTO]]))</f>
        <v>2022</v>
      </c>
      <c r="P398" s="58" t="str">
        <f ca="1">IF(AND(tbRegistroEntradas[[#This Row],[DATA DE CAIXA REALIZADO]]="N/A",tbRegistroEntradas[[#This Row],[DATA DO CAIXA PREVISTO]]&lt;TODAY()),"Vencida","Não Vencida")</f>
        <v>Não Vencida</v>
      </c>
      <c r="Q398" s="58" t="str">
        <f>IF(tbRegistroEntradas[[#This Row],[DATA DA COMPETÊNCIA]]=tbRegistroEntradas[[#This Row],[DATA DO CAIXA PREVISTO]],"Vista","Prazo")</f>
        <v>Vista</v>
      </c>
      <c r="R398" s="58" t="str">
        <f>IF(tbRegistroEntradas[[#This Row],[DATA DE CAIXA REALIZADO]]&lt;&gt;"N/A","Em Dia","Com atraso")</f>
        <v>Em Dia</v>
      </c>
    </row>
    <row r="399" spans="1:18" s="52" customFormat="1" ht="14.4" customHeight="1" x14ac:dyDescent="0.3">
      <c r="A399" s="112">
        <v>44818.569849537038</v>
      </c>
      <c r="B399" s="114">
        <v>44776</v>
      </c>
      <c r="C399" s="114">
        <v>44818.569849537038</v>
      </c>
      <c r="D399" s="114" t="s">
        <v>64</v>
      </c>
      <c r="E399" s="55" t="s">
        <v>12</v>
      </c>
      <c r="F399" s="55" t="s">
        <v>19</v>
      </c>
      <c r="G399" s="55" t="s">
        <v>266</v>
      </c>
      <c r="H399" s="52" t="s">
        <v>115</v>
      </c>
      <c r="I399" s="119">
        <v>331</v>
      </c>
      <c r="J399" s="55" t="str">
        <f>IF(tbRegistroEntradas[[#This Row],[DATA DE CAIXA REALIZADO]]="N/A","0",UPPER(TEXT(tbRegistroEntradas[[#This Row],[DATA DE CAIXA REALIZADO]],"mmm")))</f>
        <v>SET</v>
      </c>
      <c r="K399" s="58">
        <f>IF(tbRegistroEntradas[[#This Row],[DATA DE CAIXA REALIZADO]]="N/A",0,YEAR(tbRegistroEntradas[[#This Row],[DATA DE CAIXA REALIZADO]]))</f>
        <v>2022</v>
      </c>
      <c r="L399" s="79" t="str">
        <f>IF(tbRegistroEntradas[[#This Row],[DATA DA COMPETÊNCIA]]="N/A","0",UPPER(TEXT(tbRegistroEntradas[[#This Row],[DATA DA COMPETÊNCIA]],"mmm")))</f>
        <v>AGO</v>
      </c>
      <c r="M399" s="79">
        <f>IF(tbRegistroEntradas[[#This Row],[DATA DA COMPETÊNCIA]]="N/A",0,YEAR(tbRegistroEntradas[[#This Row],[DATA DA COMPETÊNCIA]]))</f>
        <v>2022</v>
      </c>
      <c r="N399" s="84" t="str">
        <f>IF(tbRegistroEntradas[[#This Row],[DATA DO CAIXA PREVISTO]]="N/A","0",UPPER(TEXT(tbRegistroEntradas[[#This Row],[DATA DO CAIXA PREVISTO]],"mmm")))</f>
        <v>SET</v>
      </c>
      <c r="O399" s="84">
        <f>IF(tbRegistroEntradas[[#This Row],[DATA DO CAIXA PREVISTO]]="N/A",0,YEAR(tbRegistroEntradas[[#This Row],[DATA DO CAIXA PREVISTO]]))</f>
        <v>2022</v>
      </c>
      <c r="P399" s="58" t="str">
        <f ca="1">IF(AND(tbRegistroEntradas[[#This Row],[DATA DE CAIXA REALIZADO]]="N/A",tbRegistroEntradas[[#This Row],[DATA DO CAIXA PREVISTO]]&lt;TODAY()),"Vencida","Não Vencida")</f>
        <v>Não Vencida</v>
      </c>
      <c r="Q399" s="58" t="str">
        <f>IF(tbRegistroEntradas[[#This Row],[DATA DA COMPETÊNCIA]]=tbRegistroEntradas[[#This Row],[DATA DO CAIXA PREVISTO]],"Vista","Prazo")</f>
        <v>Prazo</v>
      </c>
      <c r="R399" s="58" t="str">
        <f>IF(tbRegistroEntradas[[#This Row],[DATA DE CAIXA REALIZADO]]&lt;&gt;"N/A","Em Dia","Com atraso")</f>
        <v>Em Dia</v>
      </c>
    </row>
    <row r="400" spans="1:18" s="52" customFormat="1" ht="14.4" customHeight="1" x14ac:dyDescent="0.3">
      <c r="A400" s="125">
        <v>44808</v>
      </c>
      <c r="B400" s="125">
        <f>A400-31</f>
        <v>44777</v>
      </c>
      <c r="C400" s="125">
        <f>(A400-B400)+B400-15</f>
        <v>44793</v>
      </c>
      <c r="D400" s="126" t="s">
        <v>65</v>
      </c>
      <c r="E400" s="126" t="s">
        <v>12</v>
      </c>
      <c r="F400" s="126" t="s">
        <v>32</v>
      </c>
      <c r="G400" s="126" t="s">
        <v>1027</v>
      </c>
      <c r="H400" s="52" t="s">
        <v>119</v>
      </c>
      <c r="I400" s="127">
        <v>6952</v>
      </c>
      <c r="J400" s="110" t="str">
        <f>IF(tbRegistroEntradas[[#This Row],[DATA DE CAIXA REALIZADO]]="N/A","0",UPPER(TEXT(tbRegistroEntradas[[#This Row],[DATA DE CAIXA REALIZADO]],"mmm")))</f>
        <v>SET</v>
      </c>
      <c r="K400" s="57">
        <f>IF(tbRegistroEntradas[[#This Row],[DATA DE CAIXA REALIZADO]]="N/A",0,YEAR(tbRegistroEntradas[[#This Row],[DATA DE CAIXA REALIZADO]]))</f>
        <v>2022</v>
      </c>
      <c r="L400" s="58" t="str">
        <f>IF(tbRegistroEntradas[[#This Row],[DATA DA COMPETÊNCIA]]="N/A","0",UPPER(TEXT(tbRegistroEntradas[[#This Row],[DATA DA COMPETÊNCIA]],"mmm")))</f>
        <v>AGO</v>
      </c>
      <c r="M400" s="58">
        <f>IF(tbRegistroEntradas[[#This Row],[DATA DA COMPETÊNCIA]]="N/A",0,YEAR(tbRegistroEntradas[[#This Row],[DATA DA COMPETÊNCIA]]))</f>
        <v>2022</v>
      </c>
      <c r="N400" s="58" t="str">
        <f>IF(tbRegistroEntradas[[#This Row],[DATA DO CAIXA PREVISTO]]="N/A","0",UPPER(TEXT(tbRegistroEntradas[[#This Row],[DATA DO CAIXA PREVISTO]],"mmm")))</f>
        <v>AGO</v>
      </c>
      <c r="O400" s="58">
        <f>IF(tbRegistroEntradas[[#This Row],[DATA DO CAIXA PREVISTO]]="N/A",0,YEAR(tbRegistroEntradas[[#This Row],[DATA DO CAIXA PREVISTO]]))</f>
        <v>2022</v>
      </c>
      <c r="P400" s="58" t="str">
        <f ca="1">IF(AND(tbRegistroEntradas[[#This Row],[DATA DE CAIXA REALIZADO]]="N/A",tbRegistroEntradas[[#This Row],[DATA DO CAIXA PREVISTO]]&lt;TODAY()),"Vencida","Não Vencida")</f>
        <v>Não Vencida</v>
      </c>
      <c r="Q400" s="58" t="str">
        <f>IF(tbRegistroEntradas[[#This Row],[DATA DA COMPETÊNCIA]]=tbRegistroEntradas[[#This Row],[DATA DO CAIXA PREVISTO]],"Vista","Prazo")</f>
        <v>Prazo</v>
      </c>
      <c r="R400" s="58" t="str">
        <f>IF(tbRegistroEntradas[[#This Row],[DATA DE CAIXA REALIZADO]]&lt;&gt;"N/A","Em Dia","Com atraso")</f>
        <v>Em Dia</v>
      </c>
    </row>
    <row r="401" spans="1:18" s="52" customFormat="1" ht="14.4" customHeight="1" x14ac:dyDescent="0.3">
      <c r="A401" s="49">
        <v>44809</v>
      </c>
      <c r="B401" s="49">
        <f>A401-31</f>
        <v>44778</v>
      </c>
      <c r="C401" s="125">
        <f>tbRegistroEntradas[[#This Row],[DATA DA COMPETÊNCIA]]</f>
        <v>44778</v>
      </c>
      <c r="D401" s="52" t="s">
        <v>63</v>
      </c>
      <c r="E401" s="52" t="s">
        <v>12</v>
      </c>
      <c r="F401" s="52" t="s">
        <v>19</v>
      </c>
      <c r="G401" s="52" t="s">
        <v>684</v>
      </c>
      <c r="H401" s="52" t="s">
        <v>99</v>
      </c>
      <c r="I401" s="18">
        <v>7968</v>
      </c>
      <c r="J401" s="110" t="str">
        <f>IF(tbRegistroEntradas[[#This Row],[DATA DE CAIXA REALIZADO]]="N/A","0",UPPER(TEXT(tbRegistroEntradas[[#This Row],[DATA DE CAIXA REALIZADO]],"mmm")))</f>
        <v>SET</v>
      </c>
      <c r="K401" s="57">
        <f>IF(tbRegistroEntradas[[#This Row],[DATA DE CAIXA REALIZADO]]="N/A",0,YEAR(tbRegistroEntradas[[#This Row],[DATA DE CAIXA REALIZADO]]))</f>
        <v>2022</v>
      </c>
      <c r="L401" s="58" t="str">
        <f>IF(tbRegistroEntradas[[#This Row],[DATA DA COMPETÊNCIA]]="N/A","0",UPPER(TEXT(tbRegistroEntradas[[#This Row],[DATA DA COMPETÊNCIA]],"mmm")))</f>
        <v>AGO</v>
      </c>
      <c r="M401" s="58">
        <f>IF(tbRegistroEntradas[[#This Row],[DATA DA COMPETÊNCIA]]="N/A",0,YEAR(tbRegistroEntradas[[#This Row],[DATA DA COMPETÊNCIA]]))</f>
        <v>2022</v>
      </c>
      <c r="N401" s="58" t="str">
        <f>IF(tbRegistroEntradas[[#This Row],[DATA DO CAIXA PREVISTO]]="N/A","0",UPPER(TEXT(tbRegistroEntradas[[#This Row],[DATA DO CAIXA PREVISTO]],"mmm")))</f>
        <v>AGO</v>
      </c>
      <c r="O401" s="58">
        <f>IF(tbRegistroEntradas[[#This Row],[DATA DO CAIXA PREVISTO]]="N/A",0,YEAR(tbRegistroEntradas[[#This Row],[DATA DO CAIXA PREVISTO]]))</f>
        <v>2022</v>
      </c>
      <c r="P401" s="58" t="str">
        <f ca="1">IF(AND(tbRegistroEntradas[[#This Row],[DATA DE CAIXA REALIZADO]]="N/A",tbRegistroEntradas[[#This Row],[DATA DO CAIXA PREVISTO]]&lt;TODAY()),"Vencida","Não Vencida")</f>
        <v>Não Vencida</v>
      </c>
      <c r="Q401" s="58" t="str">
        <f>IF(tbRegistroEntradas[[#This Row],[DATA DA COMPETÊNCIA]]=tbRegistroEntradas[[#This Row],[DATA DO CAIXA PREVISTO]],"Vista","Prazo")</f>
        <v>Vista</v>
      </c>
      <c r="R401" s="58" t="str">
        <f>IF(tbRegistroEntradas[[#This Row],[DATA DE CAIXA REALIZADO]]&lt;&gt;"N/A","Em Dia","Com atraso")</f>
        <v>Em Dia</v>
      </c>
    </row>
    <row r="402" spans="1:18" s="52" customFormat="1" ht="14.4" customHeight="1" x14ac:dyDescent="0.3">
      <c r="A402" s="113">
        <v>44782.343773148146</v>
      </c>
      <c r="B402" s="115">
        <v>44779</v>
      </c>
      <c r="C402" s="115">
        <v>44782.343773148146</v>
      </c>
      <c r="D402" s="116" t="s">
        <v>64</v>
      </c>
      <c r="E402" s="116" t="s">
        <v>12</v>
      </c>
      <c r="F402" s="116" t="s">
        <v>19</v>
      </c>
      <c r="G402" s="116" t="s">
        <v>267</v>
      </c>
      <c r="H402" s="52" t="s">
        <v>74</v>
      </c>
      <c r="I402" s="120">
        <v>3031</v>
      </c>
      <c r="J402" s="55" t="str">
        <f>IF(tbRegistroEntradas[[#This Row],[DATA DE CAIXA REALIZADO]]="N/A","0",UPPER(TEXT(tbRegistroEntradas[[#This Row],[DATA DE CAIXA REALIZADO]],"mmm")))</f>
        <v>AGO</v>
      </c>
      <c r="K402" s="58">
        <f>IF(tbRegistroEntradas[[#This Row],[DATA DE CAIXA REALIZADO]]="N/A",0,YEAR(tbRegistroEntradas[[#This Row],[DATA DE CAIXA REALIZADO]]))</f>
        <v>2022</v>
      </c>
      <c r="L402" s="79" t="str">
        <f>IF(tbRegistroEntradas[[#This Row],[DATA DA COMPETÊNCIA]]="N/A","0",UPPER(TEXT(tbRegistroEntradas[[#This Row],[DATA DA COMPETÊNCIA]],"mmm")))</f>
        <v>AGO</v>
      </c>
      <c r="M402" s="79">
        <f>IF(tbRegistroEntradas[[#This Row],[DATA DA COMPETÊNCIA]]="N/A",0,YEAR(tbRegistroEntradas[[#This Row],[DATA DA COMPETÊNCIA]]))</f>
        <v>2022</v>
      </c>
      <c r="N402" s="84" t="str">
        <f>IF(tbRegistroEntradas[[#This Row],[DATA DO CAIXA PREVISTO]]="N/A","0",UPPER(TEXT(tbRegistroEntradas[[#This Row],[DATA DO CAIXA PREVISTO]],"mmm")))</f>
        <v>AGO</v>
      </c>
      <c r="O402" s="84">
        <f>IF(tbRegistroEntradas[[#This Row],[DATA DO CAIXA PREVISTO]]="N/A",0,YEAR(tbRegistroEntradas[[#This Row],[DATA DO CAIXA PREVISTO]]))</f>
        <v>2022</v>
      </c>
      <c r="P402" s="58" t="str">
        <f ca="1">IF(AND(tbRegistroEntradas[[#This Row],[DATA DE CAIXA REALIZADO]]="N/A",tbRegistroEntradas[[#This Row],[DATA DO CAIXA PREVISTO]]&lt;TODAY()),"Vencida","Não Vencida")</f>
        <v>Não Vencida</v>
      </c>
      <c r="Q402" s="58" t="str">
        <f>IF(tbRegistroEntradas[[#This Row],[DATA DA COMPETÊNCIA]]=tbRegistroEntradas[[#This Row],[DATA DO CAIXA PREVISTO]],"Vista","Prazo")</f>
        <v>Prazo</v>
      </c>
      <c r="R402" s="58" t="str">
        <f>IF(tbRegistroEntradas[[#This Row],[DATA DE CAIXA REALIZADO]]&lt;&gt;"N/A","Em Dia","Com atraso")</f>
        <v>Em Dia</v>
      </c>
    </row>
    <row r="403" spans="1:18" s="52" customFormat="1" ht="14.4" customHeight="1" x14ac:dyDescent="0.3">
      <c r="A403" s="49">
        <v>44812</v>
      </c>
      <c r="B403" s="49">
        <f>A403-31</f>
        <v>44781</v>
      </c>
      <c r="C403" s="125">
        <f>tbRegistroEntradas[[#This Row],[DATA DA COMPETÊNCIA]]</f>
        <v>44781</v>
      </c>
      <c r="D403" s="52" t="s">
        <v>138</v>
      </c>
      <c r="E403" s="52" t="s">
        <v>12</v>
      </c>
      <c r="F403" s="52" t="s">
        <v>16</v>
      </c>
      <c r="G403" s="52" t="s">
        <v>822</v>
      </c>
      <c r="H403" s="52" t="s">
        <v>76</v>
      </c>
      <c r="I403" s="18">
        <v>6081</v>
      </c>
      <c r="J403" s="110" t="str">
        <f>IF(tbRegistroEntradas[[#This Row],[DATA DE CAIXA REALIZADO]]="N/A","0",UPPER(TEXT(tbRegistroEntradas[[#This Row],[DATA DE CAIXA REALIZADO]],"mmm")))</f>
        <v>SET</v>
      </c>
      <c r="K403" s="57">
        <f>IF(tbRegistroEntradas[[#This Row],[DATA DE CAIXA REALIZADO]]="N/A",0,YEAR(tbRegistroEntradas[[#This Row],[DATA DE CAIXA REALIZADO]]))</f>
        <v>2022</v>
      </c>
      <c r="L403" s="58" t="str">
        <f>IF(tbRegistroEntradas[[#This Row],[DATA DA COMPETÊNCIA]]="N/A","0",UPPER(TEXT(tbRegistroEntradas[[#This Row],[DATA DA COMPETÊNCIA]],"mmm")))</f>
        <v>AGO</v>
      </c>
      <c r="M403" s="58">
        <f>IF(tbRegistroEntradas[[#This Row],[DATA DA COMPETÊNCIA]]="N/A",0,YEAR(tbRegistroEntradas[[#This Row],[DATA DA COMPETÊNCIA]]))</f>
        <v>2022</v>
      </c>
      <c r="N403" s="58" t="str">
        <f>IF(tbRegistroEntradas[[#This Row],[DATA DO CAIXA PREVISTO]]="N/A","0",UPPER(TEXT(tbRegistroEntradas[[#This Row],[DATA DO CAIXA PREVISTO]],"mmm")))</f>
        <v>AGO</v>
      </c>
      <c r="O403" s="58">
        <f>IF(tbRegistroEntradas[[#This Row],[DATA DO CAIXA PREVISTO]]="N/A",0,YEAR(tbRegistroEntradas[[#This Row],[DATA DO CAIXA PREVISTO]]))</f>
        <v>2022</v>
      </c>
      <c r="P403" s="58" t="str">
        <f ca="1">IF(AND(tbRegistroEntradas[[#This Row],[DATA DE CAIXA REALIZADO]]="N/A",tbRegistroEntradas[[#This Row],[DATA DO CAIXA PREVISTO]]&lt;TODAY()),"Vencida","Não Vencida")</f>
        <v>Não Vencida</v>
      </c>
      <c r="Q403" s="58" t="str">
        <f>IF(tbRegistroEntradas[[#This Row],[DATA DA COMPETÊNCIA]]=tbRegistroEntradas[[#This Row],[DATA DO CAIXA PREVISTO]],"Vista","Prazo")</f>
        <v>Vista</v>
      </c>
      <c r="R403" s="58" t="str">
        <f>IF(tbRegistroEntradas[[#This Row],[DATA DE CAIXA REALIZADO]]&lt;&gt;"N/A","Em Dia","Com atraso")</f>
        <v>Em Dia</v>
      </c>
    </row>
    <row r="404" spans="1:18" s="52" customFormat="1" ht="14.4" customHeight="1" x14ac:dyDescent="0.3">
      <c r="A404" s="49">
        <v>44812</v>
      </c>
      <c r="B404" s="49">
        <f>A404-31</f>
        <v>44781</v>
      </c>
      <c r="C404" s="49">
        <f>(A404-B404)+B404-15</f>
        <v>44797</v>
      </c>
      <c r="D404" s="52" t="s">
        <v>67</v>
      </c>
      <c r="E404" s="52" t="s">
        <v>12</v>
      </c>
      <c r="F404" s="52" t="s">
        <v>16</v>
      </c>
      <c r="G404" s="52" t="s">
        <v>751</v>
      </c>
      <c r="H404" s="52" t="s">
        <v>129</v>
      </c>
      <c r="I404" s="18">
        <v>5719</v>
      </c>
      <c r="J404" s="110" t="str">
        <f>IF(tbRegistroEntradas[[#This Row],[DATA DE CAIXA REALIZADO]]="N/A","0",UPPER(TEXT(tbRegistroEntradas[[#This Row],[DATA DE CAIXA REALIZADO]],"mmm")))</f>
        <v>SET</v>
      </c>
      <c r="K404" s="57">
        <f>IF(tbRegistroEntradas[[#This Row],[DATA DE CAIXA REALIZADO]]="N/A",0,YEAR(tbRegistroEntradas[[#This Row],[DATA DE CAIXA REALIZADO]]))</f>
        <v>2022</v>
      </c>
      <c r="L404" s="58" t="str">
        <f>IF(tbRegistroEntradas[[#This Row],[DATA DA COMPETÊNCIA]]="N/A","0",UPPER(TEXT(tbRegistroEntradas[[#This Row],[DATA DA COMPETÊNCIA]],"mmm")))</f>
        <v>AGO</v>
      </c>
      <c r="M404" s="58">
        <f>IF(tbRegistroEntradas[[#This Row],[DATA DA COMPETÊNCIA]]="N/A",0,YEAR(tbRegistroEntradas[[#This Row],[DATA DA COMPETÊNCIA]]))</f>
        <v>2022</v>
      </c>
      <c r="N404" s="58" t="str">
        <f>IF(tbRegistroEntradas[[#This Row],[DATA DO CAIXA PREVISTO]]="N/A","0",UPPER(TEXT(tbRegistroEntradas[[#This Row],[DATA DO CAIXA PREVISTO]],"mmm")))</f>
        <v>AGO</v>
      </c>
      <c r="O404" s="58">
        <f>IF(tbRegistroEntradas[[#This Row],[DATA DO CAIXA PREVISTO]]="N/A",0,YEAR(tbRegistroEntradas[[#This Row],[DATA DO CAIXA PREVISTO]]))</f>
        <v>2022</v>
      </c>
      <c r="P404" s="58" t="str">
        <f ca="1">IF(AND(tbRegistroEntradas[[#This Row],[DATA DE CAIXA REALIZADO]]="N/A",tbRegistroEntradas[[#This Row],[DATA DO CAIXA PREVISTO]]&lt;TODAY()),"Vencida","Não Vencida")</f>
        <v>Não Vencida</v>
      </c>
      <c r="Q404" s="58" t="str">
        <f>IF(tbRegistroEntradas[[#This Row],[DATA DA COMPETÊNCIA]]=tbRegistroEntradas[[#This Row],[DATA DO CAIXA PREVISTO]],"Vista","Prazo")</f>
        <v>Prazo</v>
      </c>
      <c r="R404" s="58" t="str">
        <f>IF(tbRegistroEntradas[[#This Row],[DATA DE CAIXA REALIZADO]]&lt;&gt;"N/A","Em Dia","Com atraso")</f>
        <v>Em Dia</v>
      </c>
    </row>
    <row r="405" spans="1:18" s="52" customFormat="1" ht="14.4" customHeight="1" x14ac:dyDescent="0.3">
      <c r="A405" s="49">
        <v>44813</v>
      </c>
      <c r="B405" s="49">
        <f>A405-31</f>
        <v>44782</v>
      </c>
      <c r="C405" s="125">
        <f>tbRegistroEntradas[[#This Row],[DATA DA COMPETÊNCIA]]</f>
        <v>44782</v>
      </c>
      <c r="D405" s="52" t="s">
        <v>138</v>
      </c>
      <c r="E405" s="52" t="s">
        <v>12</v>
      </c>
      <c r="F405" s="52" t="s">
        <v>17</v>
      </c>
      <c r="G405" s="52" t="s">
        <v>917</v>
      </c>
      <c r="H405" s="52" t="s">
        <v>77</v>
      </c>
      <c r="I405" s="18">
        <v>6628</v>
      </c>
      <c r="J405" s="110" t="str">
        <f>IF(tbRegistroEntradas[[#This Row],[DATA DE CAIXA REALIZADO]]="N/A","0",UPPER(TEXT(tbRegistroEntradas[[#This Row],[DATA DE CAIXA REALIZADO]],"mmm")))</f>
        <v>SET</v>
      </c>
      <c r="K405" s="57">
        <f>IF(tbRegistroEntradas[[#This Row],[DATA DE CAIXA REALIZADO]]="N/A",0,YEAR(tbRegistroEntradas[[#This Row],[DATA DE CAIXA REALIZADO]]))</f>
        <v>2022</v>
      </c>
      <c r="L405" s="58" t="str">
        <f>IF(tbRegistroEntradas[[#This Row],[DATA DA COMPETÊNCIA]]="N/A","0",UPPER(TEXT(tbRegistroEntradas[[#This Row],[DATA DA COMPETÊNCIA]],"mmm")))</f>
        <v>AGO</v>
      </c>
      <c r="M405" s="58">
        <f>IF(tbRegistroEntradas[[#This Row],[DATA DA COMPETÊNCIA]]="N/A",0,YEAR(tbRegistroEntradas[[#This Row],[DATA DA COMPETÊNCIA]]))</f>
        <v>2022</v>
      </c>
      <c r="N405" s="58" t="str">
        <f>IF(tbRegistroEntradas[[#This Row],[DATA DO CAIXA PREVISTO]]="N/A","0",UPPER(TEXT(tbRegistroEntradas[[#This Row],[DATA DO CAIXA PREVISTO]],"mmm")))</f>
        <v>AGO</v>
      </c>
      <c r="O405" s="58">
        <f>IF(tbRegistroEntradas[[#This Row],[DATA DO CAIXA PREVISTO]]="N/A",0,YEAR(tbRegistroEntradas[[#This Row],[DATA DO CAIXA PREVISTO]]))</f>
        <v>2022</v>
      </c>
      <c r="P405" s="58" t="str">
        <f ca="1">IF(AND(tbRegistroEntradas[[#This Row],[DATA DE CAIXA REALIZADO]]="N/A",tbRegistroEntradas[[#This Row],[DATA DO CAIXA PREVISTO]]&lt;TODAY()),"Vencida","Não Vencida")</f>
        <v>Não Vencida</v>
      </c>
      <c r="Q405" s="58" t="str">
        <f>IF(tbRegistroEntradas[[#This Row],[DATA DA COMPETÊNCIA]]=tbRegistroEntradas[[#This Row],[DATA DO CAIXA PREVISTO]],"Vista","Prazo")</f>
        <v>Vista</v>
      </c>
      <c r="R405" s="58" t="str">
        <f>IF(tbRegistroEntradas[[#This Row],[DATA DE CAIXA REALIZADO]]&lt;&gt;"N/A","Em Dia","Com atraso")</f>
        <v>Em Dia</v>
      </c>
    </row>
    <row r="406" spans="1:18" s="52" customFormat="1" ht="14.4" customHeight="1" x14ac:dyDescent="0.3">
      <c r="A406" s="112">
        <v>44802.446770833332</v>
      </c>
      <c r="B406" s="114">
        <v>44782</v>
      </c>
      <c r="C406" s="125">
        <f>tbRegistroEntradas[[#This Row],[DATA DA COMPETÊNCIA]]</f>
        <v>44782</v>
      </c>
      <c r="D406" s="55" t="s">
        <v>65</v>
      </c>
      <c r="E406" s="55" t="s">
        <v>12</v>
      </c>
      <c r="F406" s="55" t="s">
        <v>17</v>
      </c>
      <c r="G406" s="55" t="s">
        <v>268</v>
      </c>
      <c r="H406" s="52" t="s">
        <v>120</v>
      </c>
      <c r="I406" s="119">
        <v>1200</v>
      </c>
      <c r="J406" s="55" t="str">
        <f>IF(tbRegistroEntradas[[#This Row],[DATA DE CAIXA REALIZADO]]="N/A","0",UPPER(TEXT(tbRegistroEntradas[[#This Row],[DATA DE CAIXA REALIZADO]],"mmm")))</f>
        <v>AGO</v>
      </c>
      <c r="K406" s="58">
        <f>IF(tbRegistroEntradas[[#This Row],[DATA DE CAIXA REALIZADO]]="N/A",0,YEAR(tbRegistroEntradas[[#This Row],[DATA DE CAIXA REALIZADO]]))</f>
        <v>2022</v>
      </c>
      <c r="L406" s="79" t="str">
        <f>IF(tbRegistroEntradas[[#This Row],[DATA DA COMPETÊNCIA]]="N/A","0",UPPER(TEXT(tbRegistroEntradas[[#This Row],[DATA DA COMPETÊNCIA]],"mmm")))</f>
        <v>AGO</v>
      </c>
      <c r="M406" s="79">
        <f>IF(tbRegistroEntradas[[#This Row],[DATA DA COMPETÊNCIA]]="N/A",0,YEAR(tbRegistroEntradas[[#This Row],[DATA DA COMPETÊNCIA]]))</f>
        <v>2022</v>
      </c>
      <c r="N406" s="84" t="str">
        <f>IF(tbRegistroEntradas[[#This Row],[DATA DO CAIXA PREVISTO]]="N/A","0",UPPER(TEXT(tbRegistroEntradas[[#This Row],[DATA DO CAIXA PREVISTO]],"mmm")))</f>
        <v>AGO</v>
      </c>
      <c r="O406" s="84">
        <f>IF(tbRegistroEntradas[[#This Row],[DATA DO CAIXA PREVISTO]]="N/A",0,YEAR(tbRegistroEntradas[[#This Row],[DATA DO CAIXA PREVISTO]]))</f>
        <v>2022</v>
      </c>
      <c r="P406" s="58" t="str">
        <f ca="1">IF(AND(tbRegistroEntradas[[#This Row],[DATA DE CAIXA REALIZADO]]="N/A",tbRegistroEntradas[[#This Row],[DATA DO CAIXA PREVISTO]]&lt;TODAY()),"Vencida","Não Vencida")</f>
        <v>Não Vencida</v>
      </c>
      <c r="Q406" s="58" t="str">
        <f>IF(tbRegistroEntradas[[#This Row],[DATA DA COMPETÊNCIA]]=tbRegistroEntradas[[#This Row],[DATA DO CAIXA PREVISTO]],"Vista","Prazo")</f>
        <v>Vista</v>
      </c>
      <c r="R406" s="58" t="str">
        <f>IF(tbRegistroEntradas[[#This Row],[DATA DE CAIXA REALIZADO]]&lt;&gt;"N/A","Em Dia","Com atraso")</f>
        <v>Em Dia</v>
      </c>
    </row>
    <row r="407" spans="1:18" s="52" customFormat="1" ht="14.4" customHeight="1" x14ac:dyDescent="0.3">
      <c r="A407" s="49">
        <v>44814</v>
      </c>
      <c r="B407" s="49">
        <f>A407-31</f>
        <v>44783</v>
      </c>
      <c r="C407" s="49">
        <f>(A407-B407)+B407-15</f>
        <v>44799</v>
      </c>
      <c r="D407" s="52" t="s">
        <v>66</v>
      </c>
      <c r="E407" s="52" t="s">
        <v>12</v>
      </c>
      <c r="F407" s="52" t="s">
        <v>32</v>
      </c>
      <c r="G407" s="52" t="s">
        <v>1068</v>
      </c>
      <c r="H407" s="52" t="s">
        <v>126</v>
      </c>
      <c r="I407" s="18">
        <v>6886</v>
      </c>
      <c r="J407" s="110" t="str">
        <f>IF(tbRegistroEntradas[[#This Row],[DATA DE CAIXA REALIZADO]]="N/A","0",UPPER(TEXT(tbRegistroEntradas[[#This Row],[DATA DE CAIXA REALIZADO]],"mmm")))</f>
        <v>SET</v>
      </c>
      <c r="K407" s="57">
        <f>IF(tbRegistroEntradas[[#This Row],[DATA DE CAIXA REALIZADO]]="N/A",0,YEAR(tbRegistroEntradas[[#This Row],[DATA DE CAIXA REALIZADO]]))</f>
        <v>2022</v>
      </c>
      <c r="L407" s="58" t="str">
        <f>IF(tbRegistroEntradas[[#This Row],[DATA DA COMPETÊNCIA]]="N/A","0",UPPER(TEXT(tbRegistroEntradas[[#This Row],[DATA DA COMPETÊNCIA]],"mmm")))</f>
        <v>AGO</v>
      </c>
      <c r="M407" s="58">
        <f>IF(tbRegistroEntradas[[#This Row],[DATA DA COMPETÊNCIA]]="N/A",0,YEAR(tbRegistroEntradas[[#This Row],[DATA DA COMPETÊNCIA]]))</f>
        <v>2022</v>
      </c>
      <c r="N407" s="58" t="str">
        <f>IF(tbRegistroEntradas[[#This Row],[DATA DO CAIXA PREVISTO]]="N/A","0",UPPER(TEXT(tbRegistroEntradas[[#This Row],[DATA DO CAIXA PREVISTO]],"mmm")))</f>
        <v>AGO</v>
      </c>
      <c r="O407" s="58">
        <f>IF(tbRegistroEntradas[[#This Row],[DATA DO CAIXA PREVISTO]]="N/A",0,YEAR(tbRegistroEntradas[[#This Row],[DATA DO CAIXA PREVISTO]]))</f>
        <v>2022</v>
      </c>
      <c r="P407" s="58" t="str">
        <f ca="1">IF(AND(tbRegistroEntradas[[#This Row],[DATA DE CAIXA REALIZADO]]="N/A",tbRegistroEntradas[[#This Row],[DATA DO CAIXA PREVISTO]]&lt;TODAY()),"Vencida","Não Vencida")</f>
        <v>Não Vencida</v>
      </c>
      <c r="Q407" s="58" t="str">
        <f>IF(tbRegistroEntradas[[#This Row],[DATA DA COMPETÊNCIA]]=tbRegistroEntradas[[#This Row],[DATA DO CAIXA PREVISTO]],"Vista","Prazo")</f>
        <v>Prazo</v>
      </c>
      <c r="R407" s="58" t="str">
        <f>IF(tbRegistroEntradas[[#This Row],[DATA DE CAIXA REALIZADO]]&lt;&gt;"N/A","Em Dia","Com atraso")</f>
        <v>Em Dia</v>
      </c>
    </row>
    <row r="408" spans="1:18" s="52" customFormat="1" ht="14.4" customHeight="1" x14ac:dyDescent="0.3">
      <c r="A408" s="49">
        <v>44814</v>
      </c>
      <c r="B408" s="49">
        <f>A408-31</f>
        <v>44783</v>
      </c>
      <c r="C408" s="49">
        <f>(A408-B408)+B408-15</f>
        <v>44799</v>
      </c>
      <c r="D408" s="52" t="s">
        <v>66</v>
      </c>
      <c r="E408" s="52" t="s">
        <v>12</v>
      </c>
      <c r="F408" s="52" t="s">
        <v>32</v>
      </c>
      <c r="G408" s="52" t="s">
        <v>1051</v>
      </c>
      <c r="H408" s="52" t="s">
        <v>124</v>
      </c>
      <c r="I408" s="18">
        <v>3931</v>
      </c>
      <c r="J408" s="110" t="str">
        <f>IF(tbRegistroEntradas[[#This Row],[DATA DE CAIXA REALIZADO]]="N/A","0",UPPER(TEXT(tbRegistroEntradas[[#This Row],[DATA DE CAIXA REALIZADO]],"mmm")))</f>
        <v>SET</v>
      </c>
      <c r="K408" s="57">
        <f>IF(tbRegistroEntradas[[#This Row],[DATA DE CAIXA REALIZADO]]="N/A",0,YEAR(tbRegistroEntradas[[#This Row],[DATA DE CAIXA REALIZADO]]))</f>
        <v>2022</v>
      </c>
      <c r="L408" s="58" t="str">
        <f>IF(tbRegistroEntradas[[#This Row],[DATA DA COMPETÊNCIA]]="N/A","0",UPPER(TEXT(tbRegistroEntradas[[#This Row],[DATA DA COMPETÊNCIA]],"mmm")))</f>
        <v>AGO</v>
      </c>
      <c r="M408" s="58">
        <f>IF(tbRegistroEntradas[[#This Row],[DATA DA COMPETÊNCIA]]="N/A",0,YEAR(tbRegistroEntradas[[#This Row],[DATA DA COMPETÊNCIA]]))</f>
        <v>2022</v>
      </c>
      <c r="N408" s="58" t="str">
        <f>IF(tbRegistroEntradas[[#This Row],[DATA DO CAIXA PREVISTO]]="N/A","0",UPPER(TEXT(tbRegistroEntradas[[#This Row],[DATA DO CAIXA PREVISTO]],"mmm")))</f>
        <v>AGO</v>
      </c>
      <c r="O408" s="58">
        <f>IF(tbRegistroEntradas[[#This Row],[DATA DO CAIXA PREVISTO]]="N/A",0,YEAR(tbRegistroEntradas[[#This Row],[DATA DO CAIXA PREVISTO]]))</f>
        <v>2022</v>
      </c>
      <c r="P408" s="58" t="str">
        <f ca="1">IF(AND(tbRegistroEntradas[[#This Row],[DATA DE CAIXA REALIZADO]]="N/A",tbRegistroEntradas[[#This Row],[DATA DO CAIXA PREVISTO]]&lt;TODAY()),"Vencida","Não Vencida")</f>
        <v>Não Vencida</v>
      </c>
      <c r="Q408" s="58" t="str">
        <f>IF(tbRegistroEntradas[[#This Row],[DATA DA COMPETÊNCIA]]=tbRegistroEntradas[[#This Row],[DATA DO CAIXA PREVISTO]],"Vista","Prazo")</f>
        <v>Prazo</v>
      </c>
      <c r="R408" s="58" t="str">
        <f>IF(tbRegistroEntradas[[#This Row],[DATA DE CAIXA REALIZADO]]&lt;&gt;"N/A","Em Dia","Com atraso")</f>
        <v>Em Dia</v>
      </c>
    </row>
    <row r="409" spans="1:18" s="52" customFormat="1" ht="14.4" customHeight="1" x14ac:dyDescent="0.3">
      <c r="A409" s="113">
        <v>44804.77071759259</v>
      </c>
      <c r="B409" s="115">
        <v>44784</v>
      </c>
      <c r="C409" s="115">
        <v>44804.77071759259</v>
      </c>
      <c r="D409" s="116" t="s">
        <v>138</v>
      </c>
      <c r="E409" s="116" t="s">
        <v>12</v>
      </c>
      <c r="F409" s="116" t="s">
        <v>17</v>
      </c>
      <c r="G409" s="116" t="s">
        <v>269</v>
      </c>
      <c r="H409" s="52" t="s">
        <v>78</v>
      </c>
      <c r="I409" s="120">
        <v>405</v>
      </c>
      <c r="J409" s="55" t="str">
        <f>IF(tbRegistroEntradas[[#This Row],[DATA DE CAIXA REALIZADO]]="N/A","0",UPPER(TEXT(tbRegistroEntradas[[#This Row],[DATA DE CAIXA REALIZADO]],"mmm")))</f>
        <v>AGO</v>
      </c>
      <c r="K409" s="58">
        <f>IF(tbRegistroEntradas[[#This Row],[DATA DE CAIXA REALIZADO]]="N/A",0,YEAR(tbRegistroEntradas[[#This Row],[DATA DE CAIXA REALIZADO]]))</f>
        <v>2022</v>
      </c>
      <c r="L409" s="79" t="str">
        <f>IF(tbRegistroEntradas[[#This Row],[DATA DA COMPETÊNCIA]]="N/A","0",UPPER(TEXT(tbRegistroEntradas[[#This Row],[DATA DA COMPETÊNCIA]],"mmm")))</f>
        <v>AGO</v>
      </c>
      <c r="M409" s="79">
        <f>IF(tbRegistroEntradas[[#This Row],[DATA DA COMPETÊNCIA]]="N/A",0,YEAR(tbRegistroEntradas[[#This Row],[DATA DA COMPETÊNCIA]]))</f>
        <v>2022</v>
      </c>
      <c r="N409" s="84" t="str">
        <f>IF(tbRegistroEntradas[[#This Row],[DATA DO CAIXA PREVISTO]]="N/A","0",UPPER(TEXT(tbRegistroEntradas[[#This Row],[DATA DO CAIXA PREVISTO]],"mmm")))</f>
        <v>AGO</v>
      </c>
      <c r="O409" s="84">
        <f>IF(tbRegistroEntradas[[#This Row],[DATA DO CAIXA PREVISTO]]="N/A",0,YEAR(tbRegistroEntradas[[#This Row],[DATA DO CAIXA PREVISTO]]))</f>
        <v>2022</v>
      </c>
      <c r="P409" s="58" t="str">
        <f ca="1">IF(AND(tbRegistroEntradas[[#This Row],[DATA DE CAIXA REALIZADO]]="N/A",tbRegistroEntradas[[#This Row],[DATA DO CAIXA PREVISTO]]&lt;TODAY()),"Vencida","Não Vencida")</f>
        <v>Não Vencida</v>
      </c>
      <c r="Q409" s="58" t="str">
        <f>IF(tbRegistroEntradas[[#This Row],[DATA DA COMPETÊNCIA]]=tbRegistroEntradas[[#This Row],[DATA DO CAIXA PREVISTO]],"Vista","Prazo")</f>
        <v>Prazo</v>
      </c>
      <c r="R409" s="58" t="str">
        <f>IF(tbRegistroEntradas[[#This Row],[DATA DE CAIXA REALIZADO]]&lt;&gt;"N/A","Em Dia","Com atraso")</f>
        <v>Em Dia</v>
      </c>
    </row>
    <row r="410" spans="1:18" s="52" customFormat="1" ht="14.4" customHeight="1" x14ac:dyDescent="0.3">
      <c r="A410" s="125">
        <v>44815</v>
      </c>
      <c r="B410" s="125">
        <f>A410-31</f>
        <v>44784</v>
      </c>
      <c r="C410" s="125">
        <f>(A410-B410)+B410-15</f>
        <v>44800</v>
      </c>
      <c r="D410" s="126" t="s">
        <v>65</v>
      </c>
      <c r="E410" s="126" t="s">
        <v>12</v>
      </c>
      <c r="F410" s="126" t="s">
        <v>16</v>
      </c>
      <c r="G410" s="126" t="s">
        <v>728</v>
      </c>
      <c r="H410" s="52" t="s">
        <v>120</v>
      </c>
      <c r="I410" s="127">
        <v>5632</v>
      </c>
      <c r="J410" s="110" t="str">
        <f>IF(tbRegistroEntradas[[#This Row],[DATA DE CAIXA REALIZADO]]="N/A","0",UPPER(TEXT(tbRegistroEntradas[[#This Row],[DATA DE CAIXA REALIZADO]],"mmm")))</f>
        <v>SET</v>
      </c>
      <c r="K410" s="57">
        <f>IF(tbRegistroEntradas[[#This Row],[DATA DE CAIXA REALIZADO]]="N/A",0,YEAR(tbRegistroEntradas[[#This Row],[DATA DE CAIXA REALIZADO]]))</f>
        <v>2022</v>
      </c>
      <c r="L410" s="58" t="str">
        <f>IF(tbRegistroEntradas[[#This Row],[DATA DA COMPETÊNCIA]]="N/A","0",UPPER(TEXT(tbRegistroEntradas[[#This Row],[DATA DA COMPETÊNCIA]],"mmm")))</f>
        <v>AGO</v>
      </c>
      <c r="M410" s="58">
        <f>IF(tbRegistroEntradas[[#This Row],[DATA DA COMPETÊNCIA]]="N/A",0,YEAR(tbRegistroEntradas[[#This Row],[DATA DA COMPETÊNCIA]]))</f>
        <v>2022</v>
      </c>
      <c r="N410" s="58" t="str">
        <f>IF(tbRegistroEntradas[[#This Row],[DATA DO CAIXA PREVISTO]]="N/A","0",UPPER(TEXT(tbRegistroEntradas[[#This Row],[DATA DO CAIXA PREVISTO]],"mmm")))</f>
        <v>AGO</v>
      </c>
      <c r="O410" s="58">
        <f>IF(tbRegistroEntradas[[#This Row],[DATA DO CAIXA PREVISTO]]="N/A",0,YEAR(tbRegistroEntradas[[#This Row],[DATA DO CAIXA PREVISTO]]))</f>
        <v>2022</v>
      </c>
      <c r="P410" s="58" t="str">
        <f ca="1">IF(AND(tbRegistroEntradas[[#This Row],[DATA DE CAIXA REALIZADO]]="N/A",tbRegistroEntradas[[#This Row],[DATA DO CAIXA PREVISTO]]&lt;TODAY()),"Vencida","Não Vencida")</f>
        <v>Não Vencida</v>
      </c>
      <c r="Q410" s="58" t="str">
        <f>IF(tbRegistroEntradas[[#This Row],[DATA DA COMPETÊNCIA]]=tbRegistroEntradas[[#This Row],[DATA DO CAIXA PREVISTO]],"Vista","Prazo")</f>
        <v>Prazo</v>
      </c>
      <c r="R410" s="58" t="str">
        <f>IF(tbRegistroEntradas[[#This Row],[DATA DE CAIXA REALIZADO]]&lt;&gt;"N/A","Em Dia","Com atraso")</f>
        <v>Em Dia</v>
      </c>
    </row>
    <row r="411" spans="1:18" s="52" customFormat="1" ht="14.4" customHeight="1" x14ac:dyDescent="0.3">
      <c r="A411" s="125">
        <v>44817</v>
      </c>
      <c r="B411" s="125">
        <f>A411-31</f>
        <v>44786</v>
      </c>
      <c r="C411" s="125">
        <f>(A411-B411)+B411-15</f>
        <v>44802</v>
      </c>
      <c r="D411" s="126" t="s">
        <v>138</v>
      </c>
      <c r="E411" s="126" t="s">
        <v>12</v>
      </c>
      <c r="F411" s="126" t="s">
        <v>32</v>
      </c>
      <c r="G411" s="126" t="s">
        <v>1056</v>
      </c>
      <c r="H411" s="52" t="s">
        <v>135</v>
      </c>
      <c r="I411" s="127">
        <v>4674</v>
      </c>
      <c r="J411" s="110" t="str">
        <f>IF(tbRegistroEntradas[[#This Row],[DATA DE CAIXA REALIZADO]]="N/A","0",UPPER(TEXT(tbRegistroEntradas[[#This Row],[DATA DE CAIXA REALIZADO]],"mmm")))</f>
        <v>SET</v>
      </c>
      <c r="K411" s="57">
        <f>IF(tbRegistroEntradas[[#This Row],[DATA DE CAIXA REALIZADO]]="N/A",0,YEAR(tbRegistroEntradas[[#This Row],[DATA DE CAIXA REALIZADO]]))</f>
        <v>2022</v>
      </c>
      <c r="L411" s="58" t="str">
        <f>IF(tbRegistroEntradas[[#This Row],[DATA DA COMPETÊNCIA]]="N/A","0",UPPER(TEXT(tbRegistroEntradas[[#This Row],[DATA DA COMPETÊNCIA]],"mmm")))</f>
        <v>AGO</v>
      </c>
      <c r="M411" s="58">
        <f>IF(tbRegistroEntradas[[#This Row],[DATA DA COMPETÊNCIA]]="N/A",0,YEAR(tbRegistroEntradas[[#This Row],[DATA DA COMPETÊNCIA]]))</f>
        <v>2022</v>
      </c>
      <c r="N411" s="58" t="str">
        <f>IF(tbRegistroEntradas[[#This Row],[DATA DO CAIXA PREVISTO]]="N/A","0",UPPER(TEXT(tbRegistroEntradas[[#This Row],[DATA DO CAIXA PREVISTO]],"mmm")))</f>
        <v>AGO</v>
      </c>
      <c r="O411" s="58">
        <f>IF(tbRegistroEntradas[[#This Row],[DATA DO CAIXA PREVISTO]]="N/A",0,YEAR(tbRegistroEntradas[[#This Row],[DATA DO CAIXA PREVISTO]]))</f>
        <v>2022</v>
      </c>
      <c r="P411" s="58" t="str">
        <f ca="1">IF(AND(tbRegistroEntradas[[#This Row],[DATA DE CAIXA REALIZADO]]="N/A",tbRegistroEntradas[[#This Row],[DATA DO CAIXA PREVISTO]]&lt;TODAY()),"Vencida","Não Vencida")</f>
        <v>Não Vencida</v>
      </c>
      <c r="Q411" s="58" t="str">
        <f>IF(tbRegistroEntradas[[#This Row],[DATA DA COMPETÊNCIA]]=tbRegistroEntradas[[#This Row],[DATA DO CAIXA PREVISTO]],"Vista","Prazo")</f>
        <v>Prazo</v>
      </c>
      <c r="R411" s="58" t="str">
        <f>IF(tbRegistroEntradas[[#This Row],[DATA DE CAIXA REALIZADO]]&lt;&gt;"N/A","Em Dia","Com atraso")</f>
        <v>Em Dia</v>
      </c>
    </row>
    <row r="412" spans="1:18" s="52" customFormat="1" ht="14.4" customHeight="1" x14ac:dyDescent="0.3">
      <c r="A412" s="112">
        <v>44821.329988425925</v>
      </c>
      <c r="B412" s="114">
        <v>44787</v>
      </c>
      <c r="C412" s="125">
        <f>tbRegistroEntradas[[#This Row],[DATA DA COMPETÊNCIA]]</f>
        <v>44787</v>
      </c>
      <c r="D412" s="55" t="s">
        <v>61</v>
      </c>
      <c r="E412" s="55" t="s">
        <v>12</v>
      </c>
      <c r="F412" s="55" t="s">
        <v>16</v>
      </c>
      <c r="G412" s="55" t="s">
        <v>235</v>
      </c>
      <c r="H412" s="5" t="s">
        <v>85</v>
      </c>
      <c r="I412" s="119">
        <v>3080</v>
      </c>
      <c r="J412" s="55" t="str">
        <f>IF(tbRegistroEntradas[[#This Row],[DATA DE CAIXA REALIZADO]]="N/A","0",UPPER(TEXT(tbRegistroEntradas[[#This Row],[DATA DE CAIXA REALIZADO]],"mmm")))</f>
        <v>SET</v>
      </c>
      <c r="K412" s="58">
        <f>IF(tbRegistroEntradas[[#This Row],[DATA DE CAIXA REALIZADO]]="N/A",0,YEAR(tbRegistroEntradas[[#This Row],[DATA DE CAIXA REALIZADO]]))</f>
        <v>2022</v>
      </c>
      <c r="L412" s="79" t="str">
        <f>IF(tbRegistroEntradas[[#This Row],[DATA DA COMPETÊNCIA]]="N/A","0",UPPER(TEXT(tbRegistroEntradas[[#This Row],[DATA DA COMPETÊNCIA]],"mmm")))</f>
        <v>AGO</v>
      </c>
      <c r="M412" s="79">
        <f>IF(tbRegistroEntradas[[#This Row],[DATA DA COMPETÊNCIA]]="N/A",0,YEAR(tbRegistroEntradas[[#This Row],[DATA DA COMPETÊNCIA]]))</f>
        <v>2022</v>
      </c>
      <c r="N412" s="84" t="str">
        <f>IF(tbRegistroEntradas[[#This Row],[DATA DO CAIXA PREVISTO]]="N/A","0",UPPER(TEXT(tbRegistroEntradas[[#This Row],[DATA DO CAIXA PREVISTO]],"mmm")))</f>
        <v>AGO</v>
      </c>
      <c r="O412" s="84">
        <f>IF(tbRegistroEntradas[[#This Row],[DATA DO CAIXA PREVISTO]]="N/A",0,YEAR(tbRegistroEntradas[[#This Row],[DATA DO CAIXA PREVISTO]]))</f>
        <v>2022</v>
      </c>
      <c r="P412" s="58" t="str">
        <f ca="1">IF(AND(tbRegistroEntradas[[#This Row],[DATA DE CAIXA REALIZADO]]="N/A",tbRegistroEntradas[[#This Row],[DATA DO CAIXA PREVISTO]]&lt;TODAY()),"Vencida","Não Vencida")</f>
        <v>Não Vencida</v>
      </c>
      <c r="Q412" s="58" t="str">
        <f>IF(tbRegistroEntradas[[#This Row],[DATA DA COMPETÊNCIA]]=tbRegistroEntradas[[#This Row],[DATA DO CAIXA PREVISTO]],"Vista","Prazo")</f>
        <v>Vista</v>
      </c>
      <c r="R412" s="58" t="str">
        <f>IF(tbRegistroEntradas[[#This Row],[DATA DE CAIXA REALIZADO]]&lt;&gt;"N/A","Em Dia","Com atraso")</f>
        <v>Em Dia</v>
      </c>
    </row>
    <row r="413" spans="1:18" s="52" customFormat="1" ht="14.4" customHeight="1" x14ac:dyDescent="0.3">
      <c r="A413" s="49">
        <v>44819</v>
      </c>
      <c r="B413" s="49">
        <f>A413-31</f>
        <v>44788</v>
      </c>
      <c r="C413" s="49">
        <f>(A413-B413)+B413-15</f>
        <v>44804</v>
      </c>
      <c r="D413" s="52" t="s">
        <v>67</v>
      </c>
      <c r="E413" s="52" t="s">
        <v>12</v>
      </c>
      <c r="F413" s="52" t="s">
        <v>16</v>
      </c>
      <c r="G413" s="52" t="s">
        <v>1011</v>
      </c>
      <c r="H413" s="52" t="s">
        <v>130</v>
      </c>
      <c r="I413" s="18">
        <v>3776</v>
      </c>
      <c r="J413" s="110" t="str">
        <f>IF(tbRegistroEntradas[[#This Row],[DATA DE CAIXA REALIZADO]]="N/A","0",UPPER(TEXT(tbRegistroEntradas[[#This Row],[DATA DE CAIXA REALIZADO]],"mmm")))</f>
        <v>SET</v>
      </c>
      <c r="K413" s="57">
        <f>IF(tbRegistroEntradas[[#This Row],[DATA DE CAIXA REALIZADO]]="N/A",0,YEAR(tbRegistroEntradas[[#This Row],[DATA DE CAIXA REALIZADO]]))</f>
        <v>2022</v>
      </c>
      <c r="L413" s="58" t="str">
        <f>IF(tbRegistroEntradas[[#This Row],[DATA DA COMPETÊNCIA]]="N/A","0",UPPER(TEXT(tbRegistroEntradas[[#This Row],[DATA DA COMPETÊNCIA]],"mmm")))</f>
        <v>AGO</v>
      </c>
      <c r="M413" s="58">
        <f>IF(tbRegistroEntradas[[#This Row],[DATA DA COMPETÊNCIA]]="N/A",0,YEAR(tbRegistroEntradas[[#This Row],[DATA DA COMPETÊNCIA]]))</f>
        <v>2022</v>
      </c>
      <c r="N413" s="58" t="str">
        <f>IF(tbRegistroEntradas[[#This Row],[DATA DO CAIXA PREVISTO]]="N/A","0",UPPER(TEXT(tbRegistroEntradas[[#This Row],[DATA DO CAIXA PREVISTO]],"mmm")))</f>
        <v>AGO</v>
      </c>
      <c r="O413" s="58">
        <f>IF(tbRegistroEntradas[[#This Row],[DATA DO CAIXA PREVISTO]]="N/A",0,YEAR(tbRegistroEntradas[[#This Row],[DATA DO CAIXA PREVISTO]]))</f>
        <v>2022</v>
      </c>
      <c r="P413" s="58" t="str">
        <f ca="1">IF(AND(tbRegistroEntradas[[#This Row],[DATA DE CAIXA REALIZADO]]="N/A",tbRegistroEntradas[[#This Row],[DATA DO CAIXA PREVISTO]]&lt;TODAY()),"Vencida","Não Vencida")</f>
        <v>Não Vencida</v>
      </c>
      <c r="Q413" s="58" t="str">
        <f>IF(tbRegistroEntradas[[#This Row],[DATA DA COMPETÊNCIA]]=tbRegistroEntradas[[#This Row],[DATA DO CAIXA PREVISTO]],"Vista","Prazo")</f>
        <v>Prazo</v>
      </c>
      <c r="R413" s="58" t="str">
        <f>IF(tbRegistroEntradas[[#This Row],[DATA DE CAIXA REALIZADO]]&lt;&gt;"N/A","Em Dia","Com atraso")</f>
        <v>Em Dia</v>
      </c>
    </row>
    <row r="414" spans="1:18" s="52" customFormat="1" ht="14.4" customHeight="1" x14ac:dyDescent="0.3">
      <c r="A414" s="113">
        <v>44790.31521990741</v>
      </c>
      <c r="B414" s="115">
        <v>44790</v>
      </c>
      <c r="C414" s="115">
        <v>44790.31521990741</v>
      </c>
      <c r="D414" s="116" t="s">
        <v>61</v>
      </c>
      <c r="E414" s="116" t="s">
        <v>12</v>
      </c>
      <c r="F414" s="116" t="s">
        <v>19</v>
      </c>
      <c r="G414" s="116" t="s">
        <v>270</v>
      </c>
      <c r="H414" s="52" t="s">
        <v>86</v>
      </c>
      <c r="I414" s="120">
        <v>2137</v>
      </c>
      <c r="J414" s="55" t="str">
        <f>IF(tbRegistroEntradas[[#This Row],[DATA DE CAIXA REALIZADO]]="N/A","0",UPPER(TEXT(tbRegistroEntradas[[#This Row],[DATA DE CAIXA REALIZADO]],"mmm")))</f>
        <v>AGO</v>
      </c>
      <c r="K414" s="58">
        <f>IF(tbRegistroEntradas[[#This Row],[DATA DE CAIXA REALIZADO]]="N/A",0,YEAR(tbRegistroEntradas[[#This Row],[DATA DE CAIXA REALIZADO]]))</f>
        <v>2022</v>
      </c>
      <c r="L414" s="79" t="str">
        <f>IF(tbRegistroEntradas[[#This Row],[DATA DA COMPETÊNCIA]]="N/A","0",UPPER(TEXT(tbRegistroEntradas[[#This Row],[DATA DA COMPETÊNCIA]],"mmm")))</f>
        <v>AGO</v>
      </c>
      <c r="M414" s="79">
        <f>IF(tbRegistroEntradas[[#This Row],[DATA DA COMPETÊNCIA]]="N/A",0,YEAR(tbRegistroEntradas[[#This Row],[DATA DA COMPETÊNCIA]]))</f>
        <v>2022</v>
      </c>
      <c r="N414" s="84" t="str">
        <f>IF(tbRegistroEntradas[[#This Row],[DATA DO CAIXA PREVISTO]]="N/A","0",UPPER(TEXT(tbRegistroEntradas[[#This Row],[DATA DO CAIXA PREVISTO]],"mmm")))</f>
        <v>AGO</v>
      </c>
      <c r="O414" s="84">
        <f>IF(tbRegistroEntradas[[#This Row],[DATA DO CAIXA PREVISTO]]="N/A",0,YEAR(tbRegistroEntradas[[#This Row],[DATA DO CAIXA PREVISTO]]))</f>
        <v>2022</v>
      </c>
      <c r="P414" s="58" t="str">
        <f ca="1">IF(AND(tbRegistroEntradas[[#This Row],[DATA DE CAIXA REALIZADO]]="N/A",tbRegistroEntradas[[#This Row],[DATA DO CAIXA PREVISTO]]&lt;TODAY()),"Vencida","Não Vencida")</f>
        <v>Não Vencida</v>
      </c>
      <c r="Q414" s="58" t="str">
        <f>IF(tbRegistroEntradas[[#This Row],[DATA DA COMPETÊNCIA]]=tbRegistroEntradas[[#This Row],[DATA DO CAIXA PREVISTO]],"Vista","Prazo")</f>
        <v>Prazo</v>
      </c>
      <c r="R414" s="58" t="str">
        <f>IF(tbRegistroEntradas[[#This Row],[DATA DE CAIXA REALIZADO]]&lt;&gt;"N/A","Em Dia","Com atraso")</f>
        <v>Em Dia</v>
      </c>
    </row>
    <row r="415" spans="1:18" s="52" customFormat="1" ht="14.4" customHeight="1" x14ac:dyDescent="0.3">
      <c r="A415" s="49">
        <v>44824</v>
      </c>
      <c r="B415" s="49">
        <f>A415-31</f>
        <v>44793</v>
      </c>
      <c r="C415" s="125">
        <f>tbRegistroEntradas[[#This Row],[DATA DA COMPETÊNCIA]]</f>
        <v>44793</v>
      </c>
      <c r="D415" s="52" t="s">
        <v>65</v>
      </c>
      <c r="E415" s="52" t="s">
        <v>12</v>
      </c>
      <c r="F415" s="52" t="s">
        <v>17</v>
      </c>
      <c r="G415" s="52" t="s">
        <v>685</v>
      </c>
      <c r="H415" s="126" t="s">
        <v>121</v>
      </c>
      <c r="I415" s="18">
        <v>6767</v>
      </c>
      <c r="J415" s="110" t="str">
        <f>IF(tbRegistroEntradas[[#This Row],[DATA DE CAIXA REALIZADO]]="N/A","0",UPPER(TEXT(tbRegistroEntradas[[#This Row],[DATA DE CAIXA REALIZADO]],"mmm")))</f>
        <v>SET</v>
      </c>
      <c r="K415" s="57">
        <f>IF(tbRegistroEntradas[[#This Row],[DATA DE CAIXA REALIZADO]]="N/A",0,YEAR(tbRegistroEntradas[[#This Row],[DATA DE CAIXA REALIZADO]]))</f>
        <v>2022</v>
      </c>
      <c r="L415" s="58" t="str">
        <f>IF(tbRegistroEntradas[[#This Row],[DATA DA COMPETÊNCIA]]="N/A","0",UPPER(TEXT(tbRegistroEntradas[[#This Row],[DATA DA COMPETÊNCIA]],"mmm")))</f>
        <v>AGO</v>
      </c>
      <c r="M415" s="58">
        <f>IF(tbRegistroEntradas[[#This Row],[DATA DA COMPETÊNCIA]]="N/A",0,YEAR(tbRegistroEntradas[[#This Row],[DATA DA COMPETÊNCIA]]))</f>
        <v>2022</v>
      </c>
      <c r="N415" s="58" t="str">
        <f>IF(tbRegistroEntradas[[#This Row],[DATA DO CAIXA PREVISTO]]="N/A","0",UPPER(TEXT(tbRegistroEntradas[[#This Row],[DATA DO CAIXA PREVISTO]],"mmm")))</f>
        <v>AGO</v>
      </c>
      <c r="O415" s="58">
        <f>IF(tbRegistroEntradas[[#This Row],[DATA DO CAIXA PREVISTO]]="N/A",0,YEAR(tbRegistroEntradas[[#This Row],[DATA DO CAIXA PREVISTO]]))</f>
        <v>2022</v>
      </c>
      <c r="P415" s="58" t="str">
        <f ca="1">IF(AND(tbRegistroEntradas[[#This Row],[DATA DE CAIXA REALIZADO]]="N/A",tbRegistroEntradas[[#This Row],[DATA DO CAIXA PREVISTO]]&lt;TODAY()),"Vencida","Não Vencida")</f>
        <v>Não Vencida</v>
      </c>
      <c r="Q415" s="58" t="str">
        <f>IF(tbRegistroEntradas[[#This Row],[DATA DA COMPETÊNCIA]]=tbRegistroEntradas[[#This Row],[DATA DO CAIXA PREVISTO]],"Vista","Prazo")</f>
        <v>Vista</v>
      </c>
      <c r="R415" s="58" t="str">
        <f>IF(tbRegistroEntradas[[#This Row],[DATA DE CAIXA REALIZADO]]&lt;&gt;"N/A","Em Dia","Com atraso")</f>
        <v>Em Dia</v>
      </c>
    </row>
    <row r="416" spans="1:18" s="52" customFormat="1" ht="14.4" customHeight="1" x14ac:dyDescent="0.3">
      <c r="A416" s="125">
        <v>44824</v>
      </c>
      <c r="B416" s="125">
        <f>A416-31</f>
        <v>44793</v>
      </c>
      <c r="C416" s="125">
        <f>(A416-B416)+B416-15</f>
        <v>44809</v>
      </c>
      <c r="D416" s="126" t="s">
        <v>63</v>
      </c>
      <c r="E416" s="126" t="s">
        <v>12</v>
      </c>
      <c r="F416" s="126" t="s">
        <v>32</v>
      </c>
      <c r="G416" s="126" t="s">
        <v>725</v>
      </c>
      <c r="H416" s="52" t="s">
        <v>100</v>
      </c>
      <c r="I416" s="127">
        <v>6921</v>
      </c>
      <c r="J416" s="110" t="str">
        <f>IF(tbRegistroEntradas[[#This Row],[DATA DE CAIXA REALIZADO]]="N/A","0",UPPER(TEXT(tbRegistroEntradas[[#This Row],[DATA DE CAIXA REALIZADO]],"mmm")))</f>
        <v>SET</v>
      </c>
      <c r="K416" s="57">
        <f>IF(tbRegistroEntradas[[#This Row],[DATA DE CAIXA REALIZADO]]="N/A",0,YEAR(tbRegistroEntradas[[#This Row],[DATA DE CAIXA REALIZADO]]))</f>
        <v>2022</v>
      </c>
      <c r="L416" s="58" t="str">
        <f>IF(tbRegistroEntradas[[#This Row],[DATA DA COMPETÊNCIA]]="N/A","0",UPPER(TEXT(tbRegistroEntradas[[#This Row],[DATA DA COMPETÊNCIA]],"mmm")))</f>
        <v>AGO</v>
      </c>
      <c r="M416" s="58">
        <f>IF(tbRegistroEntradas[[#This Row],[DATA DA COMPETÊNCIA]]="N/A",0,YEAR(tbRegistroEntradas[[#This Row],[DATA DA COMPETÊNCIA]]))</f>
        <v>2022</v>
      </c>
      <c r="N416" s="58" t="str">
        <f>IF(tbRegistroEntradas[[#This Row],[DATA DO CAIXA PREVISTO]]="N/A","0",UPPER(TEXT(tbRegistroEntradas[[#This Row],[DATA DO CAIXA PREVISTO]],"mmm")))</f>
        <v>SET</v>
      </c>
      <c r="O416" s="58">
        <f>IF(tbRegistroEntradas[[#This Row],[DATA DO CAIXA PREVISTO]]="N/A",0,YEAR(tbRegistroEntradas[[#This Row],[DATA DO CAIXA PREVISTO]]))</f>
        <v>2022</v>
      </c>
      <c r="P416" s="58" t="str">
        <f ca="1">IF(AND(tbRegistroEntradas[[#This Row],[DATA DE CAIXA REALIZADO]]="N/A",tbRegistroEntradas[[#This Row],[DATA DO CAIXA PREVISTO]]&lt;TODAY()),"Vencida","Não Vencida")</f>
        <v>Não Vencida</v>
      </c>
      <c r="Q416" s="58" t="str">
        <f>IF(tbRegistroEntradas[[#This Row],[DATA DA COMPETÊNCIA]]=tbRegistroEntradas[[#This Row],[DATA DO CAIXA PREVISTO]],"Vista","Prazo")</f>
        <v>Prazo</v>
      </c>
      <c r="R416" s="58" t="str">
        <f>IF(tbRegistroEntradas[[#This Row],[DATA DE CAIXA REALIZADO]]&lt;&gt;"N/A","Em Dia","Com atraso")</f>
        <v>Em Dia</v>
      </c>
    </row>
    <row r="417" spans="1:18" s="52" customFormat="1" ht="14.4" customHeight="1" x14ac:dyDescent="0.3">
      <c r="A417" s="112">
        <v>44849.499571759261</v>
      </c>
      <c r="B417" s="114">
        <v>44797</v>
      </c>
      <c r="C417" s="114">
        <v>44849.499571759261</v>
      </c>
      <c r="D417" s="55" t="s">
        <v>66</v>
      </c>
      <c r="E417" s="55" t="s">
        <v>12</v>
      </c>
      <c r="F417" s="55" t="s">
        <v>32</v>
      </c>
      <c r="G417" s="55" t="s">
        <v>271</v>
      </c>
      <c r="H417" s="5" t="s">
        <v>127</v>
      </c>
      <c r="I417" s="119">
        <v>4287</v>
      </c>
      <c r="J417" s="55" t="str">
        <f>IF(tbRegistroEntradas[[#This Row],[DATA DE CAIXA REALIZADO]]="N/A","0",UPPER(TEXT(tbRegistroEntradas[[#This Row],[DATA DE CAIXA REALIZADO]],"mmm")))</f>
        <v>OUT</v>
      </c>
      <c r="K417" s="58">
        <f>IF(tbRegistroEntradas[[#This Row],[DATA DE CAIXA REALIZADO]]="N/A",0,YEAR(tbRegistroEntradas[[#This Row],[DATA DE CAIXA REALIZADO]]))</f>
        <v>2022</v>
      </c>
      <c r="L417" s="79" t="str">
        <f>IF(tbRegistroEntradas[[#This Row],[DATA DA COMPETÊNCIA]]="N/A","0",UPPER(TEXT(tbRegistroEntradas[[#This Row],[DATA DA COMPETÊNCIA]],"mmm")))</f>
        <v>AGO</v>
      </c>
      <c r="M417" s="79">
        <f>IF(tbRegistroEntradas[[#This Row],[DATA DA COMPETÊNCIA]]="N/A",0,YEAR(tbRegistroEntradas[[#This Row],[DATA DA COMPETÊNCIA]]))</f>
        <v>2022</v>
      </c>
      <c r="N417" s="84" t="str">
        <f>IF(tbRegistroEntradas[[#This Row],[DATA DO CAIXA PREVISTO]]="N/A","0",UPPER(TEXT(tbRegistroEntradas[[#This Row],[DATA DO CAIXA PREVISTO]],"mmm")))</f>
        <v>OUT</v>
      </c>
      <c r="O417" s="84">
        <f>IF(tbRegistroEntradas[[#This Row],[DATA DO CAIXA PREVISTO]]="N/A",0,YEAR(tbRegistroEntradas[[#This Row],[DATA DO CAIXA PREVISTO]]))</f>
        <v>2022</v>
      </c>
      <c r="P417" s="58" t="str">
        <f ca="1">IF(AND(tbRegistroEntradas[[#This Row],[DATA DE CAIXA REALIZADO]]="N/A",tbRegistroEntradas[[#This Row],[DATA DO CAIXA PREVISTO]]&lt;TODAY()),"Vencida","Não Vencida")</f>
        <v>Não Vencida</v>
      </c>
      <c r="Q417" s="58" t="str">
        <f>IF(tbRegistroEntradas[[#This Row],[DATA DA COMPETÊNCIA]]=tbRegistroEntradas[[#This Row],[DATA DO CAIXA PREVISTO]],"Vista","Prazo")</f>
        <v>Prazo</v>
      </c>
      <c r="R417" s="58" t="str">
        <f>IF(tbRegistroEntradas[[#This Row],[DATA DE CAIXA REALIZADO]]&lt;&gt;"N/A","Em Dia","Com atraso")</f>
        <v>Em Dia</v>
      </c>
    </row>
    <row r="418" spans="1:18" s="52" customFormat="1" ht="14.4" customHeight="1" x14ac:dyDescent="0.3">
      <c r="A418" s="113">
        <v>44856.89880787037</v>
      </c>
      <c r="B418" s="115">
        <v>44799</v>
      </c>
      <c r="C418" s="115">
        <v>44856.89880787037</v>
      </c>
      <c r="D418" s="116" t="s">
        <v>65</v>
      </c>
      <c r="E418" s="116" t="s">
        <v>12</v>
      </c>
      <c r="F418" s="116" t="s">
        <v>32</v>
      </c>
      <c r="G418" s="116" t="s">
        <v>272</v>
      </c>
      <c r="H418" s="52" t="s">
        <v>121</v>
      </c>
      <c r="I418" s="120">
        <v>4857</v>
      </c>
      <c r="J418" s="55" t="str">
        <f>IF(tbRegistroEntradas[[#This Row],[DATA DE CAIXA REALIZADO]]="N/A","0",UPPER(TEXT(tbRegistroEntradas[[#This Row],[DATA DE CAIXA REALIZADO]],"mmm")))</f>
        <v>OUT</v>
      </c>
      <c r="K418" s="58">
        <f>IF(tbRegistroEntradas[[#This Row],[DATA DE CAIXA REALIZADO]]="N/A",0,YEAR(tbRegistroEntradas[[#This Row],[DATA DE CAIXA REALIZADO]]))</f>
        <v>2022</v>
      </c>
      <c r="L418" s="79" t="str">
        <f>IF(tbRegistroEntradas[[#This Row],[DATA DA COMPETÊNCIA]]="N/A","0",UPPER(TEXT(tbRegistroEntradas[[#This Row],[DATA DA COMPETÊNCIA]],"mmm")))</f>
        <v>AGO</v>
      </c>
      <c r="M418" s="79">
        <f>IF(tbRegistroEntradas[[#This Row],[DATA DA COMPETÊNCIA]]="N/A",0,YEAR(tbRegistroEntradas[[#This Row],[DATA DA COMPETÊNCIA]]))</f>
        <v>2022</v>
      </c>
      <c r="N418" s="84" t="str">
        <f>IF(tbRegistroEntradas[[#This Row],[DATA DO CAIXA PREVISTO]]="N/A","0",UPPER(TEXT(tbRegistroEntradas[[#This Row],[DATA DO CAIXA PREVISTO]],"mmm")))</f>
        <v>OUT</v>
      </c>
      <c r="O418" s="84">
        <f>IF(tbRegistroEntradas[[#This Row],[DATA DO CAIXA PREVISTO]]="N/A",0,YEAR(tbRegistroEntradas[[#This Row],[DATA DO CAIXA PREVISTO]]))</f>
        <v>2022</v>
      </c>
      <c r="P418" s="58" t="str">
        <f ca="1">IF(AND(tbRegistroEntradas[[#This Row],[DATA DE CAIXA REALIZADO]]="N/A",tbRegistroEntradas[[#This Row],[DATA DO CAIXA PREVISTO]]&lt;TODAY()),"Vencida","Não Vencida")</f>
        <v>Não Vencida</v>
      </c>
      <c r="Q418" s="58" t="str">
        <f>IF(tbRegistroEntradas[[#This Row],[DATA DA COMPETÊNCIA]]=tbRegistroEntradas[[#This Row],[DATA DO CAIXA PREVISTO]],"Vista","Prazo")</f>
        <v>Prazo</v>
      </c>
      <c r="R418" s="58" t="str">
        <f>IF(tbRegistroEntradas[[#This Row],[DATA DE CAIXA REALIZADO]]&lt;&gt;"N/A","Em Dia","Com atraso")</f>
        <v>Em Dia</v>
      </c>
    </row>
    <row r="419" spans="1:18" s="52" customFormat="1" ht="14.4" customHeight="1" x14ac:dyDescent="0.3">
      <c r="A419" s="49">
        <v>44834</v>
      </c>
      <c r="B419" s="49">
        <f>A419-31</f>
        <v>44803</v>
      </c>
      <c r="C419" s="125">
        <f>tbRegistroEntradas[[#This Row],[DATA DA COMPETÊNCIA]]</f>
        <v>44803</v>
      </c>
      <c r="D419" s="52" t="s">
        <v>65</v>
      </c>
      <c r="E419" s="52" t="s">
        <v>12</v>
      </c>
      <c r="F419" s="52" t="s">
        <v>17</v>
      </c>
      <c r="G419" s="52" t="s">
        <v>752</v>
      </c>
      <c r="H419" s="52" t="s">
        <v>122</v>
      </c>
      <c r="I419" s="18">
        <v>3167</v>
      </c>
      <c r="J419" s="110" t="str">
        <f>IF(tbRegistroEntradas[[#This Row],[DATA DE CAIXA REALIZADO]]="N/A","0",UPPER(TEXT(tbRegistroEntradas[[#This Row],[DATA DE CAIXA REALIZADO]],"mmm")))</f>
        <v>SET</v>
      </c>
      <c r="K419" s="57">
        <f>IF(tbRegistroEntradas[[#This Row],[DATA DE CAIXA REALIZADO]]="N/A",0,YEAR(tbRegistroEntradas[[#This Row],[DATA DE CAIXA REALIZADO]]))</f>
        <v>2022</v>
      </c>
      <c r="L419" s="58" t="str">
        <f>IF(tbRegistroEntradas[[#This Row],[DATA DA COMPETÊNCIA]]="N/A","0",UPPER(TEXT(tbRegistroEntradas[[#This Row],[DATA DA COMPETÊNCIA]],"mmm")))</f>
        <v>AGO</v>
      </c>
      <c r="M419" s="58">
        <f>IF(tbRegistroEntradas[[#This Row],[DATA DA COMPETÊNCIA]]="N/A",0,YEAR(tbRegistroEntradas[[#This Row],[DATA DA COMPETÊNCIA]]))</f>
        <v>2022</v>
      </c>
      <c r="N419" s="58" t="str">
        <f>IF(tbRegistroEntradas[[#This Row],[DATA DO CAIXA PREVISTO]]="N/A","0",UPPER(TEXT(tbRegistroEntradas[[#This Row],[DATA DO CAIXA PREVISTO]],"mmm")))</f>
        <v>AGO</v>
      </c>
      <c r="O419" s="58">
        <f>IF(tbRegistroEntradas[[#This Row],[DATA DO CAIXA PREVISTO]]="N/A",0,YEAR(tbRegistroEntradas[[#This Row],[DATA DO CAIXA PREVISTO]]))</f>
        <v>2022</v>
      </c>
      <c r="P419" s="58" t="str">
        <f ca="1">IF(AND(tbRegistroEntradas[[#This Row],[DATA DE CAIXA REALIZADO]]="N/A",tbRegistroEntradas[[#This Row],[DATA DO CAIXA PREVISTO]]&lt;TODAY()),"Vencida","Não Vencida")</f>
        <v>Não Vencida</v>
      </c>
      <c r="Q419" s="58" t="str">
        <f>IF(tbRegistroEntradas[[#This Row],[DATA DA COMPETÊNCIA]]=tbRegistroEntradas[[#This Row],[DATA DO CAIXA PREVISTO]],"Vista","Prazo")</f>
        <v>Vista</v>
      </c>
      <c r="R419" s="58" t="str">
        <f>IF(tbRegistroEntradas[[#This Row],[DATA DE CAIXA REALIZADO]]&lt;&gt;"N/A","Em Dia","Com atraso")</f>
        <v>Em Dia</v>
      </c>
    </row>
    <row r="420" spans="1:18" s="52" customFormat="1" ht="14.4" customHeight="1" x14ac:dyDescent="0.3">
      <c r="A420" s="49">
        <v>44834</v>
      </c>
      <c r="B420" s="49">
        <f>A420-31</f>
        <v>44803</v>
      </c>
      <c r="C420" s="125">
        <f>tbRegistroEntradas[[#This Row],[DATA DA COMPETÊNCIA]]</f>
        <v>44803</v>
      </c>
      <c r="D420" s="52" t="s">
        <v>65</v>
      </c>
      <c r="E420" s="52" t="s">
        <v>12</v>
      </c>
      <c r="F420" s="52" t="s">
        <v>17</v>
      </c>
      <c r="G420" s="52" t="s">
        <v>1000</v>
      </c>
      <c r="H420" s="52" t="s">
        <v>117</v>
      </c>
      <c r="I420" s="18">
        <v>7109</v>
      </c>
      <c r="J420" s="110" t="str">
        <f>IF(tbRegistroEntradas[[#This Row],[DATA DE CAIXA REALIZADO]]="N/A","0",UPPER(TEXT(tbRegistroEntradas[[#This Row],[DATA DE CAIXA REALIZADO]],"mmm")))</f>
        <v>SET</v>
      </c>
      <c r="K420" s="57">
        <f>IF(tbRegistroEntradas[[#This Row],[DATA DE CAIXA REALIZADO]]="N/A",0,YEAR(tbRegistroEntradas[[#This Row],[DATA DE CAIXA REALIZADO]]))</f>
        <v>2022</v>
      </c>
      <c r="L420" s="58" t="str">
        <f>IF(tbRegistroEntradas[[#This Row],[DATA DA COMPETÊNCIA]]="N/A","0",UPPER(TEXT(tbRegistroEntradas[[#This Row],[DATA DA COMPETÊNCIA]],"mmm")))</f>
        <v>AGO</v>
      </c>
      <c r="M420" s="58">
        <f>IF(tbRegistroEntradas[[#This Row],[DATA DA COMPETÊNCIA]]="N/A",0,YEAR(tbRegistroEntradas[[#This Row],[DATA DA COMPETÊNCIA]]))</f>
        <v>2022</v>
      </c>
      <c r="N420" s="58" t="str">
        <f>IF(tbRegistroEntradas[[#This Row],[DATA DO CAIXA PREVISTO]]="N/A","0",UPPER(TEXT(tbRegistroEntradas[[#This Row],[DATA DO CAIXA PREVISTO]],"mmm")))</f>
        <v>AGO</v>
      </c>
      <c r="O420" s="58">
        <f>IF(tbRegistroEntradas[[#This Row],[DATA DO CAIXA PREVISTO]]="N/A",0,YEAR(tbRegistroEntradas[[#This Row],[DATA DO CAIXA PREVISTO]]))</f>
        <v>2022</v>
      </c>
      <c r="P420" s="58" t="str">
        <f ca="1">IF(AND(tbRegistroEntradas[[#This Row],[DATA DE CAIXA REALIZADO]]="N/A",tbRegistroEntradas[[#This Row],[DATA DO CAIXA PREVISTO]]&lt;TODAY()),"Vencida","Não Vencida")</f>
        <v>Não Vencida</v>
      </c>
      <c r="Q420" s="58" t="str">
        <f>IF(tbRegistroEntradas[[#This Row],[DATA DA COMPETÊNCIA]]=tbRegistroEntradas[[#This Row],[DATA DO CAIXA PREVISTO]],"Vista","Prazo")</f>
        <v>Vista</v>
      </c>
      <c r="R420" s="58" t="str">
        <f>IF(tbRegistroEntradas[[#This Row],[DATA DE CAIXA REALIZADO]]&lt;&gt;"N/A","Em Dia","Com atraso")</f>
        <v>Em Dia</v>
      </c>
    </row>
    <row r="421" spans="1:18" s="52" customFormat="1" ht="14.4" customHeight="1" x14ac:dyDescent="0.3">
      <c r="A421" s="112">
        <v>44854.910046296296</v>
      </c>
      <c r="B421" s="114">
        <v>44803</v>
      </c>
      <c r="C421" s="114">
        <v>44854.910046296296</v>
      </c>
      <c r="D421" s="55" t="s">
        <v>62</v>
      </c>
      <c r="E421" s="55" t="s">
        <v>12</v>
      </c>
      <c r="F421" s="55" t="s">
        <v>19</v>
      </c>
      <c r="G421" s="55" t="s">
        <v>273</v>
      </c>
      <c r="H421" s="110" t="s">
        <v>95</v>
      </c>
      <c r="I421" s="119">
        <v>507</v>
      </c>
      <c r="J421" s="55" t="str">
        <f>IF(tbRegistroEntradas[[#This Row],[DATA DE CAIXA REALIZADO]]="N/A","0",UPPER(TEXT(tbRegistroEntradas[[#This Row],[DATA DE CAIXA REALIZADO]],"mmm")))</f>
        <v>OUT</v>
      </c>
      <c r="K421" s="58">
        <f>IF(tbRegistroEntradas[[#This Row],[DATA DE CAIXA REALIZADO]]="N/A",0,YEAR(tbRegistroEntradas[[#This Row],[DATA DE CAIXA REALIZADO]]))</f>
        <v>2022</v>
      </c>
      <c r="L421" s="79" t="str">
        <f>IF(tbRegistroEntradas[[#This Row],[DATA DA COMPETÊNCIA]]="N/A","0",UPPER(TEXT(tbRegistroEntradas[[#This Row],[DATA DA COMPETÊNCIA]],"mmm")))</f>
        <v>AGO</v>
      </c>
      <c r="M421" s="79">
        <f>IF(tbRegistroEntradas[[#This Row],[DATA DA COMPETÊNCIA]]="N/A",0,YEAR(tbRegistroEntradas[[#This Row],[DATA DA COMPETÊNCIA]]))</f>
        <v>2022</v>
      </c>
      <c r="N421" s="84" t="str">
        <f>IF(tbRegistroEntradas[[#This Row],[DATA DO CAIXA PREVISTO]]="N/A","0",UPPER(TEXT(tbRegistroEntradas[[#This Row],[DATA DO CAIXA PREVISTO]],"mmm")))</f>
        <v>OUT</v>
      </c>
      <c r="O421" s="84">
        <f>IF(tbRegistroEntradas[[#This Row],[DATA DO CAIXA PREVISTO]]="N/A",0,YEAR(tbRegistroEntradas[[#This Row],[DATA DO CAIXA PREVISTO]]))</f>
        <v>2022</v>
      </c>
      <c r="P421" s="58" t="str">
        <f ca="1">IF(AND(tbRegistroEntradas[[#This Row],[DATA DE CAIXA REALIZADO]]="N/A",tbRegistroEntradas[[#This Row],[DATA DO CAIXA PREVISTO]]&lt;TODAY()),"Vencida","Não Vencida")</f>
        <v>Não Vencida</v>
      </c>
      <c r="Q421" s="58" t="str">
        <f>IF(tbRegistroEntradas[[#This Row],[DATA DA COMPETÊNCIA]]=tbRegistroEntradas[[#This Row],[DATA DO CAIXA PREVISTO]],"Vista","Prazo")</f>
        <v>Prazo</v>
      </c>
      <c r="R421" s="58" t="str">
        <f>IF(tbRegistroEntradas[[#This Row],[DATA DE CAIXA REALIZADO]]&lt;&gt;"N/A","Em Dia","Com atraso")</f>
        <v>Em Dia</v>
      </c>
    </row>
    <row r="422" spans="1:18" s="52" customFormat="1" ht="14.4" customHeight="1" x14ac:dyDescent="0.3">
      <c r="A422" s="113">
        <v>44815.387650462966</v>
      </c>
      <c r="B422" s="115">
        <v>44804</v>
      </c>
      <c r="C422" s="115">
        <v>44815.387650462966</v>
      </c>
      <c r="D422" s="116" t="s">
        <v>61</v>
      </c>
      <c r="E422" s="116" t="s">
        <v>12</v>
      </c>
      <c r="F422" s="116" t="s">
        <v>17</v>
      </c>
      <c r="G422" s="116" t="s">
        <v>274</v>
      </c>
      <c r="H422" s="52" t="s">
        <v>87</v>
      </c>
      <c r="I422" s="120">
        <v>2467</v>
      </c>
      <c r="J422" s="55" t="str">
        <f>IF(tbRegistroEntradas[[#This Row],[DATA DE CAIXA REALIZADO]]="N/A","0",UPPER(TEXT(tbRegistroEntradas[[#This Row],[DATA DE CAIXA REALIZADO]],"mmm")))</f>
        <v>SET</v>
      </c>
      <c r="K422" s="58">
        <f>IF(tbRegistroEntradas[[#This Row],[DATA DE CAIXA REALIZADO]]="N/A",0,YEAR(tbRegistroEntradas[[#This Row],[DATA DE CAIXA REALIZADO]]))</f>
        <v>2022</v>
      </c>
      <c r="L422" s="79" t="str">
        <f>IF(tbRegistroEntradas[[#This Row],[DATA DA COMPETÊNCIA]]="N/A","0",UPPER(TEXT(tbRegistroEntradas[[#This Row],[DATA DA COMPETÊNCIA]],"mmm")))</f>
        <v>AGO</v>
      </c>
      <c r="M422" s="79">
        <f>IF(tbRegistroEntradas[[#This Row],[DATA DA COMPETÊNCIA]]="N/A",0,YEAR(tbRegistroEntradas[[#This Row],[DATA DA COMPETÊNCIA]]))</f>
        <v>2022</v>
      </c>
      <c r="N422" s="84" t="str">
        <f>IF(tbRegistroEntradas[[#This Row],[DATA DO CAIXA PREVISTO]]="N/A","0",UPPER(TEXT(tbRegistroEntradas[[#This Row],[DATA DO CAIXA PREVISTO]],"mmm")))</f>
        <v>SET</v>
      </c>
      <c r="O422" s="84">
        <f>IF(tbRegistroEntradas[[#This Row],[DATA DO CAIXA PREVISTO]]="N/A",0,YEAR(tbRegistroEntradas[[#This Row],[DATA DO CAIXA PREVISTO]]))</f>
        <v>2022</v>
      </c>
      <c r="P422" s="58" t="str">
        <f ca="1">IF(AND(tbRegistroEntradas[[#This Row],[DATA DE CAIXA REALIZADO]]="N/A",tbRegistroEntradas[[#This Row],[DATA DO CAIXA PREVISTO]]&lt;TODAY()),"Vencida","Não Vencida")</f>
        <v>Não Vencida</v>
      </c>
      <c r="Q422" s="58" t="str">
        <f>IF(tbRegistroEntradas[[#This Row],[DATA DA COMPETÊNCIA]]=tbRegistroEntradas[[#This Row],[DATA DO CAIXA PREVISTO]],"Vista","Prazo")</f>
        <v>Prazo</v>
      </c>
      <c r="R422" s="58" t="str">
        <f>IF(tbRegistroEntradas[[#This Row],[DATA DE CAIXA REALIZADO]]&lt;&gt;"N/A","Em Dia","Com atraso")</f>
        <v>Em Dia</v>
      </c>
    </row>
    <row r="423" spans="1:18" s="52" customFormat="1" ht="14.4" customHeight="1" x14ac:dyDescent="0.3">
      <c r="A423" s="112" t="s">
        <v>141</v>
      </c>
      <c r="B423" s="114">
        <v>44805</v>
      </c>
      <c r="C423" s="114">
        <v>44831.6637962963</v>
      </c>
      <c r="D423" s="55" t="s">
        <v>61</v>
      </c>
      <c r="E423" s="55" t="s">
        <v>12</v>
      </c>
      <c r="F423" s="55" t="s">
        <v>19</v>
      </c>
      <c r="G423" s="55" t="s">
        <v>275</v>
      </c>
      <c r="H423" s="52" t="s">
        <v>88</v>
      </c>
      <c r="I423" s="119">
        <v>4253</v>
      </c>
      <c r="J423" s="55" t="str">
        <f>IF(tbRegistroEntradas[[#This Row],[DATA DE CAIXA REALIZADO]]="N/A","0",UPPER(TEXT(tbRegistroEntradas[[#This Row],[DATA DE CAIXA REALIZADO]],"mmm")))</f>
        <v>0</v>
      </c>
      <c r="K423" s="58">
        <f>IF(tbRegistroEntradas[[#This Row],[DATA DE CAIXA REALIZADO]]="N/A",0,YEAR(tbRegistroEntradas[[#This Row],[DATA DE CAIXA REALIZADO]]))</f>
        <v>0</v>
      </c>
      <c r="L423" s="79" t="str">
        <f>IF(tbRegistroEntradas[[#This Row],[DATA DA COMPETÊNCIA]]="N/A","0",UPPER(TEXT(tbRegistroEntradas[[#This Row],[DATA DA COMPETÊNCIA]],"mmm")))</f>
        <v>SET</v>
      </c>
      <c r="M423" s="79">
        <f>IF(tbRegistroEntradas[[#This Row],[DATA DA COMPETÊNCIA]]="N/A",0,YEAR(tbRegistroEntradas[[#This Row],[DATA DA COMPETÊNCIA]]))</f>
        <v>2022</v>
      </c>
      <c r="N423" s="84" t="str">
        <f>IF(tbRegistroEntradas[[#This Row],[DATA DO CAIXA PREVISTO]]="N/A","0",UPPER(TEXT(tbRegistroEntradas[[#This Row],[DATA DO CAIXA PREVISTO]],"mmm")))</f>
        <v>SET</v>
      </c>
      <c r="O423" s="84">
        <f>IF(tbRegistroEntradas[[#This Row],[DATA DO CAIXA PREVISTO]]="N/A",0,YEAR(tbRegistroEntradas[[#This Row],[DATA DO CAIXA PREVISTO]]))</f>
        <v>2022</v>
      </c>
      <c r="P423" s="58" t="str">
        <f ca="1">IF(AND(tbRegistroEntradas[[#This Row],[DATA DE CAIXA REALIZADO]]="N/A",tbRegistroEntradas[[#This Row],[DATA DO CAIXA PREVISTO]]&lt;TODAY()),"Vencida","Não Vencida")</f>
        <v>Vencida</v>
      </c>
      <c r="Q423" s="58" t="str">
        <f>IF(tbRegistroEntradas[[#This Row],[DATA DA COMPETÊNCIA]]=tbRegistroEntradas[[#This Row],[DATA DO CAIXA PREVISTO]],"Vista","Prazo")</f>
        <v>Prazo</v>
      </c>
      <c r="R423" s="58" t="str">
        <f>IF(tbRegistroEntradas[[#This Row],[DATA DE CAIXA REALIZADO]]&lt;&gt;"N/A","Em Dia","Com atraso")</f>
        <v>Com atraso</v>
      </c>
    </row>
    <row r="424" spans="1:18" s="52" customFormat="1" ht="14.4" customHeight="1" x14ac:dyDescent="0.3">
      <c r="A424" s="125">
        <v>44837</v>
      </c>
      <c r="B424" s="125">
        <f>A424-31</f>
        <v>44806</v>
      </c>
      <c r="C424" s="125">
        <f>(A424-B424)+B424-15</f>
        <v>44822</v>
      </c>
      <c r="D424" s="126" t="s">
        <v>64</v>
      </c>
      <c r="E424" s="126" t="s">
        <v>12</v>
      </c>
      <c r="F424" s="126" t="s">
        <v>16</v>
      </c>
      <c r="G424" s="126" t="s">
        <v>971</v>
      </c>
      <c r="H424" s="109" t="s">
        <v>108</v>
      </c>
      <c r="I424" s="127">
        <v>7872</v>
      </c>
      <c r="J424" s="110" t="str">
        <f>IF(tbRegistroEntradas[[#This Row],[DATA DE CAIXA REALIZADO]]="N/A","0",UPPER(TEXT(tbRegistroEntradas[[#This Row],[DATA DE CAIXA REALIZADO]],"mmm")))</f>
        <v>OUT</v>
      </c>
      <c r="K424" s="57">
        <f>IF(tbRegistroEntradas[[#This Row],[DATA DE CAIXA REALIZADO]]="N/A",0,YEAR(tbRegistroEntradas[[#This Row],[DATA DE CAIXA REALIZADO]]))</f>
        <v>2022</v>
      </c>
      <c r="L424" s="58" t="str">
        <f>IF(tbRegistroEntradas[[#This Row],[DATA DA COMPETÊNCIA]]="N/A","0",UPPER(TEXT(tbRegistroEntradas[[#This Row],[DATA DA COMPETÊNCIA]],"mmm")))</f>
        <v>SET</v>
      </c>
      <c r="M424" s="58">
        <f>IF(tbRegistroEntradas[[#This Row],[DATA DA COMPETÊNCIA]]="N/A",0,YEAR(tbRegistroEntradas[[#This Row],[DATA DA COMPETÊNCIA]]))</f>
        <v>2022</v>
      </c>
      <c r="N424" s="58" t="str">
        <f>IF(tbRegistroEntradas[[#This Row],[DATA DO CAIXA PREVISTO]]="N/A","0",UPPER(TEXT(tbRegistroEntradas[[#This Row],[DATA DO CAIXA PREVISTO]],"mmm")))</f>
        <v>SET</v>
      </c>
      <c r="O424" s="58">
        <f>IF(tbRegistroEntradas[[#This Row],[DATA DO CAIXA PREVISTO]]="N/A",0,YEAR(tbRegistroEntradas[[#This Row],[DATA DO CAIXA PREVISTO]]))</f>
        <v>2022</v>
      </c>
      <c r="P424" s="58" t="str">
        <f ca="1">IF(AND(tbRegistroEntradas[[#This Row],[DATA DE CAIXA REALIZADO]]="N/A",tbRegistroEntradas[[#This Row],[DATA DO CAIXA PREVISTO]]&lt;TODAY()),"Vencida","Não Vencida")</f>
        <v>Não Vencida</v>
      </c>
      <c r="Q424" s="58" t="str">
        <f>IF(tbRegistroEntradas[[#This Row],[DATA DA COMPETÊNCIA]]=tbRegistroEntradas[[#This Row],[DATA DO CAIXA PREVISTO]],"Vista","Prazo")</f>
        <v>Prazo</v>
      </c>
      <c r="R424" s="58" t="str">
        <f>IF(tbRegistroEntradas[[#This Row],[DATA DE CAIXA REALIZADO]]&lt;&gt;"N/A","Em Dia","Com atraso")</f>
        <v>Em Dia</v>
      </c>
    </row>
    <row r="425" spans="1:18" s="52" customFormat="1" ht="14.4" customHeight="1" x14ac:dyDescent="0.3">
      <c r="A425" s="125">
        <v>44838</v>
      </c>
      <c r="B425" s="125">
        <f>A425-31</f>
        <v>44807</v>
      </c>
      <c r="C425" s="125">
        <f>tbRegistroEntradas[[#This Row],[DATA DA COMPETÊNCIA]]</f>
        <v>44807</v>
      </c>
      <c r="D425" s="126" t="s">
        <v>138</v>
      </c>
      <c r="E425" s="126" t="s">
        <v>12</v>
      </c>
      <c r="F425" s="126" t="s">
        <v>17</v>
      </c>
      <c r="G425" s="126" t="s">
        <v>890</v>
      </c>
      <c r="H425" s="52" t="s">
        <v>136</v>
      </c>
      <c r="I425" s="127">
        <v>3803</v>
      </c>
      <c r="J425" s="110" t="str">
        <f>IF(tbRegistroEntradas[[#This Row],[DATA DE CAIXA REALIZADO]]="N/A","0",UPPER(TEXT(tbRegistroEntradas[[#This Row],[DATA DE CAIXA REALIZADO]],"mmm")))</f>
        <v>OUT</v>
      </c>
      <c r="K425" s="57">
        <f>IF(tbRegistroEntradas[[#This Row],[DATA DE CAIXA REALIZADO]]="N/A",0,YEAR(tbRegistroEntradas[[#This Row],[DATA DE CAIXA REALIZADO]]))</f>
        <v>2022</v>
      </c>
      <c r="L425" s="58" t="str">
        <f>IF(tbRegistroEntradas[[#This Row],[DATA DA COMPETÊNCIA]]="N/A","0",UPPER(TEXT(tbRegistroEntradas[[#This Row],[DATA DA COMPETÊNCIA]],"mmm")))</f>
        <v>SET</v>
      </c>
      <c r="M425" s="58">
        <f>IF(tbRegistroEntradas[[#This Row],[DATA DA COMPETÊNCIA]]="N/A",0,YEAR(tbRegistroEntradas[[#This Row],[DATA DA COMPETÊNCIA]]))</f>
        <v>2022</v>
      </c>
      <c r="N425" s="58" t="str">
        <f>IF(tbRegistroEntradas[[#This Row],[DATA DO CAIXA PREVISTO]]="N/A","0",UPPER(TEXT(tbRegistroEntradas[[#This Row],[DATA DO CAIXA PREVISTO]],"mmm")))</f>
        <v>SET</v>
      </c>
      <c r="O425" s="58">
        <f>IF(tbRegistroEntradas[[#This Row],[DATA DO CAIXA PREVISTO]]="N/A",0,YEAR(tbRegistroEntradas[[#This Row],[DATA DO CAIXA PREVISTO]]))</f>
        <v>2022</v>
      </c>
      <c r="P425" s="58" t="str">
        <f ca="1">IF(AND(tbRegistroEntradas[[#This Row],[DATA DE CAIXA REALIZADO]]="N/A",tbRegistroEntradas[[#This Row],[DATA DO CAIXA PREVISTO]]&lt;TODAY()),"Vencida","Não Vencida")</f>
        <v>Não Vencida</v>
      </c>
      <c r="Q425" s="58" t="str">
        <f>IF(tbRegistroEntradas[[#This Row],[DATA DA COMPETÊNCIA]]=tbRegistroEntradas[[#This Row],[DATA DO CAIXA PREVISTO]],"Vista","Prazo")</f>
        <v>Vista</v>
      </c>
      <c r="R425" s="58" t="str">
        <f>IF(tbRegistroEntradas[[#This Row],[DATA DE CAIXA REALIZADO]]&lt;&gt;"N/A","Em Dia","Com atraso")</f>
        <v>Em Dia</v>
      </c>
    </row>
    <row r="426" spans="1:18" s="52" customFormat="1" ht="14.4" customHeight="1" x14ac:dyDescent="0.3">
      <c r="A426" s="113">
        <v>44818.782268518517</v>
      </c>
      <c r="B426" s="115">
        <v>44811</v>
      </c>
      <c r="C426" s="115">
        <v>44818.782268518517</v>
      </c>
      <c r="D426" s="116" t="s">
        <v>63</v>
      </c>
      <c r="E426" s="116" t="s">
        <v>12</v>
      </c>
      <c r="F426" s="116" t="s">
        <v>32</v>
      </c>
      <c r="G426" s="116" t="s">
        <v>276</v>
      </c>
      <c r="H426" s="5" t="s">
        <v>101</v>
      </c>
      <c r="I426" s="120">
        <v>2391</v>
      </c>
      <c r="J426" s="55" t="str">
        <f>IF(tbRegistroEntradas[[#This Row],[DATA DE CAIXA REALIZADO]]="N/A","0",UPPER(TEXT(tbRegistroEntradas[[#This Row],[DATA DE CAIXA REALIZADO]],"mmm")))</f>
        <v>SET</v>
      </c>
      <c r="K426" s="58">
        <f>IF(tbRegistroEntradas[[#This Row],[DATA DE CAIXA REALIZADO]]="N/A",0,YEAR(tbRegistroEntradas[[#This Row],[DATA DE CAIXA REALIZADO]]))</f>
        <v>2022</v>
      </c>
      <c r="L426" s="79" t="str">
        <f>IF(tbRegistroEntradas[[#This Row],[DATA DA COMPETÊNCIA]]="N/A","0",UPPER(TEXT(tbRegistroEntradas[[#This Row],[DATA DA COMPETÊNCIA]],"mmm")))</f>
        <v>SET</v>
      </c>
      <c r="M426" s="79">
        <f>IF(tbRegistroEntradas[[#This Row],[DATA DA COMPETÊNCIA]]="N/A",0,YEAR(tbRegistroEntradas[[#This Row],[DATA DA COMPETÊNCIA]]))</f>
        <v>2022</v>
      </c>
      <c r="N426" s="84" t="str">
        <f>IF(tbRegistroEntradas[[#This Row],[DATA DO CAIXA PREVISTO]]="N/A","0",UPPER(TEXT(tbRegistroEntradas[[#This Row],[DATA DO CAIXA PREVISTO]],"mmm")))</f>
        <v>SET</v>
      </c>
      <c r="O426" s="84">
        <f>IF(tbRegistroEntradas[[#This Row],[DATA DO CAIXA PREVISTO]]="N/A",0,YEAR(tbRegistroEntradas[[#This Row],[DATA DO CAIXA PREVISTO]]))</f>
        <v>2022</v>
      </c>
      <c r="P426" s="58" t="str">
        <f ca="1">IF(AND(tbRegistroEntradas[[#This Row],[DATA DE CAIXA REALIZADO]]="N/A",tbRegistroEntradas[[#This Row],[DATA DO CAIXA PREVISTO]]&lt;TODAY()),"Vencida","Não Vencida")</f>
        <v>Não Vencida</v>
      </c>
      <c r="Q426" s="58" t="str">
        <f>IF(tbRegistroEntradas[[#This Row],[DATA DA COMPETÊNCIA]]=tbRegistroEntradas[[#This Row],[DATA DO CAIXA PREVISTO]],"Vista","Prazo")</f>
        <v>Prazo</v>
      </c>
      <c r="R426" s="58" t="str">
        <f>IF(tbRegistroEntradas[[#This Row],[DATA DE CAIXA REALIZADO]]&lt;&gt;"N/A","Em Dia","Com atraso")</f>
        <v>Em Dia</v>
      </c>
    </row>
    <row r="427" spans="1:18" s="52" customFormat="1" ht="14.4" customHeight="1" x14ac:dyDescent="0.3">
      <c r="A427" s="112">
        <v>44831.746793981481</v>
      </c>
      <c r="B427" s="114">
        <v>44813</v>
      </c>
      <c r="C427" s="114">
        <v>44826.799143518518</v>
      </c>
      <c r="D427" s="55" t="s">
        <v>66</v>
      </c>
      <c r="E427" s="55" t="s">
        <v>12</v>
      </c>
      <c r="F427" s="55" t="s">
        <v>19</v>
      </c>
      <c r="G427" s="55" t="s">
        <v>277</v>
      </c>
      <c r="H427" s="52" t="s">
        <v>128</v>
      </c>
      <c r="I427" s="119">
        <v>3669</v>
      </c>
      <c r="J427" s="55" t="str">
        <f>IF(tbRegistroEntradas[[#This Row],[DATA DE CAIXA REALIZADO]]="N/A","0",UPPER(TEXT(tbRegistroEntradas[[#This Row],[DATA DE CAIXA REALIZADO]],"mmm")))</f>
        <v>SET</v>
      </c>
      <c r="K427" s="58">
        <f>IF(tbRegistroEntradas[[#This Row],[DATA DE CAIXA REALIZADO]]="N/A",0,YEAR(tbRegistroEntradas[[#This Row],[DATA DE CAIXA REALIZADO]]))</f>
        <v>2022</v>
      </c>
      <c r="L427" s="79" t="str">
        <f>IF(tbRegistroEntradas[[#This Row],[DATA DA COMPETÊNCIA]]="N/A","0",UPPER(TEXT(tbRegistroEntradas[[#This Row],[DATA DA COMPETÊNCIA]],"mmm")))</f>
        <v>SET</v>
      </c>
      <c r="M427" s="79">
        <f>IF(tbRegistroEntradas[[#This Row],[DATA DA COMPETÊNCIA]]="N/A",0,YEAR(tbRegistroEntradas[[#This Row],[DATA DA COMPETÊNCIA]]))</f>
        <v>2022</v>
      </c>
      <c r="N427" s="84" t="str">
        <f>IF(tbRegistroEntradas[[#This Row],[DATA DO CAIXA PREVISTO]]="N/A","0",UPPER(TEXT(tbRegistroEntradas[[#This Row],[DATA DO CAIXA PREVISTO]],"mmm")))</f>
        <v>SET</v>
      </c>
      <c r="O427" s="84">
        <f>IF(tbRegistroEntradas[[#This Row],[DATA DO CAIXA PREVISTO]]="N/A",0,YEAR(tbRegistroEntradas[[#This Row],[DATA DO CAIXA PREVISTO]]))</f>
        <v>2022</v>
      </c>
      <c r="P427" s="58" t="str">
        <f ca="1">IF(AND(tbRegistroEntradas[[#This Row],[DATA DE CAIXA REALIZADO]]="N/A",tbRegistroEntradas[[#This Row],[DATA DO CAIXA PREVISTO]]&lt;TODAY()),"Vencida","Não Vencida")</f>
        <v>Não Vencida</v>
      </c>
      <c r="Q427" s="58" t="str">
        <f>IF(tbRegistroEntradas[[#This Row],[DATA DA COMPETÊNCIA]]=tbRegistroEntradas[[#This Row],[DATA DO CAIXA PREVISTO]],"Vista","Prazo")</f>
        <v>Prazo</v>
      </c>
      <c r="R427" s="58" t="str">
        <f>IF(tbRegistroEntradas[[#This Row],[DATA DE CAIXA REALIZADO]]&lt;&gt;"N/A","Em Dia","Com atraso")</f>
        <v>Em Dia</v>
      </c>
    </row>
    <row r="428" spans="1:18" s="52" customFormat="1" ht="14.4" customHeight="1" x14ac:dyDescent="0.3">
      <c r="A428" s="125">
        <v>44844</v>
      </c>
      <c r="B428" s="125">
        <f>A428-31</f>
        <v>44813</v>
      </c>
      <c r="C428" s="125">
        <f>(A428-B428)+B428-15</f>
        <v>44829</v>
      </c>
      <c r="D428" s="126" t="s">
        <v>61</v>
      </c>
      <c r="E428" s="126" t="s">
        <v>12</v>
      </c>
      <c r="F428" s="126" t="s">
        <v>32</v>
      </c>
      <c r="G428" s="126" t="s">
        <v>824</v>
      </c>
      <c r="H428" s="52" t="s">
        <v>71</v>
      </c>
      <c r="I428" s="127">
        <v>7358</v>
      </c>
      <c r="J428" s="110" t="str">
        <f>IF(tbRegistroEntradas[[#This Row],[DATA DE CAIXA REALIZADO]]="N/A","0",UPPER(TEXT(tbRegistroEntradas[[#This Row],[DATA DE CAIXA REALIZADO]],"mmm")))</f>
        <v>OUT</v>
      </c>
      <c r="K428" s="57">
        <f>IF(tbRegistroEntradas[[#This Row],[DATA DE CAIXA REALIZADO]]="N/A",0,YEAR(tbRegistroEntradas[[#This Row],[DATA DE CAIXA REALIZADO]]))</f>
        <v>2022</v>
      </c>
      <c r="L428" s="58" t="str">
        <f>IF(tbRegistroEntradas[[#This Row],[DATA DA COMPETÊNCIA]]="N/A","0",UPPER(TEXT(tbRegistroEntradas[[#This Row],[DATA DA COMPETÊNCIA]],"mmm")))</f>
        <v>SET</v>
      </c>
      <c r="M428" s="58">
        <f>IF(tbRegistroEntradas[[#This Row],[DATA DA COMPETÊNCIA]]="N/A",0,YEAR(tbRegistroEntradas[[#This Row],[DATA DA COMPETÊNCIA]]))</f>
        <v>2022</v>
      </c>
      <c r="N428" s="58" t="str">
        <f>IF(tbRegistroEntradas[[#This Row],[DATA DO CAIXA PREVISTO]]="N/A","0",UPPER(TEXT(tbRegistroEntradas[[#This Row],[DATA DO CAIXA PREVISTO]],"mmm")))</f>
        <v>SET</v>
      </c>
      <c r="O428" s="58">
        <f>IF(tbRegistroEntradas[[#This Row],[DATA DO CAIXA PREVISTO]]="N/A",0,YEAR(tbRegistroEntradas[[#This Row],[DATA DO CAIXA PREVISTO]]))</f>
        <v>2022</v>
      </c>
      <c r="P428" s="58" t="str">
        <f ca="1">IF(AND(tbRegistroEntradas[[#This Row],[DATA DE CAIXA REALIZADO]]="N/A",tbRegistroEntradas[[#This Row],[DATA DO CAIXA PREVISTO]]&lt;TODAY()),"Vencida","Não Vencida")</f>
        <v>Não Vencida</v>
      </c>
      <c r="Q428" s="58" t="str">
        <f>IF(tbRegistroEntradas[[#This Row],[DATA DA COMPETÊNCIA]]=tbRegistroEntradas[[#This Row],[DATA DO CAIXA PREVISTO]],"Vista","Prazo")</f>
        <v>Prazo</v>
      </c>
      <c r="R428" s="58" t="str">
        <f>IF(tbRegistroEntradas[[#This Row],[DATA DE CAIXA REALIZADO]]&lt;&gt;"N/A","Em Dia","Com atraso")</f>
        <v>Em Dia</v>
      </c>
    </row>
    <row r="429" spans="1:18" s="52" customFormat="1" ht="14.4" customHeight="1" x14ac:dyDescent="0.3">
      <c r="A429" s="125">
        <v>44846</v>
      </c>
      <c r="B429" s="125">
        <f>A429-31</f>
        <v>44815</v>
      </c>
      <c r="C429" s="125">
        <f>(A429-B429)+B429-15</f>
        <v>44831</v>
      </c>
      <c r="D429" s="126" t="s">
        <v>61</v>
      </c>
      <c r="E429" s="126" t="s">
        <v>12</v>
      </c>
      <c r="F429" s="126" t="s">
        <v>18</v>
      </c>
      <c r="G429" s="126" t="s">
        <v>863</v>
      </c>
      <c r="H429" s="52" t="s">
        <v>79</v>
      </c>
      <c r="I429" s="127">
        <v>114</v>
      </c>
      <c r="J429" s="110" t="str">
        <f>IF(tbRegistroEntradas[[#This Row],[DATA DE CAIXA REALIZADO]]="N/A","0",UPPER(TEXT(tbRegistroEntradas[[#This Row],[DATA DE CAIXA REALIZADO]],"mmm")))</f>
        <v>OUT</v>
      </c>
      <c r="K429" s="57">
        <f>IF(tbRegistroEntradas[[#This Row],[DATA DE CAIXA REALIZADO]]="N/A",0,YEAR(tbRegistroEntradas[[#This Row],[DATA DE CAIXA REALIZADO]]))</f>
        <v>2022</v>
      </c>
      <c r="L429" s="58" t="str">
        <f>IF(tbRegistroEntradas[[#This Row],[DATA DA COMPETÊNCIA]]="N/A","0",UPPER(TEXT(tbRegistroEntradas[[#This Row],[DATA DA COMPETÊNCIA]],"mmm")))</f>
        <v>SET</v>
      </c>
      <c r="M429" s="58">
        <f>IF(tbRegistroEntradas[[#This Row],[DATA DA COMPETÊNCIA]]="N/A",0,YEAR(tbRegistroEntradas[[#This Row],[DATA DA COMPETÊNCIA]]))</f>
        <v>2022</v>
      </c>
      <c r="N429" s="58" t="str">
        <f>IF(tbRegistroEntradas[[#This Row],[DATA DO CAIXA PREVISTO]]="N/A","0",UPPER(TEXT(tbRegistroEntradas[[#This Row],[DATA DO CAIXA PREVISTO]],"mmm")))</f>
        <v>SET</v>
      </c>
      <c r="O429" s="58">
        <f>IF(tbRegistroEntradas[[#This Row],[DATA DO CAIXA PREVISTO]]="N/A",0,YEAR(tbRegistroEntradas[[#This Row],[DATA DO CAIXA PREVISTO]]))</f>
        <v>2022</v>
      </c>
      <c r="P429" s="58" t="str">
        <f ca="1">IF(AND(tbRegistroEntradas[[#This Row],[DATA DE CAIXA REALIZADO]]="N/A",tbRegistroEntradas[[#This Row],[DATA DO CAIXA PREVISTO]]&lt;TODAY()),"Vencida","Não Vencida")</f>
        <v>Não Vencida</v>
      </c>
      <c r="Q429" s="58" t="str">
        <f>IF(tbRegistroEntradas[[#This Row],[DATA DA COMPETÊNCIA]]=tbRegistroEntradas[[#This Row],[DATA DO CAIXA PREVISTO]],"Vista","Prazo")</f>
        <v>Prazo</v>
      </c>
      <c r="R429" s="58" t="str">
        <f>IF(tbRegistroEntradas[[#This Row],[DATA DE CAIXA REALIZADO]]&lt;&gt;"N/A","Em Dia","Com atraso")</f>
        <v>Em Dia</v>
      </c>
    </row>
    <row r="430" spans="1:18" s="52" customFormat="1" ht="14.4" customHeight="1" x14ac:dyDescent="0.3">
      <c r="A430" s="125">
        <v>44847</v>
      </c>
      <c r="B430" s="125">
        <f>A430-31</f>
        <v>44816</v>
      </c>
      <c r="C430" s="125">
        <f>(A430-B430)+B430-15</f>
        <v>44832</v>
      </c>
      <c r="D430" s="126" t="s">
        <v>64</v>
      </c>
      <c r="E430" s="126" t="s">
        <v>12</v>
      </c>
      <c r="F430" s="126" t="s">
        <v>18</v>
      </c>
      <c r="G430" s="126" t="s">
        <v>1009</v>
      </c>
      <c r="H430" s="126" t="s">
        <v>109</v>
      </c>
      <c r="I430" s="127">
        <v>5288</v>
      </c>
      <c r="J430" s="110" t="str">
        <f>IF(tbRegistroEntradas[[#This Row],[DATA DE CAIXA REALIZADO]]="N/A","0",UPPER(TEXT(tbRegistroEntradas[[#This Row],[DATA DE CAIXA REALIZADO]],"mmm")))</f>
        <v>OUT</v>
      </c>
      <c r="K430" s="57">
        <f>IF(tbRegistroEntradas[[#This Row],[DATA DE CAIXA REALIZADO]]="N/A",0,YEAR(tbRegistroEntradas[[#This Row],[DATA DE CAIXA REALIZADO]]))</f>
        <v>2022</v>
      </c>
      <c r="L430" s="58" t="str">
        <f>IF(tbRegistroEntradas[[#This Row],[DATA DA COMPETÊNCIA]]="N/A","0",UPPER(TEXT(tbRegistroEntradas[[#This Row],[DATA DA COMPETÊNCIA]],"mmm")))</f>
        <v>SET</v>
      </c>
      <c r="M430" s="58">
        <f>IF(tbRegistroEntradas[[#This Row],[DATA DA COMPETÊNCIA]]="N/A",0,YEAR(tbRegistroEntradas[[#This Row],[DATA DA COMPETÊNCIA]]))</f>
        <v>2022</v>
      </c>
      <c r="N430" s="58" t="str">
        <f>IF(tbRegistroEntradas[[#This Row],[DATA DO CAIXA PREVISTO]]="N/A","0",UPPER(TEXT(tbRegistroEntradas[[#This Row],[DATA DO CAIXA PREVISTO]],"mmm")))</f>
        <v>SET</v>
      </c>
      <c r="O430" s="58">
        <f>IF(tbRegistroEntradas[[#This Row],[DATA DO CAIXA PREVISTO]]="N/A",0,YEAR(tbRegistroEntradas[[#This Row],[DATA DO CAIXA PREVISTO]]))</f>
        <v>2022</v>
      </c>
      <c r="P430" s="58" t="str">
        <f ca="1">IF(AND(tbRegistroEntradas[[#This Row],[DATA DE CAIXA REALIZADO]]="N/A",tbRegistroEntradas[[#This Row],[DATA DO CAIXA PREVISTO]]&lt;TODAY()),"Vencida","Não Vencida")</f>
        <v>Não Vencida</v>
      </c>
      <c r="Q430" s="58" t="str">
        <f>IF(tbRegistroEntradas[[#This Row],[DATA DA COMPETÊNCIA]]=tbRegistroEntradas[[#This Row],[DATA DO CAIXA PREVISTO]],"Vista","Prazo")</f>
        <v>Prazo</v>
      </c>
      <c r="R430" s="58" t="str">
        <f>IF(tbRegistroEntradas[[#This Row],[DATA DE CAIXA REALIZADO]]&lt;&gt;"N/A","Em Dia","Com atraso")</f>
        <v>Em Dia</v>
      </c>
    </row>
    <row r="431" spans="1:18" s="52" customFormat="1" ht="14.4" customHeight="1" x14ac:dyDescent="0.3">
      <c r="A431" s="113">
        <v>44913.502442129633</v>
      </c>
      <c r="B431" s="115">
        <v>44816</v>
      </c>
      <c r="C431" s="115">
        <v>44844.231111111112</v>
      </c>
      <c r="D431" s="116" t="s">
        <v>66</v>
      </c>
      <c r="E431" s="116" t="s">
        <v>12</v>
      </c>
      <c r="F431" s="116" t="s">
        <v>19</v>
      </c>
      <c r="G431" s="116" t="s">
        <v>278</v>
      </c>
      <c r="H431" s="52" t="s">
        <v>90</v>
      </c>
      <c r="I431" s="120">
        <v>1207</v>
      </c>
      <c r="J431" s="55" t="str">
        <f>IF(tbRegistroEntradas[[#This Row],[DATA DE CAIXA REALIZADO]]="N/A","0",UPPER(TEXT(tbRegistroEntradas[[#This Row],[DATA DE CAIXA REALIZADO]],"mmm")))</f>
        <v>DEZ</v>
      </c>
      <c r="K431" s="58">
        <f>IF(tbRegistroEntradas[[#This Row],[DATA DE CAIXA REALIZADO]]="N/A",0,YEAR(tbRegistroEntradas[[#This Row],[DATA DE CAIXA REALIZADO]]))</f>
        <v>2022</v>
      </c>
      <c r="L431" s="79" t="str">
        <f>IF(tbRegistroEntradas[[#This Row],[DATA DA COMPETÊNCIA]]="N/A","0",UPPER(TEXT(tbRegistroEntradas[[#This Row],[DATA DA COMPETÊNCIA]],"mmm")))</f>
        <v>SET</v>
      </c>
      <c r="M431" s="79">
        <f>IF(tbRegistroEntradas[[#This Row],[DATA DA COMPETÊNCIA]]="N/A",0,YEAR(tbRegistroEntradas[[#This Row],[DATA DA COMPETÊNCIA]]))</f>
        <v>2022</v>
      </c>
      <c r="N431" s="84" t="str">
        <f>IF(tbRegistroEntradas[[#This Row],[DATA DO CAIXA PREVISTO]]="N/A","0",UPPER(TEXT(tbRegistroEntradas[[#This Row],[DATA DO CAIXA PREVISTO]],"mmm")))</f>
        <v>OUT</v>
      </c>
      <c r="O431" s="84">
        <f>IF(tbRegistroEntradas[[#This Row],[DATA DO CAIXA PREVISTO]]="N/A",0,YEAR(tbRegistroEntradas[[#This Row],[DATA DO CAIXA PREVISTO]]))</f>
        <v>2022</v>
      </c>
      <c r="P431" s="58" t="str">
        <f ca="1">IF(AND(tbRegistroEntradas[[#This Row],[DATA DE CAIXA REALIZADO]]="N/A",tbRegistroEntradas[[#This Row],[DATA DO CAIXA PREVISTO]]&lt;TODAY()),"Vencida","Não Vencida")</f>
        <v>Não Vencida</v>
      </c>
      <c r="Q431" s="58" t="str">
        <f>IF(tbRegistroEntradas[[#This Row],[DATA DA COMPETÊNCIA]]=tbRegistroEntradas[[#This Row],[DATA DO CAIXA PREVISTO]],"Vista","Prazo")</f>
        <v>Prazo</v>
      </c>
      <c r="R431" s="58" t="str">
        <f>IF(tbRegistroEntradas[[#This Row],[DATA DE CAIXA REALIZADO]]&lt;&gt;"N/A","Em Dia","Com atraso")</f>
        <v>Em Dia</v>
      </c>
    </row>
    <row r="432" spans="1:18" s="52" customFormat="1" ht="14.4" customHeight="1" x14ac:dyDescent="0.3">
      <c r="A432" s="125">
        <v>44850</v>
      </c>
      <c r="B432" s="125">
        <f>A432-31</f>
        <v>44819</v>
      </c>
      <c r="C432" s="125">
        <f>tbRegistroEntradas[[#This Row],[DATA DA COMPETÊNCIA]]</f>
        <v>44819</v>
      </c>
      <c r="D432" s="126" t="s">
        <v>137</v>
      </c>
      <c r="E432" s="126" t="s">
        <v>12</v>
      </c>
      <c r="F432" s="126" t="s">
        <v>32</v>
      </c>
      <c r="G432" s="126" t="s">
        <v>761</v>
      </c>
      <c r="H432" s="52" t="s">
        <v>105</v>
      </c>
      <c r="I432" s="127">
        <v>1677</v>
      </c>
      <c r="J432" s="110" t="str">
        <f>IF(tbRegistroEntradas[[#This Row],[DATA DE CAIXA REALIZADO]]="N/A","0",UPPER(TEXT(tbRegistroEntradas[[#This Row],[DATA DE CAIXA REALIZADO]],"mmm")))</f>
        <v>OUT</v>
      </c>
      <c r="K432" s="57">
        <f>IF(tbRegistroEntradas[[#This Row],[DATA DE CAIXA REALIZADO]]="N/A",0,YEAR(tbRegistroEntradas[[#This Row],[DATA DE CAIXA REALIZADO]]))</f>
        <v>2022</v>
      </c>
      <c r="L432" s="58" t="str">
        <f>IF(tbRegistroEntradas[[#This Row],[DATA DA COMPETÊNCIA]]="N/A","0",UPPER(TEXT(tbRegistroEntradas[[#This Row],[DATA DA COMPETÊNCIA]],"mmm")))</f>
        <v>SET</v>
      </c>
      <c r="M432" s="58">
        <f>IF(tbRegistroEntradas[[#This Row],[DATA DA COMPETÊNCIA]]="N/A",0,YEAR(tbRegistroEntradas[[#This Row],[DATA DA COMPETÊNCIA]]))</f>
        <v>2022</v>
      </c>
      <c r="N432" s="58" t="str">
        <f>IF(tbRegistroEntradas[[#This Row],[DATA DO CAIXA PREVISTO]]="N/A","0",UPPER(TEXT(tbRegistroEntradas[[#This Row],[DATA DO CAIXA PREVISTO]],"mmm")))</f>
        <v>SET</v>
      </c>
      <c r="O432" s="58">
        <f>IF(tbRegistroEntradas[[#This Row],[DATA DO CAIXA PREVISTO]]="N/A",0,YEAR(tbRegistroEntradas[[#This Row],[DATA DO CAIXA PREVISTO]]))</f>
        <v>2022</v>
      </c>
      <c r="P432" s="58" t="str">
        <f ca="1">IF(AND(tbRegistroEntradas[[#This Row],[DATA DE CAIXA REALIZADO]]="N/A",tbRegistroEntradas[[#This Row],[DATA DO CAIXA PREVISTO]]&lt;TODAY()),"Vencida","Não Vencida")</f>
        <v>Não Vencida</v>
      </c>
      <c r="Q432" s="58" t="str">
        <f>IF(tbRegistroEntradas[[#This Row],[DATA DA COMPETÊNCIA]]=tbRegistroEntradas[[#This Row],[DATA DO CAIXA PREVISTO]],"Vista","Prazo")</f>
        <v>Vista</v>
      </c>
      <c r="R432" s="58" t="str">
        <f>IF(tbRegistroEntradas[[#This Row],[DATA DE CAIXA REALIZADO]]&lt;&gt;"N/A","Em Dia","Com atraso")</f>
        <v>Em Dia</v>
      </c>
    </row>
    <row r="433" spans="1:18" s="52" customFormat="1" ht="14.4" customHeight="1" x14ac:dyDescent="0.3">
      <c r="A433" s="125">
        <v>44852</v>
      </c>
      <c r="B433" s="125">
        <f>A433-31</f>
        <v>44821</v>
      </c>
      <c r="C433" s="125">
        <f>(A433-B433)+B433-15</f>
        <v>44837</v>
      </c>
      <c r="D433" s="126" t="s">
        <v>138</v>
      </c>
      <c r="E433" s="126" t="s">
        <v>12</v>
      </c>
      <c r="F433" s="126" t="s">
        <v>19</v>
      </c>
      <c r="G433" s="126" t="s">
        <v>1044</v>
      </c>
      <c r="H433" s="52" t="s">
        <v>68</v>
      </c>
      <c r="I433" s="127">
        <v>6416</v>
      </c>
      <c r="J433" s="110" t="str">
        <f>IF(tbRegistroEntradas[[#This Row],[DATA DE CAIXA REALIZADO]]="N/A","0",UPPER(TEXT(tbRegistroEntradas[[#This Row],[DATA DE CAIXA REALIZADO]],"mmm")))</f>
        <v>OUT</v>
      </c>
      <c r="K433" s="57">
        <f>IF(tbRegistroEntradas[[#This Row],[DATA DE CAIXA REALIZADO]]="N/A",0,YEAR(tbRegistroEntradas[[#This Row],[DATA DE CAIXA REALIZADO]]))</f>
        <v>2022</v>
      </c>
      <c r="L433" s="58" t="str">
        <f>IF(tbRegistroEntradas[[#This Row],[DATA DA COMPETÊNCIA]]="N/A","0",UPPER(TEXT(tbRegistroEntradas[[#This Row],[DATA DA COMPETÊNCIA]],"mmm")))</f>
        <v>SET</v>
      </c>
      <c r="M433" s="58">
        <f>IF(tbRegistroEntradas[[#This Row],[DATA DA COMPETÊNCIA]]="N/A",0,YEAR(tbRegistroEntradas[[#This Row],[DATA DA COMPETÊNCIA]]))</f>
        <v>2022</v>
      </c>
      <c r="N433" s="58" t="str">
        <f>IF(tbRegistroEntradas[[#This Row],[DATA DO CAIXA PREVISTO]]="N/A","0",UPPER(TEXT(tbRegistroEntradas[[#This Row],[DATA DO CAIXA PREVISTO]],"mmm")))</f>
        <v>OUT</v>
      </c>
      <c r="O433" s="58">
        <f>IF(tbRegistroEntradas[[#This Row],[DATA DO CAIXA PREVISTO]]="N/A",0,YEAR(tbRegistroEntradas[[#This Row],[DATA DO CAIXA PREVISTO]]))</f>
        <v>2022</v>
      </c>
      <c r="P433" s="58" t="str">
        <f ca="1">IF(AND(tbRegistroEntradas[[#This Row],[DATA DE CAIXA REALIZADO]]="N/A",tbRegistroEntradas[[#This Row],[DATA DO CAIXA PREVISTO]]&lt;TODAY()),"Vencida","Não Vencida")</f>
        <v>Não Vencida</v>
      </c>
      <c r="Q433" s="58" t="str">
        <f>IF(tbRegistroEntradas[[#This Row],[DATA DA COMPETÊNCIA]]=tbRegistroEntradas[[#This Row],[DATA DO CAIXA PREVISTO]],"Vista","Prazo")</f>
        <v>Prazo</v>
      </c>
      <c r="R433" s="58" t="str">
        <f>IF(tbRegistroEntradas[[#This Row],[DATA DE CAIXA REALIZADO]]&lt;&gt;"N/A","Em Dia","Com atraso")</f>
        <v>Em Dia</v>
      </c>
    </row>
    <row r="434" spans="1:18" s="52" customFormat="1" ht="14.4" customHeight="1" x14ac:dyDescent="0.3">
      <c r="A434" s="112">
        <v>44873.045937499999</v>
      </c>
      <c r="B434" s="114">
        <v>44822</v>
      </c>
      <c r="C434" s="114">
        <v>44873.045937499999</v>
      </c>
      <c r="D434" s="55" t="s">
        <v>62</v>
      </c>
      <c r="E434" s="55" t="s">
        <v>12</v>
      </c>
      <c r="F434" s="55" t="s">
        <v>17</v>
      </c>
      <c r="G434" s="55" t="s">
        <v>279</v>
      </c>
      <c r="H434" s="110" t="s">
        <v>96</v>
      </c>
      <c r="I434" s="119">
        <v>2539</v>
      </c>
      <c r="J434" s="55" t="str">
        <f>IF(tbRegistroEntradas[[#This Row],[DATA DE CAIXA REALIZADO]]="N/A","0",UPPER(TEXT(tbRegistroEntradas[[#This Row],[DATA DE CAIXA REALIZADO]],"mmm")))</f>
        <v>NOV</v>
      </c>
      <c r="K434" s="58">
        <f>IF(tbRegistroEntradas[[#This Row],[DATA DE CAIXA REALIZADO]]="N/A",0,YEAR(tbRegistroEntradas[[#This Row],[DATA DE CAIXA REALIZADO]]))</f>
        <v>2022</v>
      </c>
      <c r="L434" s="79" t="str">
        <f>IF(tbRegistroEntradas[[#This Row],[DATA DA COMPETÊNCIA]]="N/A","0",UPPER(TEXT(tbRegistroEntradas[[#This Row],[DATA DA COMPETÊNCIA]],"mmm")))</f>
        <v>SET</v>
      </c>
      <c r="M434" s="79">
        <f>IF(tbRegistroEntradas[[#This Row],[DATA DA COMPETÊNCIA]]="N/A",0,YEAR(tbRegistroEntradas[[#This Row],[DATA DA COMPETÊNCIA]]))</f>
        <v>2022</v>
      </c>
      <c r="N434" s="84" t="str">
        <f>IF(tbRegistroEntradas[[#This Row],[DATA DO CAIXA PREVISTO]]="N/A","0",UPPER(TEXT(tbRegistroEntradas[[#This Row],[DATA DO CAIXA PREVISTO]],"mmm")))</f>
        <v>NOV</v>
      </c>
      <c r="O434" s="84">
        <f>IF(tbRegistroEntradas[[#This Row],[DATA DO CAIXA PREVISTO]]="N/A",0,YEAR(tbRegistroEntradas[[#This Row],[DATA DO CAIXA PREVISTO]]))</f>
        <v>2022</v>
      </c>
      <c r="P434" s="58" t="str">
        <f ca="1">IF(AND(tbRegistroEntradas[[#This Row],[DATA DE CAIXA REALIZADO]]="N/A",tbRegistroEntradas[[#This Row],[DATA DO CAIXA PREVISTO]]&lt;TODAY()),"Vencida","Não Vencida")</f>
        <v>Não Vencida</v>
      </c>
      <c r="Q434" s="58" t="str">
        <f>IF(tbRegistroEntradas[[#This Row],[DATA DA COMPETÊNCIA]]=tbRegistroEntradas[[#This Row],[DATA DO CAIXA PREVISTO]],"Vista","Prazo")</f>
        <v>Prazo</v>
      </c>
      <c r="R434" s="58" t="str">
        <f>IF(tbRegistroEntradas[[#This Row],[DATA DE CAIXA REALIZADO]]&lt;&gt;"N/A","Em Dia","Com atraso")</f>
        <v>Em Dia</v>
      </c>
    </row>
    <row r="435" spans="1:18" s="52" customFormat="1" ht="14.4" customHeight="1" x14ac:dyDescent="0.3">
      <c r="A435" s="125">
        <v>44853</v>
      </c>
      <c r="B435" s="125">
        <f>A435-31</f>
        <v>44822</v>
      </c>
      <c r="C435" s="125">
        <f>(A435-B435)+B435-15</f>
        <v>44838</v>
      </c>
      <c r="D435" s="126" t="s">
        <v>65</v>
      </c>
      <c r="E435" s="126" t="s">
        <v>12</v>
      </c>
      <c r="F435" s="126" t="s">
        <v>18</v>
      </c>
      <c r="G435" s="126" t="s">
        <v>977</v>
      </c>
      <c r="H435" s="52" t="s">
        <v>116</v>
      </c>
      <c r="I435" s="127">
        <v>2584</v>
      </c>
      <c r="J435" s="110" t="str">
        <f>IF(tbRegistroEntradas[[#This Row],[DATA DE CAIXA REALIZADO]]="N/A","0",UPPER(TEXT(tbRegistroEntradas[[#This Row],[DATA DE CAIXA REALIZADO]],"mmm")))</f>
        <v>OUT</v>
      </c>
      <c r="K435" s="57">
        <f>IF(tbRegistroEntradas[[#This Row],[DATA DE CAIXA REALIZADO]]="N/A",0,YEAR(tbRegistroEntradas[[#This Row],[DATA DE CAIXA REALIZADO]]))</f>
        <v>2022</v>
      </c>
      <c r="L435" s="58" t="str">
        <f>IF(tbRegistroEntradas[[#This Row],[DATA DA COMPETÊNCIA]]="N/A","0",UPPER(TEXT(tbRegistroEntradas[[#This Row],[DATA DA COMPETÊNCIA]],"mmm")))</f>
        <v>SET</v>
      </c>
      <c r="M435" s="58">
        <f>IF(tbRegistroEntradas[[#This Row],[DATA DA COMPETÊNCIA]]="N/A",0,YEAR(tbRegistroEntradas[[#This Row],[DATA DA COMPETÊNCIA]]))</f>
        <v>2022</v>
      </c>
      <c r="N435" s="58" t="str">
        <f>IF(tbRegistroEntradas[[#This Row],[DATA DO CAIXA PREVISTO]]="N/A","0",UPPER(TEXT(tbRegistroEntradas[[#This Row],[DATA DO CAIXA PREVISTO]],"mmm")))</f>
        <v>OUT</v>
      </c>
      <c r="O435" s="58">
        <f>IF(tbRegistroEntradas[[#This Row],[DATA DO CAIXA PREVISTO]]="N/A",0,YEAR(tbRegistroEntradas[[#This Row],[DATA DO CAIXA PREVISTO]]))</f>
        <v>2022</v>
      </c>
      <c r="P435" s="58" t="str">
        <f ca="1">IF(AND(tbRegistroEntradas[[#This Row],[DATA DE CAIXA REALIZADO]]="N/A",tbRegistroEntradas[[#This Row],[DATA DO CAIXA PREVISTO]]&lt;TODAY()),"Vencida","Não Vencida")</f>
        <v>Não Vencida</v>
      </c>
      <c r="Q435" s="58" t="str">
        <f>IF(tbRegistroEntradas[[#This Row],[DATA DA COMPETÊNCIA]]=tbRegistroEntradas[[#This Row],[DATA DO CAIXA PREVISTO]],"Vista","Prazo")</f>
        <v>Prazo</v>
      </c>
      <c r="R435" s="58" t="str">
        <f>IF(tbRegistroEntradas[[#This Row],[DATA DE CAIXA REALIZADO]]&lt;&gt;"N/A","Em Dia","Com atraso")</f>
        <v>Em Dia</v>
      </c>
    </row>
    <row r="436" spans="1:18" s="52" customFormat="1" ht="14.4" customHeight="1" x14ac:dyDescent="0.3">
      <c r="A436" s="125">
        <v>44854</v>
      </c>
      <c r="B436" s="125">
        <f>A436-31</f>
        <v>44823</v>
      </c>
      <c r="C436" s="125">
        <f>(A436-B436)+B436-15</f>
        <v>44839</v>
      </c>
      <c r="D436" s="126" t="s">
        <v>65</v>
      </c>
      <c r="E436" s="126" t="s">
        <v>12</v>
      </c>
      <c r="F436" s="126" t="s">
        <v>17</v>
      </c>
      <c r="G436" s="126" t="s">
        <v>1047</v>
      </c>
      <c r="H436" s="52" t="s">
        <v>118</v>
      </c>
      <c r="I436" s="127">
        <v>359</v>
      </c>
      <c r="J436" s="110" t="str">
        <f>IF(tbRegistroEntradas[[#This Row],[DATA DE CAIXA REALIZADO]]="N/A","0",UPPER(TEXT(tbRegistroEntradas[[#This Row],[DATA DE CAIXA REALIZADO]],"mmm")))</f>
        <v>OUT</v>
      </c>
      <c r="K436" s="57">
        <f>IF(tbRegistroEntradas[[#This Row],[DATA DE CAIXA REALIZADO]]="N/A",0,YEAR(tbRegistroEntradas[[#This Row],[DATA DE CAIXA REALIZADO]]))</f>
        <v>2022</v>
      </c>
      <c r="L436" s="58" t="str">
        <f>IF(tbRegistroEntradas[[#This Row],[DATA DA COMPETÊNCIA]]="N/A","0",UPPER(TEXT(tbRegistroEntradas[[#This Row],[DATA DA COMPETÊNCIA]],"mmm")))</f>
        <v>SET</v>
      </c>
      <c r="M436" s="58">
        <f>IF(tbRegistroEntradas[[#This Row],[DATA DA COMPETÊNCIA]]="N/A",0,YEAR(tbRegistroEntradas[[#This Row],[DATA DA COMPETÊNCIA]]))</f>
        <v>2022</v>
      </c>
      <c r="N436" s="58" t="str">
        <f>IF(tbRegistroEntradas[[#This Row],[DATA DO CAIXA PREVISTO]]="N/A","0",UPPER(TEXT(tbRegistroEntradas[[#This Row],[DATA DO CAIXA PREVISTO]],"mmm")))</f>
        <v>OUT</v>
      </c>
      <c r="O436" s="58">
        <f>IF(tbRegistroEntradas[[#This Row],[DATA DO CAIXA PREVISTO]]="N/A",0,YEAR(tbRegistroEntradas[[#This Row],[DATA DO CAIXA PREVISTO]]))</f>
        <v>2022</v>
      </c>
      <c r="P436" s="58" t="str">
        <f ca="1">IF(AND(tbRegistroEntradas[[#This Row],[DATA DE CAIXA REALIZADO]]="N/A",tbRegistroEntradas[[#This Row],[DATA DO CAIXA PREVISTO]]&lt;TODAY()),"Vencida","Não Vencida")</f>
        <v>Não Vencida</v>
      </c>
      <c r="Q436" s="58" t="str">
        <f>IF(tbRegistroEntradas[[#This Row],[DATA DA COMPETÊNCIA]]=tbRegistroEntradas[[#This Row],[DATA DO CAIXA PREVISTO]],"Vista","Prazo")</f>
        <v>Prazo</v>
      </c>
      <c r="R436" s="58" t="str">
        <f>IF(tbRegistroEntradas[[#This Row],[DATA DE CAIXA REALIZADO]]&lt;&gt;"N/A","Em Dia","Com atraso")</f>
        <v>Em Dia</v>
      </c>
    </row>
    <row r="437" spans="1:18" s="52" customFormat="1" ht="14.4" customHeight="1" x14ac:dyDescent="0.3">
      <c r="A437" s="125">
        <v>44855</v>
      </c>
      <c r="B437" s="125">
        <f>A437-31</f>
        <v>44824</v>
      </c>
      <c r="C437" s="125">
        <f>(A437-B437)+B437-15</f>
        <v>44840</v>
      </c>
      <c r="D437" s="126" t="s">
        <v>64</v>
      </c>
      <c r="E437" s="126" t="s">
        <v>12</v>
      </c>
      <c r="F437" s="126" t="s">
        <v>18</v>
      </c>
      <c r="G437" s="126" t="s">
        <v>1106</v>
      </c>
      <c r="H437" s="126" t="s">
        <v>110</v>
      </c>
      <c r="I437" s="127">
        <v>3199</v>
      </c>
      <c r="J437" s="110" t="str">
        <f>IF(tbRegistroEntradas[[#This Row],[DATA DE CAIXA REALIZADO]]="N/A","0",UPPER(TEXT(tbRegistroEntradas[[#This Row],[DATA DE CAIXA REALIZADO]],"mmm")))</f>
        <v>OUT</v>
      </c>
      <c r="K437" s="57">
        <f>IF(tbRegistroEntradas[[#This Row],[DATA DE CAIXA REALIZADO]]="N/A",0,YEAR(tbRegistroEntradas[[#This Row],[DATA DE CAIXA REALIZADO]]))</f>
        <v>2022</v>
      </c>
      <c r="L437" s="58" t="str">
        <f>IF(tbRegistroEntradas[[#This Row],[DATA DA COMPETÊNCIA]]="N/A","0",UPPER(TEXT(tbRegistroEntradas[[#This Row],[DATA DA COMPETÊNCIA]],"mmm")))</f>
        <v>SET</v>
      </c>
      <c r="M437" s="58">
        <f>IF(tbRegistroEntradas[[#This Row],[DATA DA COMPETÊNCIA]]="N/A",0,YEAR(tbRegistroEntradas[[#This Row],[DATA DA COMPETÊNCIA]]))</f>
        <v>2022</v>
      </c>
      <c r="N437" s="58" t="str">
        <f>IF(tbRegistroEntradas[[#This Row],[DATA DO CAIXA PREVISTO]]="N/A","0",UPPER(TEXT(tbRegistroEntradas[[#This Row],[DATA DO CAIXA PREVISTO]],"mmm")))</f>
        <v>OUT</v>
      </c>
      <c r="O437" s="58">
        <f>IF(tbRegistroEntradas[[#This Row],[DATA DO CAIXA PREVISTO]]="N/A",0,YEAR(tbRegistroEntradas[[#This Row],[DATA DO CAIXA PREVISTO]]))</f>
        <v>2022</v>
      </c>
      <c r="P437" s="58" t="str">
        <f ca="1">IF(AND(tbRegistroEntradas[[#This Row],[DATA DE CAIXA REALIZADO]]="N/A",tbRegistroEntradas[[#This Row],[DATA DO CAIXA PREVISTO]]&lt;TODAY()),"Vencida","Não Vencida")</f>
        <v>Não Vencida</v>
      </c>
      <c r="Q437" s="58" t="str">
        <f>IF(tbRegistroEntradas[[#This Row],[DATA DA COMPETÊNCIA]]=tbRegistroEntradas[[#This Row],[DATA DO CAIXA PREVISTO]],"Vista","Prazo")</f>
        <v>Prazo</v>
      </c>
      <c r="R437" s="58" t="str">
        <f>IF(tbRegistroEntradas[[#This Row],[DATA DE CAIXA REALIZADO]]&lt;&gt;"N/A","Em Dia","Com atraso")</f>
        <v>Em Dia</v>
      </c>
    </row>
    <row r="438" spans="1:18" s="52" customFormat="1" ht="14.4" customHeight="1" x14ac:dyDescent="0.3">
      <c r="A438" s="113">
        <v>44835.50509259259</v>
      </c>
      <c r="B438" s="115">
        <v>44824</v>
      </c>
      <c r="C438" s="115">
        <v>44835.50509259259</v>
      </c>
      <c r="D438" s="115" t="s">
        <v>137</v>
      </c>
      <c r="E438" s="116" t="s">
        <v>12</v>
      </c>
      <c r="F438" s="116" t="s">
        <v>18</v>
      </c>
      <c r="G438" s="116" t="s">
        <v>280</v>
      </c>
      <c r="H438" s="52" t="s">
        <v>104</v>
      </c>
      <c r="I438" s="120">
        <v>2895</v>
      </c>
      <c r="J438" s="55" t="str">
        <f>IF(tbRegistroEntradas[[#This Row],[DATA DE CAIXA REALIZADO]]="N/A","0",UPPER(TEXT(tbRegistroEntradas[[#This Row],[DATA DE CAIXA REALIZADO]],"mmm")))</f>
        <v>OUT</v>
      </c>
      <c r="K438" s="58">
        <f>IF(tbRegistroEntradas[[#This Row],[DATA DE CAIXA REALIZADO]]="N/A",0,YEAR(tbRegistroEntradas[[#This Row],[DATA DE CAIXA REALIZADO]]))</f>
        <v>2022</v>
      </c>
      <c r="L438" s="79" t="str">
        <f>IF(tbRegistroEntradas[[#This Row],[DATA DA COMPETÊNCIA]]="N/A","0",UPPER(TEXT(tbRegistroEntradas[[#This Row],[DATA DA COMPETÊNCIA]],"mmm")))</f>
        <v>SET</v>
      </c>
      <c r="M438" s="79">
        <f>IF(tbRegistroEntradas[[#This Row],[DATA DA COMPETÊNCIA]]="N/A",0,YEAR(tbRegistroEntradas[[#This Row],[DATA DA COMPETÊNCIA]]))</f>
        <v>2022</v>
      </c>
      <c r="N438" s="84" t="str">
        <f>IF(tbRegistroEntradas[[#This Row],[DATA DO CAIXA PREVISTO]]="N/A","0",UPPER(TEXT(tbRegistroEntradas[[#This Row],[DATA DO CAIXA PREVISTO]],"mmm")))</f>
        <v>OUT</v>
      </c>
      <c r="O438" s="84">
        <f>IF(tbRegistroEntradas[[#This Row],[DATA DO CAIXA PREVISTO]]="N/A",0,YEAR(tbRegistroEntradas[[#This Row],[DATA DO CAIXA PREVISTO]]))</f>
        <v>2022</v>
      </c>
      <c r="P438" s="58" t="str">
        <f ca="1">IF(AND(tbRegistroEntradas[[#This Row],[DATA DE CAIXA REALIZADO]]="N/A",tbRegistroEntradas[[#This Row],[DATA DO CAIXA PREVISTO]]&lt;TODAY()),"Vencida","Não Vencida")</f>
        <v>Não Vencida</v>
      </c>
      <c r="Q438" s="58" t="str">
        <f>IF(tbRegistroEntradas[[#This Row],[DATA DA COMPETÊNCIA]]=tbRegistroEntradas[[#This Row],[DATA DO CAIXA PREVISTO]],"Vista","Prazo")</f>
        <v>Prazo</v>
      </c>
      <c r="R438" s="58" t="str">
        <f>IF(tbRegistroEntradas[[#This Row],[DATA DE CAIXA REALIZADO]]&lt;&gt;"N/A","Em Dia","Com atraso")</f>
        <v>Em Dia</v>
      </c>
    </row>
    <row r="439" spans="1:18" s="52" customFormat="1" ht="14.4" customHeight="1" x14ac:dyDescent="0.3">
      <c r="A439" s="112">
        <v>44849.790601851855</v>
      </c>
      <c r="B439" s="114">
        <v>44825</v>
      </c>
      <c r="C439" s="114">
        <v>44838.195567129631</v>
      </c>
      <c r="D439" s="116" t="s">
        <v>137</v>
      </c>
      <c r="E439" s="55" t="s">
        <v>12</v>
      </c>
      <c r="F439" s="55" t="s">
        <v>19</v>
      </c>
      <c r="G439" s="55" t="s">
        <v>281</v>
      </c>
      <c r="H439" s="52" t="s">
        <v>106</v>
      </c>
      <c r="I439" s="119">
        <v>2106</v>
      </c>
      <c r="J439" s="55" t="str">
        <f>IF(tbRegistroEntradas[[#This Row],[DATA DE CAIXA REALIZADO]]="N/A","0",UPPER(TEXT(tbRegistroEntradas[[#This Row],[DATA DE CAIXA REALIZADO]],"mmm")))</f>
        <v>OUT</v>
      </c>
      <c r="K439" s="58">
        <f>IF(tbRegistroEntradas[[#This Row],[DATA DE CAIXA REALIZADO]]="N/A",0,YEAR(tbRegistroEntradas[[#This Row],[DATA DE CAIXA REALIZADO]]))</f>
        <v>2022</v>
      </c>
      <c r="L439" s="79" t="str">
        <f>IF(tbRegistroEntradas[[#This Row],[DATA DA COMPETÊNCIA]]="N/A","0",UPPER(TEXT(tbRegistroEntradas[[#This Row],[DATA DA COMPETÊNCIA]],"mmm")))</f>
        <v>SET</v>
      </c>
      <c r="M439" s="79">
        <f>IF(tbRegistroEntradas[[#This Row],[DATA DA COMPETÊNCIA]]="N/A",0,YEAR(tbRegistroEntradas[[#This Row],[DATA DA COMPETÊNCIA]]))</f>
        <v>2022</v>
      </c>
      <c r="N439" s="84" t="str">
        <f>IF(tbRegistroEntradas[[#This Row],[DATA DO CAIXA PREVISTO]]="N/A","0",UPPER(TEXT(tbRegistroEntradas[[#This Row],[DATA DO CAIXA PREVISTO]],"mmm")))</f>
        <v>OUT</v>
      </c>
      <c r="O439" s="84">
        <f>IF(tbRegistroEntradas[[#This Row],[DATA DO CAIXA PREVISTO]]="N/A",0,YEAR(tbRegistroEntradas[[#This Row],[DATA DO CAIXA PREVISTO]]))</f>
        <v>2022</v>
      </c>
      <c r="P439" s="58" t="str">
        <f ca="1">IF(AND(tbRegistroEntradas[[#This Row],[DATA DE CAIXA REALIZADO]]="N/A",tbRegistroEntradas[[#This Row],[DATA DO CAIXA PREVISTO]]&lt;TODAY()),"Vencida","Não Vencida")</f>
        <v>Não Vencida</v>
      </c>
      <c r="Q439" s="58" t="str">
        <f>IF(tbRegistroEntradas[[#This Row],[DATA DA COMPETÊNCIA]]=tbRegistroEntradas[[#This Row],[DATA DO CAIXA PREVISTO]],"Vista","Prazo")</f>
        <v>Prazo</v>
      </c>
      <c r="R439" s="58" t="str">
        <f>IF(tbRegistroEntradas[[#This Row],[DATA DE CAIXA REALIZADO]]&lt;&gt;"N/A","Em Dia","Com atraso")</f>
        <v>Em Dia</v>
      </c>
    </row>
    <row r="440" spans="1:18" s="52" customFormat="1" ht="14.4" customHeight="1" x14ac:dyDescent="0.3">
      <c r="A440" s="125">
        <v>44857</v>
      </c>
      <c r="B440" s="125">
        <f>A440-31</f>
        <v>44826</v>
      </c>
      <c r="C440" s="125">
        <f>(A440-B440)+B440-15</f>
        <v>44842</v>
      </c>
      <c r="D440" s="126" t="s">
        <v>65</v>
      </c>
      <c r="E440" s="126" t="s">
        <v>12</v>
      </c>
      <c r="F440" s="126" t="s">
        <v>17</v>
      </c>
      <c r="G440" s="126" t="s">
        <v>1079</v>
      </c>
      <c r="H440" s="126" t="s">
        <v>89</v>
      </c>
      <c r="I440" s="127">
        <v>3168</v>
      </c>
      <c r="J440" s="110" t="str">
        <f>IF(tbRegistroEntradas[[#This Row],[DATA DE CAIXA REALIZADO]]="N/A","0",UPPER(TEXT(tbRegistroEntradas[[#This Row],[DATA DE CAIXA REALIZADO]],"mmm")))</f>
        <v>OUT</v>
      </c>
      <c r="K440" s="57">
        <f>IF(tbRegistroEntradas[[#This Row],[DATA DE CAIXA REALIZADO]]="N/A",0,YEAR(tbRegistroEntradas[[#This Row],[DATA DE CAIXA REALIZADO]]))</f>
        <v>2022</v>
      </c>
      <c r="L440" s="58" t="str">
        <f>IF(tbRegistroEntradas[[#This Row],[DATA DA COMPETÊNCIA]]="N/A","0",UPPER(TEXT(tbRegistroEntradas[[#This Row],[DATA DA COMPETÊNCIA]],"mmm")))</f>
        <v>SET</v>
      </c>
      <c r="M440" s="58">
        <f>IF(tbRegistroEntradas[[#This Row],[DATA DA COMPETÊNCIA]]="N/A",0,YEAR(tbRegistroEntradas[[#This Row],[DATA DA COMPETÊNCIA]]))</f>
        <v>2022</v>
      </c>
      <c r="N440" s="58" t="str">
        <f>IF(tbRegistroEntradas[[#This Row],[DATA DO CAIXA PREVISTO]]="N/A","0",UPPER(TEXT(tbRegistroEntradas[[#This Row],[DATA DO CAIXA PREVISTO]],"mmm")))</f>
        <v>OUT</v>
      </c>
      <c r="O440" s="58">
        <f>IF(tbRegistroEntradas[[#This Row],[DATA DO CAIXA PREVISTO]]="N/A",0,YEAR(tbRegistroEntradas[[#This Row],[DATA DO CAIXA PREVISTO]]))</f>
        <v>2022</v>
      </c>
      <c r="P440" s="58" t="str">
        <f ca="1">IF(AND(tbRegistroEntradas[[#This Row],[DATA DE CAIXA REALIZADO]]="N/A",tbRegistroEntradas[[#This Row],[DATA DO CAIXA PREVISTO]]&lt;TODAY()),"Vencida","Não Vencida")</f>
        <v>Não Vencida</v>
      </c>
      <c r="Q440" s="58" t="str">
        <f>IF(tbRegistroEntradas[[#This Row],[DATA DA COMPETÊNCIA]]=tbRegistroEntradas[[#This Row],[DATA DO CAIXA PREVISTO]],"Vista","Prazo")</f>
        <v>Prazo</v>
      </c>
      <c r="R440" s="58" t="str">
        <f>IF(tbRegistroEntradas[[#This Row],[DATA DE CAIXA REALIZADO]]&lt;&gt;"N/A","Em Dia","Com atraso")</f>
        <v>Em Dia</v>
      </c>
    </row>
    <row r="441" spans="1:18" s="52" customFormat="1" ht="14.4" customHeight="1" x14ac:dyDescent="0.3">
      <c r="A441" s="113">
        <v>44866.698263888888</v>
      </c>
      <c r="B441" s="115">
        <v>44827</v>
      </c>
      <c r="C441" s="115">
        <v>44866.698263888888</v>
      </c>
      <c r="D441" s="116" t="s">
        <v>63</v>
      </c>
      <c r="E441" s="116" t="s">
        <v>12</v>
      </c>
      <c r="F441" s="116" t="s">
        <v>18</v>
      </c>
      <c r="G441" s="116" t="s">
        <v>282</v>
      </c>
      <c r="H441" s="52" t="s">
        <v>98</v>
      </c>
      <c r="I441" s="120">
        <v>3742</v>
      </c>
      <c r="J441" s="55" t="str">
        <f>IF(tbRegistroEntradas[[#This Row],[DATA DE CAIXA REALIZADO]]="N/A","0",UPPER(TEXT(tbRegistroEntradas[[#This Row],[DATA DE CAIXA REALIZADO]],"mmm")))</f>
        <v>NOV</v>
      </c>
      <c r="K441" s="58">
        <f>IF(tbRegistroEntradas[[#This Row],[DATA DE CAIXA REALIZADO]]="N/A",0,YEAR(tbRegistroEntradas[[#This Row],[DATA DE CAIXA REALIZADO]]))</f>
        <v>2022</v>
      </c>
      <c r="L441" s="79" t="str">
        <f>IF(tbRegistroEntradas[[#This Row],[DATA DA COMPETÊNCIA]]="N/A","0",UPPER(TEXT(tbRegistroEntradas[[#This Row],[DATA DA COMPETÊNCIA]],"mmm")))</f>
        <v>SET</v>
      </c>
      <c r="M441" s="79">
        <f>IF(tbRegistroEntradas[[#This Row],[DATA DA COMPETÊNCIA]]="N/A",0,YEAR(tbRegistroEntradas[[#This Row],[DATA DA COMPETÊNCIA]]))</f>
        <v>2022</v>
      </c>
      <c r="N441" s="84" t="str">
        <f>IF(tbRegistroEntradas[[#This Row],[DATA DO CAIXA PREVISTO]]="N/A","0",UPPER(TEXT(tbRegistroEntradas[[#This Row],[DATA DO CAIXA PREVISTO]],"mmm")))</f>
        <v>NOV</v>
      </c>
      <c r="O441" s="84">
        <f>IF(tbRegistroEntradas[[#This Row],[DATA DO CAIXA PREVISTO]]="N/A",0,YEAR(tbRegistroEntradas[[#This Row],[DATA DO CAIXA PREVISTO]]))</f>
        <v>2022</v>
      </c>
      <c r="P441" s="58" t="str">
        <f ca="1">IF(AND(tbRegistroEntradas[[#This Row],[DATA DE CAIXA REALIZADO]]="N/A",tbRegistroEntradas[[#This Row],[DATA DO CAIXA PREVISTO]]&lt;TODAY()),"Vencida","Não Vencida")</f>
        <v>Não Vencida</v>
      </c>
      <c r="Q441" s="58" t="str">
        <f>IF(tbRegistroEntradas[[#This Row],[DATA DA COMPETÊNCIA]]=tbRegistroEntradas[[#This Row],[DATA DO CAIXA PREVISTO]],"Vista","Prazo")</f>
        <v>Prazo</v>
      </c>
      <c r="R441" s="58" t="str">
        <f>IF(tbRegistroEntradas[[#This Row],[DATA DE CAIXA REALIZADO]]&lt;&gt;"N/A","Em Dia","Com atraso")</f>
        <v>Em Dia</v>
      </c>
    </row>
    <row r="442" spans="1:18" s="52" customFormat="1" ht="14.4" customHeight="1" x14ac:dyDescent="0.3">
      <c r="A442" s="125">
        <v>44860</v>
      </c>
      <c r="B442" s="125">
        <f>A442-31</f>
        <v>44829</v>
      </c>
      <c r="C442" s="125">
        <f>(A442-B442)+B442-15</f>
        <v>44845</v>
      </c>
      <c r="D442" s="126" t="s">
        <v>61</v>
      </c>
      <c r="E442" s="126" t="s">
        <v>12</v>
      </c>
      <c r="F442" s="126" t="s">
        <v>16</v>
      </c>
      <c r="G442" s="126" t="s">
        <v>859</v>
      </c>
      <c r="H442" s="52" t="s">
        <v>80</v>
      </c>
      <c r="I442" s="127">
        <v>6675</v>
      </c>
      <c r="J442" s="110" t="str">
        <f>IF(tbRegistroEntradas[[#This Row],[DATA DE CAIXA REALIZADO]]="N/A","0",UPPER(TEXT(tbRegistroEntradas[[#This Row],[DATA DE CAIXA REALIZADO]],"mmm")))</f>
        <v>OUT</v>
      </c>
      <c r="K442" s="57">
        <f>IF(tbRegistroEntradas[[#This Row],[DATA DE CAIXA REALIZADO]]="N/A",0,YEAR(tbRegistroEntradas[[#This Row],[DATA DE CAIXA REALIZADO]]))</f>
        <v>2022</v>
      </c>
      <c r="L442" s="58" t="str">
        <f>IF(tbRegistroEntradas[[#This Row],[DATA DA COMPETÊNCIA]]="N/A","0",UPPER(TEXT(tbRegistroEntradas[[#This Row],[DATA DA COMPETÊNCIA]],"mmm")))</f>
        <v>SET</v>
      </c>
      <c r="M442" s="58">
        <f>IF(tbRegistroEntradas[[#This Row],[DATA DA COMPETÊNCIA]]="N/A",0,YEAR(tbRegistroEntradas[[#This Row],[DATA DA COMPETÊNCIA]]))</f>
        <v>2022</v>
      </c>
      <c r="N442" s="58" t="str">
        <f>IF(tbRegistroEntradas[[#This Row],[DATA DO CAIXA PREVISTO]]="N/A","0",UPPER(TEXT(tbRegistroEntradas[[#This Row],[DATA DO CAIXA PREVISTO]],"mmm")))</f>
        <v>OUT</v>
      </c>
      <c r="O442" s="58">
        <f>IF(tbRegistroEntradas[[#This Row],[DATA DO CAIXA PREVISTO]]="N/A",0,YEAR(tbRegistroEntradas[[#This Row],[DATA DO CAIXA PREVISTO]]))</f>
        <v>2022</v>
      </c>
      <c r="P442" s="58" t="str">
        <f ca="1">IF(AND(tbRegistroEntradas[[#This Row],[DATA DE CAIXA REALIZADO]]="N/A",tbRegistroEntradas[[#This Row],[DATA DO CAIXA PREVISTO]]&lt;TODAY()),"Vencida","Não Vencida")</f>
        <v>Não Vencida</v>
      </c>
      <c r="Q442" s="58" t="str">
        <f>IF(tbRegistroEntradas[[#This Row],[DATA DA COMPETÊNCIA]]=tbRegistroEntradas[[#This Row],[DATA DO CAIXA PREVISTO]],"Vista","Prazo")</f>
        <v>Prazo</v>
      </c>
      <c r="R442" s="58" t="str">
        <f>IF(tbRegistroEntradas[[#This Row],[DATA DE CAIXA REALIZADO]]&lt;&gt;"N/A","Em Dia","Com atraso")</f>
        <v>Em Dia</v>
      </c>
    </row>
    <row r="443" spans="1:18" s="52" customFormat="1" ht="14.4" customHeight="1" x14ac:dyDescent="0.3">
      <c r="A443" s="112">
        <v>44856.635115740741</v>
      </c>
      <c r="B443" s="114">
        <v>44830</v>
      </c>
      <c r="C443" s="114">
        <v>44856.635115740741</v>
      </c>
      <c r="D443" s="55" t="s">
        <v>138</v>
      </c>
      <c r="E443" s="55" t="s">
        <v>12</v>
      </c>
      <c r="F443" s="55" t="s">
        <v>17</v>
      </c>
      <c r="G443" s="55" t="s">
        <v>283</v>
      </c>
      <c r="H443" s="52" t="s">
        <v>75</v>
      </c>
      <c r="I443" s="119">
        <v>3222</v>
      </c>
      <c r="J443" s="55" t="str">
        <f>IF(tbRegistroEntradas[[#This Row],[DATA DE CAIXA REALIZADO]]="N/A","0",UPPER(TEXT(tbRegistroEntradas[[#This Row],[DATA DE CAIXA REALIZADO]],"mmm")))</f>
        <v>OUT</v>
      </c>
      <c r="K443" s="58">
        <f>IF(tbRegistroEntradas[[#This Row],[DATA DE CAIXA REALIZADO]]="N/A",0,YEAR(tbRegistroEntradas[[#This Row],[DATA DE CAIXA REALIZADO]]))</f>
        <v>2022</v>
      </c>
      <c r="L443" s="79" t="str">
        <f>IF(tbRegistroEntradas[[#This Row],[DATA DA COMPETÊNCIA]]="N/A","0",UPPER(TEXT(tbRegistroEntradas[[#This Row],[DATA DA COMPETÊNCIA]],"mmm")))</f>
        <v>SET</v>
      </c>
      <c r="M443" s="79">
        <f>IF(tbRegistroEntradas[[#This Row],[DATA DA COMPETÊNCIA]]="N/A",0,YEAR(tbRegistroEntradas[[#This Row],[DATA DA COMPETÊNCIA]]))</f>
        <v>2022</v>
      </c>
      <c r="N443" s="84" t="str">
        <f>IF(tbRegistroEntradas[[#This Row],[DATA DO CAIXA PREVISTO]]="N/A","0",UPPER(TEXT(tbRegistroEntradas[[#This Row],[DATA DO CAIXA PREVISTO]],"mmm")))</f>
        <v>OUT</v>
      </c>
      <c r="O443" s="84">
        <f>IF(tbRegistroEntradas[[#This Row],[DATA DO CAIXA PREVISTO]]="N/A",0,YEAR(tbRegistroEntradas[[#This Row],[DATA DO CAIXA PREVISTO]]))</f>
        <v>2022</v>
      </c>
      <c r="P443" s="58" t="str">
        <f ca="1">IF(AND(tbRegistroEntradas[[#This Row],[DATA DE CAIXA REALIZADO]]="N/A",tbRegistroEntradas[[#This Row],[DATA DO CAIXA PREVISTO]]&lt;TODAY()),"Vencida","Não Vencida")</f>
        <v>Não Vencida</v>
      </c>
      <c r="Q443" s="58" t="str">
        <f>IF(tbRegistroEntradas[[#This Row],[DATA DA COMPETÊNCIA]]=tbRegistroEntradas[[#This Row],[DATA DO CAIXA PREVISTO]],"Vista","Prazo")</f>
        <v>Prazo</v>
      </c>
      <c r="R443" s="58" t="str">
        <f>IF(tbRegistroEntradas[[#This Row],[DATA DE CAIXA REALIZADO]]&lt;&gt;"N/A","Em Dia","Com atraso")</f>
        <v>Em Dia</v>
      </c>
    </row>
    <row r="444" spans="1:18" s="52" customFormat="1" ht="14.4" customHeight="1" x14ac:dyDescent="0.3">
      <c r="A444" s="125">
        <v>44862</v>
      </c>
      <c r="B444" s="125">
        <f>A444-31</f>
        <v>44831</v>
      </c>
      <c r="C444" s="125">
        <f>(A444-B444)+B444-15</f>
        <v>44847</v>
      </c>
      <c r="D444" s="126" t="s">
        <v>64</v>
      </c>
      <c r="E444" s="126" t="s">
        <v>12</v>
      </c>
      <c r="F444" s="126" t="s">
        <v>18</v>
      </c>
      <c r="G444" s="126" t="s">
        <v>1061</v>
      </c>
      <c r="H444" s="52" t="s">
        <v>111</v>
      </c>
      <c r="I444" s="127">
        <v>5289</v>
      </c>
      <c r="J444" s="110" t="str">
        <f>IF(tbRegistroEntradas[[#This Row],[DATA DE CAIXA REALIZADO]]="N/A","0",UPPER(TEXT(tbRegistroEntradas[[#This Row],[DATA DE CAIXA REALIZADO]],"mmm")))</f>
        <v>OUT</v>
      </c>
      <c r="K444" s="57">
        <f>IF(tbRegistroEntradas[[#This Row],[DATA DE CAIXA REALIZADO]]="N/A",0,YEAR(tbRegistroEntradas[[#This Row],[DATA DE CAIXA REALIZADO]]))</f>
        <v>2022</v>
      </c>
      <c r="L444" s="58" t="str">
        <f>IF(tbRegistroEntradas[[#This Row],[DATA DA COMPETÊNCIA]]="N/A","0",UPPER(TEXT(tbRegistroEntradas[[#This Row],[DATA DA COMPETÊNCIA]],"mmm")))</f>
        <v>SET</v>
      </c>
      <c r="M444" s="58">
        <f>IF(tbRegistroEntradas[[#This Row],[DATA DA COMPETÊNCIA]]="N/A",0,YEAR(tbRegistroEntradas[[#This Row],[DATA DA COMPETÊNCIA]]))</f>
        <v>2022</v>
      </c>
      <c r="N444" s="58" t="str">
        <f>IF(tbRegistroEntradas[[#This Row],[DATA DO CAIXA PREVISTO]]="N/A","0",UPPER(TEXT(tbRegistroEntradas[[#This Row],[DATA DO CAIXA PREVISTO]],"mmm")))</f>
        <v>OUT</v>
      </c>
      <c r="O444" s="58">
        <f>IF(tbRegistroEntradas[[#This Row],[DATA DO CAIXA PREVISTO]]="N/A",0,YEAR(tbRegistroEntradas[[#This Row],[DATA DO CAIXA PREVISTO]]))</f>
        <v>2022</v>
      </c>
      <c r="P444" s="58" t="str">
        <f ca="1">IF(AND(tbRegistroEntradas[[#This Row],[DATA DE CAIXA REALIZADO]]="N/A",tbRegistroEntradas[[#This Row],[DATA DO CAIXA PREVISTO]]&lt;TODAY()),"Vencida","Não Vencida")</f>
        <v>Não Vencida</v>
      </c>
      <c r="Q444" s="58" t="str">
        <f>IF(tbRegistroEntradas[[#This Row],[DATA DA COMPETÊNCIA]]=tbRegistroEntradas[[#This Row],[DATA DO CAIXA PREVISTO]],"Vista","Prazo")</f>
        <v>Prazo</v>
      </c>
      <c r="R444" s="58" t="str">
        <f>IF(tbRegistroEntradas[[#This Row],[DATA DE CAIXA REALIZADO]]&lt;&gt;"N/A","Em Dia","Com atraso")</f>
        <v>Em Dia</v>
      </c>
    </row>
    <row r="445" spans="1:18" s="52" customFormat="1" ht="14.4" customHeight="1" x14ac:dyDescent="0.3">
      <c r="A445" s="125">
        <v>44862</v>
      </c>
      <c r="B445" s="125">
        <f>A445-31</f>
        <v>44831</v>
      </c>
      <c r="C445" s="125">
        <f>(A445-B445)+B445-15</f>
        <v>44847</v>
      </c>
      <c r="D445" s="126" t="s">
        <v>66</v>
      </c>
      <c r="E445" s="126" t="s">
        <v>12</v>
      </c>
      <c r="F445" s="126" t="s">
        <v>32</v>
      </c>
      <c r="G445" s="126" t="s">
        <v>1055</v>
      </c>
      <c r="H445" s="52" t="s">
        <v>125</v>
      </c>
      <c r="I445" s="127">
        <v>7833</v>
      </c>
      <c r="J445" s="110" t="str">
        <f>IF(tbRegistroEntradas[[#This Row],[DATA DE CAIXA REALIZADO]]="N/A","0",UPPER(TEXT(tbRegistroEntradas[[#This Row],[DATA DE CAIXA REALIZADO]],"mmm")))</f>
        <v>OUT</v>
      </c>
      <c r="K445" s="57">
        <f>IF(tbRegistroEntradas[[#This Row],[DATA DE CAIXA REALIZADO]]="N/A",0,YEAR(tbRegistroEntradas[[#This Row],[DATA DE CAIXA REALIZADO]]))</f>
        <v>2022</v>
      </c>
      <c r="L445" s="58" t="str">
        <f>IF(tbRegistroEntradas[[#This Row],[DATA DA COMPETÊNCIA]]="N/A","0",UPPER(TEXT(tbRegistroEntradas[[#This Row],[DATA DA COMPETÊNCIA]],"mmm")))</f>
        <v>SET</v>
      </c>
      <c r="M445" s="58">
        <f>IF(tbRegistroEntradas[[#This Row],[DATA DA COMPETÊNCIA]]="N/A",0,YEAR(tbRegistroEntradas[[#This Row],[DATA DA COMPETÊNCIA]]))</f>
        <v>2022</v>
      </c>
      <c r="N445" s="58" t="str">
        <f>IF(tbRegistroEntradas[[#This Row],[DATA DO CAIXA PREVISTO]]="N/A","0",UPPER(TEXT(tbRegistroEntradas[[#This Row],[DATA DO CAIXA PREVISTO]],"mmm")))</f>
        <v>OUT</v>
      </c>
      <c r="O445" s="58">
        <f>IF(tbRegistroEntradas[[#This Row],[DATA DO CAIXA PREVISTO]]="N/A",0,YEAR(tbRegistroEntradas[[#This Row],[DATA DO CAIXA PREVISTO]]))</f>
        <v>2022</v>
      </c>
      <c r="P445" s="58" t="str">
        <f ca="1">IF(AND(tbRegistroEntradas[[#This Row],[DATA DE CAIXA REALIZADO]]="N/A",tbRegistroEntradas[[#This Row],[DATA DO CAIXA PREVISTO]]&lt;TODAY()),"Vencida","Não Vencida")</f>
        <v>Não Vencida</v>
      </c>
      <c r="Q445" s="58" t="str">
        <f>IF(tbRegistroEntradas[[#This Row],[DATA DA COMPETÊNCIA]]=tbRegistroEntradas[[#This Row],[DATA DO CAIXA PREVISTO]],"Vista","Prazo")</f>
        <v>Prazo</v>
      </c>
      <c r="R445" s="58" t="str">
        <f>IF(tbRegistroEntradas[[#This Row],[DATA DE CAIXA REALIZADO]]&lt;&gt;"N/A","Em Dia","Com atraso")</f>
        <v>Em Dia</v>
      </c>
    </row>
    <row r="446" spans="1:18" s="52" customFormat="1" ht="14.4" customHeight="1" x14ac:dyDescent="0.3">
      <c r="A446" s="125">
        <v>44863</v>
      </c>
      <c r="B446" s="125">
        <f>A446-31</f>
        <v>44832</v>
      </c>
      <c r="C446" s="125">
        <f>(A446-B446)+B446-15</f>
        <v>44848</v>
      </c>
      <c r="D446" s="126" t="s">
        <v>137</v>
      </c>
      <c r="E446" s="126" t="s">
        <v>12</v>
      </c>
      <c r="F446" s="126" t="s">
        <v>17</v>
      </c>
      <c r="G446" s="126" t="s">
        <v>828</v>
      </c>
      <c r="H446" s="52" t="s">
        <v>107</v>
      </c>
      <c r="I446" s="127">
        <v>2780</v>
      </c>
      <c r="J446" s="110" t="str">
        <f>IF(tbRegistroEntradas[[#This Row],[DATA DE CAIXA REALIZADO]]="N/A","0",UPPER(TEXT(tbRegistroEntradas[[#This Row],[DATA DE CAIXA REALIZADO]],"mmm")))</f>
        <v>OUT</v>
      </c>
      <c r="K446" s="57">
        <f>IF(tbRegistroEntradas[[#This Row],[DATA DE CAIXA REALIZADO]]="N/A",0,YEAR(tbRegistroEntradas[[#This Row],[DATA DE CAIXA REALIZADO]]))</f>
        <v>2022</v>
      </c>
      <c r="L446" s="58" t="str">
        <f>IF(tbRegistroEntradas[[#This Row],[DATA DA COMPETÊNCIA]]="N/A","0",UPPER(TEXT(tbRegistroEntradas[[#This Row],[DATA DA COMPETÊNCIA]],"mmm")))</f>
        <v>SET</v>
      </c>
      <c r="M446" s="58">
        <f>IF(tbRegistroEntradas[[#This Row],[DATA DA COMPETÊNCIA]]="N/A",0,YEAR(tbRegistroEntradas[[#This Row],[DATA DA COMPETÊNCIA]]))</f>
        <v>2022</v>
      </c>
      <c r="N446" s="58" t="str">
        <f>IF(tbRegistroEntradas[[#This Row],[DATA DO CAIXA PREVISTO]]="N/A","0",UPPER(TEXT(tbRegistroEntradas[[#This Row],[DATA DO CAIXA PREVISTO]],"mmm")))</f>
        <v>OUT</v>
      </c>
      <c r="O446" s="58">
        <f>IF(tbRegistroEntradas[[#This Row],[DATA DO CAIXA PREVISTO]]="N/A",0,YEAR(tbRegistroEntradas[[#This Row],[DATA DO CAIXA PREVISTO]]))</f>
        <v>2022</v>
      </c>
      <c r="P446" s="58" t="str">
        <f ca="1">IF(AND(tbRegistroEntradas[[#This Row],[DATA DE CAIXA REALIZADO]]="N/A",tbRegistroEntradas[[#This Row],[DATA DO CAIXA PREVISTO]]&lt;TODAY()),"Vencida","Não Vencida")</f>
        <v>Não Vencida</v>
      </c>
      <c r="Q446" s="58" t="str">
        <f>IF(tbRegistroEntradas[[#This Row],[DATA DA COMPETÊNCIA]]=tbRegistroEntradas[[#This Row],[DATA DO CAIXA PREVISTO]],"Vista","Prazo")</f>
        <v>Prazo</v>
      </c>
      <c r="R446" s="58" t="str">
        <f>IF(tbRegistroEntradas[[#This Row],[DATA DE CAIXA REALIZADO]]&lt;&gt;"N/A","Em Dia","Com atraso")</f>
        <v>Em Dia</v>
      </c>
    </row>
    <row r="447" spans="1:18" s="52" customFormat="1" ht="14.4" customHeight="1" x14ac:dyDescent="0.3">
      <c r="A447" s="125">
        <v>44863</v>
      </c>
      <c r="B447" s="125">
        <f>A447-31</f>
        <v>44832</v>
      </c>
      <c r="C447" s="125">
        <f>(A447-B447)+B447-15</f>
        <v>44848</v>
      </c>
      <c r="D447" s="126" t="s">
        <v>65</v>
      </c>
      <c r="E447" s="126" t="s">
        <v>12</v>
      </c>
      <c r="F447" s="126" t="s">
        <v>19</v>
      </c>
      <c r="G447" s="126" t="s">
        <v>1017</v>
      </c>
      <c r="H447" s="52" t="s">
        <v>119</v>
      </c>
      <c r="I447" s="127">
        <v>4512</v>
      </c>
      <c r="J447" s="110" t="str">
        <f>IF(tbRegistroEntradas[[#This Row],[DATA DE CAIXA REALIZADO]]="N/A","0",UPPER(TEXT(tbRegistroEntradas[[#This Row],[DATA DE CAIXA REALIZADO]],"mmm")))</f>
        <v>OUT</v>
      </c>
      <c r="K447" s="57">
        <f>IF(tbRegistroEntradas[[#This Row],[DATA DE CAIXA REALIZADO]]="N/A",0,YEAR(tbRegistroEntradas[[#This Row],[DATA DE CAIXA REALIZADO]]))</f>
        <v>2022</v>
      </c>
      <c r="L447" s="58" t="str">
        <f>IF(tbRegistroEntradas[[#This Row],[DATA DA COMPETÊNCIA]]="N/A","0",UPPER(TEXT(tbRegistroEntradas[[#This Row],[DATA DA COMPETÊNCIA]],"mmm")))</f>
        <v>SET</v>
      </c>
      <c r="M447" s="58">
        <f>IF(tbRegistroEntradas[[#This Row],[DATA DA COMPETÊNCIA]]="N/A",0,YEAR(tbRegistroEntradas[[#This Row],[DATA DA COMPETÊNCIA]]))</f>
        <v>2022</v>
      </c>
      <c r="N447" s="58" t="str">
        <f>IF(tbRegistroEntradas[[#This Row],[DATA DO CAIXA PREVISTO]]="N/A","0",UPPER(TEXT(tbRegistroEntradas[[#This Row],[DATA DO CAIXA PREVISTO]],"mmm")))</f>
        <v>OUT</v>
      </c>
      <c r="O447" s="58">
        <f>IF(tbRegistroEntradas[[#This Row],[DATA DO CAIXA PREVISTO]]="N/A",0,YEAR(tbRegistroEntradas[[#This Row],[DATA DO CAIXA PREVISTO]]))</f>
        <v>2022</v>
      </c>
      <c r="P447" s="58" t="str">
        <f ca="1">IF(AND(tbRegistroEntradas[[#This Row],[DATA DE CAIXA REALIZADO]]="N/A",tbRegistroEntradas[[#This Row],[DATA DO CAIXA PREVISTO]]&lt;TODAY()),"Vencida","Não Vencida")</f>
        <v>Não Vencida</v>
      </c>
      <c r="Q447" s="58" t="str">
        <f>IF(tbRegistroEntradas[[#This Row],[DATA DA COMPETÊNCIA]]=tbRegistroEntradas[[#This Row],[DATA DO CAIXA PREVISTO]],"Vista","Prazo")</f>
        <v>Prazo</v>
      </c>
      <c r="R447" s="58" t="str">
        <f>IF(tbRegistroEntradas[[#This Row],[DATA DE CAIXA REALIZADO]]&lt;&gt;"N/A","Em Dia","Com atraso")</f>
        <v>Em Dia</v>
      </c>
    </row>
    <row r="448" spans="1:18" s="52" customFormat="1" ht="14.4" customHeight="1" x14ac:dyDescent="0.3">
      <c r="A448" s="113">
        <v>44853.294016203705</v>
      </c>
      <c r="B448" s="115">
        <v>44835</v>
      </c>
      <c r="C448" s="115">
        <v>44853.294016203705</v>
      </c>
      <c r="D448" s="116" t="s">
        <v>138</v>
      </c>
      <c r="E448" s="116" t="s">
        <v>12</v>
      </c>
      <c r="F448" s="116" t="s">
        <v>19</v>
      </c>
      <c r="G448" s="116" t="s">
        <v>284</v>
      </c>
      <c r="H448" s="126" t="s">
        <v>76</v>
      </c>
      <c r="I448" s="120">
        <v>673</v>
      </c>
      <c r="J448" s="55" t="str">
        <f>IF(tbRegistroEntradas[[#This Row],[DATA DE CAIXA REALIZADO]]="N/A","0",UPPER(TEXT(tbRegistroEntradas[[#This Row],[DATA DE CAIXA REALIZADO]],"mmm")))</f>
        <v>OUT</v>
      </c>
      <c r="K448" s="58">
        <f>IF(tbRegistroEntradas[[#This Row],[DATA DE CAIXA REALIZADO]]="N/A",0,YEAR(tbRegistroEntradas[[#This Row],[DATA DE CAIXA REALIZADO]]))</f>
        <v>2022</v>
      </c>
      <c r="L448" s="79" t="str">
        <f>IF(tbRegistroEntradas[[#This Row],[DATA DA COMPETÊNCIA]]="N/A","0",UPPER(TEXT(tbRegistroEntradas[[#This Row],[DATA DA COMPETÊNCIA]],"mmm")))</f>
        <v>OUT</v>
      </c>
      <c r="M448" s="79">
        <f>IF(tbRegistroEntradas[[#This Row],[DATA DA COMPETÊNCIA]]="N/A",0,YEAR(tbRegistroEntradas[[#This Row],[DATA DA COMPETÊNCIA]]))</f>
        <v>2022</v>
      </c>
      <c r="N448" s="84" t="str">
        <f>IF(tbRegistroEntradas[[#This Row],[DATA DO CAIXA PREVISTO]]="N/A","0",UPPER(TEXT(tbRegistroEntradas[[#This Row],[DATA DO CAIXA PREVISTO]],"mmm")))</f>
        <v>OUT</v>
      </c>
      <c r="O448" s="84">
        <f>IF(tbRegistroEntradas[[#This Row],[DATA DO CAIXA PREVISTO]]="N/A",0,YEAR(tbRegistroEntradas[[#This Row],[DATA DO CAIXA PREVISTO]]))</f>
        <v>2022</v>
      </c>
      <c r="P448" s="58" t="str">
        <f ca="1">IF(AND(tbRegistroEntradas[[#This Row],[DATA DE CAIXA REALIZADO]]="N/A",tbRegistroEntradas[[#This Row],[DATA DO CAIXA PREVISTO]]&lt;TODAY()),"Vencida","Não Vencida")</f>
        <v>Não Vencida</v>
      </c>
      <c r="Q448" s="58" t="str">
        <f>IF(tbRegistroEntradas[[#This Row],[DATA DA COMPETÊNCIA]]=tbRegistroEntradas[[#This Row],[DATA DO CAIXA PREVISTO]],"Vista","Prazo")</f>
        <v>Prazo</v>
      </c>
      <c r="R448" s="58" t="str">
        <f>IF(tbRegistroEntradas[[#This Row],[DATA DE CAIXA REALIZADO]]&lt;&gt;"N/A","Em Dia","Com atraso")</f>
        <v>Em Dia</v>
      </c>
    </row>
    <row r="449" spans="1:18" s="52" customFormat="1" ht="14.4" customHeight="1" x14ac:dyDescent="0.3">
      <c r="A449" s="125">
        <v>44867</v>
      </c>
      <c r="B449" s="125">
        <f>A449-31</f>
        <v>44836</v>
      </c>
      <c r="C449" s="125">
        <f>(A449-B449)+B449-15</f>
        <v>44852</v>
      </c>
      <c r="D449" s="126" t="s">
        <v>66</v>
      </c>
      <c r="E449" s="126" t="s">
        <v>12</v>
      </c>
      <c r="F449" s="126" t="s">
        <v>18</v>
      </c>
      <c r="G449" s="126" t="s">
        <v>733</v>
      </c>
      <c r="H449" s="52" t="s">
        <v>123</v>
      </c>
      <c r="I449" s="127">
        <v>1984</v>
      </c>
      <c r="J449" s="110" t="str">
        <f>IF(tbRegistroEntradas[[#This Row],[DATA DE CAIXA REALIZADO]]="N/A","0",UPPER(TEXT(tbRegistroEntradas[[#This Row],[DATA DE CAIXA REALIZADO]],"mmm")))</f>
        <v>NOV</v>
      </c>
      <c r="K449" s="57">
        <f>IF(tbRegistroEntradas[[#This Row],[DATA DE CAIXA REALIZADO]]="N/A",0,YEAR(tbRegistroEntradas[[#This Row],[DATA DE CAIXA REALIZADO]]))</f>
        <v>2022</v>
      </c>
      <c r="L449" s="58" t="str">
        <f>IF(tbRegistroEntradas[[#This Row],[DATA DA COMPETÊNCIA]]="N/A","0",UPPER(TEXT(tbRegistroEntradas[[#This Row],[DATA DA COMPETÊNCIA]],"mmm")))</f>
        <v>OUT</v>
      </c>
      <c r="M449" s="58">
        <f>IF(tbRegistroEntradas[[#This Row],[DATA DA COMPETÊNCIA]]="N/A",0,YEAR(tbRegistroEntradas[[#This Row],[DATA DA COMPETÊNCIA]]))</f>
        <v>2022</v>
      </c>
      <c r="N449" s="58" t="str">
        <f>IF(tbRegistroEntradas[[#This Row],[DATA DO CAIXA PREVISTO]]="N/A","0",UPPER(TEXT(tbRegistroEntradas[[#This Row],[DATA DO CAIXA PREVISTO]],"mmm")))</f>
        <v>OUT</v>
      </c>
      <c r="O449" s="58">
        <f>IF(tbRegistroEntradas[[#This Row],[DATA DO CAIXA PREVISTO]]="N/A",0,YEAR(tbRegistroEntradas[[#This Row],[DATA DO CAIXA PREVISTO]]))</f>
        <v>2022</v>
      </c>
      <c r="P449" s="58" t="str">
        <f ca="1">IF(AND(tbRegistroEntradas[[#This Row],[DATA DE CAIXA REALIZADO]]="N/A",tbRegistroEntradas[[#This Row],[DATA DO CAIXA PREVISTO]]&lt;TODAY()),"Vencida","Não Vencida")</f>
        <v>Não Vencida</v>
      </c>
      <c r="Q449" s="58" t="str">
        <f>IF(tbRegistroEntradas[[#This Row],[DATA DA COMPETÊNCIA]]=tbRegistroEntradas[[#This Row],[DATA DO CAIXA PREVISTO]],"Vista","Prazo")</f>
        <v>Prazo</v>
      </c>
      <c r="R449" s="58" t="str">
        <f>IF(tbRegistroEntradas[[#This Row],[DATA DE CAIXA REALIZADO]]&lt;&gt;"N/A","Em Dia","Com atraso")</f>
        <v>Em Dia</v>
      </c>
    </row>
    <row r="450" spans="1:18" s="52" customFormat="1" ht="14.4" customHeight="1" x14ac:dyDescent="0.3">
      <c r="A450" s="125">
        <v>44868</v>
      </c>
      <c r="B450" s="125">
        <f>A450-31</f>
        <v>44837</v>
      </c>
      <c r="C450" s="125">
        <f>(A450-B450)+B450-15</f>
        <v>44853</v>
      </c>
      <c r="D450" s="126" t="s">
        <v>65</v>
      </c>
      <c r="E450" s="126" t="s">
        <v>12</v>
      </c>
      <c r="F450" s="126" t="s">
        <v>17</v>
      </c>
      <c r="G450" s="126" t="s">
        <v>433</v>
      </c>
      <c r="H450" s="52" t="s">
        <v>120</v>
      </c>
      <c r="I450" s="127">
        <v>4948</v>
      </c>
      <c r="J450" s="110" t="str">
        <f>IF(tbRegistroEntradas[[#This Row],[DATA DE CAIXA REALIZADO]]="N/A","0",UPPER(TEXT(tbRegistroEntradas[[#This Row],[DATA DE CAIXA REALIZADO]],"mmm")))</f>
        <v>NOV</v>
      </c>
      <c r="K450" s="57">
        <f>IF(tbRegistroEntradas[[#This Row],[DATA DE CAIXA REALIZADO]]="N/A",0,YEAR(tbRegistroEntradas[[#This Row],[DATA DE CAIXA REALIZADO]]))</f>
        <v>2022</v>
      </c>
      <c r="L450" s="58" t="str">
        <f>IF(tbRegistroEntradas[[#This Row],[DATA DA COMPETÊNCIA]]="N/A","0",UPPER(TEXT(tbRegistroEntradas[[#This Row],[DATA DA COMPETÊNCIA]],"mmm")))</f>
        <v>OUT</v>
      </c>
      <c r="M450" s="58">
        <f>IF(tbRegistroEntradas[[#This Row],[DATA DA COMPETÊNCIA]]="N/A",0,YEAR(tbRegistroEntradas[[#This Row],[DATA DA COMPETÊNCIA]]))</f>
        <v>2022</v>
      </c>
      <c r="N450" s="58" t="str">
        <f>IF(tbRegistroEntradas[[#This Row],[DATA DO CAIXA PREVISTO]]="N/A","0",UPPER(TEXT(tbRegistroEntradas[[#This Row],[DATA DO CAIXA PREVISTO]],"mmm")))</f>
        <v>OUT</v>
      </c>
      <c r="O450" s="58">
        <f>IF(tbRegistroEntradas[[#This Row],[DATA DO CAIXA PREVISTO]]="N/A",0,YEAR(tbRegistroEntradas[[#This Row],[DATA DO CAIXA PREVISTO]]))</f>
        <v>2022</v>
      </c>
      <c r="P450" s="58" t="str">
        <f ca="1">IF(AND(tbRegistroEntradas[[#This Row],[DATA DE CAIXA REALIZADO]]="N/A",tbRegistroEntradas[[#This Row],[DATA DO CAIXA PREVISTO]]&lt;TODAY()),"Vencida","Não Vencida")</f>
        <v>Não Vencida</v>
      </c>
      <c r="Q450" s="58" t="str">
        <f>IF(tbRegistroEntradas[[#This Row],[DATA DA COMPETÊNCIA]]=tbRegistroEntradas[[#This Row],[DATA DO CAIXA PREVISTO]],"Vista","Prazo")</f>
        <v>Prazo</v>
      </c>
      <c r="R450" s="58" t="str">
        <f>IF(tbRegistroEntradas[[#This Row],[DATA DE CAIXA REALIZADO]]&lt;&gt;"N/A","Em Dia","Com atraso")</f>
        <v>Em Dia</v>
      </c>
    </row>
    <row r="451" spans="1:18" s="52" customFormat="1" ht="14.4" customHeight="1" x14ac:dyDescent="0.3">
      <c r="A451" s="112" t="s">
        <v>141</v>
      </c>
      <c r="B451" s="114">
        <v>44839</v>
      </c>
      <c r="C451" s="125">
        <f>tbRegistroEntradas[[#This Row],[DATA DA COMPETÊNCIA]]</f>
        <v>44839</v>
      </c>
      <c r="D451" s="55" t="s">
        <v>67</v>
      </c>
      <c r="E451" s="55" t="s">
        <v>12</v>
      </c>
      <c r="F451" s="55" t="s">
        <v>16</v>
      </c>
      <c r="G451" s="55" t="s">
        <v>285</v>
      </c>
      <c r="H451" s="5" t="s">
        <v>132</v>
      </c>
      <c r="I451" s="119">
        <v>4922</v>
      </c>
      <c r="J451" s="55" t="str">
        <f>IF(tbRegistroEntradas[[#This Row],[DATA DE CAIXA REALIZADO]]="N/A","0",UPPER(TEXT(tbRegistroEntradas[[#This Row],[DATA DE CAIXA REALIZADO]],"mmm")))</f>
        <v>0</v>
      </c>
      <c r="K451" s="58">
        <f>IF(tbRegistroEntradas[[#This Row],[DATA DE CAIXA REALIZADO]]="N/A",0,YEAR(tbRegistroEntradas[[#This Row],[DATA DE CAIXA REALIZADO]]))</f>
        <v>0</v>
      </c>
      <c r="L451" s="79" t="str">
        <f>IF(tbRegistroEntradas[[#This Row],[DATA DA COMPETÊNCIA]]="N/A","0",UPPER(TEXT(tbRegistroEntradas[[#This Row],[DATA DA COMPETÊNCIA]],"mmm")))</f>
        <v>OUT</v>
      </c>
      <c r="M451" s="79">
        <f>IF(tbRegistroEntradas[[#This Row],[DATA DA COMPETÊNCIA]]="N/A",0,YEAR(tbRegistroEntradas[[#This Row],[DATA DA COMPETÊNCIA]]))</f>
        <v>2022</v>
      </c>
      <c r="N451" s="84" t="str">
        <f>IF(tbRegistroEntradas[[#This Row],[DATA DO CAIXA PREVISTO]]="N/A","0",UPPER(TEXT(tbRegistroEntradas[[#This Row],[DATA DO CAIXA PREVISTO]],"mmm")))</f>
        <v>OUT</v>
      </c>
      <c r="O451" s="84">
        <f>IF(tbRegistroEntradas[[#This Row],[DATA DO CAIXA PREVISTO]]="N/A",0,YEAR(tbRegistroEntradas[[#This Row],[DATA DO CAIXA PREVISTO]]))</f>
        <v>2022</v>
      </c>
      <c r="P451" s="58" t="str">
        <f ca="1">IF(AND(tbRegistroEntradas[[#This Row],[DATA DE CAIXA REALIZADO]]="N/A",tbRegistroEntradas[[#This Row],[DATA DO CAIXA PREVISTO]]&lt;TODAY()),"Vencida","Não Vencida")</f>
        <v>Vencida</v>
      </c>
      <c r="Q451" s="58" t="str">
        <f>IF(tbRegistroEntradas[[#This Row],[DATA DA COMPETÊNCIA]]=tbRegistroEntradas[[#This Row],[DATA DO CAIXA PREVISTO]],"Vista","Prazo")</f>
        <v>Vista</v>
      </c>
      <c r="R451" s="58" t="str">
        <f>IF(tbRegistroEntradas[[#This Row],[DATA DE CAIXA REALIZADO]]&lt;&gt;"N/A","Em Dia","Com atraso")</f>
        <v>Com atraso</v>
      </c>
    </row>
    <row r="452" spans="1:18" s="52" customFormat="1" ht="14.4" customHeight="1" x14ac:dyDescent="0.3">
      <c r="A452" s="113">
        <v>44952.255960648145</v>
      </c>
      <c r="B452" s="115">
        <v>44843</v>
      </c>
      <c r="C452" s="125">
        <f>tbRegistroEntradas[[#This Row],[DATA DA COMPETÊNCIA]]</f>
        <v>44843</v>
      </c>
      <c r="D452" s="116" t="s">
        <v>66</v>
      </c>
      <c r="E452" s="116" t="s">
        <v>12</v>
      </c>
      <c r="F452" s="116" t="s">
        <v>32</v>
      </c>
      <c r="G452" s="116" t="s">
        <v>286</v>
      </c>
      <c r="H452" s="52" t="s">
        <v>124</v>
      </c>
      <c r="I452" s="120">
        <v>1688</v>
      </c>
      <c r="J452" s="55" t="str">
        <f>IF(tbRegistroEntradas[[#This Row],[DATA DE CAIXA REALIZADO]]="N/A","0",UPPER(TEXT(tbRegistroEntradas[[#This Row],[DATA DE CAIXA REALIZADO]],"mmm")))</f>
        <v>JAN</v>
      </c>
      <c r="K452" s="58">
        <f>IF(tbRegistroEntradas[[#This Row],[DATA DE CAIXA REALIZADO]]="N/A",0,YEAR(tbRegistroEntradas[[#This Row],[DATA DE CAIXA REALIZADO]]))</f>
        <v>2023</v>
      </c>
      <c r="L452" s="79" t="str">
        <f>IF(tbRegistroEntradas[[#This Row],[DATA DA COMPETÊNCIA]]="N/A","0",UPPER(TEXT(tbRegistroEntradas[[#This Row],[DATA DA COMPETÊNCIA]],"mmm")))</f>
        <v>OUT</v>
      </c>
      <c r="M452" s="79">
        <f>IF(tbRegistroEntradas[[#This Row],[DATA DA COMPETÊNCIA]]="N/A",0,YEAR(tbRegistroEntradas[[#This Row],[DATA DA COMPETÊNCIA]]))</f>
        <v>2022</v>
      </c>
      <c r="N452" s="84" t="str">
        <f>IF(tbRegistroEntradas[[#This Row],[DATA DO CAIXA PREVISTO]]="N/A","0",UPPER(TEXT(tbRegistroEntradas[[#This Row],[DATA DO CAIXA PREVISTO]],"mmm")))</f>
        <v>OUT</v>
      </c>
      <c r="O452" s="84">
        <f>IF(tbRegistroEntradas[[#This Row],[DATA DO CAIXA PREVISTO]]="N/A",0,YEAR(tbRegistroEntradas[[#This Row],[DATA DO CAIXA PREVISTO]]))</f>
        <v>2022</v>
      </c>
      <c r="P452" s="58" t="str">
        <f ca="1">IF(AND(tbRegistroEntradas[[#This Row],[DATA DE CAIXA REALIZADO]]="N/A",tbRegistroEntradas[[#This Row],[DATA DO CAIXA PREVISTO]]&lt;TODAY()),"Vencida","Não Vencida")</f>
        <v>Não Vencida</v>
      </c>
      <c r="Q452" s="58" t="str">
        <f>IF(tbRegistroEntradas[[#This Row],[DATA DA COMPETÊNCIA]]=tbRegistroEntradas[[#This Row],[DATA DO CAIXA PREVISTO]],"Vista","Prazo")</f>
        <v>Vista</v>
      </c>
      <c r="R452" s="58" t="str">
        <f>IF(tbRegistroEntradas[[#This Row],[DATA DE CAIXA REALIZADO]]&lt;&gt;"N/A","Em Dia","Com atraso")</f>
        <v>Em Dia</v>
      </c>
    </row>
    <row r="453" spans="1:18" s="52" customFormat="1" ht="14.4" customHeight="1" x14ac:dyDescent="0.3">
      <c r="A453" s="112">
        <v>44903.774560185186</v>
      </c>
      <c r="B453" s="114">
        <v>44843</v>
      </c>
      <c r="C453" s="114">
        <v>44884.510231481479</v>
      </c>
      <c r="D453" s="55" t="s">
        <v>61</v>
      </c>
      <c r="E453" s="55" t="s">
        <v>12</v>
      </c>
      <c r="F453" s="55" t="s">
        <v>32</v>
      </c>
      <c r="G453" s="55" t="s">
        <v>287</v>
      </c>
      <c r="H453" s="52" t="s">
        <v>81</v>
      </c>
      <c r="I453" s="119">
        <v>979</v>
      </c>
      <c r="J453" s="55" t="str">
        <f>IF(tbRegistroEntradas[[#This Row],[DATA DE CAIXA REALIZADO]]="N/A","0",UPPER(TEXT(tbRegistroEntradas[[#This Row],[DATA DE CAIXA REALIZADO]],"mmm")))</f>
        <v>DEZ</v>
      </c>
      <c r="K453" s="58">
        <f>IF(tbRegistroEntradas[[#This Row],[DATA DE CAIXA REALIZADO]]="N/A",0,YEAR(tbRegistroEntradas[[#This Row],[DATA DE CAIXA REALIZADO]]))</f>
        <v>2022</v>
      </c>
      <c r="L453" s="79" t="str">
        <f>IF(tbRegistroEntradas[[#This Row],[DATA DA COMPETÊNCIA]]="N/A","0",UPPER(TEXT(tbRegistroEntradas[[#This Row],[DATA DA COMPETÊNCIA]],"mmm")))</f>
        <v>OUT</v>
      </c>
      <c r="M453" s="79">
        <f>IF(tbRegistroEntradas[[#This Row],[DATA DA COMPETÊNCIA]]="N/A",0,YEAR(tbRegistroEntradas[[#This Row],[DATA DA COMPETÊNCIA]]))</f>
        <v>2022</v>
      </c>
      <c r="N453" s="84" t="str">
        <f>IF(tbRegistroEntradas[[#This Row],[DATA DO CAIXA PREVISTO]]="N/A","0",UPPER(TEXT(tbRegistroEntradas[[#This Row],[DATA DO CAIXA PREVISTO]],"mmm")))</f>
        <v>NOV</v>
      </c>
      <c r="O453" s="84">
        <f>IF(tbRegistroEntradas[[#This Row],[DATA DO CAIXA PREVISTO]]="N/A",0,YEAR(tbRegistroEntradas[[#This Row],[DATA DO CAIXA PREVISTO]]))</f>
        <v>2022</v>
      </c>
      <c r="P453" s="58" t="str">
        <f ca="1">IF(AND(tbRegistroEntradas[[#This Row],[DATA DE CAIXA REALIZADO]]="N/A",tbRegistroEntradas[[#This Row],[DATA DO CAIXA PREVISTO]]&lt;TODAY()),"Vencida","Não Vencida")</f>
        <v>Não Vencida</v>
      </c>
      <c r="Q453" s="58" t="str">
        <f>IF(tbRegistroEntradas[[#This Row],[DATA DA COMPETÊNCIA]]=tbRegistroEntradas[[#This Row],[DATA DO CAIXA PREVISTO]],"Vista","Prazo")</f>
        <v>Prazo</v>
      </c>
      <c r="R453" s="58" t="str">
        <f>IF(tbRegistroEntradas[[#This Row],[DATA DE CAIXA REALIZADO]]&lt;&gt;"N/A","Em Dia","Com atraso")</f>
        <v>Em Dia</v>
      </c>
    </row>
    <row r="454" spans="1:18" s="52" customFormat="1" ht="14.4" customHeight="1" x14ac:dyDescent="0.3">
      <c r="A454" s="113">
        <v>44861.871145833335</v>
      </c>
      <c r="B454" s="115">
        <v>44848</v>
      </c>
      <c r="C454" s="125">
        <f>tbRegistroEntradas[[#This Row],[DATA DA COMPETÊNCIA]]</f>
        <v>44848</v>
      </c>
      <c r="D454" s="116" t="s">
        <v>67</v>
      </c>
      <c r="E454" s="116" t="s">
        <v>12</v>
      </c>
      <c r="F454" s="116" t="s">
        <v>19</v>
      </c>
      <c r="G454" s="116" t="s">
        <v>288</v>
      </c>
      <c r="H454" s="52" t="s">
        <v>133</v>
      </c>
      <c r="I454" s="120">
        <v>3744</v>
      </c>
      <c r="J454" s="55" t="str">
        <f>IF(tbRegistroEntradas[[#This Row],[DATA DE CAIXA REALIZADO]]="N/A","0",UPPER(TEXT(tbRegistroEntradas[[#This Row],[DATA DE CAIXA REALIZADO]],"mmm")))</f>
        <v>OUT</v>
      </c>
      <c r="K454" s="58">
        <f>IF(tbRegistroEntradas[[#This Row],[DATA DE CAIXA REALIZADO]]="N/A",0,YEAR(tbRegistroEntradas[[#This Row],[DATA DE CAIXA REALIZADO]]))</f>
        <v>2022</v>
      </c>
      <c r="L454" s="79" t="str">
        <f>IF(tbRegistroEntradas[[#This Row],[DATA DA COMPETÊNCIA]]="N/A","0",UPPER(TEXT(tbRegistroEntradas[[#This Row],[DATA DA COMPETÊNCIA]],"mmm")))</f>
        <v>OUT</v>
      </c>
      <c r="M454" s="79">
        <f>IF(tbRegistroEntradas[[#This Row],[DATA DA COMPETÊNCIA]]="N/A",0,YEAR(tbRegistroEntradas[[#This Row],[DATA DA COMPETÊNCIA]]))</f>
        <v>2022</v>
      </c>
      <c r="N454" s="84" t="str">
        <f>IF(tbRegistroEntradas[[#This Row],[DATA DO CAIXA PREVISTO]]="N/A","0",UPPER(TEXT(tbRegistroEntradas[[#This Row],[DATA DO CAIXA PREVISTO]],"mmm")))</f>
        <v>OUT</v>
      </c>
      <c r="O454" s="84">
        <f>IF(tbRegistroEntradas[[#This Row],[DATA DO CAIXA PREVISTO]]="N/A",0,YEAR(tbRegistroEntradas[[#This Row],[DATA DO CAIXA PREVISTO]]))</f>
        <v>2022</v>
      </c>
      <c r="P454" s="58" t="str">
        <f ca="1">IF(AND(tbRegistroEntradas[[#This Row],[DATA DE CAIXA REALIZADO]]="N/A",tbRegistroEntradas[[#This Row],[DATA DO CAIXA PREVISTO]]&lt;TODAY()),"Vencida","Não Vencida")</f>
        <v>Não Vencida</v>
      </c>
      <c r="Q454" s="58" t="str">
        <f>IF(tbRegistroEntradas[[#This Row],[DATA DA COMPETÊNCIA]]=tbRegistroEntradas[[#This Row],[DATA DO CAIXA PREVISTO]],"Vista","Prazo")</f>
        <v>Vista</v>
      </c>
      <c r="R454" s="58" t="str">
        <f>IF(tbRegistroEntradas[[#This Row],[DATA DE CAIXA REALIZADO]]&lt;&gt;"N/A","Em Dia","Com atraso")</f>
        <v>Em Dia</v>
      </c>
    </row>
    <row r="455" spans="1:18" s="52" customFormat="1" ht="14.4" customHeight="1" x14ac:dyDescent="0.3">
      <c r="A455" s="125">
        <v>44880</v>
      </c>
      <c r="B455" s="125">
        <f>A455-31</f>
        <v>44849</v>
      </c>
      <c r="C455" s="125">
        <f>tbRegistroEntradas[[#This Row],[DATA DA COMPETÊNCIA]]</f>
        <v>44849</v>
      </c>
      <c r="D455" s="126" t="s">
        <v>64</v>
      </c>
      <c r="E455" s="126" t="s">
        <v>12</v>
      </c>
      <c r="F455" s="126" t="s">
        <v>18</v>
      </c>
      <c r="G455" s="126" t="s">
        <v>669</v>
      </c>
      <c r="H455" s="52" t="s">
        <v>112</v>
      </c>
      <c r="I455" s="127">
        <v>2270</v>
      </c>
      <c r="J455" s="110" t="str">
        <f>IF(tbRegistroEntradas[[#This Row],[DATA DE CAIXA REALIZADO]]="N/A","0",UPPER(TEXT(tbRegistroEntradas[[#This Row],[DATA DE CAIXA REALIZADO]],"mmm")))</f>
        <v>NOV</v>
      </c>
      <c r="K455" s="57">
        <f>IF(tbRegistroEntradas[[#This Row],[DATA DE CAIXA REALIZADO]]="N/A",0,YEAR(tbRegistroEntradas[[#This Row],[DATA DE CAIXA REALIZADO]]))</f>
        <v>2022</v>
      </c>
      <c r="L455" s="58" t="str">
        <f>IF(tbRegistroEntradas[[#This Row],[DATA DA COMPETÊNCIA]]="N/A","0",UPPER(TEXT(tbRegistroEntradas[[#This Row],[DATA DA COMPETÊNCIA]],"mmm")))</f>
        <v>OUT</v>
      </c>
      <c r="M455" s="58">
        <f>IF(tbRegistroEntradas[[#This Row],[DATA DA COMPETÊNCIA]]="N/A",0,YEAR(tbRegistroEntradas[[#This Row],[DATA DA COMPETÊNCIA]]))</f>
        <v>2022</v>
      </c>
      <c r="N455" s="58" t="str">
        <f>IF(tbRegistroEntradas[[#This Row],[DATA DO CAIXA PREVISTO]]="N/A","0",UPPER(TEXT(tbRegistroEntradas[[#This Row],[DATA DO CAIXA PREVISTO]],"mmm")))</f>
        <v>OUT</v>
      </c>
      <c r="O455" s="58">
        <f>IF(tbRegistroEntradas[[#This Row],[DATA DO CAIXA PREVISTO]]="N/A",0,YEAR(tbRegistroEntradas[[#This Row],[DATA DO CAIXA PREVISTO]]))</f>
        <v>2022</v>
      </c>
      <c r="P455" s="58" t="str">
        <f ca="1">IF(AND(tbRegistroEntradas[[#This Row],[DATA DE CAIXA REALIZADO]]="N/A",tbRegistroEntradas[[#This Row],[DATA DO CAIXA PREVISTO]]&lt;TODAY()),"Vencida","Não Vencida")</f>
        <v>Não Vencida</v>
      </c>
      <c r="Q455" s="58" t="str">
        <f>IF(tbRegistroEntradas[[#This Row],[DATA DA COMPETÊNCIA]]=tbRegistroEntradas[[#This Row],[DATA DO CAIXA PREVISTO]],"Vista","Prazo")</f>
        <v>Vista</v>
      </c>
      <c r="R455" s="58" t="str">
        <f>IF(tbRegistroEntradas[[#This Row],[DATA DE CAIXA REALIZADO]]&lt;&gt;"N/A","Em Dia","Com atraso")</f>
        <v>Em Dia</v>
      </c>
    </row>
    <row r="456" spans="1:18" s="52" customFormat="1" ht="14.4" customHeight="1" x14ac:dyDescent="0.3">
      <c r="A456" s="125">
        <v>44881</v>
      </c>
      <c r="B456" s="125">
        <f>A456-31</f>
        <v>44850</v>
      </c>
      <c r="C456" s="125">
        <f>tbRegistroEntradas[[#This Row],[DATA DA COMPETÊNCIA]]</f>
        <v>44850</v>
      </c>
      <c r="D456" s="126" t="s">
        <v>61</v>
      </c>
      <c r="E456" s="126" t="s">
        <v>12</v>
      </c>
      <c r="F456" s="126" t="s">
        <v>32</v>
      </c>
      <c r="G456" s="126" t="s">
        <v>798</v>
      </c>
      <c r="H456" s="52" t="s">
        <v>82</v>
      </c>
      <c r="I456" s="127">
        <v>4238</v>
      </c>
      <c r="J456" s="110" t="str">
        <f>IF(tbRegistroEntradas[[#This Row],[DATA DE CAIXA REALIZADO]]="N/A","0",UPPER(TEXT(tbRegistroEntradas[[#This Row],[DATA DE CAIXA REALIZADO]],"mmm")))</f>
        <v>NOV</v>
      </c>
      <c r="K456" s="57">
        <f>IF(tbRegistroEntradas[[#This Row],[DATA DE CAIXA REALIZADO]]="N/A",0,YEAR(tbRegistroEntradas[[#This Row],[DATA DE CAIXA REALIZADO]]))</f>
        <v>2022</v>
      </c>
      <c r="L456" s="58" t="str">
        <f>IF(tbRegistroEntradas[[#This Row],[DATA DA COMPETÊNCIA]]="N/A","0",UPPER(TEXT(tbRegistroEntradas[[#This Row],[DATA DA COMPETÊNCIA]],"mmm")))</f>
        <v>OUT</v>
      </c>
      <c r="M456" s="58">
        <f>IF(tbRegistroEntradas[[#This Row],[DATA DA COMPETÊNCIA]]="N/A",0,YEAR(tbRegistroEntradas[[#This Row],[DATA DA COMPETÊNCIA]]))</f>
        <v>2022</v>
      </c>
      <c r="N456" s="58" t="str">
        <f>IF(tbRegistroEntradas[[#This Row],[DATA DO CAIXA PREVISTO]]="N/A","0",UPPER(TEXT(tbRegistroEntradas[[#This Row],[DATA DO CAIXA PREVISTO]],"mmm")))</f>
        <v>OUT</v>
      </c>
      <c r="O456" s="58">
        <f>IF(tbRegistroEntradas[[#This Row],[DATA DO CAIXA PREVISTO]]="N/A",0,YEAR(tbRegistroEntradas[[#This Row],[DATA DO CAIXA PREVISTO]]))</f>
        <v>2022</v>
      </c>
      <c r="P456" s="58" t="str">
        <f ca="1">IF(AND(tbRegistroEntradas[[#This Row],[DATA DE CAIXA REALIZADO]]="N/A",tbRegistroEntradas[[#This Row],[DATA DO CAIXA PREVISTO]]&lt;TODAY()),"Vencida","Não Vencida")</f>
        <v>Não Vencida</v>
      </c>
      <c r="Q456" s="58" t="str">
        <f>IF(tbRegistroEntradas[[#This Row],[DATA DA COMPETÊNCIA]]=tbRegistroEntradas[[#This Row],[DATA DO CAIXA PREVISTO]],"Vista","Prazo")</f>
        <v>Vista</v>
      </c>
      <c r="R456" s="58" t="str">
        <f>IF(tbRegistroEntradas[[#This Row],[DATA DE CAIXA REALIZADO]]&lt;&gt;"N/A","Em Dia","Com atraso")</f>
        <v>Em Dia</v>
      </c>
    </row>
    <row r="457" spans="1:18" s="52" customFormat="1" ht="14.4" customHeight="1" x14ac:dyDescent="0.3">
      <c r="A457" s="112">
        <v>44899.136770833335</v>
      </c>
      <c r="B457" s="114">
        <v>44850</v>
      </c>
      <c r="C457" s="114">
        <v>44899.136770833335</v>
      </c>
      <c r="D457" s="55" t="s">
        <v>66</v>
      </c>
      <c r="E457" s="55" t="s">
        <v>12</v>
      </c>
      <c r="F457" s="55" t="s">
        <v>32</v>
      </c>
      <c r="G457" s="55" t="s">
        <v>289</v>
      </c>
      <c r="H457" s="52" t="s">
        <v>126</v>
      </c>
      <c r="I457" s="119">
        <v>4061</v>
      </c>
      <c r="J457" s="55" t="str">
        <f>IF(tbRegistroEntradas[[#This Row],[DATA DE CAIXA REALIZADO]]="N/A","0",UPPER(TEXT(tbRegistroEntradas[[#This Row],[DATA DE CAIXA REALIZADO]],"mmm")))</f>
        <v>DEZ</v>
      </c>
      <c r="K457" s="58">
        <f>IF(tbRegistroEntradas[[#This Row],[DATA DE CAIXA REALIZADO]]="N/A",0,YEAR(tbRegistroEntradas[[#This Row],[DATA DE CAIXA REALIZADO]]))</f>
        <v>2022</v>
      </c>
      <c r="L457" s="79" t="str">
        <f>IF(tbRegistroEntradas[[#This Row],[DATA DA COMPETÊNCIA]]="N/A","0",UPPER(TEXT(tbRegistroEntradas[[#This Row],[DATA DA COMPETÊNCIA]],"mmm")))</f>
        <v>OUT</v>
      </c>
      <c r="M457" s="79">
        <f>IF(tbRegistroEntradas[[#This Row],[DATA DA COMPETÊNCIA]]="N/A",0,YEAR(tbRegistroEntradas[[#This Row],[DATA DA COMPETÊNCIA]]))</f>
        <v>2022</v>
      </c>
      <c r="N457" s="84" t="str">
        <f>IF(tbRegistroEntradas[[#This Row],[DATA DO CAIXA PREVISTO]]="N/A","0",UPPER(TEXT(tbRegistroEntradas[[#This Row],[DATA DO CAIXA PREVISTO]],"mmm")))</f>
        <v>DEZ</v>
      </c>
      <c r="O457" s="84">
        <f>IF(tbRegistroEntradas[[#This Row],[DATA DO CAIXA PREVISTO]]="N/A",0,YEAR(tbRegistroEntradas[[#This Row],[DATA DO CAIXA PREVISTO]]))</f>
        <v>2022</v>
      </c>
      <c r="P457" s="58" t="str">
        <f ca="1">IF(AND(tbRegistroEntradas[[#This Row],[DATA DE CAIXA REALIZADO]]="N/A",tbRegistroEntradas[[#This Row],[DATA DO CAIXA PREVISTO]]&lt;TODAY()),"Vencida","Não Vencida")</f>
        <v>Não Vencida</v>
      </c>
      <c r="Q457" s="58" t="str">
        <f>IF(tbRegistroEntradas[[#This Row],[DATA DA COMPETÊNCIA]]=tbRegistroEntradas[[#This Row],[DATA DO CAIXA PREVISTO]],"Vista","Prazo")</f>
        <v>Prazo</v>
      </c>
      <c r="R457" s="58" t="str">
        <f>IF(tbRegistroEntradas[[#This Row],[DATA DE CAIXA REALIZADO]]&lt;&gt;"N/A","Em Dia","Com atraso")</f>
        <v>Em Dia</v>
      </c>
    </row>
    <row r="458" spans="1:18" s="52" customFormat="1" ht="14.4" customHeight="1" x14ac:dyDescent="0.3">
      <c r="A458" s="125">
        <v>44885</v>
      </c>
      <c r="B458" s="125">
        <f>A458-31</f>
        <v>44854</v>
      </c>
      <c r="C458" s="125">
        <f>(A458-B458)+B458-15</f>
        <v>44870</v>
      </c>
      <c r="D458" s="126" t="s">
        <v>137</v>
      </c>
      <c r="E458" s="126" t="s">
        <v>12</v>
      </c>
      <c r="F458" s="126" t="s">
        <v>32</v>
      </c>
      <c r="G458" s="126" t="s">
        <v>1109</v>
      </c>
      <c r="H458" s="52" t="s">
        <v>73</v>
      </c>
      <c r="I458" s="127">
        <v>2461</v>
      </c>
      <c r="J458" s="110" t="str">
        <f>IF(tbRegistroEntradas[[#This Row],[DATA DE CAIXA REALIZADO]]="N/A","0",UPPER(TEXT(tbRegistroEntradas[[#This Row],[DATA DE CAIXA REALIZADO]],"mmm")))</f>
        <v>NOV</v>
      </c>
      <c r="K458" s="57">
        <f>IF(tbRegistroEntradas[[#This Row],[DATA DE CAIXA REALIZADO]]="N/A",0,YEAR(tbRegistroEntradas[[#This Row],[DATA DE CAIXA REALIZADO]]))</f>
        <v>2022</v>
      </c>
      <c r="L458" s="58" t="str">
        <f>IF(tbRegistroEntradas[[#This Row],[DATA DA COMPETÊNCIA]]="N/A","0",UPPER(TEXT(tbRegistroEntradas[[#This Row],[DATA DA COMPETÊNCIA]],"mmm")))</f>
        <v>OUT</v>
      </c>
      <c r="M458" s="58">
        <f>IF(tbRegistroEntradas[[#This Row],[DATA DA COMPETÊNCIA]]="N/A",0,YEAR(tbRegistroEntradas[[#This Row],[DATA DA COMPETÊNCIA]]))</f>
        <v>2022</v>
      </c>
      <c r="N458" s="58" t="str">
        <f>IF(tbRegistroEntradas[[#This Row],[DATA DO CAIXA PREVISTO]]="N/A","0",UPPER(TEXT(tbRegistroEntradas[[#This Row],[DATA DO CAIXA PREVISTO]],"mmm")))</f>
        <v>NOV</v>
      </c>
      <c r="O458" s="58">
        <f>IF(tbRegistroEntradas[[#This Row],[DATA DO CAIXA PREVISTO]]="N/A",0,YEAR(tbRegistroEntradas[[#This Row],[DATA DO CAIXA PREVISTO]]))</f>
        <v>2022</v>
      </c>
      <c r="P458" s="58" t="str">
        <f ca="1">IF(AND(tbRegistroEntradas[[#This Row],[DATA DE CAIXA REALIZADO]]="N/A",tbRegistroEntradas[[#This Row],[DATA DO CAIXA PREVISTO]]&lt;TODAY()),"Vencida","Não Vencida")</f>
        <v>Não Vencida</v>
      </c>
      <c r="Q458" s="58" t="str">
        <f>IF(tbRegistroEntradas[[#This Row],[DATA DA COMPETÊNCIA]]=tbRegistroEntradas[[#This Row],[DATA DO CAIXA PREVISTO]],"Vista","Prazo")</f>
        <v>Prazo</v>
      </c>
      <c r="R458" s="58" t="str">
        <f>IF(tbRegistroEntradas[[#This Row],[DATA DE CAIXA REALIZADO]]&lt;&gt;"N/A","Em Dia","Com atraso")</f>
        <v>Em Dia</v>
      </c>
    </row>
    <row r="459" spans="1:18" s="52" customFormat="1" ht="14.4" customHeight="1" x14ac:dyDescent="0.3">
      <c r="A459" s="125">
        <v>44885</v>
      </c>
      <c r="B459" s="125">
        <f>A459-31</f>
        <v>44854</v>
      </c>
      <c r="C459" s="125">
        <f>(A459-B459)+B459-15</f>
        <v>44870</v>
      </c>
      <c r="D459" s="126" t="s">
        <v>67</v>
      </c>
      <c r="E459" s="126" t="s">
        <v>12</v>
      </c>
      <c r="F459" s="126" t="s">
        <v>17</v>
      </c>
      <c r="G459" s="126" t="s">
        <v>819</v>
      </c>
      <c r="H459" s="52" t="s">
        <v>131</v>
      </c>
      <c r="I459" s="127">
        <v>5668</v>
      </c>
      <c r="J459" s="110" t="str">
        <f>IF(tbRegistroEntradas[[#This Row],[DATA DE CAIXA REALIZADO]]="N/A","0",UPPER(TEXT(tbRegistroEntradas[[#This Row],[DATA DE CAIXA REALIZADO]],"mmm")))</f>
        <v>NOV</v>
      </c>
      <c r="K459" s="57">
        <f>IF(tbRegistroEntradas[[#This Row],[DATA DE CAIXA REALIZADO]]="N/A",0,YEAR(tbRegistroEntradas[[#This Row],[DATA DE CAIXA REALIZADO]]))</f>
        <v>2022</v>
      </c>
      <c r="L459" s="58" t="str">
        <f>IF(tbRegistroEntradas[[#This Row],[DATA DA COMPETÊNCIA]]="N/A","0",UPPER(TEXT(tbRegistroEntradas[[#This Row],[DATA DA COMPETÊNCIA]],"mmm")))</f>
        <v>OUT</v>
      </c>
      <c r="M459" s="58">
        <f>IF(tbRegistroEntradas[[#This Row],[DATA DA COMPETÊNCIA]]="N/A",0,YEAR(tbRegistroEntradas[[#This Row],[DATA DA COMPETÊNCIA]]))</f>
        <v>2022</v>
      </c>
      <c r="N459" s="58" t="str">
        <f>IF(tbRegistroEntradas[[#This Row],[DATA DO CAIXA PREVISTO]]="N/A","0",UPPER(TEXT(tbRegistroEntradas[[#This Row],[DATA DO CAIXA PREVISTO]],"mmm")))</f>
        <v>NOV</v>
      </c>
      <c r="O459" s="58">
        <f>IF(tbRegistroEntradas[[#This Row],[DATA DO CAIXA PREVISTO]]="N/A",0,YEAR(tbRegistroEntradas[[#This Row],[DATA DO CAIXA PREVISTO]]))</f>
        <v>2022</v>
      </c>
      <c r="P459" s="58" t="str">
        <f ca="1">IF(AND(tbRegistroEntradas[[#This Row],[DATA DE CAIXA REALIZADO]]="N/A",tbRegistroEntradas[[#This Row],[DATA DO CAIXA PREVISTO]]&lt;TODAY()),"Vencida","Não Vencida")</f>
        <v>Não Vencida</v>
      </c>
      <c r="Q459" s="58" t="str">
        <f>IF(tbRegistroEntradas[[#This Row],[DATA DA COMPETÊNCIA]]=tbRegistroEntradas[[#This Row],[DATA DO CAIXA PREVISTO]],"Vista","Prazo")</f>
        <v>Prazo</v>
      </c>
      <c r="R459" s="58" t="str">
        <f>IF(tbRegistroEntradas[[#This Row],[DATA DE CAIXA REALIZADO]]&lt;&gt;"N/A","Em Dia","Com atraso")</f>
        <v>Em Dia</v>
      </c>
    </row>
    <row r="460" spans="1:18" s="52" customFormat="1" ht="14.4" customHeight="1" x14ac:dyDescent="0.3">
      <c r="A460" s="113">
        <v>44954.104432870372</v>
      </c>
      <c r="B460" s="115">
        <v>44855</v>
      </c>
      <c r="C460" s="115">
        <v>44896.812326388892</v>
      </c>
      <c r="D460" s="116" t="s">
        <v>67</v>
      </c>
      <c r="E460" s="116" t="s">
        <v>12</v>
      </c>
      <c r="F460" s="116" t="s">
        <v>17</v>
      </c>
      <c r="G460" s="116" t="s">
        <v>290</v>
      </c>
      <c r="H460" s="52" t="s">
        <v>134</v>
      </c>
      <c r="I460" s="120">
        <v>4404</v>
      </c>
      <c r="J460" s="55" t="str">
        <f>IF(tbRegistroEntradas[[#This Row],[DATA DE CAIXA REALIZADO]]="N/A","0",UPPER(TEXT(tbRegistroEntradas[[#This Row],[DATA DE CAIXA REALIZADO]],"mmm")))</f>
        <v>JAN</v>
      </c>
      <c r="K460" s="58">
        <f>IF(tbRegistroEntradas[[#This Row],[DATA DE CAIXA REALIZADO]]="N/A",0,YEAR(tbRegistroEntradas[[#This Row],[DATA DE CAIXA REALIZADO]]))</f>
        <v>2023</v>
      </c>
      <c r="L460" s="79" t="str">
        <f>IF(tbRegistroEntradas[[#This Row],[DATA DA COMPETÊNCIA]]="N/A","0",UPPER(TEXT(tbRegistroEntradas[[#This Row],[DATA DA COMPETÊNCIA]],"mmm")))</f>
        <v>OUT</v>
      </c>
      <c r="M460" s="79">
        <f>IF(tbRegistroEntradas[[#This Row],[DATA DA COMPETÊNCIA]]="N/A",0,YEAR(tbRegistroEntradas[[#This Row],[DATA DA COMPETÊNCIA]]))</f>
        <v>2022</v>
      </c>
      <c r="N460" s="84" t="str">
        <f>IF(tbRegistroEntradas[[#This Row],[DATA DO CAIXA PREVISTO]]="N/A","0",UPPER(TEXT(tbRegistroEntradas[[#This Row],[DATA DO CAIXA PREVISTO]],"mmm")))</f>
        <v>DEZ</v>
      </c>
      <c r="O460" s="84">
        <f>IF(tbRegistroEntradas[[#This Row],[DATA DO CAIXA PREVISTO]]="N/A",0,YEAR(tbRegistroEntradas[[#This Row],[DATA DO CAIXA PREVISTO]]))</f>
        <v>2022</v>
      </c>
      <c r="P460" s="58" t="str">
        <f ca="1">IF(AND(tbRegistroEntradas[[#This Row],[DATA DE CAIXA REALIZADO]]="N/A",tbRegistroEntradas[[#This Row],[DATA DO CAIXA PREVISTO]]&lt;TODAY()),"Vencida","Não Vencida")</f>
        <v>Não Vencida</v>
      </c>
      <c r="Q460" s="58" t="str">
        <f>IF(tbRegistroEntradas[[#This Row],[DATA DA COMPETÊNCIA]]=tbRegistroEntradas[[#This Row],[DATA DO CAIXA PREVISTO]],"Vista","Prazo")</f>
        <v>Prazo</v>
      </c>
      <c r="R460" s="58" t="str">
        <f>IF(tbRegistroEntradas[[#This Row],[DATA DE CAIXA REALIZADO]]&lt;&gt;"N/A","Em Dia","Com atraso")</f>
        <v>Em Dia</v>
      </c>
    </row>
    <row r="461" spans="1:18" s="52" customFormat="1" ht="14.4" customHeight="1" x14ac:dyDescent="0.3">
      <c r="A461" s="125">
        <v>44890</v>
      </c>
      <c r="B461" s="125">
        <f>A461-31</f>
        <v>44859</v>
      </c>
      <c r="C461" s="125">
        <f>tbRegistroEntradas[[#This Row],[DATA DA COMPETÊNCIA]]</f>
        <v>44859</v>
      </c>
      <c r="D461" s="126" t="s">
        <v>61</v>
      </c>
      <c r="E461" s="126" t="s">
        <v>12</v>
      </c>
      <c r="F461" s="126" t="s">
        <v>18</v>
      </c>
      <c r="G461" s="126" t="s">
        <v>811</v>
      </c>
      <c r="H461" s="52" t="s">
        <v>83</v>
      </c>
      <c r="I461" s="127">
        <v>3808</v>
      </c>
      <c r="J461" s="110" t="str">
        <f>IF(tbRegistroEntradas[[#This Row],[DATA DE CAIXA REALIZADO]]="N/A","0",UPPER(TEXT(tbRegistroEntradas[[#This Row],[DATA DE CAIXA REALIZADO]],"mmm")))</f>
        <v>NOV</v>
      </c>
      <c r="K461" s="57">
        <f>IF(tbRegistroEntradas[[#This Row],[DATA DE CAIXA REALIZADO]]="N/A",0,YEAR(tbRegistroEntradas[[#This Row],[DATA DE CAIXA REALIZADO]]))</f>
        <v>2022</v>
      </c>
      <c r="L461" s="58" t="str">
        <f>IF(tbRegistroEntradas[[#This Row],[DATA DA COMPETÊNCIA]]="N/A","0",UPPER(TEXT(tbRegistroEntradas[[#This Row],[DATA DA COMPETÊNCIA]],"mmm")))</f>
        <v>OUT</v>
      </c>
      <c r="M461" s="58">
        <f>IF(tbRegistroEntradas[[#This Row],[DATA DA COMPETÊNCIA]]="N/A",0,YEAR(tbRegistroEntradas[[#This Row],[DATA DA COMPETÊNCIA]]))</f>
        <v>2022</v>
      </c>
      <c r="N461" s="58" t="str">
        <f>IF(tbRegistroEntradas[[#This Row],[DATA DO CAIXA PREVISTO]]="N/A","0",UPPER(TEXT(tbRegistroEntradas[[#This Row],[DATA DO CAIXA PREVISTO]],"mmm")))</f>
        <v>OUT</v>
      </c>
      <c r="O461" s="58">
        <f>IF(tbRegistroEntradas[[#This Row],[DATA DO CAIXA PREVISTO]]="N/A",0,YEAR(tbRegistroEntradas[[#This Row],[DATA DO CAIXA PREVISTO]]))</f>
        <v>2022</v>
      </c>
      <c r="P461" s="58" t="str">
        <f ca="1">IF(AND(tbRegistroEntradas[[#This Row],[DATA DE CAIXA REALIZADO]]="N/A",tbRegistroEntradas[[#This Row],[DATA DO CAIXA PREVISTO]]&lt;TODAY()),"Vencida","Não Vencida")</f>
        <v>Não Vencida</v>
      </c>
      <c r="Q461" s="58" t="str">
        <f>IF(tbRegistroEntradas[[#This Row],[DATA DA COMPETÊNCIA]]=tbRegistroEntradas[[#This Row],[DATA DO CAIXA PREVISTO]],"Vista","Prazo")</f>
        <v>Vista</v>
      </c>
      <c r="R461" s="58" t="str">
        <f>IF(tbRegistroEntradas[[#This Row],[DATA DE CAIXA REALIZADO]]&lt;&gt;"N/A","Em Dia","Com atraso")</f>
        <v>Em Dia</v>
      </c>
    </row>
    <row r="462" spans="1:18" s="52" customFormat="1" ht="14.4" customHeight="1" x14ac:dyDescent="0.3">
      <c r="A462" s="112">
        <v>44880.609236111108</v>
      </c>
      <c r="B462" s="114">
        <v>44859</v>
      </c>
      <c r="C462" s="114">
        <v>44880.609236111108</v>
      </c>
      <c r="D462" s="55" t="s">
        <v>61</v>
      </c>
      <c r="E462" s="55" t="s">
        <v>12</v>
      </c>
      <c r="F462" s="55" t="s">
        <v>19</v>
      </c>
      <c r="G462" s="55" t="s">
        <v>291</v>
      </c>
      <c r="H462" s="126" t="s">
        <v>84</v>
      </c>
      <c r="I462" s="119">
        <v>2429</v>
      </c>
      <c r="J462" s="55" t="str">
        <f>IF(tbRegistroEntradas[[#This Row],[DATA DE CAIXA REALIZADO]]="N/A","0",UPPER(TEXT(tbRegistroEntradas[[#This Row],[DATA DE CAIXA REALIZADO]],"mmm")))</f>
        <v>NOV</v>
      </c>
      <c r="K462" s="58">
        <f>IF(tbRegistroEntradas[[#This Row],[DATA DE CAIXA REALIZADO]]="N/A",0,YEAR(tbRegistroEntradas[[#This Row],[DATA DE CAIXA REALIZADO]]))</f>
        <v>2022</v>
      </c>
      <c r="L462" s="79" t="str">
        <f>IF(tbRegistroEntradas[[#This Row],[DATA DA COMPETÊNCIA]]="N/A","0",UPPER(TEXT(tbRegistroEntradas[[#This Row],[DATA DA COMPETÊNCIA]],"mmm")))</f>
        <v>OUT</v>
      </c>
      <c r="M462" s="79">
        <f>IF(tbRegistroEntradas[[#This Row],[DATA DA COMPETÊNCIA]]="N/A",0,YEAR(tbRegistroEntradas[[#This Row],[DATA DA COMPETÊNCIA]]))</f>
        <v>2022</v>
      </c>
      <c r="N462" s="84" t="str">
        <f>IF(tbRegistroEntradas[[#This Row],[DATA DO CAIXA PREVISTO]]="N/A","0",UPPER(TEXT(tbRegistroEntradas[[#This Row],[DATA DO CAIXA PREVISTO]],"mmm")))</f>
        <v>NOV</v>
      </c>
      <c r="O462" s="84">
        <f>IF(tbRegistroEntradas[[#This Row],[DATA DO CAIXA PREVISTO]]="N/A",0,YEAR(tbRegistroEntradas[[#This Row],[DATA DO CAIXA PREVISTO]]))</f>
        <v>2022</v>
      </c>
      <c r="P462" s="58" t="str">
        <f ca="1">IF(AND(tbRegistroEntradas[[#This Row],[DATA DE CAIXA REALIZADO]]="N/A",tbRegistroEntradas[[#This Row],[DATA DO CAIXA PREVISTO]]&lt;TODAY()),"Vencida","Não Vencida")</f>
        <v>Não Vencida</v>
      </c>
      <c r="Q462" s="58" t="str">
        <f>IF(tbRegistroEntradas[[#This Row],[DATA DA COMPETÊNCIA]]=tbRegistroEntradas[[#This Row],[DATA DO CAIXA PREVISTO]],"Vista","Prazo")</f>
        <v>Prazo</v>
      </c>
      <c r="R462" s="58" t="str">
        <f>IF(tbRegistroEntradas[[#This Row],[DATA DE CAIXA REALIZADO]]&lt;&gt;"N/A","Em Dia","Com atraso")</f>
        <v>Em Dia</v>
      </c>
    </row>
    <row r="463" spans="1:18" s="52" customFormat="1" ht="14.4" customHeight="1" x14ac:dyDescent="0.3">
      <c r="A463" s="113">
        <v>44918.427071759259</v>
      </c>
      <c r="B463" s="115">
        <v>44859</v>
      </c>
      <c r="C463" s="115">
        <v>44918.427071759259</v>
      </c>
      <c r="D463" s="116" t="s">
        <v>62</v>
      </c>
      <c r="E463" s="116" t="s">
        <v>12</v>
      </c>
      <c r="F463" s="116" t="s">
        <v>17</v>
      </c>
      <c r="G463" s="116" t="s">
        <v>292</v>
      </c>
      <c r="H463" s="143" t="s">
        <v>97</v>
      </c>
      <c r="I463" s="120">
        <v>2713</v>
      </c>
      <c r="J463" s="55" t="str">
        <f>IF(tbRegistroEntradas[[#This Row],[DATA DE CAIXA REALIZADO]]="N/A","0",UPPER(TEXT(tbRegistroEntradas[[#This Row],[DATA DE CAIXA REALIZADO]],"mmm")))</f>
        <v>DEZ</v>
      </c>
      <c r="K463" s="58">
        <f>IF(tbRegistroEntradas[[#This Row],[DATA DE CAIXA REALIZADO]]="N/A",0,YEAR(tbRegistroEntradas[[#This Row],[DATA DE CAIXA REALIZADO]]))</f>
        <v>2022</v>
      </c>
      <c r="L463" s="79" t="str">
        <f>IF(tbRegistroEntradas[[#This Row],[DATA DA COMPETÊNCIA]]="N/A","0",UPPER(TEXT(tbRegistroEntradas[[#This Row],[DATA DA COMPETÊNCIA]],"mmm")))</f>
        <v>OUT</v>
      </c>
      <c r="M463" s="79">
        <f>IF(tbRegistroEntradas[[#This Row],[DATA DA COMPETÊNCIA]]="N/A",0,YEAR(tbRegistroEntradas[[#This Row],[DATA DA COMPETÊNCIA]]))</f>
        <v>2022</v>
      </c>
      <c r="N463" s="84" t="str">
        <f>IF(tbRegistroEntradas[[#This Row],[DATA DO CAIXA PREVISTO]]="N/A","0",UPPER(TEXT(tbRegistroEntradas[[#This Row],[DATA DO CAIXA PREVISTO]],"mmm")))</f>
        <v>DEZ</v>
      </c>
      <c r="O463" s="84">
        <f>IF(tbRegistroEntradas[[#This Row],[DATA DO CAIXA PREVISTO]]="N/A",0,YEAR(tbRegistroEntradas[[#This Row],[DATA DO CAIXA PREVISTO]]))</f>
        <v>2022</v>
      </c>
      <c r="P463" s="58" t="str">
        <f ca="1">IF(AND(tbRegistroEntradas[[#This Row],[DATA DE CAIXA REALIZADO]]="N/A",tbRegistroEntradas[[#This Row],[DATA DO CAIXA PREVISTO]]&lt;TODAY()),"Vencida","Não Vencida")</f>
        <v>Não Vencida</v>
      </c>
      <c r="Q463" s="58" t="str">
        <f>IF(tbRegistroEntradas[[#This Row],[DATA DA COMPETÊNCIA]]=tbRegistroEntradas[[#This Row],[DATA DO CAIXA PREVISTO]],"Vista","Prazo")</f>
        <v>Prazo</v>
      </c>
      <c r="R463" s="58" t="str">
        <f>IF(tbRegistroEntradas[[#This Row],[DATA DE CAIXA REALIZADO]]&lt;&gt;"N/A","Em Dia","Com atraso")</f>
        <v>Em Dia</v>
      </c>
    </row>
    <row r="464" spans="1:18" s="52" customFormat="1" ht="14.4" customHeight="1" x14ac:dyDescent="0.3">
      <c r="A464" s="125">
        <v>44893</v>
      </c>
      <c r="B464" s="125">
        <f>A464-31</f>
        <v>44862</v>
      </c>
      <c r="C464" s="125">
        <f>tbRegistroEntradas[[#This Row],[DATA DA COMPETÊNCIA]]</f>
        <v>44862</v>
      </c>
      <c r="D464" s="126" t="s">
        <v>66</v>
      </c>
      <c r="E464" s="126" t="s">
        <v>12</v>
      </c>
      <c r="F464" s="126" t="s">
        <v>19</v>
      </c>
      <c r="G464" s="126" t="s">
        <v>939</v>
      </c>
      <c r="H464" s="145" t="s">
        <v>127</v>
      </c>
      <c r="I464" s="127">
        <v>7315</v>
      </c>
      <c r="J464" s="110" t="str">
        <f>IF(tbRegistroEntradas[[#This Row],[DATA DE CAIXA REALIZADO]]="N/A","0",UPPER(TEXT(tbRegistroEntradas[[#This Row],[DATA DE CAIXA REALIZADO]],"mmm")))</f>
        <v>NOV</v>
      </c>
      <c r="K464" s="57">
        <f>IF(tbRegistroEntradas[[#This Row],[DATA DE CAIXA REALIZADO]]="N/A",0,YEAR(tbRegistroEntradas[[#This Row],[DATA DE CAIXA REALIZADO]]))</f>
        <v>2022</v>
      </c>
      <c r="L464" s="58" t="str">
        <f>IF(tbRegistroEntradas[[#This Row],[DATA DA COMPETÊNCIA]]="N/A","0",UPPER(TEXT(tbRegistroEntradas[[#This Row],[DATA DA COMPETÊNCIA]],"mmm")))</f>
        <v>OUT</v>
      </c>
      <c r="M464" s="58">
        <f>IF(tbRegistroEntradas[[#This Row],[DATA DA COMPETÊNCIA]]="N/A",0,YEAR(tbRegistroEntradas[[#This Row],[DATA DA COMPETÊNCIA]]))</f>
        <v>2022</v>
      </c>
      <c r="N464" s="58" t="str">
        <f>IF(tbRegistroEntradas[[#This Row],[DATA DO CAIXA PREVISTO]]="N/A","0",UPPER(TEXT(tbRegistroEntradas[[#This Row],[DATA DO CAIXA PREVISTO]],"mmm")))</f>
        <v>OUT</v>
      </c>
      <c r="O464" s="58">
        <f>IF(tbRegistroEntradas[[#This Row],[DATA DO CAIXA PREVISTO]]="N/A",0,YEAR(tbRegistroEntradas[[#This Row],[DATA DO CAIXA PREVISTO]]))</f>
        <v>2022</v>
      </c>
      <c r="P464" s="58" t="str">
        <f ca="1">IF(AND(tbRegistroEntradas[[#This Row],[DATA DE CAIXA REALIZADO]]="N/A",tbRegistroEntradas[[#This Row],[DATA DO CAIXA PREVISTO]]&lt;TODAY()),"Vencida","Não Vencida")</f>
        <v>Não Vencida</v>
      </c>
      <c r="Q464" s="58" t="str">
        <f>IF(tbRegistroEntradas[[#This Row],[DATA DA COMPETÊNCIA]]=tbRegistroEntradas[[#This Row],[DATA DO CAIXA PREVISTO]],"Vista","Prazo")</f>
        <v>Vista</v>
      </c>
      <c r="R464" s="58" t="str">
        <f>IF(tbRegistroEntradas[[#This Row],[DATA DE CAIXA REALIZADO]]&lt;&gt;"N/A","Em Dia","Com atraso")</f>
        <v>Em Dia</v>
      </c>
    </row>
    <row r="465" spans="1:18" s="52" customFormat="1" ht="14.4" customHeight="1" x14ac:dyDescent="0.3">
      <c r="A465" s="112">
        <v>44877.79142361111</v>
      </c>
      <c r="B465" s="114">
        <v>44864</v>
      </c>
      <c r="C465" s="114">
        <v>44877.79142361111</v>
      </c>
      <c r="D465" s="55" t="s">
        <v>62</v>
      </c>
      <c r="E465" s="55" t="s">
        <v>12</v>
      </c>
      <c r="F465" s="55" t="s">
        <v>19</v>
      </c>
      <c r="G465" s="55" t="s">
        <v>293</v>
      </c>
      <c r="H465" s="110" t="s">
        <v>72</v>
      </c>
      <c r="I465" s="119">
        <v>3787</v>
      </c>
      <c r="J465" s="55" t="str">
        <f>IF(tbRegistroEntradas[[#This Row],[DATA DE CAIXA REALIZADO]]="N/A","0",UPPER(TEXT(tbRegistroEntradas[[#This Row],[DATA DE CAIXA REALIZADO]],"mmm")))</f>
        <v>NOV</v>
      </c>
      <c r="K465" s="58">
        <f>IF(tbRegistroEntradas[[#This Row],[DATA DE CAIXA REALIZADO]]="N/A",0,YEAR(tbRegistroEntradas[[#This Row],[DATA DE CAIXA REALIZADO]]))</f>
        <v>2022</v>
      </c>
      <c r="L465" s="79" t="str">
        <f>IF(tbRegistroEntradas[[#This Row],[DATA DA COMPETÊNCIA]]="N/A","0",UPPER(TEXT(tbRegistroEntradas[[#This Row],[DATA DA COMPETÊNCIA]],"mmm")))</f>
        <v>OUT</v>
      </c>
      <c r="M465" s="79">
        <f>IF(tbRegistroEntradas[[#This Row],[DATA DA COMPETÊNCIA]]="N/A",0,YEAR(tbRegistroEntradas[[#This Row],[DATA DA COMPETÊNCIA]]))</f>
        <v>2022</v>
      </c>
      <c r="N465" s="84" t="str">
        <f>IF(tbRegistroEntradas[[#This Row],[DATA DO CAIXA PREVISTO]]="N/A","0",UPPER(TEXT(tbRegistroEntradas[[#This Row],[DATA DO CAIXA PREVISTO]],"mmm")))</f>
        <v>NOV</v>
      </c>
      <c r="O465" s="84">
        <f>IF(tbRegistroEntradas[[#This Row],[DATA DO CAIXA PREVISTO]]="N/A",0,YEAR(tbRegistroEntradas[[#This Row],[DATA DO CAIXA PREVISTO]]))</f>
        <v>2022</v>
      </c>
      <c r="P465" s="58" t="str">
        <f ca="1">IF(AND(tbRegistroEntradas[[#This Row],[DATA DE CAIXA REALIZADO]]="N/A",tbRegistroEntradas[[#This Row],[DATA DO CAIXA PREVISTO]]&lt;TODAY()),"Vencida","Não Vencida")</f>
        <v>Não Vencida</v>
      </c>
      <c r="Q465" s="58" t="str">
        <f>IF(tbRegistroEntradas[[#This Row],[DATA DA COMPETÊNCIA]]=tbRegistroEntradas[[#This Row],[DATA DO CAIXA PREVISTO]],"Vista","Prazo")</f>
        <v>Prazo</v>
      </c>
      <c r="R465" s="58" t="str">
        <f>IF(tbRegistroEntradas[[#This Row],[DATA DE CAIXA REALIZADO]]&lt;&gt;"N/A","Em Dia","Com atraso")</f>
        <v>Em Dia</v>
      </c>
    </row>
    <row r="466" spans="1:18" s="52" customFormat="1" ht="14.4" customHeight="1" x14ac:dyDescent="0.3">
      <c r="A466" s="125">
        <v>44896</v>
      </c>
      <c r="B466" s="125">
        <f>A466-31</f>
        <v>44865</v>
      </c>
      <c r="C466" s="125">
        <f>tbRegistroEntradas[[#This Row],[DATA DA COMPETÊNCIA]]</f>
        <v>44865</v>
      </c>
      <c r="D466" s="126" t="s">
        <v>66</v>
      </c>
      <c r="E466" s="126" t="s">
        <v>12</v>
      </c>
      <c r="F466" s="126" t="s">
        <v>32</v>
      </c>
      <c r="G466" s="126" t="s">
        <v>940</v>
      </c>
      <c r="H466" s="126" t="s">
        <v>128</v>
      </c>
      <c r="I466" s="127">
        <v>2776</v>
      </c>
      <c r="J466" s="110" t="str">
        <f>IF(tbRegistroEntradas[[#This Row],[DATA DE CAIXA REALIZADO]]="N/A","0",UPPER(TEXT(tbRegistroEntradas[[#This Row],[DATA DE CAIXA REALIZADO]],"mmm")))</f>
        <v>DEZ</v>
      </c>
      <c r="K466" s="57">
        <f>IF(tbRegistroEntradas[[#This Row],[DATA DE CAIXA REALIZADO]]="N/A",0,YEAR(tbRegistroEntradas[[#This Row],[DATA DE CAIXA REALIZADO]]))</f>
        <v>2022</v>
      </c>
      <c r="L466" s="58" t="str">
        <f>IF(tbRegistroEntradas[[#This Row],[DATA DA COMPETÊNCIA]]="N/A","0",UPPER(TEXT(tbRegistroEntradas[[#This Row],[DATA DA COMPETÊNCIA]],"mmm")))</f>
        <v>OUT</v>
      </c>
      <c r="M466" s="58">
        <f>IF(tbRegistroEntradas[[#This Row],[DATA DA COMPETÊNCIA]]="N/A",0,YEAR(tbRegistroEntradas[[#This Row],[DATA DA COMPETÊNCIA]]))</f>
        <v>2022</v>
      </c>
      <c r="N466" s="58" t="str">
        <f>IF(tbRegistroEntradas[[#This Row],[DATA DO CAIXA PREVISTO]]="N/A","0",UPPER(TEXT(tbRegistroEntradas[[#This Row],[DATA DO CAIXA PREVISTO]],"mmm")))</f>
        <v>OUT</v>
      </c>
      <c r="O466" s="58">
        <f>IF(tbRegistroEntradas[[#This Row],[DATA DO CAIXA PREVISTO]]="N/A",0,YEAR(tbRegistroEntradas[[#This Row],[DATA DO CAIXA PREVISTO]]))</f>
        <v>2022</v>
      </c>
      <c r="P466" s="58" t="str">
        <f ca="1">IF(AND(tbRegistroEntradas[[#This Row],[DATA DE CAIXA REALIZADO]]="N/A",tbRegistroEntradas[[#This Row],[DATA DO CAIXA PREVISTO]]&lt;TODAY()),"Vencida","Não Vencida")</f>
        <v>Não Vencida</v>
      </c>
      <c r="Q466" s="58" t="str">
        <f>IF(tbRegistroEntradas[[#This Row],[DATA DA COMPETÊNCIA]]=tbRegistroEntradas[[#This Row],[DATA DO CAIXA PREVISTO]],"Vista","Prazo")</f>
        <v>Vista</v>
      </c>
      <c r="R466" s="58" t="str">
        <f>IF(tbRegistroEntradas[[#This Row],[DATA DE CAIXA REALIZADO]]&lt;&gt;"N/A","Em Dia","Com atraso")</f>
        <v>Em Dia</v>
      </c>
    </row>
    <row r="467" spans="1:18" s="52" customFormat="1" ht="14.4" customHeight="1" x14ac:dyDescent="0.3">
      <c r="A467" s="125">
        <v>44897</v>
      </c>
      <c r="B467" s="125">
        <f>A467-31</f>
        <v>44866</v>
      </c>
      <c r="C467" s="125">
        <f>tbRegistroEntradas[[#This Row],[DATA DA COMPETÊNCIA]]</f>
        <v>44866</v>
      </c>
      <c r="D467" s="126" t="s">
        <v>63</v>
      </c>
      <c r="E467" s="126" t="s">
        <v>12</v>
      </c>
      <c r="F467" s="126" t="s">
        <v>17</v>
      </c>
      <c r="G467" s="126" t="s">
        <v>512</v>
      </c>
      <c r="H467" s="52" t="s">
        <v>102</v>
      </c>
      <c r="I467" s="127">
        <v>5635</v>
      </c>
      <c r="J467" s="110" t="str">
        <f>IF(tbRegistroEntradas[[#This Row],[DATA DE CAIXA REALIZADO]]="N/A","0",UPPER(TEXT(tbRegistroEntradas[[#This Row],[DATA DE CAIXA REALIZADO]],"mmm")))</f>
        <v>DEZ</v>
      </c>
      <c r="K467" s="57">
        <f>IF(tbRegistroEntradas[[#This Row],[DATA DE CAIXA REALIZADO]]="N/A",0,YEAR(tbRegistroEntradas[[#This Row],[DATA DE CAIXA REALIZADO]]))</f>
        <v>2022</v>
      </c>
      <c r="L467" s="58" t="str">
        <f>IF(tbRegistroEntradas[[#This Row],[DATA DA COMPETÊNCIA]]="N/A","0",UPPER(TEXT(tbRegistroEntradas[[#This Row],[DATA DA COMPETÊNCIA]],"mmm")))</f>
        <v>NOV</v>
      </c>
      <c r="M467" s="58">
        <f>IF(tbRegistroEntradas[[#This Row],[DATA DA COMPETÊNCIA]]="N/A",0,YEAR(tbRegistroEntradas[[#This Row],[DATA DA COMPETÊNCIA]]))</f>
        <v>2022</v>
      </c>
      <c r="N467" s="58" t="str">
        <f>IF(tbRegistroEntradas[[#This Row],[DATA DO CAIXA PREVISTO]]="N/A","0",UPPER(TEXT(tbRegistroEntradas[[#This Row],[DATA DO CAIXA PREVISTO]],"mmm")))</f>
        <v>NOV</v>
      </c>
      <c r="O467" s="58">
        <f>IF(tbRegistroEntradas[[#This Row],[DATA DO CAIXA PREVISTO]]="N/A",0,YEAR(tbRegistroEntradas[[#This Row],[DATA DO CAIXA PREVISTO]]))</f>
        <v>2022</v>
      </c>
      <c r="P467" s="58" t="str">
        <f ca="1">IF(AND(tbRegistroEntradas[[#This Row],[DATA DE CAIXA REALIZADO]]="N/A",tbRegistroEntradas[[#This Row],[DATA DO CAIXA PREVISTO]]&lt;TODAY()),"Vencida","Não Vencida")</f>
        <v>Não Vencida</v>
      </c>
      <c r="Q467" s="58" t="str">
        <f>IF(tbRegistroEntradas[[#This Row],[DATA DA COMPETÊNCIA]]=tbRegistroEntradas[[#This Row],[DATA DO CAIXA PREVISTO]],"Vista","Prazo")</f>
        <v>Vista</v>
      </c>
      <c r="R467" s="58" t="str">
        <f>IF(tbRegistroEntradas[[#This Row],[DATA DE CAIXA REALIZADO]]&lt;&gt;"N/A","Em Dia","Com atraso")</f>
        <v>Em Dia</v>
      </c>
    </row>
    <row r="468" spans="1:18" s="52" customFormat="1" ht="14.4" customHeight="1" x14ac:dyDescent="0.3">
      <c r="A468" s="125">
        <v>44897</v>
      </c>
      <c r="B468" s="125">
        <f>A468-31</f>
        <v>44866</v>
      </c>
      <c r="C468" s="125">
        <f>tbRegistroEntradas[[#This Row],[DATA DA COMPETÊNCIA]]</f>
        <v>44866</v>
      </c>
      <c r="D468" s="126" t="s">
        <v>67</v>
      </c>
      <c r="E468" s="126" t="s">
        <v>12</v>
      </c>
      <c r="F468" s="126" t="s">
        <v>18</v>
      </c>
      <c r="G468" s="126" t="s">
        <v>851</v>
      </c>
      <c r="H468" s="126" t="s">
        <v>70</v>
      </c>
      <c r="I468" s="127">
        <v>1317</v>
      </c>
      <c r="J468" s="110" t="str">
        <f>IF(tbRegistroEntradas[[#This Row],[DATA DE CAIXA REALIZADO]]="N/A","0",UPPER(TEXT(tbRegistroEntradas[[#This Row],[DATA DE CAIXA REALIZADO]],"mmm")))</f>
        <v>DEZ</v>
      </c>
      <c r="K468" s="57">
        <f>IF(tbRegistroEntradas[[#This Row],[DATA DE CAIXA REALIZADO]]="N/A",0,YEAR(tbRegistroEntradas[[#This Row],[DATA DE CAIXA REALIZADO]]))</f>
        <v>2022</v>
      </c>
      <c r="L468" s="58" t="str">
        <f>IF(tbRegistroEntradas[[#This Row],[DATA DA COMPETÊNCIA]]="N/A","0",UPPER(TEXT(tbRegistroEntradas[[#This Row],[DATA DA COMPETÊNCIA]],"mmm")))</f>
        <v>NOV</v>
      </c>
      <c r="M468" s="58">
        <f>IF(tbRegistroEntradas[[#This Row],[DATA DA COMPETÊNCIA]]="N/A",0,YEAR(tbRegistroEntradas[[#This Row],[DATA DA COMPETÊNCIA]]))</f>
        <v>2022</v>
      </c>
      <c r="N468" s="58" t="str">
        <f>IF(tbRegistroEntradas[[#This Row],[DATA DO CAIXA PREVISTO]]="N/A","0",UPPER(TEXT(tbRegistroEntradas[[#This Row],[DATA DO CAIXA PREVISTO]],"mmm")))</f>
        <v>NOV</v>
      </c>
      <c r="O468" s="58">
        <f>IF(tbRegistroEntradas[[#This Row],[DATA DO CAIXA PREVISTO]]="N/A",0,YEAR(tbRegistroEntradas[[#This Row],[DATA DO CAIXA PREVISTO]]))</f>
        <v>2022</v>
      </c>
      <c r="P468" s="58" t="str">
        <f ca="1">IF(AND(tbRegistroEntradas[[#This Row],[DATA DE CAIXA REALIZADO]]="N/A",tbRegistroEntradas[[#This Row],[DATA DO CAIXA PREVISTO]]&lt;TODAY()),"Vencida","Não Vencida")</f>
        <v>Não Vencida</v>
      </c>
      <c r="Q468" s="58" t="str">
        <f>IF(tbRegistroEntradas[[#This Row],[DATA DA COMPETÊNCIA]]=tbRegistroEntradas[[#This Row],[DATA DO CAIXA PREVISTO]],"Vista","Prazo")</f>
        <v>Vista</v>
      </c>
      <c r="R468" s="58" t="str">
        <f>IF(tbRegistroEntradas[[#This Row],[DATA DE CAIXA REALIZADO]]&lt;&gt;"N/A","Em Dia","Com atraso")</f>
        <v>Em Dia</v>
      </c>
    </row>
    <row r="469" spans="1:18" s="52" customFormat="1" ht="14.4" customHeight="1" x14ac:dyDescent="0.3">
      <c r="A469" s="125">
        <v>44898</v>
      </c>
      <c r="B469" s="125">
        <f>A469-31</f>
        <v>44867</v>
      </c>
      <c r="C469" s="125">
        <f>tbRegistroEntradas[[#This Row],[DATA DA COMPETÊNCIA]]</f>
        <v>44867</v>
      </c>
      <c r="D469" s="126" t="s">
        <v>64</v>
      </c>
      <c r="E469" s="126" t="s">
        <v>12</v>
      </c>
      <c r="F469" s="126" t="s">
        <v>16</v>
      </c>
      <c r="G469" s="126" t="s">
        <v>754</v>
      </c>
      <c r="H469" s="52" t="s">
        <v>113</v>
      </c>
      <c r="I469" s="127">
        <v>5646</v>
      </c>
      <c r="J469" s="110" t="str">
        <f>IF(tbRegistroEntradas[[#This Row],[DATA DE CAIXA REALIZADO]]="N/A","0",UPPER(TEXT(tbRegistroEntradas[[#This Row],[DATA DE CAIXA REALIZADO]],"mmm")))</f>
        <v>DEZ</v>
      </c>
      <c r="K469" s="57">
        <f>IF(tbRegistroEntradas[[#This Row],[DATA DE CAIXA REALIZADO]]="N/A",0,YEAR(tbRegistroEntradas[[#This Row],[DATA DE CAIXA REALIZADO]]))</f>
        <v>2022</v>
      </c>
      <c r="L469" s="58" t="str">
        <f>IF(tbRegistroEntradas[[#This Row],[DATA DA COMPETÊNCIA]]="N/A","0",UPPER(TEXT(tbRegistroEntradas[[#This Row],[DATA DA COMPETÊNCIA]],"mmm")))</f>
        <v>NOV</v>
      </c>
      <c r="M469" s="58">
        <f>IF(tbRegistroEntradas[[#This Row],[DATA DA COMPETÊNCIA]]="N/A",0,YEAR(tbRegistroEntradas[[#This Row],[DATA DA COMPETÊNCIA]]))</f>
        <v>2022</v>
      </c>
      <c r="N469" s="58" t="str">
        <f>IF(tbRegistroEntradas[[#This Row],[DATA DO CAIXA PREVISTO]]="N/A","0",UPPER(TEXT(tbRegistroEntradas[[#This Row],[DATA DO CAIXA PREVISTO]],"mmm")))</f>
        <v>NOV</v>
      </c>
      <c r="O469" s="58">
        <f>IF(tbRegistroEntradas[[#This Row],[DATA DO CAIXA PREVISTO]]="N/A",0,YEAR(tbRegistroEntradas[[#This Row],[DATA DO CAIXA PREVISTO]]))</f>
        <v>2022</v>
      </c>
      <c r="P469" s="58" t="str">
        <f ca="1">IF(AND(tbRegistroEntradas[[#This Row],[DATA DE CAIXA REALIZADO]]="N/A",tbRegistroEntradas[[#This Row],[DATA DO CAIXA PREVISTO]]&lt;TODAY()),"Vencida","Não Vencida")</f>
        <v>Não Vencida</v>
      </c>
      <c r="Q469" s="58" t="str">
        <f>IF(tbRegistroEntradas[[#This Row],[DATA DA COMPETÊNCIA]]=tbRegistroEntradas[[#This Row],[DATA DO CAIXA PREVISTO]],"Vista","Prazo")</f>
        <v>Vista</v>
      </c>
      <c r="R469" s="58" t="str">
        <f>IF(tbRegistroEntradas[[#This Row],[DATA DE CAIXA REALIZADO]]&lt;&gt;"N/A","Em Dia","Com atraso")</f>
        <v>Em Dia</v>
      </c>
    </row>
    <row r="470" spans="1:18" s="52" customFormat="1" ht="14.4" customHeight="1" x14ac:dyDescent="0.3">
      <c r="A470" s="125">
        <v>44898</v>
      </c>
      <c r="B470" s="125">
        <f>A470-31</f>
        <v>44867</v>
      </c>
      <c r="C470" s="125">
        <f>(A470-B470)+B470-15</f>
        <v>44883</v>
      </c>
      <c r="D470" s="126" t="s">
        <v>137</v>
      </c>
      <c r="E470" s="126" t="s">
        <v>12</v>
      </c>
      <c r="F470" s="126" t="s">
        <v>16</v>
      </c>
      <c r="G470" s="126" t="s">
        <v>1107</v>
      </c>
      <c r="H470" s="52" t="s">
        <v>105</v>
      </c>
      <c r="I470" s="127">
        <v>3511</v>
      </c>
      <c r="J470" s="110" t="str">
        <f>IF(tbRegistroEntradas[[#This Row],[DATA DE CAIXA REALIZADO]]="N/A","0",UPPER(TEXT(tbRegistroEntradas[[#This Row],[DATA DE CAIXA REALIZADO]],"mmm")))</f>
        <v>DEZ</v>
      </c>
      <c r="K470" s="57">
        <f>IF(tbRegistroEntradas[[#This Row],[DATA DE CAIXA REALIZADO]]="N/A",0,YEAR(tbRegistroEntradas[[#This Row],[DATA DE CAIXA REALIZADO]]))</f>
        <v>2022</v>
      </c>
      <c r="L470" s="58" t="str">
        <f>IF(tbRegistroEntradas[[#This Row],[DATA DA COMPETÊNCIA]]="N/A","0",UPPER(TEXT(tbRegistroEntradas[[#This Row],[DATA DA COMPETÊNCIA]],"mmm")))</f>
        <v>NOV</v>
      </c>
      <c r="M470" s="58">
        <f>IF(tbRegistroEntradas[[#This Row],[DATA DA COMPETÊNCIA]]="N/A",0,YEAR(tbRegistroEntradas[[#This Row],[DATA DA COMPETÊNCIA]]))</f>
        <v>2022</v>
      </c>
      <c r="N470" s="58" t="str">
        <f>IF(tbRegistroEntradas[[#This Row],[DATA DO CAIXA PREVISTO]]="N/A","0",UPPER(TEXT(tbRegistroEntradas[[#This Row],[DATA DO CAIXA PREVISTO]],"mmm")))</f>
        <v>NOV</v>
      </c>
      <c r="O470" s="58">
        <f>IF(tbRegistroEntradas[[#This Row],[DATA DO CAIXA PREVISTO]]="N/A",0,YEAR(tbRegistroEntradas[[#This Row],[DATA DO CAIXA PREVISTO]]))</f>
        <v>2022</v>
      </c>
      <c r="P470" s="58" t="str">
        <f ca="1">IF(AND(tbRegistroEntradas[[#This Row],[DATA DE CAIXA REALIZADO]]="N/A",tbRegistroEntradas[[#This Row],[DATA DO CAIXA PREVISTO]]&lt;TODAY()),"Vencida","Não Vencida")</f>
        <v>Não Vencida</v>
      </c>
      <c r="Q470" s="58" t="str">
        <f>IF(tbRegistroEntradas[[#This Row],[DATA DA COMPETÊNCIA]]=tbRegistroEntradas[[#This Row],[DATA DO CAIXA PREVISTO]],"Vista","Prazo")</f>
        <v>Prazo</v>
      </c>
      <c r="R470" s="58" t="str">
        <f>IF(tbRegistroEntradas[[#This Row],[DATA DE CAIXA REALIZADO]]&lt;&gt;"N/A","Em Dia","Com atraso")</f>
        <v>Em Dia</v>
      </c>
    </row>
    <row r="471" spans="1:18" s="52" customFormat="1" ht="14.4" customHeight="1" x14ac:dyDescent="0.3">
      <c r="A471" s="113">
        <v>44964.017025462963</v>
      </c>
      <c r="B471" s="115">
        <v>44869</v>
      </c>
      <c r="C471" s="115">
        <v>44903.900092592594</v>
      </c>
      <c r="D471" s="116" t="s">
        <v>61</v>
      </c>
      <c r="E471" s="116" t="s">
        <v>12</v>
      </c>
      <c r="F471" s="116" t="s">
        <v>18</v>
      </c>
      <c r="G471" s="116" t="s">
        <v>294</v>
      </c>
      <c r="H471" s="5" t="s">
        <v>85</v>
      </c>
      <c r="I471" s="120">
        <v>1820</v>
      </c>
      <c r="J471" s="55" t="str">
        <f>IF(tbRegistroEntradas[[#This Row],[DATA DE CAIXA REALIZADO]]="N/A","0",UPPER(TEXT(tbRegistroEntradas[[#This Row],[DATA DE CAIXA REALIZADO]],"mmm")))</f>
        <v>FEV</v>
      </c>
      <c r="K471" s="58">
        <f>IF(tbRegistroEntradas[[#This Row],[DATA DE CAIXA REALIZADO]]="N/A",0,YEAR(tbRegistroEntradas[[#This Row],[DATA DE CAIXA REALIZADO]]))</f>
        <v>2023</v>
      </c>
      <c r="L471" s="79" t="str">
        <f>IF(tbRegistroEntradas[[#This Row],[DATA DA COMPETÊNCIA]]="N/A","0",UPPER(TEXT(tbRegistroEntradas[[#This Row],[DATA DA COMPETÊNCIA]],"mmm")))</f>
        <v>NOV</v>
      </c>
      <c r="M471" s="79">
        <f>IF(tbRegistroEntradas[[#This Row],[DATA DA COMPETÊNCIA]]="N/A",0,YEAR(tbRegistroEntradas[[#This Row],[DATA DA COMPETÊNCIA]]))</f>
        <v>2022</v>
      </c>
      <c r="N471" s="84" t="str">
        <f>IF(tbRegistroEntradas[[#This Row],[DATA DO CAIXA PREVISTO]]="N/A","0",UPPER(TEXT(tbRegistroEntradas[[#This Row],[DATA DO CAIXA PREVISTO]],"mmm")))</f>
        <v>DEZ</v>
      </c>
      <c r="O471" s="84">
        <f>IF(tbRegistroEntradas[[#This Row],[DATA DO CAIXA PREVISTO]]="N/A",0,YEAR(tbRegistroEntradas[[#This Row],[DATA DO CAIXA PREVISTO]]))</f>
        <v>2022</v>
      </c>
      <c r="P471" s="58" t="str">
        <f ca="1">IF(AND(tbRegistroEntradas[[#This Row],[DATA DE CAIXA REALIZADO]]="N/A",tbRegistroEntradas[[#This Row],[DATA DO CAIXA PREVISTO]]&lt;TODAY()),"Vencida","Não Vencida")</f>
        <v>Não Vencida</v>
      </c>
      <c r="Q471" s="58" t="str">
        <f>IF(tbRegistroEntradas[[#This Row],[DATA DA COMPETÊNCIA]]=tbRegistroEntradas[[#This Row],[DATA DO CAIXA PREVISTO]],"Vista","Prazo")</f>
        <v>Prazo</v>
      </c>
      <c r="R471" s="58" t="str">
        <f>IF(tbRegistroEntradas[[#This Row],[DATA DE CAIXA REALIZADO]]&lt;&gt;"N/A","Em Dia","Com atraso")</f>
        <v>Em Dia</v>
      </c>
    </row>
    <row r="472" spans="1:18" s="52" customFormat="1" ht="14.4" customHeight="1" x14ac:dyDescent="0.3">
      <c r="A472" s="112">
        <v>44892.589826388888</v>
      </c>
      <c r="B472" s="114">
        <v>44873</v>
      </c>
      <c r="C472" s="114">
        <v>44892.589826388888</v>
      </c>
      <c r="D472" s="55" t="s">
        <v>61</v>
      </c>
      <c r="E472" s="55" t="s">
        <v>12</v>
      </c>
      <c r="F472" s="55" t="s">
        <v>19</v>
      </c>
      <c r="G472" s="55" t="s">
        <v>295</v>
      </c>
      <c r="H472" s="52" t="s">
        <v>86</v>
      </c>
      <c r="I472" s="119">
        <v>4135</v>
      </c>
      <c r="J472" s="55" t="str">
        <f>IF(tbRegistroEntradas[[#This Row],[DATA DE CAIXA REALIZADO]]="N/A","0",UPPER(TEXT(tbRegistroEntradas[[#This Row],[DATA DE CAIXA REALIZADO]],"mmm")))</f>
        <v>NOV</v>
      </c>
      <c r="K472" s="58">
        <f>IF(tbRegistroEntradas[[#This Row],[DATA DE CAIXA REALIZADO]]="N/A",0,YEAR(tbRegistroEntradas[[#This Row],[DATA DE CAIXA REALIZADO]]))</f>
        <v>2022</v>
      </c>
      <c r="L472" s="79" t="str">
        <f>IF(tbRegistroEntradas[[#This Row],[DATA DA COMPETÊNCIA]]="N/A","0",UPPER(TEXT(tbRegistroEntradas[[#This Row],[DATA DA COMPETÊNCIA]],"mmm")))</f>
        <v>NOV</v>
      </c>
      <c r="M472" s="79">
        <f>IF(tbRegistroEntradas[[#This Row],[DATA DA COMPETÊNCIA]]="N/A",0,YEAR(tbRegistroEntradas[[#This Row],[DATA DA COMPETÊNCIA]]))</f>
        <v>2022</v>
      </c>
      <c r="N472" s="84" t="str">
        <f>IF(tbRegistroEntradas[[#This Row],[DATA DO CAIXA PREVISTO]]="N/A","0",UPPER(TEXT(tbRegistroEntradas[[#This Row],[DATA DO CAIXA PREVISTO]],"mmm")))</f>
        <v>NOV</v>
      </c>
      <c r="O472" s="84">
        <f>IF(tbRegistroEntradas[[#This Row],[DATA DO CAIXA PREVISTO]]="N/A",0,YEAR(tbRegistroEntradas[[#This Row],[DATA DO CAIXA PREVISTO]]))</f>
        <v>2022</v>
      </c>
      <c r="P472" s="58" t="str">
        <f ca="1">IF(AND(tbRegistroEntradas[[#This Row],[DATA DE CAIXA REALIZADO]]="N/A",tbRegistroEntradas[[#This Row],[DATA DO CAIXA PREVISTO]]&lt;TODAY()),"Vencida","Não Vencida")</f>
        <v>Não Vencida</v>
      </c>
      <c r="Q472" s="58" t="str">
        <f>IF(tbRegistroEntradas[[#This Row],[DATA DA COMPETÊNCIA]]=tbRegistroEntradas[[#This Row],[DATA DO CAIXA PREVISTO]],"Vista","Prazo")</f>
        <v>Prazo</v>
      </c>
      <c r="R472" s="58" t="str">
        <f>IF(tbRegistroEntradas[[#This Row],[DATA DE CAIXA REALIZADO]]&lt;&gt;"N/A","Em Dia","Com atraso")</f>
        <v>Em Dia</v>
      </c>
    </row>
    <row r="473" spans="1:18" s="52" customFormat="1" ht="14.4" customHeight="1" x14ac:dyDescent="0.3">
      <c r="A473" s="125">
        <v>44906</v>
      </c>
      <c r="B473" s="125">
        <f>A473-31</f>
        <v>44875</v>
      </c>
      <c r="C473" s="125">
        <f>(A473-B473)+B473-15</f>
        <v>44891</v>
      </c>
      <c r="D473" s="126" t="s">
        <v>66</v>
      </c>
      <c r="E473" s="126" t="s">
        <v>12</v>
      </c>
      <c r="F473" s="126" t="s">
        <v>18</v>
      </c>
      <c r="G473" s="126" t="s">
        <v>1006</v>
      </c>
      <c r="H473" s="52" t="s">
        <v>90</v>
      </c>
      <c r="I473" s="127">
        <v>2729</v>
      </c>
      <c r="J473" s="110" t="str">
        <f>IF(tbRegistroEntradas[[#This Row],[DATA DE CAIXA REALIZADO]]="N/A","0",UPPER(TEXT(tbRegistroEntradas[[#This Row],[DATA DE CAIXA REALIZADO]],"mmm")))</f>
        <v>DEZ</v>
      </c>
      <c r="K473" s="57">
        <f>IF(tbRegistroEntradas[[#This Row],[DATA DE CAIXA REALIZADO]]="N/A",0,YEAR(tbRegistroEntradas[[#This Row],[DATA DE CAIXA REALIZADO]]))</f>
        <v>2022</v>
      </c>
      <c r="L473" s="58" t="str">
        <f>IF(tbRegistroEntradas[[#This Row],[DATA DA COMPETÊNCIA]]="N/A","0",UPPER(TEXT(tbRegistroEntradas[[#This Row],[DATA DA COMPETÊNCIA]],"mmm")))</f>
        <v>NOV</v>
      </c>
      <c r="M473" s="58">
        <f>IF(tbRegistroEntradas[[#This Row],[DATA DA COMPETÊNCIA]]="N/A",0,YEAR(tbRegistroEntradas[[#This Row],[DATA DA COMPETÊNCIA]]))</f>
        <v>2022</v>
      </c>
      <c r="N473" s="58" t="str">
        <f>IF(tbRegistroEntradas[[#This Row],[DATA DO CAIXA PREVISTO]]="N/A","0",UPPER(TEXT(tbRegistroEntradas[[#This Row],[DATA DO CAIXA PREVISTO]],"mmm")))</f>
        <v>NOV</v>
      </c>
      <c r="O473" s="58">
        <f>IF(tbRegistroEntradas[[#This Row],[DATA DO CAIXA PREVISTO]]="N/A",0,YEAR(tbRegistroEntradas[[#This Row],[DATA DO CAIXA PREVISTO]]))</f>
        <v>2022</v>
      </c>
      <c r="P473" s="58" t="str">
        <f ca="1">IF(AND(tbRegistroEntradas[[#This Row],[DATA DE CAIXA REALIZADO]]="N/A",tbRegistroEntradas[[#This Row],[DATA DO CAIXA PREVISTO]]&lt;TODAY()),"Vencida","Não Vencida")</f>
        <v>Não Vencida</v>
      </c>
      <c r="Q473" s="58" t="str">
        <f>IF(tbRegistroEntradas[[#This Row],[DATA DA COMPETÊNCIA]]=tbRegistroEntradas[[#This Row],[DATA DO CAIXA PREVISTO]],"Vista","Prazo")</f>
        <v>Prazo</v>
      </c>
      <c r="R473" s="58" t="str">
        <f>IF(tbRegistroEntradas[[#This Row],[DATA DE CAIXA REALIZADO]]&lt;&gt;"N/A","Em Dia","Com atraso")</f>
        <v>Em Dia</v>
      </c>
    </row>
    <row r="474" spans="1:18" s="52" customFormat="1" ht="14.4" customHeight="1" x14ac:dyDescent="0.3">
      <c r="A474" s="113">
        <v>44928.343541666669</v>
      </c>
      <c r="B474" s="115">
        <v>44876</v>
      </c>
      <c r="C474" s="115">
        <v>44882.091967592591</v>
      </c>
      <c r="D474" s="116" t="s">
        <v>138</v>
      </c>
      <c r="E474" s="116" t="s">
        <v>12</v>
      </c>
      <c r="F474" s="116" t="s">
        <v>19</v>
      </c>
      <c r="G474" s="116" t="s">
        <v>296</v>
      </c>
      <c r="H474" s="52" t="s">
        <v>77</v>
      </c>
      <c r="I474" s="120">
        <v>3902</v>
      </c>
      <c r="J474" s="55" t="str">
        <f>IF(tbRegistroEntradas[[#This Row],[DATA DE CAIXA REALIZADO]]="N/A","0",UPPER(TEXT(tbRegistroEntradas[[#This Row],[DATA DE CAIXA REALIZADO]],"mmm")))</f>
        <v>JAN</v>
      </c>
      <c r="K474" s="58">
        <f>IF(tbRegistroEntradas[[#This Row],[DATA DE CAIXA REALIZADO]]="N/A",0,YEAR(tbRegistroEntradas[[#This Row],[DATA DE CAIXA REALIZADO]]))</f>
        <v>2023</v>
      </c>
      <c r="L474" s="79" t="str">
        <f>IF(tbRegistroEntradas[[#This Row],[DATA DA COMPETÊNCIA]]="N/A","0",UPPER(TEXT(tbRegistroEntradas[[#This Row],[DATA DA COMPETÊNCIA]],"mmm")))</f>
        <v>NOV</v>
      </c>
      <c r="M474" s="79">
        <f>IF(tbRegistroEntradas[[#This Row],[DATA DA COMPETÊNCIA]]="N/A",0,YEAR(tbRegistroEntradas[[#This Row],[DATA DA COMPETÊNCIA]]))</f>
        <v>2022</v>
      </c>
      <c r="N474" s="84" t="str">
        <f>IF(tbRegistroEntradas[[#This Row],[DATA DO CAIXA PREVISTO]]="N/A","0",UPPER(TEXT(tbRegistroEntradas[[#This Row],[DATA DO CAIXA PREVISTO]],"mmm")))</f>
        <v>NOV</v>
      </c>
      <c r="O474" s="84">
        <f>IF(tbRegistroEntradas[[#This Row],[DATA DO CAIXA PREVISTO]]="N/A",0,YEAR(tbRegistroEntradas[[#This Row],[DATA DO CAIXA PREVISTO]]))</f>
        <v>2022</v>
      </c>
      <c r="P474" s="58" t="str">
        <f ca="1">IF(AND(tbRegistroEntradas[[#This Row],[DATA DE CAIXA REALIZADO]]="N/A",tbRegistroEntradas[[#This Row],[DATA DO CAIXA PREVISTO]]&lt;TODAY()),"Vencida","Não Vencida")</f>
        <v>Não Vencida</v>
      </c>
      <c r="Q474" s="58" t="str">
        <f>IF(tbRegistroEntradas[[#This Row],[DATA DA COMPETÊNCIA]]=tbRegistroEntradas[[#This Row],[DATA DO CAIXA PREVISTO]],"Vista","Prazo")</f>
        <v>Prazo</v>
      </c>
      <c r="R474" s="58" t="str">
        <f>IF(tbRegistroEntradas[[#This Row],[DATA DE CAIXA REALIZADO]]&lt;&gt;"N/A","Em Dia","Com atraso")</f>
        <v>Em Dia</v>
      </c>
    </row>
    <row r="475" spans="1:18" s="52" customFormat="1" ht="14.4" customHeight="1" x14ac:dyDescent="0.3">
      <c r="A475" s="112">
        <v>44984.081284722219</v>
      </c>
      <c r="B475" s="114">
        <v>44879</v>
      </c>
      <c r="C475" s="114">
        <v>44902.73877314815</v>
      </c>
      <c r="D475" s="55" t="s">
        <v>137</v>
      </c>
      <c r="E475" s="55" t="s">
        <v>12</v>
      </c>
      <c r="F475" s="55" t="s">
        <v>19</v>
      </c>
      <c r="G475" s="55" t="s">
        <v>297</v>
      </c>
      <c r="H475" s="52" t="s">
        <v>104</v>
      </c>
      <c r="I475" s="119">
        <v>4319</v>
      </c>
      <c r="J475" s="55" t="str">
        <f>IF(tbRegistroEntradas[[#This Row],[DATA DE CAIXA REALIZADO]]="N/A","0",UPPER(TEXT(tbRegistroEntradas[[#This Row],[DATA DE CAIXA REALIZADO]],"mmm")))</f>
        <v>FEV</v>
      </c>
      <c r="K475" s="58">
        <f>IF(tbRegistroEntradas[[#This Row],[DATA DE CAIXA REALIZADO]]="N/A",0,YEAR(tbRegistroEntradas[[#This Row],[DATA DE CAIXA REALIZADO]]))</f>
        <v>2023</v>
      </c>
      <c r="L475" s="79" t="str">
        <f>IF(tbRegistroEntradas[[#This Row],[DATA DA COMPETÊNCIA]]="N/A","0",UPPER(TEXT(tbRegistroEntradas[[#This Row],[DATA DA COMPETÊNCIA]],"mmm")))</f>
        <v>NOV</v>
      </c>
      <c r="M475" s="79">
        <f>IF(tbRegistroEntradas[[#This Row],[DATA DA COMPETÊNCIA]]="N/A",0,YEAR(tbRegistroEntradas[[#This Row],[DATA DA COMPETÊNCIA]]))</f>
        <v>2022</v>
      </c>
      <c r="N475" s="84" t="str">
        <f>IF(tbRegistroEntradas[[#This Row],[DATA DO CAIXA PREVISTO]]="N/A","0",UPPER(TEXT(tbRegistroEntradas[[#This Row],[DATA DO CAIXA PREVISTO]],"mmm")))</f>
        <v>DEZ</v>
      </c>
      <c r="O475" s="84">
        <f>IF(tbRegistroEntradas[[#This Row],[DATA DO CAIXA PREVISTO]]="N/A",0,YEAR(tbRegistroEntradas[[#This Row],[DATA DO CAIXA PREVISTO]]))</f>
        <v>2022</v>
      </c>
      <c r="P475" s="58" t="str">
        <f ca="1">IF(AND(tbRegistroEntradas[[#This Row],[DATA DE CAIXA REALIZADO]]="N/A",tbRegistroEntradas[[#This Row],[DATA DO CAIXA PREVISTO]]&lt;TODAY()),"Vencida","Não Vencida")</f>
        <v>Não Vencida</v>
      </c>
      <c r="Q475" s="58" t="str">
        <f>IF(tbRegistroEntradas[[#This Row],[DATA DA COMPETÊNCIA]]=tbRegistroEntradas[[#This Row],[DATA DO CAIXA PREVISTO]],"Vista","Prazo")</f>
        <v>Prazo</v>
      </c>
      <c r="R475" s="58" t="str">
        <f>IF(tbRegistroEntradas[[#This Row],[DATA DE CAIXA REALIZADO]]&lt;&gt;"N/A","Em Dia","Com atraso")</f>
        <v>Em Dia</v>
      </c>
    </row>
    <row r="476" spans="1:18" s="52" customFormat="1" ht="14.4" customHeight="1" x14ac:dyDescent="0.3">
      <c r="A476" s="125">
        <v>44912</v>
      </c>
      <c r="B476" s="125">
        <f>A476-31</f>
        <v>44881</v>
      </c>
      <c r="C476" s="125">
        <f>(A476-B476)+B476-15</f>
        <v>44897</v>
      </c>
      <c r="D476" s="126" t="s">
        <v>65</v>
      </c>
      <c r="E476" s="126" t="s">
        <v>12</v>
      </c>
      <c r="F476" s="126" t="s">
        <v>19</v>
      </c>
      <c r="G476" s="126" t="s">
        <v>786</v>
      </c>
      <c r="H476" s="52" t="s">
        <v>121</v>
      </c>
      <c r="I476" s="127">
        <v>1008</v>
      </c>
      <c r="J476" s="110" t="str">
        <f>IF(tbRegistroEntradas[[#This Row],[DATA DE CAIXA REALIZADO]]="N/A","0",UPPER(TEXT(tbRegistroEntradas[[#This Row],[DATA DE CAIXA REALIZADO]],"mmm")))</f>
        <v>DEZ</v>
      </c>
      <c r="K476" s="57">
        <f>IF(tbRegistroEntradas[[#This Row],[DATA DE CAIXA REALIZADO]]="N/A",0,YEAR(tbRegistroEntradas[[#This Row],[DATA DE CAIXA REALIZADO]]))</f>
        <v>2022</v>
      </c>
      <c r="L476" s="58" t="str">
        <f>IF(tbRegistroEntradas[[#This Row],[DATA DA COMPETÊNCIA]]="N/A","0",UPPER(TEXT(tbRegistroEntradas[[#This Row],[DATA DA COMPETÊNCIA]],"mmm")))</f>
        <v>NOV</v>
      </c>
      <c r="M476" s="58">
        <f>IF(tbRegistroEntradas[[#This Row],[DATA DA COMPETÊNCIA]]="N/A",0,YEAR(tbRegistroEntradas[[#This Row],[DATA DA COMPETÊNCIA]]))</f>
        <v>2022</v>
      </c>
      <c r="N476" s="58" t="str">
        <f>IF(tbRegistroEntradas[[#This Row],[DATA DO CAIXA PREVISTO]]="N/A","0",UPPER(TEXT(tbRegistroEntradas[[#This Row],[DATA DO CAIXA PREVISTO]],"mmm")))</f>
        <v>DEZ</v>
      </c>
      <c r="O476" s="58">
        <f>IF(tbRegistroEntradas[[#This Row],[DATA DO CAIXA PREVISTO]]="N/A",0,YEAR(tbRegistroEntradas[[#This Row],[DATA DO CAIXA PREVISTO]]))</f>
        <v>2022</v>
      </c>
      <c r="P476" s="58" t="str">
        <f ca="1">IF(AND(tbRegistroEntradas[[#This Row],[DATA DE CAIXA REALIZADO]]="N/A",tbRegistroEntradas[[#This Row],[DATA DO CAIXA PREVISTO]]&lt;TODAY()),"Vencida","Não Vencida")</f>
        <v>Não Vencida</v>
      </c>
      <c r="Q476" s="58" t="str">
        <f>IF(tbRegistroEntradas[[#This Row],[DATA DA COMPETÊNCIA]]=tbRegistroEntradas[[#This Row],[DATA DO CAIXA PREVISTO]],"Vista","Prazo")</f>
        <v>Prazo</v>
      </c>
      <c r="R476" s="58" t="str">
        <f>IF(tbRegistroEntradas[[#This Row],[DATA DE CAIXA REALIZADO]]&lt;&gt;"N/A","Em Dia","Com atraso")</f>
        <v>Em Dia</v>
      </c>
    </row>
    <row r="477" spans="1:18" s="52" customFormat="1" ht="14.4" customHeight="1" x14ac:dyDescent="0.3">
      <c r="A477" s="113">
        <v>44925.748495370368</v>
      </c>
      <c r="B477" s="115">
        <v>44882</v>
      </c>
      <c r="C477" s="125">
        <f>tbRegistroEntradas[[#This Row],[DATA DA COMPETÊNCIA]]</f>
        <v>44882</v>
      </c>
      <c r="D477" s="116" t="s">
        <v>65</v>
      </c>
      <c r="E477" s="116" t="s">
        <v>12</v>
      </c>
      <c r="F477" s="116" t="s">
        <v>17</v>
      </c>
      <c r="G477" s="116" t="s">
        <v>298</v>
      </c>
      <c r="H477" s="52" t="s">
        <v>122</v>
      </c>
      <c r="I477" s="120">
        <v>3068</v>
      </c>
      <c r="J477" s="55" t="str">
        <f>IF(tbRegistroEntradas[[#This Row],[DATA DE CAIXA REALIZADO]]="N/A","0",UPPER(TEXT(tbRegistroEntradas[[#This Row],[DATA DE CAIXA REALIZADO]],"mmm")))</f>
        <v>DEZ</v>
      </c>
      <c r="K477" s="58">
        <f>IF(tbRegistroEntradas[[#This Row],[DATA DE CAIXA REALIZADO]]="N/A",0,YEAR(tbRegistroEntradas[[#This Row],[DATA DE CAIXA REALIZADO]]))</f>
        <v>2022</v>
      </c>
      <c r="L477" s="79" t="str">
        <f>IF(tbRegistroEntradas[[#This Row],[DATA DA COMPETÊNCIA]]="N/A","0",UPPER(TEXT(tbRegistroEntradas[[#This Row],[DATA DA COMPETÊNCIA]],"mmm")))</f>
        <v>NOV</v>
      </c>
      <c r="M477" s="79">
        <f>IF(tbRegistroEntradas[[#This Row],[DATA DA COMPETÊNCIA]]="N/A",0,YEAR(tbRegistroEntradas[[#This Row],[DATA DA COMPETÊNCIA]]))</f>
        <v>2022</v>
      </c>
      <c r="N477" s="84" t="str">
        <f>IF(tbRegistroEntradas[[#This Row],[DATA DO CAIXA PREVISTO]]="N/A","0",UPPER(TEXT(tbRegistroEntradas[[#This Row],[DATA DO CAIXA PREVISTO]],"mmm")))</f>
        <v>NOV</v>
      </c>
      <c r="O477" s="84">
        <f>IF(tbRegistroEntradas[[#This Row],[DATA DO CAIXA PREVISTO]]="N/A",0,YEAR(tbRegistroEntradas[[#This Row],[DATA DO CAIXA PREVISTO]]))</f>
        <v>2022</v>
      </c>
      <c r="P477" s="58" t="str">
        <f ca="1">IF(AND(tbRegistroEntradas[[#This Row],[DATA DE CAIXA REALIZADO]]="N/A",tbRegistroEntradas[[#This Row],[DATA DO CAIXA PREVISTO]]&lt;TODAY()),"Vencida","Não Vencida")</f>
        <v>Não Vencida</v>
      </c>
      <c r="Q477" s="58" t="str">
        <f>IF(tbRegistroEntradas[[#This Row],[DATA DA COMPETÊNCIA]]=tbRegistroEntradas[[#This Row],[DATA DO CAIXA PREVISTO]],"Vista","Prazo")</f>
        <v>Vista</v>
      </c>
      <c r="R477" s="58" t="str">
        <f>IF(tbRegistroEntradas[[#This Row],[DATA DE CAIXA REALIZADO]]&lt;&gt;"N/A","Em Dia","Com atraso")</f>
        <v>Em Dia</v>
      </c>
    </row>
    <row r="478" spans="1:18" s="52" customFormat="1" ht="14.4" customHeight="1" x14ac:dyDescent="0.3">
      <c r="A478" s="112">
        <v>44916.375601851854</v>
      </c>
      <c r="B478" s="114">
        <v>44886</v>
      </c>
      <c r="C478" s="125">
        <f>tbRegistroEntradas[[#This Row],[DATA DA COMPETÊNCIA]]</f>
        <v>44886</v>
      </c>
      <c r="D478" s="55" t="s">
        <v>65</v>
      </c>
      <c r="E478" s="55" t="s">
        <v>12</v>
      </c>
      <c r="F478" s="55" t="s">
        <v>19</v>
      </c>
      <c r="G478" s="55" t="s">
        <v>299</v>
      </c>
      <c r="H478" s="110" t="s">
        <v>117</v>
      </c>
      <c r="I478" s="119">
        <v>1880</v>
      </c>
      <c r="J478" s="55" t="str">
        <f>IF(tbRegistroEntradas[[#This Row],[DATA DE CAIXA REALIZADO]]="N/A","0",UPPER(TEXT(tbRegistroEntradas[[#This Row],[DATA DE CAIXA REALIZADO]],"mmm")))</f>
        <v>DEZ</v>
      </c>
      <c r="K478" s="58">
        <f>IF(tbRegistroEntradas[[#This Row],[DATA DE CAIXA REALIZADO]]="N/A",0,YEAR(tbRegistroEntradas[[#This Row],[DATA DE CAIXA REALIZADO]]))</f>
        <v>2022</v>
      </c>
      <c r="L478" s="79" t="str">
        <f>IF(tbRegistroEntradas[[#This Row],[DATA DA COMPETÊNCIA]]="N/A","0",UPPER(TEXT(tbRegistroEntradas[[#This Row],[DATA DA COMPETÊNCIA]],"mmm")))</f>
        <v>NOV</v>
      </c>
      <c r="M478" s="79">
        <f>IF(tbRegistroEntradas[[#This Row],[DATA DA COMPETÊNCIA]]="N/A",0,YEAR(tbRegistroEntradas[[#This Row],[DATA DA COMPETÊNCIA]]))</f>
        <v>2022</v>
      </c>
      <c r="N478" s="84" t="str">
        <f>IF(tbRegistroEntradas[[#This Row],[DATA DO CAIXA PREVISTO]]="N/A","0",UPPER(TEXT(tbRegistroEntradas[[#This Row],[DATA DO CAIXA PREVISTO]],"mmm")))</f>
        <v>NOV</v>
      </c>
      <c r="O478" s="84">
        <f>IF(tbRegistroEntradas[[#This Row],[DATA DO CAIXA PREVISTO]]="N/A",0,YEAR(tbRegistroEntradas[[#This Row],[DATA DO CAIXA PREVISTO]]))</f>
        <v>2022</v>
      </c>
      <c r="P478" s="58" t="str">
        <f ca="1">IF(AND(tbRegistroEntradas[[#This Row],[DATA DE CAIXA REALIZADO]]="N/A",tbRegistroEntradas[[#This Row],[DATA DO CAIXA PREVISTO]]&lt;TODAY()),"Vencida","Não Vencida")</f>
        <v>Não Vencida</v>
      </c>
      <c r="Q478" s="58" t="str">
        <f>IF(tbRegistroEntradas[[#This Row],[DATA DA COMPETÊNCIA]]=tbRegistroEntradas[[#This Row],[DATA DO CAIXA PREVISTO]],"Vista","Prazo")</f>
        <v>Vista</v>
      </c>
      <c r="R478" s="58" t="str">
        <f>IF(tbRegistroEntradas[[#This Row],[DATA DE CAIXA REALIZADO]]&lt;&gt;"N/A","Em Dia","Com atraso")</f>
        <v>Em Dia</v>
      </c>
    </row>
    <row r="479" spans="1:18" s="52" customFormat="1" ht="14.4" customHeight="1" x14ac:dyDescent="0.3">
      <c r="A479" s="125">
        <v>44917</v>
      </c>
      <c r="B479" s="125">
        <f>A479-31</f>
        <v>44886</v>
      </c>
      <c r="C479" s="125">
        <f>(A479-B479)+B479-15</f>
        <v>44902</v>
      </c>
      <c r="D479" s="126" t="s">
        <v>67</v>
      </c>
      <c r="E479" s="126" t="s">
        <v>12</v>
      </c>
      <c r="F479" s="126" t="s">
        <v>16</v>
      </c>
      <c r="G479" s="126" t="s">
        <v>850</v>
      </c>
      <c r="H479" s="52" t="s">
        <v>129</v>
      </c>
      <c r="I479" s="127">
        <v>3049</v>
      </c>
      <c r="J479" s="110" t="str">
        <f>IF(tbRegistroEntradas[[#This Row],[DATA DE CAIXA REALIZADO]]="N/A","0",UPPER(TEXT(tbRegistroEntradas[[#This Row],[DATA DE CAIXA REALIZADO]],"mmm")))</f>
        <v>DEZ</v>
      </c>
      <c r="K479" s="57">
        <f>IF(tbRegistroEntradas[[#This Row],[DATA DE CAIXA REALIZADO]]="N/A",0,YEAR(tbRegistroEntradas[[#This Row],[DATA DE CAIXA REALIZADO]]))</f>
        <v>2022</v>
      </c>
      <c r="L479" s="58" t="str">
        <f>IF(tbRegistroEntradas[[#This Row],[DATA DA COMPETÊNCIA]]="N/A","0",UPPER(TEXT(tbRegistroEntradas[[#This Row],[DATA DA COMPETÊNCIA]],"mmm")))</f>
        <v>NOV</v>
      </c>
      <c r="M479" s="58">
        <f>IF(tbRegistroEntradas[[#This Row],[DATA DA COMPETÊNCIA]]="N/A",0,YEAR(tbRegistroEntradas[[#This Row],[DATA DA COMPETÊNCIA]]))</f>
        <v>2022</v>
      </c>
      <c r="N479" s="58" t="str">
        <f>IF(tbRegistroEntradas[[#This Row],[DATA DO CAIXA PREVISTO]]="N/A","0",UPPER(TEXT(tbRegistroEntradas[[#This Row],[DATA DO CAIXA PREVISTO]],"mmm")))</f>
        <v>DEZ</v>
      </c>
      <c r="O479" s="58">
        <f>IF(tbRegistroEntradas[[#This Row],[DATA DO CAIXA PREVISTO]]="N/A",0,YEAR(tbRegistroEntradas[[#This Row],[DATA DO CAIXA PREVISTO]]))</f>
        <v>2022</v>
      </c>
      <c r="P479" s="58" t="str">
        <f ca="1">IF(AND(tbRegistroEntradas[[#This Row],[DATA DE CAIXA REALIZADO]]="N/A",tbRegistroEntradas[[#This Row],[DATA DO CAIXA PREVISTO]]&lt;TODAY()),"Vencida","Não Vencida")</f>
        <v>Não Vencida</v>
      </c>
      <c r="Q479" s="58" t="str">
        <f>IF(tbRegistroEntradas[[#This Row],[DATA DA COMPETÊNCIA]]=tbRegistroEntradas[[#This Row],[DATA DO CAIXA PREVISTO]],"Vista","Prazo")</f>
        <v>Prazo</v>
      </c>
      <c r="R479" s="58" t="str">
        <f>IF(tbRegistroEntradas[[#This Row],[DATA DE CAIXA REALIZADO]]&lt;&gt;"N/A","Em Dia","Com atraso")</f>
        <v>Em Dia</v>
      </c>
    </row>
    <row r="480" spans="1:18" s="52" customFormat="1" ht="14.4" customHeight="1" x14ac:dyDescent="0.3">
      <c r="A480" s="125">
        <v>44917</v>
      </c>
      <c r="B480" s="125">
        <f>A480-31</f>
        <v>44886</v>
      </c>
      <c r="C480" s="125">
        <f>(A480-B480)+B480-15</f>
        <v>44902</v>
      </c>
      <c r="D480" s="126" t="s">
        <v>64</v>
      </c>
      <c r="E480" s="126" t="s">
        <v>12</v>
      </c>
      <c r="F480" s="126" t="s">
        <v>18</v>
      </c>
      <c r="G480" s="126" t="s">
        <v>881</v>
      </c>
      <c r="H480" s="52" t="s">
        <v>114</v>
      </c>
      <c r="I480" s="127">
        <v>3679</v>
      </c>
      <c r="J480" s="110" t="str">
        <f>IF(tbRegistroEntradas[[#This Row],[DATA DE CAIXA REALIZADO]]="N/A","0",UPPER(TEXT(tbRegistroEntradas[[#This Row],[DATA DE CAIXA REALIZADO]],"mmm")))</f>
        <v>DEZ</v>
      </c>
      <c r="K480" s="57">
        <f>IF(tbRegistroEntradas[[#This Row],[DATA DE CAIXA REALIZADO]]="N/A",0,YEAR(tbRegistroEntradas[[#This Row],[DATA DE CAIXA REALIZADO]]))</f>
        <v>2022</v>
      </c>
      <c r="L480" s="58" t="str">
        <f>IF(tbRegistroEntradas[[#This Row],[DATA DA COMPETÊNCIA]]="N/A","0",UPPER(TEXT(tbRegistroEntradas[[#This Row],[DATA DA COMPETÊNCIA]],"mmm")))</f>
        <v>NOV</v>
      </c>
      <c r="M480" s="58">
        <f>IF(tbRegistroEntradas[[#This Row],[DATA DA COMPETÊNCIA]]="N/A",0,YEAR(tbRegistroEntradas[[#This Row],[DATA DA COMPETÊNCIA]]))</f>
        <v>2022</v>
      </c>
      <c r="N480" s="58" t="str">
        <f>IF(tbRegistroEntradas[[#This Row],[DATA DO CAIXA PREVISTO]]="N/A","0",UPPER(TEXT(tbRegistroEntradas[[#This Row],[DATA DO CAIXA PREVISTO]],"mmm")))</f>
        <v>DEZ</v>
      </c>
      <c r="O480" s="58">
        <f>IF(tbRegistroEntradas[[#This Row],[DATA DO CAIXA PREVISTO]]="N/A",0,YEAR(tbRegistroEntradas[[#This Row],[DATA DO CAIXA PREVISTO]]))</f>
        <v>2022</v>
      </c>
      <c r="P480" s="58" t="str">
        <f ca="1">IF(AND(tbRegistroEntradas[[#This Row],[DATA DE CAIXA REALIZADO]]="N/A",tbRegistroEntradas[[#This Row],[DATA DO CAIXA PREVISTO]]&lt;TODAY()),"Vencida","Não Vencida")</f>
        <v>Não Vencida</v>
      </c>
      <c r="Q480" s="58" t="str">
        <f>IF(tbRegistroEntradas[[#This Row],[DATA DA COMPETÊNCIA]]=tbRegistroEntradas[[#This Row],[DATA DO CAIXA PREVISTO]],"Vista","Prazo")</f>
        <v>Prazo</v>
      </c>
      <c r="R480" s="58" t="str">
        <f>IF(tbRegistroEntradas[[#This Row],[DATA DE CAIXA REALIZADO]]&lt;&gt;"N/A","Em Dia","Com atraso")</f>
        <v>Em Dia</v>
      </c>
    </row>
    <row r="481" spans="1:18" s="52" customFormat="1" ht="14.4" customHeight="1" x14ac:dyDescent="0.3">
      <c r="A481" s="125">
        <v>44918</v>
      </c>
      <c r="B481" s="125">
        <f>A481-31</f>
        <v>44887</v>
      </c>
      <c r="C481" s="125">
        <f>(A481-B481)+B481-15</f>
        <v>44903</v>
      </c>
      <c r="D481" s="126" t="s">
        <v>61</v>
      </c>
      <c r="E481" s="126" t="s">
        <v>12</v>
      </c>
      <c r="F481" s="126" t="s">
        <v>17</v>
      </c>
      <c r="G481" s="126" t="s">
        <v>1085</v>
      </c>
      <c r="H481" s="126" t="s">
        <v>87</v>
      </c>
      <c r="I481" s="127">
        <v>4076</v>
      </c>
      <c r="J481" s="110" t="str">
        <f>IF(tbRegistroEntradas[[#This Row],[DATA DE CAIXA REALIZADO]]="N/A","0",UPPER(TEXT(tbRegistroEntradas[[#This Row],[DATA DE CAIXA REALIZADO]],"mmm")))</f>
        <v>DEZ</v>
      </c>
      <c r="K481" s="57">
        <f>IF(tbRegistroEntradas[[#This Row],[DATA DE CAIXA REALIZADO]]="N/A",0,YEAR(tbRegistroEntradas[[#This Row],[DATA DE CAIXA REALIZADO]]))</f>
        <v>2022</v>
      </c>
      <c r="L481" s="58" t="str">
        <f>IF(tbRegistroEntradas[[#This Row],[DATA DA COMPETÊNCIA]]="N/A","0",UPPER(TEXT(tbRegistroEntradas[[#This Row],[DATA DA COMPETÊNCIA]],"mmm")))</f>
        <v>NOV</v>
      </c>
      <c r="M481" s="58">
        <f>IF(tbRegistroEntradas[[#This Row],[DATA DA COMPETÊNCIA]]="N/A",0,YEAR(tbRegistroEntradas[[#This Row],[DATA DA COMPETÊNCIA]]))</f>
        <v>2022</v>
      </c>
      <c r="N481" s="58" t="str">
        <f>IF(tbRegistroEntradas[[#This Row],[DATA DO CAIXA PREVISTO]]="N/A","0",UPPER(TEXT(tbRegistroEntradas[[#This Row],[DATA DO CAIXA PREVISTO]],"mmm")))</f>
        <v>DEZ</v>
      </c>
      <c r="O481" s="58">
        <f>IF(tbRegistroEntradas[[#This Row],[DATA DO CAIXA PREVISTO]]="N/A",0,YEAR(tbRegistroEntradas[[#This Row],[DATA DO CAIXA PREVISTO]]))</f>
        <v>2022</v>
      </c>
      <c r="P481" s="58" t="str">
        <f ca="1">IF(AND(tbRegistroEntradas[[#This Row],[DATA DE CAIXA REALIZADO]]="N/A",tbRegistroEntradas[[#This Row],[DATA DO CAIXA PREVISTO]]&lt;TODAY()),"Vencida","Não Vencida")</f>
        <v>Não Vencida</v>
      </c>
      <c r="Q481" s="58" t="str">
        <f>IF(tbRegistroEntradas[[#This Row],[DATA DA COMPETÊNCIA]]=tbRegistroEntradas[[#This Row],[DATA DO CAIXA PREVISTO]],"Vista","Prazo")</f>
        <v>Prazo</v>
      </c>
      <c r="R481" s="58" t="str">
        <f>IF(tbRegistroEntradas[[#This Row],[DATA DE CAIXA REALIZADO]]&lt;&gt;"N/A","Em Dia","Com atraso")</f>
        <v>Em Dia</v>
      </c>
    </row>
    <row r="482" spans="1:18" s="52" customFormat="1" ht="14.4" customHeight="1" x14ac:dyDescent="0.3">
      <c r="A482" s="125">
        <v>44919</v>
      </c>
      <c r="B482" s="125">
        <f>A482-31</f>
        <v>44888</v>
      </c>
      <c r="C482" s="125">
        <f>tbRegistroEntradas[[#This Row],[DATA DA COMPETÊNCIA]]</f>
        <v>44888</v>
      </c>
      <c r="D482" s="126" t="s">
        <v>67</v>
      </c>
      <c r="E482" s="126" t="s">
        <v>12</v>
      </c>
      <c r="F482" s="126" t="s">
        <v>17</v>
      </c>
      <c r="G482" s="126" t="s">
        <v>900</v>
      </c>
      <c r="H482" s="52" t="s">
        <v>130</v>
      </c>
      <c r="I482" s="127">
        <v>5588</v>
      </c>
      <c r="J482" s="110" t="str">
        <f>IF(tbRegistroEntradas[[#This Row],[DATA DE CAIXA REALIZADO]]="N/A","0",UPPER(TEXT(tbRegistroEntradas[[#This Row],[DATA DE CAIXA REALIZADO]],"mmm")))</f>
        <v>DEZ</v>
      </c>
      <c r="K482" s="57">
        <f>IF(tbRegistroEntradas[[#This Row],[DATA DE CAIXA REALIZADO]]="N/A",0,YEAR(tbRegistroEntradas[[#This Row],[DATA DE CAIXA REALIZADO]]))</f>
        <v>2022</v>
      </c>
      <c r="L482" s="58" t="str">
        <f>IF(tbRegistroEntradas[[#This Row],[DATA DA COMPETÊNCIA]]="N/A","0",UPPER(TEXT(tbRegistroEntradas[[#This Row],[DATA DA COMPETÊNCIA]],"mmm")))</f>
        <v>NOV</v>
      </c>
      <c r="M482" s="58">
        <f>IF(tbRegistroEntradas[[#This Row],[DATA DA COMPETÊNCIA]]="N/A",0,YEAR(tbRegistroEntradas[[#This Row],[DATA DA COMPETÊNCIA]]))</f>
        <v>2022</v>
      </c>
      <c r="N482" s="58" t="str">
        <f>IF(tbRegistroEntradas[[#This Row],[DATA DO CAIXA PREVISTO]]="N/A","0",UPPER(TEXT(tbRegistroEntradas[[#This Row],[DATA DO CAIXA PREVISTO]],"mmm")))</f>
        <v>NOV</v>
      </c>
      <c r="O482" s="58">
        <f>IF(tbRegistroEntradas[[#This Row],[DATA DO CAIXA PREVISTO]]="N/A",0,YEAR(tbRegistroEntradas[[#This Row],[DATA DO CAIXA PREVISTO]]))</f>
        <v>2022</v>
      </c>
      <c r="P482" s="58" t="str">
        <f ca="1">IF(AND(tbRegistroEntradas[[#This Row],[DATA DE CAIXA REALIZADO]]="N/A",tbRegistroEntradas[[#This Row],[DATA DO CAIXA PREVISTO]]&lt;TODAY()),"Vencida","Não Vencida")</f>
        <v>Não Vencida</v>
      </c>
      <c r="Q482" s="58" t="str">
        <f>IF(tbRegistroEntradas[[#This Row],[DATA DA COMPETÊNCIA]]=tbRegistroEntradas[[#This Row],[DATA DO CAIXA PREVISTO]],"Vista","Prazo")</f>
        <v>Vista</v>
      </c>
      <c r="R482" s="58" t="str">
        <f>IF(tbRegistroEntradas[[#This Row],[DATA DE CAIXA REALIZADO]]&lt;&gt;"N/A","Em Dia","Com atraso")</f>
        <v>Em Dia</v>
      </c>
    </row>
    <row r="483" spans="1:18" s="52" customFormat="1" ht="14.4" customHeight="1" x14ac:dyDescent="0.3">
      <c r="A483" s="113" t="s">
        <v>141</v>
      </c>
      <c r="B483" s="115">
        <v>44888</v>
      </c>
      <c r="C483" s="115">
        <v>44926.063379629632</v>
      </c>
      <c r="D483" s="116" t="s">
        <v>138</v>
      </c>
      <c r="E483" s="116" t="s">
        <v>12</v>
      </c>
      <c r="F483" s="116" t="s">
        <v>19</v>
      </c>
      <c r="G483" s="116" t="s">
        <v>300</v>
      </c>
      <c r="H483" s="52" t="s">
        <v>135</v>
      </c>
      <c r="I483" s="120">
        <v>1414</v>
      </c>
      <c r="J483" s="55" t="str">
        <f>IF(tbRegistroEntradas[[#This Row],[DATA DE CAIXA REALIZADO]]="N/A","0",UPPER(TEXT(tbRegistroEntradas[[#This Row],[DATA DE CAIXA REALIZADO]],"mmm")))</f>
        <v>0</v>
      </c>
      <c r="K483" s="58">
        <f>IF(tbRegistroEntradas[[#This Row],[DATA DE CAIXA REALIZADO]]="N/A",0,YEAR(tbRegistroEntradas[[#This Row],[DATA DE CAIXA REALIZADO]]))</f>
        <v>0</v>
      </c>
      <c r="L483" s="79" t="str">
        <f>IF(tbRegistroEntradas[[#This Row],[DATA DA COMPETÊNCIA]]="N/A","0",UPPER(TEXT(tbRegistroEntradas[[#This Row],[DATA DA COMPETÊNCIA]],"mmm")))</f>
        <v>NOV</v>
      </c>
      <c r="M483" s="79">
        <f>IF(tbRegistroEntradas[[#This Row],[DATA DA COMPETÊNCIA]]="N/A",0,YEAR(tbRegistroEntradas[[#This Row],[DATA DA COMPETÊNCIA]]))</f>
        <v>2022</v>
      </c>
      <c r="N483" s="84" t="str">
        <f>IF(tbRegistroEntradas[[#This Row],[DATA DO CAIXA PREVISTO]]="N/A","0",UPPER(TEXT(tbRegistroEntradas[[#This Row],[DATA DO CAIXA PREVISTO]],"mmm")))</f>
        <v>DEZ</v>
      </c>
      <c r="O483" s="84">
        <f>IF(tbRegistroEntradas[[#This Row],[DATA DO CAIXA PREVISTO]]="N/A",0,YEAR(tbRegistroEntradas[[#This Row],[DATA DO CAIXA PREVISTO]]))</f>
        <v>2022</v>
      </c>
      <c r="P483" s="58" t="str">
        <f ca="1">IF(AND(tbRegistroEntradas[[#This Row],[DATA DE CAIXA REALIZADO]]="N/A",tbRegistroEntradas[[#This Row],[DATA DO CAIXA PREVISTO]]&lt;TODAY()),"Vencida","Não Vencida")</f>
        <v>Vencida</v>
      </c>
      <c r="Q483" s="58" t="str">
        <f>IF(tbRegistroEntradas[[#This Row],[DATA DA COMPETÊNCIA]]=tbRegistroEntradas[[#This Row],[DATA DO CAIXA PREVISTO]],"Vista","Prazo")</f>
        <v>Prazo</v>
      </c>
      <c r="R483" s="58" t="str">
        <f>IF(tbRegistroEntradas[[#This Row],[DATA DE CAIXA REALIZADO]]&lt;&gt;"N/A","Em Dia","Com atraso")</f>
        <v>Com atraso</v>
      </c>
    </row>
    <row r="484" spans="1:18" s="52" customFormat="1" ht="14.4" customHeight="1" x14ac:dyDescent="0.3">
      <c r="A484" s="125">
        <v>44919</v>
      </c>
      <c r="B484" s="125">
        <f>A484-31</f>
        <v>44888</v>
      </c>
      <c r="C484" s="125">
        <f>(A484-B484)+B484-15</f>
        <v>44904</v>
      </c>
      <c r="D484" s="126" t="s">
        <v>138</v>
      </c>
      <c r="E484" s="126" t="s">
        <v>12</v>
      </c>
      <c r="F484" s="126" t="s">
        <v>19</v>
      </c>
      <c r="G484" s="126" t="s">
        <v>860</v>
      </c>
      <c r="H484" s="52" t="s">
        <v>78</v>
      </c>
      <c r="I484" s="127">
        <v>4308</v>
      </c>
      <c r="J484" s="110" t="str">
        <f>IF(tbRegistroEntradas[[#This Row],[DATA DE CAIXA REALIZADO]]="N/A","0",UPPER(TEXT(tbRegistroEntradas[[#This Row],[DATA DE CAIXA REALIZADO]],"mmm")))</f>
        <v>DEZ</v>
      </c>
      <c r="K484" s="57">
        <f>IF(tbRegistroEntradas[[#This Row],[DATA DE CAIXA REALIZADO]]="N/A",0,YEAR(tbRegistroEntradas[[#This Row],[DATA DE CAIXA REALIZADO]]))</f>
        <v>2022</v>
      </c>
      <c r="L484" s="58" t="str">
        <f>IF(tbRegistroEntradas[[#This Row],[DATA DA COMPETÊNCIA]]="N/A","0",UPPER(TEXT(tbRegistroEntradas[[#This Row],[DATA DA COMPETÊNCIA]],"mmm")))</f>
        <v>NOV</v>
      </c>
      <c r="M484" s="58">
        <f>IF(tbRegistroEntradas[[#This Row],[DATA DA COMPETÊNCIA]]="N/A",0,YEAR(tbRegistroEntradas[[#This Row],[DATA DA COMPETÊNCIA]]))</f>
        <v>2022</v>
      </c>
      <c r="N484" s="58" t="str">
        <f>IF(tbRegistroEntradas[[#This Row],[DATA DO CAIXA PREVISTO]]="N/A","0",UPPER(TEXT(tbRegistroEntradas[[#This Row],[DATA DO CAIXA PREVISTO]],"mmm")))</f>
        <v>DEZ</v>
      </c>
      <c r="O484" s="58">
        <f>IF(tbRegistroEntradas[[#This Row],[DATA DO CAIXA PREVISTO]]="N/A",0,YEAR(tbRegistroEntradas[[#This Row],[DATA DO CAIXA PREVISTO]]))</f>
        <v>2022</v>
      </c>
      <c r="P484" s="58" t="str">
        <f ca="1">IF(AND(tbRegistroEntradas[[#This Row],[DATA DE CAIXA REALIZADO]]="N/A",tbRegistroEntradas[[#This Row],[DATA DO CAIXA PREVISTO]]&lt;TODAY()),"Vencida","Não Vencida")</f>
        <v>Não Vencida</v>
      </c>
      <c r="Q484" s="58" t="str">
        <f>IF(tbRegistroEntradas[[#This Row],[DATA DA COMPETÊNCIA]]=tbRegistroEntradas[[#This Row],[DATA DO CAIXA PREVISTO]],"Vista","Prazo")</f>
        <v>Prazo</v>
      </c>
      <c r="R484" s="58" t="str">
        <f>IF(tbRegistroEntradas[[#This Row],[DATA DE CAIXA REALIZADO]]&lt;&gt;"N/A","Em Dia","Com atraso")</f>
        <v>Em Dia</v>
      </c>
    </row>
    <row r="485" spans="1:18" s="52" customFormat="1" ht="14.4" customHeight="1" x14ac:dyDescent="0.3">
      <c r="A485" s="125">
        <v>44920</v>
      </c>
      <c r="B485" s="125">
        <f>A485-31</f>
        <v>44889</v>
      </c>
      <c r="C485" s="125">
        <f>tbRegistroEntradas[[#This Row],[DATA DA COMPETÊNCIA]]</f>
        <v>44889</v>
      </c>
      <c r="D485" s="126" t="s">
        <v>66</v>
      </c>
      <c r="E485" s="126" t="s">
        <v>12</v>
      </c>
      <c r="F485" s="126" t="s">
        <v>17</v>
      </c>
      <c r="G485" s="126" t="s">
        <v>1076</v>
      </c>
      <c r="H485" s="52" t="s">
        <v>125</v>
      </c>
      <c r="I485" s="127">
        <v>198</v>
      </c>
      <c r="J485" s="110" t="str">
        <f>IF(tbRegistroEntradas[[#This Row],[DATA DE CAIXA REALIZADO]]="N/A","0",UPPER(TEXT(tbRegistroEntradas[[#This Row],[DATA DE CAIXA REALIZADO]],"mmm")))</f>
        <v>DEZ</v>
      </c>
      <c r="K485" s="57">
        <f>IF(tbRegistroEntradas[[#This Row],[DATA DE CAIXA REALIZADO]]="N/A",0,YEAR(tbRegistroEntradas[[#This Row],[DATA DE CAIXA REALIZADO]]))</f>
        <v>2022</v>
      </c>
      <c r="L485" s="58" t="str">
        <f>IF(tbRegistroEntradas[[#This Row],[DATA DA COMPETÊNCIA]]="N/A","0",UPPER(TEXT(tbRegistroEntradas[[#This Row],[DATA DA COMPETÊNCIA]],"mmm")))</f>
        <v>NOV</v>
      </c>
      <c r="M485" s="58">
        <f>IF(tbRegistroEntradas[[#This Row],[DATA DA COMPETÊNCIA]]="N/A",0,YEAR(tbRegistroEntradas[[#This Row],[DATA DA COMPETÊNCIA]]))</f>
        <v>2022</v>
      </c>
      <c r="N485" s="58" t="str">
        <f>IF(tbRegistroEntradas[[#This Row],[DATA DO CAIXA PREVISTO]]="N/A","0",UPPER(TEXT(tbRegistroEntradas[[#This Row],[DATA DO CAIXA PREVISTO]],"mmm")))</f>
        <v>NOV</v>
      </c>
      <c r="O485" s="58">
        <f>IF(tbRegistroEntradas[[#This Row],[DATA DO CAIXA PREVISTO]]="N/A",0,YEAR(tbRegistroEntradas[[#This Row],[DATA DO CAIXA PREVISTO]]))</f>
        <v>2022</v>
      </c>
      <c r="P485" s="58" t="str">
        <f ca="1">IF(AND(tbRegistroEntradas[[#This Row],[DATA DE CAIXA REALIZADO]]="N/A",tbRegistroEntradas[[#This Row],[DATA DO CAIXA PREVISTO]]&lt;TODAY()),"Vencida","Não Vencida")</f>
        <v>Não Vencida</v>
      </c>
      <c r="Q485" s="58" t="str">
        <f>IF(tbRegistroEntradas[[#This Row],[DATA DA COMPETÊNCIA]]=tbRegistroEntradas[[#This Row],[DATA DO CAIXA PREVISTO]],"Vista","Prazo")</f>
        <v>Vista</v>
      </c>
      <c r="R485" s="58" t="str">
        <f>IF(tbRegistroEntradas[[#This Row],[DATA DE CAIXA REALIZADO]]&lt;&gt;"N/A","Em Dia","Com atraso")</f>
        <v>Em Dia</v>
      </c>
    </row>
    <row r="486" spans="1:18" s="52" customFormat="1" ht="14.4" customHeight="1" x14ac:dyDescent="0.3">
      <c r="A486" s="125">
        <v>44920</v>
      </c>
      <c r="B486" s="125">
        <f>A486-31</f>
        <v>44889</v>
      </c>
      <c r="C486" s="125">
        <f>tbRegistroEntradas[[#This Row],[DATA DA COMPETÊNCIA]]</f>
        <v>44889</v>
      </c>
      <c r="D486" s="126" t="s">
        <v>61</v>
      </c>
      <c r="E486" s="126" t="s">
        <v>12</v>
      </c>
      <c r="F486" s="126" t="s">
        <v>19</v>
      </c>
      <c r="G486" s="126" t="s">
        <v>811</v>
      </c>
      <c r="H486" s="52" t="s">
        <v>88</v>
      </c>
      <c r="I486" s="127">
        <v>4839</v>
      </c>
      <c r="J486" s="110" t="str">
        <f>IF(tbRegistroEntradas[[#This Row],[DATA DE CAIXA REALIZADO]]="N/A","0",UPPER(TEXT(tbRegistroEntradas[[#This Row],[DATA DE CAIXA REALIZADO]],"mmm")))</f>
        <v>DEZ</v>
      </c>
      <c r="K486" s="57">
        <f>IF(tbRegistroEntradas[[#This Row],[DATA DE CAIXA REALIZADO]]="N/A",0,YEAR(tbRegistroEntradas[[#This Row],[DATA DE CAIXA REALIZADO]]))</f>
        <v>2022</v>
      </c>
      <c r="L486" s="58" t="str">
        <f>IF(tbRegistroEntradas[[#This Row],[DATA DA COMPETÊNCIA]]="N/A","0",UPPER(TEXT(tbRegistroEntradas[[#This Row],[DATA DA COMPETÊNCIA]],"mmm")))</f>
        <v>NOV</v>
      </c>
      <c r="M486" s="58">
        <f>IF(tbRegistroEntradas[[#This Row],[DATA DA COMPETÊNCIA]]="N/A",0,YEAR(tbRegistroEntradas[[#This Row],[DATA DA COMPETÊNCIA]]))</f>
        <v>2022</v>
      </c>
      <c r="N486" s="58" t="str">
        <f>IF(tbRegistroEntradas[[#This Row],[DATA DO CAIXA PREVISTO]]="N/A","0",UPPER(TEXT(tbRegistroEntradas[[#This Row],[DATA DO CAIXA PREVISTO]],"mmm")))</f>
        <v>NOV</v>
      </c>
      <c r="O486" s="58">
        <f>IF(tbRegistroEntradas[[#This Row],[DATA DO CAIXA PREVISTO]]="N/A",0,YEAR(tbRegistroEntradas[[#This Row],[DATA DO CAIXA PREVISTO]]))</f>
        <v>2022</v>
      </c>
      <c r="P486" s="58" t="str">
        <f ca="1">IF(AND(tbRegistroEntradas[[#This Row],[DATA DE CAIXA REALIZADO]]="N/A",tbRegistroEntradas[[#This Row],[DATA DO CAIXA PREVISTO]]&lt;TODAY()),"Vencida","Não Vencida")</f>
        <v>Não Vencida</v>
      </c>
      <c r="Q486" s="58" t="str">
        <f>IF(tbRegistroEntradas[[#This Row],[DATA DA COMPETÊNCIA]]=tbRegistroEntradas[[#This Row],[DATA DO CAIXA PREVISTO]],"Vista","Prazo")</f>
        <v>Vista</v>
      </c>
      <c r="R486" s="58" t="str">
        <f>IF(tbRegistroEntradas[[#This Row],[DATA DE CAIXA REALIZADO]]&lt;&gt;"N/A","Em Dia","Com atraso")</f>
        <v>Em Dia</v>
      </c>
    </row>
    <row r="487" spans="1:18" s="52" customFormat="1" ht="14.4" customHeight="1" x14ac:dyDescent="0.3">
      <c r="A487" s="112" t="s">
        <v>141</v>
      </c>
      <c r="B487" s="114">
        <v>44891</v>
      </c>
      <c r="C487" s="114">
        <v>44908.889918981484</v>
      </c>
      <c r="D487" s="55" t="s">
        <v>67</v>
      </c>
      <c r="E487" s="55" t="s">
        <v>12</v>
      </c>
      <c r="F487" s="55" t="s">
        <v>16</v>
      </c>
      <c r="G487" s="55" t="s">
        <v>301</v>
      </c>
      <c r="H487" s="5" t="s">
        <v>132</v>
      </c>
      <c r="I487" s="119">
        <v>919</v>
      </c>
      <c r="J487" s="55" t="str">
        <f>IF(tbRegistroEntradas[[#This Row],[DATA DE CAIXA REALIZADO]]="N/A","0",UPPER(TEXT(tbRegistroEntradas[[#This Row],[DATA DE CAIXA REALIZADO]],"mmm")))</f>
        <v>0</v>
      </c>
      <c r="K487" s="58">
        <f>IF(tbRegistroEntradas[[#This Row],[DATA DE CAIXA REALIZADO]]="N/A",0,YEAR(tbRegistroEntradas[[#This Row],[DATA DE CAIXA REALIZADO]]))</f>
        <v>0</v>
      </c>
      <c r="L487" s="79" t="str">
        <f>IF(tbRegistroEntradas[[#This Row],[DATA DA COMPETÊNCIA]]="N/A","0",UPPER(TEXT(tbRegistroEntradas[[#This Row],[DATA DA COMPETÊNCIA]],"mmm")))</f>
        <v>NOV</v>
      </c>
      <c r="M487" s="79">
        <f>IF(tbRegistroEntradas[[#This Row],[DATA DA COMPETÊNCIA]]="N/A",0,YEAR(tbRegistroEntradas[[#This Row],[DATA DA COMPETÊNCIA]]))</f>
        <v>2022</v>
      </c>
      <c r="N487" s="84" t="str">
        <f>IF(tbRegistroEntradas[[#This Row],[DATA DO CAIXA PREVISTO]]="N/A","0",UPPER(TEXT(tbRegistroEntradas[[#This Row],[DATA DO CAIXA PREVISTO]],"mmm")))</f>
        <v>DEZ</v>
      </c>
      <c r="O487" s="84">
        <f>IF(tbRegistroEntradas[[#This Row],[DATA DO CAIXA PREVISTO]]="N/A",0,YEAR(tbRegistroEntradas[[#This Row],[DATA DO CAIXA PREVISTO]]))</f>
        <v>2022</v>
      </c>
      <c r="P487" s="58" t="str">
        <f ca="1">IF(AND(tbRegistroEntradas[[#This Row],[DATA DE CAIXA REALIZADO]]="N/A",tbRegistroEntradas[[#This Row],[DATA DO CAIXA PREVISTO]]&lt;TODAY()),"Vencida","Não Vencida")</f>
        <v>Vencida</v>
      </c>
      <c r="Q487" s="58" t="str">
        <f>IF(tbRegistroEntradas[[#This Row],[DATA DA COMPETÊNCIA]]=tbRegistroEntradas[[#This Row],[DATA DO CAIXA PREVISTO]],"Vista","Prazo")</f>
        <v>Prazo</v>
      </c>
      <c r="R487" s="58" t="str">
        <f>IF(tbRegistroEntradas[[#This Row],[DATA DE CAIXA REALIZADO]]&lt;&gt;"N/A","Em Dia","Com atraso")</f>
        <v>Com atraso</v>
      </c>
    </row>
    <row r="488" spans="1:18" s="52" customFormat="1" ht="14.4" customHeight="1" x14ac:dyDescent="0.3">
      <c r="A488" s="125">
        <v>44922</v>
      </c>
      <c r="B488" s="125">
        <f>A488-31</f>
        <v>44891</v>
      </c>
      <c r="C488" s="125">
        <f>(A488-B488)+B488-15</f>
        <v>44907</v>
      </c>
      <c r="D488" s="126" t="s">
        <v>64</v>
      </c>
      <c r="E488" s="126" t="s">
        <v>12</v>
      </c>
      <c r="F488" s="126" t="s">
        <v>32</v>
      </c>
      <c r="G488" s="126" t="s">
        <v>837</v>
      </c>
      <c r="H488" s="52" t="s">
        <v>115</v>
      </c>
      <c r="I488" s="127">
        <v>1572</v>
      </c>
      <c r="J488" s="110" t="str">
        <f>IF(tbRegistroEntradas[[#This Row],[DATA DE CAIXA REALIZADO]]="N/A","0",UPPER(TEXT(tbRegistroEntradas[[#This Row],[DATA DE CAIXA REALIZADO]],"mmm")))</f>
        <v>DEZ</v>
      </c>
      <c r="K488" s="57">
        <f>IF(tbRegistroEntradas[[#This Row],[DATA DE CAIXA REALIZADO]]="N/A",0,YEAR(tbRegistroEntradas[[#This Row],[DATA DE CAIXA REALIZADO]]))</f>
        <v>2022</v>
      </c>
      <c r="L488" s="58" t="str">
        <f>IF(tbRegistroEntradas[[#This Row],[DATA DA COMPETÊNCIA]]="N/A","0",UPPER(TEXT(tbRegistroEntradas[[#This Row],[DATA DA COMPETÊNCIA]],"mmm")))</f>
        <v>NOV</v>
      </c>
      <c r="M488" s="58">
        <f>IF(tbRegistroEntradas[[#This Row],[DATA DA COMPETÊNCIA]]="N/A",0,YEAR(tbRegistroEntradas[[#This Row],[DATA DA COMPETÊNCIA]]))</f>
        <v>2022</v>
      </c>
      <c r="N488" s="58" t="str">
        <f>IF(tbRegistroEntradas[[#This Row],[DATA DO CAIXA PREVISTO]]="N/A","0",UPPER(TEXT(tbRegistroEntradas[[#This Row],[DATA DO CAIXA PREVISTO]],"mmm")))</f>
        <v>DEZ</v>
      </c>
      <c r="O488" s="58">
        <f>IF(tbRegistroEntradas[[#This Row],[DATA DO CAIXA PREVISTO]]="N/A",0,YEAR(tbRegistroEntradas[[#This Row],[DATA DO CAIXA PREVISTO]]))</f>
        <v>2022</v>
      </c>
      <c r="P488" s="58" t="str">
        <f ca="1">IF(AND(tbRegistroEntradas[[#This Row],[DATA DE CAIXA REALIZADO]]="N/A",tbRegistroEntradas[[#This Row],[DATA DO CAIXA PREVISTO]]&lt;TODAY()),"Vencida","Não Vencida")</f>
        <v>Não Vencida</v>
      </c>
      <c r="Q488" s="58" t="str">
        <f>IF(tbRegistroEntradas[[#This Row],[DATA DA COMPETÊNCIA]]=tbRegistroEntradas[[#This Row],[DATA DO CAIXA PREVISTO]],"Vista","Prazo")</f>
        <v>Prazo</v>
      </c>
      <c r="R488" s="58" t="str">
        <f>IF(tbRegistroEntradas[[#This Row],[DATA DE CAIXA REALIZADO]]&lt;&gt;"N/A","Em Dia","Com atraso")</f>
        <v>Em Dia</v>
      </c>
    </row>
    <row r="489" spans="1:18" s="52" customFormat="1" ht="14.4" customHeight="1" x14ac:dyDescent="0.3">
      <c r="A489" s="113">
        <v>44938.965810185182</v>
      </c>
      <c r="B489" s="115">
        <v>44892</v>
      </c>
      <c r="C489" s="115">
        <v>44938.965810185182</v>
      </c>
      <c r="D489" s="116" t="s">
        <v>66</v>
      </c>
      <c r="E489" s="116" t="s">
        <v>12</v>
      </c>
      <c r="F489" s="116" t="s">
        <v>19</v>
      </c>
      <c r="G489" s="116" t="s">
        <v>302</v>
      </c>
      <c r="H489" s="143" t="s">
        <v>126</v>
      </c>
      <c r="I489" s="120">
        <v>4801</v>
      </c>
      <c r="J489" s="55" t="str">
        <f>IF(tbRegistroEntradas[[#This Row],[DATA DE CAIXA REALIZADO]]="N/A","0",UPPER(TEXT(tbRegistroEntradas[[#This Row],[DATA DE CAIXA REALIZADO]],"mmm")))</f>
        <v>JAN</v>
      </c>
      <c r="K489" s="58">
        <f>IF(tbRegistroEntradas[[#This Row],[DATA DE CAIXA REALIZADO]]="N/A",0,YEAR(tbRegistroEntradas[[#This Row],[DATA DE CAIXA REALIZADO]]))</f>
        <v>2023</v>
      </c>
      <c r="L489" s="79" t="str">
        <f>IF(tbRegistroEntradas[[#This Row],[DATA DA COMPETÊNCIA]]="N/A","0",UPPER(TEXT(tbRegistroEntradas[[#This Row],[DATA DA COMPETÊNCIA]],"mmm")))</f>
        <v>NOV</v>
      </c>
      <c r="M489" s="79">
        <f>IF(tbRegistroEntradas[[#This Row],[DATA DA COMPETÊNCIA]]="N/A",0,YEAR(tbRegistroEntradas[[#This Row],[DATA DA COMPETÊNCIA]]))</f>
        <v>2022</v>
      </c>
      <c r="N489" s="84" t="str">
        <f>IF(tbRegistroEntradas[[#This Row],[DATA DO CAIXA PREVISTO]]="N/A","0",UPPER(TEXT(tbRegistroEntradas[[#This Row],[DATA DO CAIXA PREVISTO]],"mmm")))</f>
        <v>JAN</v>
      </c>
      <c r="O489" s="84">
        <f>IF(tbRegistroEntradas[[#This Row],[DATA DO CAIXA PREVISTO]]="N/A",0,YEAR(tbRegistroEntradas[[#This Row],[DATA DO CAIXA PREVISTO]]))</f>
        <v>2023</v>
      </c>
      <c r="P489" s="58" t="str">
        <f ca="1">IF(AND(tbRegistroEntradas[[#This Row],[DATA DE CAIXA REALIZADO]]="N/A",tbRegistroEntradas[[#This Row],[DATA DO CAIXA PREVISTO]]&lt;TODAY()),"Vencida","Não Vencida")</f>
        <v>Não Vencida</v>
      </c>
      <c r="Q489" s="58" t="str">
        <f>IF(tbRegistroEntradas[[#This Row],[DATA DA COMPETÊNCIA]]=tbRegistroEntradas[[#This Row],[DATA DO CAIXA PREVISTO]],"Vista","Prazo")</f>
        <v>Prazo</v>
      </c>
      <c r="R489" s="58" t="str">
        <f>IF(tbRegistroEntradas[[#This Row],[DATA DE CAIXA REALIZADO]]&lt;&gt;"N/A","Em Dia","Com atraso")</f>
        <v>Em Dia</v>
      </c>
    </row>
    <row r="490" spans="1:18" s="52" customFormat="1" ht="14.4" customHeight="1" x14ac:dyDescent="0.3">
      <c r="A490" s="125">
        <v>44923</v>
      </c>
      <c r="B490" s="125">
        <f>A490-31</f>
        <v>44892</v>
      </c>
      <c r="C490" s="125">
        <f>(A490-B490)+B490-15</f>
        <v>44908</v>
      </c>
      <c r="D490" s="126" t="s">
        <v>67</v>
      </c>
      <c r="E490" s="126" t="s">
        <v>12</v>
      </c>
      <c r="F490" s="126" t="s">
        <v>18</v>
      </c>
      <c r="G490" s="126" t="s">
        <v>853</v>
      </c>
      <c r="H490" s="52" t="s">
        <v>133</v>
      </c>
      <c r="I490" s="127">
        <v>5290</v>
      </c>
      <c r="J490" s="45" t="str">
        <f>IF(tbRegistroEntradas[[#This Row],[DATA DE CAIXA REALIZADO]]="N/A","0",UPPER(TEXT(tbRegistroEntradas[[#This Row],[DATA DE CAIXA REALIZADO]],"mmm")))</f>
        <v>DEZ</v>
      </c>
      <c r="K490" s="57">
        <f>IF(tbRegistroEntradas[[#This Row],[DATA DE CAIXA REALIZADO]]="N/A",0,YEAR(tbRegistroEntradas[[#This Row],[DATA DE CAIXA REALIZADO]]))</f>
        <v>2022</v>
      </c>
      <c r="L490" s="58" t="str">
        <f>IF(tbRegistroEntradas[[#This Row],[DATA DA COMPETÊNCIA]]="N/A","0",UPPER(TEXT(tbRegistroEntradas[[#This Row],[DATA DA COMPETÊNCIA]],"mmm")))</f>
        <v>NOV</v>
      </c>
      <c r="M490" s="58">
        <f>IF(tbRegistroEntradas[[#This Row],[DATA DA COMPETÊNCIA]]="N/A",0,YEAR(tbRegistroEntradas[[#This Row],[DATA DA COMPETÊNCIA]]))</f>
        <v>2022</v>
      </c>
      <c r="N490" s="58" t="str">
        <f>IF(tbRegistroEntradas[[#This Row],[DATA DO CAIXA PREVISTO]]="N/A","0",UPPER(TEXT(tbRegistroEntradas[[#This Row],[DATA DO CAIXA PREVISTO]],"mmm")))</f>
        <v>DEZ</v>
      </c>
      <c r="O490" s="58">
        <f>IF(tbRegistroEntradas[[#This Row],[DATA DO CAIXA PREVISTO]]="N/A",0,YEAR(tbRegistroEntradas[[#This Row],[DATA DO CAIXA PREVISTO]]))</f>
        <v>2022</v>
      </c>
      <c r="P490" s="58" t="str">
        <f ca="1">IF(AND(tbRegistroEntradas[[#This Row],[DATA DE CAIXA REALIZADO]]="N/A",tbRegistroEntradas[[#This Row],[DATA DO CAIXA PREVISTO]]&lt;TODAY()),"Vencida","Não Vencida")</f>
        <v>Não Vencida</v>
      </c>
      <c r="Q490" s="58" t="str">
        <f>IF(tbRegistroEntradas[[#This Row],[DATA DA COMPETÊNCIA]]=tbRegistroEntradas[[#This Row],[DATA DO CAIXA PREVISTO]],"Vista","Prazo")</f>
        <v>Prazo</v>
      </c>
      <c r="R490" s="58" t="str">
        <f>IF(tbRegistroEntradas[[#This Row],[DATA DE CAIXA REALIZADO]]&lt;&gt;"N/A","Em Dia","Com atraso")</f>
        <v>Em Dia</v>
      </c>
    </row>
    <row r="491" spans="1:18" s="52" customFormat="1" ht="14.4" customHeight="1" x14ac:dyDescent="0.3">
      <c r="A491" s="125">
        <v>44926</v>
      </c>
      <c r="B491" s="125">
        <f>A491-31</f>
        <v>44895</v>
      </c>
      <c r="C491" s="125">
        <f>(A491-B491)+B491-15</f>
        <v>44911</v>
      </c>
      <c r="D491" s="126" t="s">
        <v>137</v>
      </c>
      <c r="E491" s="126" t="s">
        <v>12</v>
      </c>
      <c r="F491" s="126" t="s">
        <v>16</v>
      </c>
      <c r="G491" s="126" t="s">
        <v>716</v>
      </c>
      <c r="H491" s="52" t="s">
        <v>106</v>
      </c>
      <c r="I491" s="127">
        <v>300</v>
      </c>
      <c r="J491" s="110" t="str">
        <f>IF(tbRegistroEntradas[[#This Row],[DATA DE CAIXA REALIZADO]]="N/A","0",UPPER(TEXT(tbRegistroEntradas[[#This Row],[DATA DE CAIXA REALIZADO]],"mmm")))</f>
        <v>DEZ</v>
      </c>
      <c r="K491" s="57">
        <f>IF(tbRegistroEntradas[[#This Row],[DATA DE CAIXA REALIZADO]]="N/A",0,YEAR(tbRegistroEntradas[[#This Row],[DATA DE CAIXA REALIZADO]]))</f>
        <v>2022</v>
      </c>
      <c r="L491" s="58" t="str">
        <f>IF(tbRegistroEntradas[[#This Row],[DATA DA COMPETÊNCIA]]="N/A","0",UPPER(TEXT(tbRegistroEntradas[[#This Row],[DATA DA COMPETÊNCIA]],"mmm")))</f>
        <v>NOV</v>
      </c>
      <c r="M491" s="58">
        <f>IF(tbRegistroEntradas[[#This Row],[DATA DA COMPETÊNCIA]]="N/A",0,YEAR(tbRegistroEntradas[[#This Row],[DATA DA COMPETÊNCIA]]))</f>
        <v>2022</v>
      </c>
      <c r="N491" s="58" t="str">
        <f>IF(tbRegistroEntradas[[#This Row],[DATA DO CAIXA PREVISTO]]="N/A","0",UPPER(TEXT(tbRegistroEntradas[[#This Row],[DATA DO CAIXA PREVISTO]],"mmm")))</f>
        <v>DEZ</v>
      </c>
      <c r="O491" s="58">
        <f>IF(tbRegistroEntradas[[#This Row],[DATA DO CAIXA PREVISTO]]="N/A",0,YEAR(tbRegistroEntradas[[#This Row],[DATA DO CAIXA PREVISTO]]))</f>
        <v>2022</v>
      </c>
      <c r="P491" s="58" t="str">
        <f ca="1">IF(AND(tbRegistroEntradas[[#This Row],[DATA DE CAIXA REALIZADO]]="N/A",tbRegistroEntradas[[#This Row],[DATA DO CAIXA PREVISTO]]&lt;TODAY()),"Vencida","Não Vencida")</f>
        <v>Não Vencida</v>
      </c>
      <c r="Q491" s="58" t="str">
        <f>IF(tbRegistroEntradas[[#This Row],[DATA DA COMPETÊNCIA]]=tbRegistroEntradas[[#This Row],[DATA DO CAIXA PREVISTO]],"Vista","Prazo")</f>
        <v>Prazo</v>
      </c>
      <c r="R491" s="58" t="str">
        <f>IF(tbRegistroEntradas[[#This Row],[DATA DE CAIXA REALIZADO]]&lt;&gt;"N/A","Em Dia","Com atraso")</f>
        <v>Em Dia</v>
      </c>
    </row>
    <row r="492" spans="1:18" s="52" customFormat="1" ht="14.4" customHeight="1" x14ac:dyDescent="0.3">
      <c r="A492" s="112" t="s">
        <v>141</v>
      </c>
      <c r="B492" s="114">
        <v>44895</v>
      </c>
      <c r="C492" s="114">
        <v>44916.267569444448</v>
      </c>
      <c r="D492" s="55" t="s">
        <v>63</v>
      </c>
      <c r="E492" s="55" t="s">
        <v>12</v>
      </c>
      <c r="F492" s="55" t="s">
        <v>32</v>
      </c>
      <c r="G492" s="55" t="s">
        <v>303</v>
      </c>
      <c r="H492" s="52" t="s">
        <v>103</v>
      </c>
      <c r="I492" s="119">
        <v>4639</v>
      </c>
      <c r="J492" s="55" t="str">
        <f>IF(tbRegistroEntradas[[#This Row],[DATA DE CAIXA REALIZADO]]="N/A","0",UPPER(TEXT(tbRegistroEntradas[[#This Row],[DATA DE CAIXA REALIZADO]],"mmm")))</f>
        <v>0</v>
      </c>
      <c r="K492" s="58">
        <f>IF(tbRegistroEntradas[[#This Row],[DATA DE CAIXA REALIZADO]]="N/A",0,YEAR(tbRegistroEntradas[[#This Row],[DATA DE CAIXA REALIZADO]]))</f>
        <v>0</v>
      </c>
      <c r="L492" s="79" t="str">
        <f>IF(tbRegistroEntradas[[#This Row],[DATA DA COMPETÊNCIA]]="N/A","0",UPPER(TEXT(tbRegistroEntradas[[#This Row],[DATA DA COMPETÊNCIA]],"mmm")))</f>
        <v>NOV</v>
      </c>
      <c r="M492" s="79">
        <f>IF(tbRegistroEntradas[[#This Row],[DATA DA COMPETÊNCIA]]="N/A",0,YEAR(tbRegistroEntradas[[#This Row],[DATA DA COMPETÊNCIA]]))</f>
        <v>2022</v>
      </c>
      <c r="N492" s="84" t="str">
        <f>IF(tbRegistroEntradas[[#This Row],[DATA DO CAIXA PREVISTO]]="N/A","0",UPPER(TEXT(tbRegistroEntradas[[#This Row],[DATA DO CAIXA PREVISTO]],"mmm")))</f>
        <v>DEZ</v>
      </c>
      <c r="O492" s="84">
        <f>IF(tbRegistroEntradas[[#This Row],[DATA DO CAIXA PREVISTO]]="N/A",0,YEAR(tbRegistroEntradas[[#This Row],[DATA DO CAIXA PREVISTO]]))</f>
        <v>2022</v>
      </c>
      <c r="P492" s="58" t="str">
        <f ca="1">IF(AND(tbRegistroEntradas[[#This Row],[DATA DE CAIXA REALIZADO]]="N/A",tbRegistroEntradas[[#This Row],[DATA DO CAIXA PREVISTO]]&lt;TODAY()),"Vencida","Não Vencida")</f>
        <v>Vencida</v>
      </c>
      <c r="Q492" s="58" t="str">
        <f>IF(tbRegistroEntradas[[#This Row],[DATA DA COMPETÊNCIA]]=tbRegistroEntradas[[#This Row],[DATA DO CAIXA PREVISTO]],"Vista","Prazo")</f>
        <v>Prazo</v>
      </c>
      <c r="R492" s="58" t="str">
        <f>IF(tbRegistroEntradas[[#This Row],[DATA DE CAIXA REALIZADO]]&lt;&gt;"N/A","Em Dia","Com atraso")</f>
        <v>Com atraso</v>
      </c>
    </row>
    <row r="493" spans="1:18" s="52" customFormat="1" ht="14.4" customHeight="1" x14ac:dyDescent="0.3">
      <c r="A493" s="125">
        <v>44927</v>
      </c>
      <c r="B493" s="125">
        <f>A493-31</f>
        <v>44896</v>
      </c>
      <c r="C493" s="125">
        <f>(A493-B493)+B493-15</f>
        <v>44912</v>
      </c>
      <c r="D493" s="126" t="s">
        <v>64</v>
      </c>
      <c r="E493" s="126" t="s">
        <v>12</v>
      </c>
      <c r="F493" s="126" t="s">
        <v>17</v>
      </c>
      <c r="G493" s="126" t="s">
        <v>799</v>
      </c>
      <c r="H493" s="52" t="s">
        <v>74</v>
      </c>
      <c r="I493" s="127">
        <v>2801</v>
      </c>
      <c r="J493" s="110" t="str">
        <f>IF(tbRegistroEntradas[[#This Row],[DATA DE CAIXA REALIZADO]]="N/A","0",UPPER(TEXT(tbRegistroEntradas[[#This Row],[DATA DE CAIXA REALIZADO]],"mmm")))</f>
        <v>JAN</v>
      </c>
      <c r="K493" s="57">
        <f>IF(tbRegistroEntradas[[#This Row],[DATA DE CAIXA REALIZADO]]="N/A",0,YEAR(tbRegistroEntradas[[#This Row],[DATA DE CAIXA REALIZADO]]))</f>
        <v>2023</v>
      </c>
      <c r="L493" s="58" t="str">
        <f>IF(tbRegistroEntradas[[#This Row],[DATA DA COMPETÊNCIA]]="N/A","0",UPPER(TEXT(tbRegistroEntradas[[#This Row],[DATA DA COMPETÊNCIA]],"mmm")))</f>
        <v>DEZ</v>
      </c>
      <c r="M493" s="58">
        <f>IF(tbRegistroEntradas[[#This Row],[DATA DA COMPETÊNCIA]]="N/A",0,YEAR(tbRegistroEntradas[[#This Row],[DATA DA COMPETÊNCIA]]))</f>
        <v>2022</v>
      </c>
      <c r="N493" s="58" t="str">
        <f>IF(tbRegistroEntradas[[#This Row],[DATA DO CAIXA PREVISTO]]="N/A","0",UPPER(TEXT(tbRegistroEntradas[[#This Row],[DATA DO CAIXA PREVISTO]],"mmm")))</f>
        <v>DEZ</v>
      </c>
      <c r="O493" s="58">
        <f>IF(tbRegistroEntradas[[#This Row],[DATA DO CAIXA PREVISTO]]="N/A",0,YEAR(tbRegistroEntradas[[#This Row],[DATA DO CAIXA PREVISTO]]))</f>
        <v>2022</v>
      </c>
      <c r="P493" s="58" t="str">
        <f ca="1">IF(AND(tbRegistroEntradas[[#This Row],[DATA DE CAIXA REALIZADO]]="N/A",tbRegistroEntradas[[#This Row],[DATA DO CAIXA PREVISTO]]&lt;TODAY()),"Vencida","Não Vencida")</f>
        <v>Não Vencida</v>
      </c>
      <c r="Q493" s="58" t="str">
        <f>IF(tbRegistroEntradas[[#This Row],[DATA DA COMPETÊNCIA]]=tbRegistroEntradas[[#This Row],[DATA DO CAIXA PREVISTO]],"Vista","Prazo")</f>
        <v>Prazo</v>
      </c>
      <c r="R493" s="58" t="str">
        <f>IF(tbRegistroEntradas[[#This Row],[DATA DE CAIXA REALIZADO]]&lt;&gt;"N/A","Em Dia","Com atraso")</f>
        <v>Em Dia</v>
      </c>
    </row>
    <row r="494" spans="1:18" s="52" customFormat="1" ht="14.4" customHeight="1" x14ac:dyDescent="0.3">
      <c r="A494" s="125">
        <v>44927</v>
      </c>
      <c r="B494" s="125">
        <f>A494-31</f>
        <v>44896</v>
      </c>
      <c r="C494" s="125">
        <f>(A494-B494)+B494-15</f>
        <v>44912</v>
      </c>
      <c r="D494" s="126" t="s">
        <v>61</v>
      </c>
      <c r="E494" s="126" t="s">
        <v>12</v>
      </c>
      <c r="F494" s="126" t="s">
        <v>17</v>
      </c>
      <c r="G494" s="126" t="s">
        <v>784</v>
      </c>
      <c r="H494" s="52" t="s">
        <v>71</v>
      </c>
      <c r="I494" s="127">
        <v>1662</v>
      </c>
      <c r="J494" s="110" t="str">
        <f>IF(tbRegistroEntradas[[#This Row],[DATA DE CAIXA REALIZADO]]="N/A","0",UPPER(TEXT(tbRegistroEntradas[[#This Row],[DATA DE CAIXA REALIZADO]],"mmm")))</f>
        <v>JAN</v>
      </c>
      <c r="K494" s="57">
        <f>IF(tbRegistroEntradas[[#This Row],[DATA DE CAIXA REALIZADO]]="N/A",0,YEAR(tbRegistroEntradas[[#This Row],[DATA DE CAIXA REALIZADO]]))</f>
        <v>2023</v>
      </c>
      <c r="L494" s="58" t="str">
        <f>IF(tbRegistroEntradas[[#This Row],[DATA DA COMPETÊNCIA]]="N/A","0",UPPER(TEXT(tbRegistroEntradas[[#This Row],[DATA DA COMPETÊNCIA]],"mmm")))</f>
        <v>DEZ</v>
      </c>
      <c r="M494" s="58">
        <f>IF(tbRegistroEntradas[[#This Row],[DATA DA COMPETÊNCIA]]="N/A",0,YEAR(tbRegistroEntradas[[#This Row],[DATA DA COMPETÊNCIA]]))</f>
        <v>2022</v>
      </c>
      <c r="N494" s="58" t="str">
        <f>IF(tbRegistroEntradas[[#This Row],[DATA DO CAIXA PREVISTO]]="N/A","0",UPPER(TEXT(tbRegistroEntradas[[#This Row],[DATA DO CAIXA PREVISTO]],"mmm")))</f>
        <v>DEZ</v>
      </c>
      <c r="O494" s="58">
        <f>IF(tbRegistroEntradas[[#This Row],[DATA DO CAIXA PREVISTO]]="N/A",0,YEAR(tbRegistroEntradas[[#This Row],[DATA DO CAIXA PREVISTO]]))</f>
        <v>2022</v>
      </c>
      <c r="P494" s="58" t="str">
        <f ca="1">IF(AND(tbRegistroEntradas[[#This Row],[DATA DE CAIXA REALIZADO]]="N/A",tbRegistroEntradas[[#This Row],[DATA DO CAIXA PREVISTO]]&lt;TODAY()),"Vencida","Não Vencida")</f>
        <v>Não Vencida</v>
      </c>
      <c r="Q494" s="58" t="str">
        <f>IF(tbRegistroEntradas[[#This Row],[DATA DA COMPETÊNCIA]]=tbRegistroEntradas[[#This Row],[DATA DO CAIXA PREVISTO]],"Vista","Prazo")</f>
        <v>Prazo</v>
      </c>
      <c r="R494" s="58" t="str">
        <f>IF(tbRegistroEntradas[[#This Row],[DATA DE CAIXA REALIZADO]]&lt;&gt;"N/A","Em Dia","Com atraso")</f>
        <v>Em Dia</v>
      </c>
    </row>
    <row r="495" spans="1:18" s="52" customFormat="1" ht="14.4" customHeight="1" x14ac:dyDescent="0.3">
      <c r="A495" s="125">
        <v>44928</v>
      </c>
      <c r="B495" s="125">
        <f>A495-31</f>
        <v>44897</v>
      </c>
      <c r="C495" s="125">
        <f>tbRegistroEntradas[[#This Row],[DATA DA COMPETÊNCIA]]</f>
        <v>44897</v>
      </c>
      <c r="D495" s="126" t="s">
        <v>61</v>
      </c>
      <c r="E495" s="126" t="s">
        <v>12</v>
      </c>
      <c r="F495" s="126" t="s">
        <v>17</v>
      </c>
      <c r="G495" s="126" t="s">
        <v>1070</v>
      </c>
      <c r="H495" s="52" t="s">
        <v>79</v>
      </c>
      <c r="I495" s="127">
        <v>2049</v>
      </c>
      <c r="J495" s="110" t="str">
        <f>IF(tbRegistroEntradas[[#This Row],[DATA DE CAIXA REALIZADO]]="N/A","0",UPPER(TEXT(tbRegistroEntradas[[#This Row],[DATA DE CAIXA REALIZADO]],"mmm")))</f>
        <v>JAN</v>
      </c>
      <c r="K495" s="57">
        <f>IF(tbRegistroEntradas[[#This Row],[DATA DE CAIXA REALIZADO]]="N/A",0,YEAR(tbRegistroEntradas[[#This Row],[DATA DE CAIXA REALIZADO]]))</f>
        <v>2023</v>
      </c>
      <c r="L495" s="58" t="str">
        <f>IF(tbRegistroEntradas[[#This Row],[DATA DA COMPETÊNCIA]]="N/A","0",UPPER(TEXT(tbRegistroEntradas[[#This Row],[DATA DA COMPETÊNCIA]],"mmm")))</f>
        <v>DEZ</v>
      </c>
      <c r="M495" s="58">
        <f>IF(tbRegistroEntradas[[#This Row],[DATA DA COMPETÊNCIA]]="N/A",0,YEAR(tbRegistroEntradas[[#This Row],[DATA DA COMPETÊNCIA]]))</f>
        <v>2022</v>
      </c>
      <c r="N495" s="58" t="str">
        <f>IF(tbRegistroEntradas[[#This Row],[DATA DO CAIXA PREVISTO]]="N/A","0",UPPER(TEXT(tbRegistroEntradas[[#This Row],[DATA DO CAIXA PREVISTO]],"mmm")))</f>
        <v>DEZ</v>
      </c>
      <c r="O495" s="58">
        <f>IF(tbRegistroEntradas[[#This Row],[DATA DO CAIXA PREVISTO]]="N/A",0,YEAR(tbRegistroEntradas[[#This Row],[DATA DO CAIXA PREVISTO]]))</f>
        <v>2022</v>
      </c>
      <c r="P495" s="58" t="str">
        <f ca="1">IF(AND(tbRegistroEntradas[[#This Row],[DATA DE CAIXA REALIZADO]]="N/A",tbRegistroEntradas[[#This Row],[DATA DO CAIXA PREVISTO]]&lt;TODAY()),"Vencida","Não Vencida")</f>
        <v>Não Vencida</v>
      </c>
      <c r="Q495" s="58" t="str">
        <f>IF(tbRegistroEntradas[[#This Row],[DATA DA COMPETÊNCIA]]=tbRegistroEntradas[[#This Row],[DATA DO CAIXA PREVISTO]],"Vista","Prazo")</f>
        <v>Vista</v>
      </c>
      <c r="R495" s="58" t="str">
        <f>IF(tbRegistroEntradas[[#This Row],[DATA DE CAIXA REALIZADO]]&lt;&gt;"N/A","Em Dia","Com atraso")</f>
        <v>Em Dia</v>
      </c>
    </row>
    <row r="496" spans="1:18" s="52" customFormat="1" ht="14.4" customHeight="1" x14ac:dyDescent="0.3">
      <c r="A496" s="125">
        <v>44928</v>
      </c>
      <c r="B496" s="125">
        <f>A496-31</f>
        <v>44897</v>
      </c>
      <c r="C496" s="125">
        <f>(A496-B496)+B496-15</f>
        <v>44913</v>
      </c>
      <c r="D496" s="126" t="s">
        <v>64</v>
      </c>
      <c r="E496" s="126" t="s">
        <v>12</v>
      </c>
      <c r="F496" s="126" t="s">
        <v>16</v>
      </c>
      <c r="G496" s="126" t="s">
        <v>220</v>
      </c>
      <c r="H496" s="52" t="s">
        <v>108</v>
      </c>
      <c r="I496" s="127">
        <v>4612</v>
      </c>
      <c r="J496" s="110" t="str">
        <f>IF(tbRegistroEntradas[[#This Row],[DATA DE CAIXA REALIZADO]]="N/A","0",UPPER(TEXT(tbRegistroEntradas[[#This Row],[DATA DE CAIXA REALIZADO]],"mmm")))</f>
        <v>JAN</v>
      </c>
      <c r="K496" s="57">
        <f>IF(tbRegistroEntradas[[#This Row],[DATA DE CAIXA REALIZADO]]="N/A",0,YEAR(tbRegistroEntradas[[#This Row],[DATA DE CAIXA REALIZADO]]))</f>
        <v>2023</v>
      </c>
      <c r="L496" s="58" t="str">
        <f>IF(tbRegistroEntradas[[#This Row],[DATA DA COMPETÊNCIA]]="N/A","0",UPPER(TEXT(tbRegistroEntradas[[#This Row],[DATA DA COMPETÊNCIA]],"mmm")))</f>
        <v>DEZ</v>
      </c>
      <c r="M496" s="58">
        <f>IF(tbRegistroEntradas[[#This Row],[DATA DA COMPETÊNCIA]]="N/A",0,YEAR(tbRegistroEntradas[[#This Row],[DATA DA COMPETÊNCIA]]))</f>
        <v>2022</v>
      </c>
      <c r="N496" s="58" t="str">
        <f>IF(tbRegistroEntradas[[#This Row],[DATA DO CAIXA PREVISTO]]="N/A","0",UPPER(TEXT(tbRegistroEntradas[[#This Row],[DATA DO CAIXA PREVISTO]],"mmm")))</f>
        <v>DEZ</v>
      </c>
      <c r="O496" s="58">
        <f>IF(tbRegistroEntradas[[#This Row],[DATA DO CAIXA PREVISTO]]="N/A",0,YEAR(tbRegistroEntradas[[#This Row],[DATA DO CAIXA PREVISTO]]))</f>
        <v>2022</v>
      </c>
      <c r="P496" s="58" t="str">
        <f ca="1">IF(AND(tbRegistroEntradas[[#This Row],[DATA DE CAIXA REALIZADO]]="N/A",tbRegistroEntradas[[#This Row],[DATA DO CAIXA PREVISTO]]&lt;TODAY()),"Vencida","Não Vencida")</f>
        <v>Não Vencida</v>
      </c>
      <c r="Q496" s="58" t="str">
        <f>IF(tbRegistroEntradas[[#This Row],[DATA DA COMPETÊNCIA]]=tbRegistroEntradas[[#This Row],[DATA DO CAIXA PREVISTO]],"Vista","Prazo")</f>
        <v>Prazo</v>
      </c>
      <c r="R496" s="58" t="str">
        <f>IF(tbRegistroEntradas[[#This Row],[DATA DE CAIXA REALIZADO]]&lt;&gt;"N/A","Em Dia","Com atraso")</f>
        <v>Em Dia</v>
      </c>
    </row>
    <row r="497" spans="1:18" s="52" customFormat="1" ht="14.4" customHeight="1" x14ac:dyDescent="0.3">
      <c r="A497" s="125">
        <v>44928</v>
      </c>
      <c r="B497" s="125">
        <f>A497-31</f>
        <v>44897</v>
      </c>
      <c r="C497" s="125">
        <f>(A497-B497)+B497-15</f>
        <v>44913</v>
      </c>
      <c r="D497" s="126" t="s">
        <v>138</v>
      </c>
      <c r="E497" s="126" t="s">
        <v>12</v>
      </c>
      <c r="F497" s="126" t="s">
        <v>18</v>
      </c>
      <c r="G497" s="126" t="s">
        <v>1036</v>
      </c>
      <c r="H497" s="52" t="s">
        <v>136</v>
      </c>
      <c r="I497" s="127">
        <v>2456</v>
      </c>
      <c r="J497" s="110" t="str">
        <f>IF(tbRegistroEntradas[[#This Row],[DATA DE CAIXA REALIZADO]]="N/A","0",UPPER(TEXT(tbRegistroEntradas[[#This Row],[DATA DE CAIXA REALIZADO]],"mmm")))</f>
        <v>JAN</v>
      </c>
      <c r="K497" s="57">
        <f>IF(tbRegistroEntradas[[#This Row],[DATA DE CAIXA REALIZADO]]="N/A",0,YEAR(tbRegistroEntradas[[#This Row],[DATA DE CAIXA REALIZADO]]))</f>
        <v>2023</v>
      </c>
      <c r="L497" s="58" t="str">
        <f>IF(tbRegistroEntradas[[#This Row],[DATA DA COMPETÊNCIA]]="N/A","0",UPPER(TEXT(tbRegistroEntradas[[#This Row],[DATA DA COMPETÊNCIA]],"mmm")))</f>
        <v>DEZ</v>
      </c>
      <c r="M497" s="58">
        <f>IF(tbRegistroEntradas[[#This Row],[DATA DA COMPETÊNCIA]]="N/A",0,YEAR(tbRegistroEntradas[[#This Row],[DATA DA COMPETÊNCIA]]))</f>
        <v>2022</v>
      </c>
      <c r="N497" s="58" t="str">
        <f>IF(tbRegistroEntradas[[#This Row],[DATA DO CAIXA PREVISTO]]="N/A","0",UPPER(TEXT(tbRegistroEntradas[[#This Row],[DATA DO CAIXA PREVISTO]],"mmm")))</f>
        <v>DEZ</v>
      </c>
      <c r="O497" s="58">
        <f>IF(tbRegistroEntradas[[#This Row],[DATA DO CAIXA PREVISTO]]="N/A",0,YEAR(tbRegistroEntradas[[#This Row],[DATA DO CAIXA PREVISTO]]))</f>
        <v>2022</v>
      </c>
      <c r="P497" s="58" t="str">
        <f ca="1">IF(AND(tbRegistroEntradas[[#This Row],[DATA DE CAIXA REALIZADO]]="N/A",tbRegistroEntradas[[#This Row],[DATA DO CAIXA PREVISTO]]&lt;TODAY()),"Vencida","Não Vencida")</f>
        <v>Não Vencida</v>
      </c>
      <c r="Q497" s="58" t="str">
        <f>IF(tbRegistroEntradas[[#This Row],[DATA DA COMPETÊNCIA]]=tbRegistroEntradas[[#This Row],[DATA DO CAIXA PREVISTO]],"Vista","Prazo")</f>
        <v>Prazo</v>
      </c>
      <c r="R497" s="58" t="str">
        <f>IF(tbRegistroEntradas[[#This Row],[DATA DE CAIXA REALIZADO]]&lt;&gt;"N/A","Em Dia","Com atraso")</f>
        <v>Em Dia</v>
      </c>
    </row>
    <row r="498" spans="1:18" s="52" customFormat="1" ht="14.4" customHeight="1" x14ac:dyDescent="0.3">
      <c r="A498" s="49">
        <v>44931</v>
      </c>
      <c r="B498" s="49">
        <f>A498-31</f>
        <v>44900</v>
      </c>
      <c r="C498" s="49">
        <f>(A498-B498)+B498-15</f>
        <v>44916</v>
      </c>
      <c r="D498" s="52" t="s">
        <v>67</v>
      </c>
      <c r="E498" s="52" t="s">
        <v>12</v>
      </c>
      <c r="F498" s="52" t="s">
        <v>19</v>
      </c>
      <c r="G498" s="52" t="s">
        <v>888</v>
      </c>
      <c r="H498" s="52" t="s">
        <v>131</v>
      </c>
      <c r="I498" s="18">
        <v>1358</v>
      </c>
      <c r="J498" s="110" t="str">
        <f>IF(tbRegistroEntradas[[#This Row],[DATA DE CAIXA REALIZADO]]="N/A","0",UPPER(TEXT(tbRegistroEntradas[[#This Row],[DATA DE CAIXA REALIZADO]],"mmm")))</f>
        <v>JAN</v>
      </c>
      <c r="K498" s="57">
        <f>IF(tbRegistroEntradas[[#This Row],[DATA DE CAIXA REALIZADO]]="N/A",0,YEAR(tbRegistroEntradas[[#This Row],[DATA DE CAIXA REALIZADO]]))</f>
        <v>2023</v>
      </c>
      <c r="L498" s="58" t="str">
        <f>IF(tbRegistroEntradas[[#This Row],[DATA DA COMPETÊNCIA]]="N/A","0",UPPER(TEXT(tbRegistroEntradas[[#This Row],[DATA DA COMPETÊNCIA]],"mmm")))</f>
        <v>DEZ</v>
      </c>
      <c r="M498" s="58">
        <f>IF(tbRegistroEntradas[[#This Row],[DATA DA COMPETÊNCIA]]="N/A",0,YEAR(tbRegistroEntradas[[#This Row],[DATA DA COMPETÊNCIA]]))</f>
        <v>2022</v>
      </c>
      <c r="N498" s="58" t="str">
        <f>IF(tbRegistroEntradas[[#This Row],[DATA DO CAIXA PREVISTO]]="N/A","0",UPPER(TEXT(tbRegistroEntradas[[#This Row],[DATA DO CAIXA PREVISTO]],"mmm")))</f>
        <v>DEZ</v>
      </c>
      <c r="O498" s="58">
        <f>IF(tbRegistroEntradas[[#This Row],[DATA DO CAIXA PREVISTO]]="N/A",0,YEAR(tbRegistroEntradas[[#This Row],[DATA DO CAIXA PREVISTO]]))</f>
        <v>2022</v>
      </c>
      <c r="P498" s="58" t="str">
        <f ca="1">IF(AND(tbRegistroEntradas[[#This Row],[DATA DE CAIXA REALIZADO]]="N/A",tbRegistroEntradas[[#This Row],[DATA DO CAIXA PREVISTO]]&lt;TODAY()),"Vencida","Não Vencida")</f>
        <v>Não Vencida</v>
      </c>
      <c r="Q498" s="58" t="str">
        <f>IF(tbRegistroEntradas[[#This Row],[DATA DA COMPETÊNCIA]]=tbRegistroEntradas[[#This Row],[DATA DO CAIXA PREVISTO]],"Vista","Prazo")</f>
        <v>Prazo</v>
      </c>
      <c r="R498" s="58" t="str">
        <f>IF(tbRegistroEntradas[[#This Row],[DATA DE CAIXA REALIZADO]]&lt;&gt;"N/A","Em Dia","Com atraso")</f>
        <v>Em Dia</v>
      </c>
    </row>
    <row r="499" spans="1:18" s="52" customFormat="1" ht="14.4" customHeight="1" x14ac:dyDescent="0.3">
      <c r="A499" s="113">
        <v>45005.142245370371</v>
      </c>
      <c r="B499" s="115">
        <v>44901</v>
      </c>
      <c r="C499" s="115">
        <v>44948.390613425923</v>
      </c>
      <c r="D499" s="116" t="s">
        <v>137</v>
      </c>
      <c r="E499" s="116" t="s">
        <v>12</v>
      </c>
      <c r="F499" s="116" t="s">
        <v>19</v>
      </c>
      <c r="G499" s="116" t="s">
        <v>304</v>
      </c>
      <c r="H499" s="52" t="s">
        <v>107</v>
      </c>
      <c r="I499" s="120">
        <v>1209</v>
      </c>
      <c r="J499" s="55" t="str">
        <f>IF(tbRegistroEntradas[[#This Row],[DATA DE CAIXA REALIZADO]]="N/A","0",UPPER(TEXT(tbRegistroEntradas[[#This Row],[DATA DE CAIXA REALIZADO]],"mmm")))</f>
        <v>MAR</v>
      </c>
      <c r="K499" s="58">
        <f>IF(tbRegistroEntradas[[#This Row],[DATA DE CAIXA REALIZADO]]="N/A",0,YEAR(tbRegistroEntradas[[#This Row],[DATA DE CAIXA REALIZADO]]))</f>
        <v>2023</v>
      </c>
      <c r="L499" s="79" t="str">
        <f>IF(tbRegistroEntradas[[#This Row],[DATA DA COMPETÊNCIA]]="N/A","0",UPPER(TEXT(tbRegistroEntradas[[#This Row],[DATA DA COMPETÊNCIA]],"mmm")))</f>
        <v>DEZ</v>
      </c>
      <c r="M499" s="79">
        <f>IF(tbRegistroEntradas[[#This Row],[DATA DA COMPETÊNCIA]]="N/A",0,YEAR(tbRegistroEntradas[[#This Row],[DATA DA COMPETÊNCIA]]))</f>
        <v>2022</v>
      </c>
      <c r="N499" s="84" t="str">
        <f>IF(tbRegistroEntradas[[#This Row],[DATA DO CAIXA PREVISTO]]="N/A","0",UPPER(TEXT(tbRegistroEntradas[[#This Row],[DATA DO CAIXA PREVISTO]],"mmm")))</f>
        <v>JAN</v>
      </c>
      <c r="O499" s="84">
        <f>IF(tbRegistroEntradas[[#This Row],[DATA DO CAIXA PREVISTO]]="N/A",0,YEAR(tbRegistroEntradas[[#This Row],[DATA DO CAIXA PREVISTO]]))</f>
        <v>2023</v>
      </c>
      <c r="P499" s="58" t="str">
        <f ca="1">IF(AND(tbRegistroEntradas[[#This Row],[DATA DE CAIXA REALIZADO]]="N/A",tbRegistroEntradas[[#This Row],[DATA DO CAIXA PREVISTO]]&lt;TODAY()),"Vencida","Não Vencida")</f>
        <v>Não Vencida</v>
      </c>
      <c r="Q499" s="58" t="str">
        <f>IF(tbRegistroEntradas[[#This Row],[DATA DA COMPETÊNCIA]]=tbRegistroEntradas[[#This Row],[DATA DO CAIXA PREVISTO]],"Vista","Prazo")</f>
        <v>Prazo</v>
      </c>
      <c r="R499" s="58" t="str">
        <f>IF(tbRegistroEntradas[[#This Row],[DATA DE CAIXA REALIZADO]]&lt;&gt;"N/A","Em Dia","Com atraso")</f>
        <v>Em Dia</v>
      </c>
    </row>
    <row r="500" spans="1:18" s="52" customFormat="1" ht="14.4" customHeight="1" x14ac:dyDescent="0.3">
      <c r="A500" s="125">
        <v>44934</v>
      </c>
      <c r="B500" s="125">
        <f>A500-31</f>
        <v>44903</v>
      </c>
      <c r="C500" s="125">
        <f>(A500-B500)+B500-15</f>
        <v>44919</v>
      </c>
      <c r="D500" s="126" t="s">
        <v>67</v>
      </c>
      <c r="E500" s="126" t="s">
        <v>12</v>
      </c>
      <c r="F500" s="126" t="s">
        <v>17</v>
      </c>
      <c r="G500" s="126" t="s">
        <v>695</v>
      </c>
      <c r="H500" s="52" t="s">
        <v>134</v>
      </c>
      <c r="I500" s="127">
        <v>4357</v>
      </c>
      <c r="J500" s="110" t="str">
        <f>IF(tbRegistroEntradas[[#This Row],[DATA DE CAIXA REALIZADO]]="N/A","0",UPPER(TEXT(tbRegistroEntradas[[#This Row],[DATA DE CAIXA REALIZADO]],"mmm")))</f>
        <v>JAN</v>
      </c>
      <c r="K500" s="57">
        <f>IF(tbRegistroEntradas[[#This Row],[DATA DE CAIXA REALIZADO]]="N/A",0,YEAR(tbRegistroEntradas[[#This Row],[DATA DE CAIXA REALIZADO]]))</f>
        <v>2023</v>
      </c>
      <c r="L500" s="58" t="str">
        <f>IF(tbRegistroEntradas[[#This Row],[DATA DA COMPETÊNCIA]]="N/A","0",UPPER(TEXT(tbRegistroEntradas[[#This Row],[DATA DA COMPETÊNCIA]],"mmm")))</f>
        <v>DEZ</v>
      </c>
      <c r="M500" s="58">
        <f>IF(tbRegistroEntradas[[#This Row],[DATA DA COMPETÊNCIA]]="N/A",0,YEAR(tbRegistroEntradas[[#This Row],[DATA DA COMPETÊNCIA]]))</f>
        <v>2022</v>
      </c>
      <c r="N500" s="58" t="str">
        <f>IF(tbRegistroEntradas[[#This Row],[DATA DO CAIXA PREVISTO]]="N/A","0",UPPER(TEXT(tbRegistroEntradas[[#This Row],[DATA DO CAIXA PREVISTO]],"mmm")))</f>
        <v>DEZ</v>
      </c>
      <c r="O500" s="58">
        <f>IF(tbRegistroEntradas[[#This Row],[DATA DO CAIXA PREVISTO]]="N/A",0,YEAR(tbRegistroEntradas[[#This Row],[DATA DO CAIXA PREVISTO]]))</f>
        <v>2022</v>
      </c>
      <c r="P500" s="58" t="str">
        <f ca="1">IF(AND(tbRegistroEntradas[[#This Row],[DATA DE CAIXA REALIZADO]]="N/A",tbRegistroEntradas[[#This Row],[DATA DO CAIXA PREVISTO]]&lt;TODAY()),"Vencida","Não Vencida")</f>
        <v>Não Vencida</v>
      </c>
      <c r="Q500" s="58" t="str">
        <f>IF(tbRegistroEntradas[[#This Row],[DATA DA COMPETÊNCIA]]=tbRegistroEntradas[[#This Row],[DATA DO CAIXA PREVISTO]],"Vista","Prazo")</f>
        <v>Prazo</v>
      </c>
      <c r="R500" s="58" t="str">
        <f>IF(tbRegistroEntradas[[#This Row],[DATA DE CAIXA REALIZADO]]&lt;&gt;"N/A","Em Dia","Com atraso")</f>
        <v>Em Dia</v>
      </c>
    </row>
    <row r="501" spans="1:18" s="52" customFormat="1" ht="14.4" customHeight="1" x14ac:dyDescent="0.3">
      <c r="A501" s="49">
        <v>44936</v>
      </c>
      <c r="B501" s="49">
        <f>A501-31</f>
        <v>44905</v>
      </c>
      <c r="C501" s="125">
        <f>tbRegistroEntradas[[#This Row],[DATA DA COMPETÊNCIA]]</f>
        <v>44905</v>
      </c>
      <c r="D501" s="52" t="s">
        <v>65</v>
      </c>
      <c r="E501" s="52" t="s">
        <v>12</v>
      </c>
      <c r="F501" s="52" t="s">
        <v>32</v>
      </c>
      <c r="G501" s="52" t="s">
        <v>1084</v>
      </c>
      <c r="H501" s="52" t="s">
        <v>122</v>
      </c>
      <c r="I501" s="18">
        <v>3680</v>
      </c>
      <c r="J501" s="110" t="str">
        <f>IF(tbRegistroEntradas[[#This Row],[DATA DE CAIXA REALIZADO]]="N/A","0",UPPER(TEXT(tbRegistroEntradas[[#This Row],[DATA DE CAIXA REALIZADO]],"mmm")))</f>
        <v>JAN</v>
      </c>
      <c r="K501" s="57">
        <f>IF(tbRegistroEntradas[[#This Row],[DATA DE CAIXA REALIZADO]]="N/A",0,YEAR(tbRegistroEntradas[[#This Row],[DATA DE CAIXA REALIZADO]]))</f>
        <v>2023</v>
      </c>
      <c r="L501" s="58" t="str">
        <f>IF(tbRegistroEntradas[[#This Row],[DATA DA COMPETÊNCIA]]="N/A","0",UPPER(TEXT(tbRegistroEntradas[[#This Row],[DATA DA COMPETÊNCIA]],"mmm")))</f>
        <v>DEZ</v>
      </c>
      <c r="M501" s="58">
        <f>IF(tbRegistroEntradas[[#This Row],[DATA DA COMPETÊNCIA]]="N/A",0,YEAR(tbRegistroEntradas[[#This Row],[DATA DA COMPETÊNCIA]]))</f>
        <v>2022</v>
      </c>
      <c r="N501" s="58" t="str">
        <f>IF(tbRegistroEntradas[[#This Row],[DATA DO CAIXA PREVISTO]]="N/A","0",UPPER(TEXT(tbRegistroEntradas[[#This Row],[DATA DO CAIXA PREVISTO]],"mmm")))</f>
        <v>DEZ</v>
      </c>
      <c r="O501" s="58">
        <f>IF(tbRegistroEntradas[[#This Row],[DATA DO CAIXA PREVISTO]]="N/A",0,YEAR(tbRegistroEntradas[[#This Row],[DATA DO CAIXA PREVISTO]]))</f>
        <v>2022</v>
      </c>
      <c r="P501" s="58" t="str">
        <f ca="1">IF(AND(tbRegistroEntradas[[#This Row],[DATA DE CAIXA REALIZADO]]="N/A",tbRegistroEntradas[[#This Row],[DATA DO CAIXA PREVISTO]]&lt;TODAY()),"Vencida","Não Vencida")</f>
        <v>Não Vencida</v>
      </c>
      <c r="Q501" s="58" t="str">
        <f>IF(tbRegistroEntradas[[#This Row],[DATA DA COMPETÊNCIA]]=tbRegistroEntradas[[#This Row],[DATA DO CAIXA PREVISTO]],"Vista","Prazo")</f>
        <v>Vista</v>
      </c>
      <c r="R501" s="58" t="str">
        <f>IF(tbRegistroEntradas[[#This Row],[DATA DE CAIXA REALIZADO]]&lt;&gt;"N/A","Em Dia","Com atraso")</f>
        <v>Em Dia</v>
      </c>
    </row>
    <row r="502" spans="1:18" s="52" customFormat="1" ht="14.4" customHeight="1" x14ac:dyDescent="0.3">
      <c r="A502" s="112" t="s">
        <v>141</v>
      </c>
      <c r="B502" s="114">
        <v>44905</v>
      </c>
      <c r="C502" s="125">
        <f>tbRegistroEntradas[[#This Row],[DATA DA COMPETÊNCIA]]</f>
        <v>44905</v>
      </c>
      <c r="D502" s="55" t="s">
        <v>137</v>
      </c>
      <c r="E502" s="55" t="s">
        <v>12</v>
      </c>
      <c r="F502" s="55" t="s">
        <v>32</v>
      </c>
      <c r="G502" s="55" t="s">
        <v>305</v>
      </c>
      <c r="H502" s="110" t="s">
        <v>104</v>
      </c>
      <c r="I502" s="119">
        <v>483</v>
      </c>
      <c r="J502" s="55" t="str">
        <f>IF(tbRegistroEntradas[[#This Row],[DATA DE CAIXA REALIZADO]]="N/A","0",UPPER(TEXT(tbRegistroEntradas[[#This Row],[DATA DE CAIXA REALIZADO]],"mmm")))</f>
        <v>0</v>
      </c>
      <c r="K502" s="58">
        <f>IF(tbRegistroEntradas[[#This Row],[DATA DE CAIXA REALIZADO]]="N/A",0,YEAR(tbRegistroEntradas[[#This Row],[DATA DE CAIXA REALIZADO]]))</f>
        <v>0</v>
      </c>
      <c r="L502" s="79" t="str">
        <f>IF(tbRegistroEntradas[[#This Row],[DATA DA COMPETÊNCIA]]="N/A","0",UPPER(TEXT(tbRegistroEntradas[[#This Row],[DATA DA COMPETÊNCIA]],"mmm")))</f>
        <v>DEZ</v>
      </c>
      <c r="M502" s="79">
        <f>IF(tbRegistroEntradas[[#This Row],[DATA DA COMPETÊNCIA]]="N/A",0,YEAR(tbRegistroEntradas[[#This Row],[DATA DA COMPETÊNCIA]]))</f>
        <v>2022</v>
      </c>
      <c r="N502" s="84" t="str">
        <f>IF(tbRegistroEntradas[[#This Row],[DATA DO CAIXA PREVISTO]]="N/A","0",UPPER(TEXT(tbRegistroEntradas[[#This Row],[DATA DO CAIXA PREVISTO]],"mmm")))</f>
        <v>DEZ</v>
      </c>
      <c r="O502" s="84">
        <f>IF(tbRegistroEntradas[[#This Row],[DATA DO CAIXA PREVISTO]]="N/A",0,YEAR(tbRegistroEntradas[[#This Row],[DATA DO CAIXA PREVISTO]]))</f>
        <v>2022</v>
      </c>
      <c r="P502" s="58" t="str">
        <f ca="1">IF(AND(tbRegistroEntradas[[#This Row],[DATA DE CAIXA REALIZADO]]="N/A",tbRegistroEntradas[[#This Row],[DATA DO CAIXA PREVISTO]]&lt;TODAY()),"Vencida","Não Vencida")</f>
        <v>Vencida</v>
      </c>
      <c r="Q502" s="58" t="str">
        <f>IF(tbRegistroEntradas[[#This Row],[DATA DA COMPETÊNCIA]]=tbRegistroEntradas[[#This Row],[DATA DO CAIXA PREVISTO]],"Vista","Prazo")</f>
        <v>Vista</v>
      </c>
      <c r="R502" s="58" t="str">
        <f>IF(tbRegistroEntradas[[#This Row],[DATA DE CAIXA REALIZADO]]&lt;&gt;"N/A","Em Dia","Com atraso")</f>
        <v>Com atraso</v>
      </c>
    </row>
    <row r="503" spans="1:18" s="52" customFormat="1" ht="14.4" customHeight="1" x14ac:dyDescent="0.3">
      <c r="A503" s="125">
        <v>44941</v>
      </c>
      <c r="B503" s="125">
        <f>A503-31</f>
        <v>44910</v>
      </c>
      <c r="C503" s="125">
        <f>(A503-B503)+B503-15</f>
        <v>44926</v>
      </c>
      <c r="D503" s="126" t="s">
        <v>67</v>
      </c>
      <c r="E503" s="126" t="s">
        <v>12</v>
      </c>
      <c r="F503" s="126" t="s">
        <v>32</v>
      </c>
      <c r="G503" s="126" t="s">
        <v>843</v>
      </c>
      <c r="H503" s="52" t="s">
        <v>70</v>
      </c>
      <c r="I503" s="127">
        <v>2761</v>
      </c>
      <c r="J503" s="110" t="str">
        <f>IF(tbRegistroEntradas[[#This Row],[DATA DE CAIXA REALIZADO]]="N/A","0",UPPER(TEXT(tbRegistroEntradas[[#This Row],[DATA DE CAIXA REALIZADO]],"mmm")))</f>
        <v>JAN</v>
      </c>
      <c r="K503" s="57">
        <f>IF(tbRegistroEntradas[[#This Row],[DATA DE CAIXA REALIZADO]]="N/A",0,YEAR(tbRegistroEntradas[[#This Row],[DATA DE CAIXA REALIZADO]]))</f>
        <v>2023</v>
      </c>
      <c r="L503" s="58" t="str">
        <f>IF(tbRegistroEntradas[[#This Row],[DATA DA COMPETÊNCIA]]="N/A","0",UPPER(TEXT(tbRegistroEntradas[[#This Row],[DATA DA COMPETÊNCIA]],"mmm")))</f>
        <v>DEZ</v>
      </c>
      <c r="M503" s="58">
        <f>IF(tbRegistroEntradas[[#This Row],[DATA DA COMPETÊNCIA]]="N/A",0,YEAR(tbRegistroEntradas[[#This Row],[DATA DA COMPETÊNCIA]]))</f>
        <v>2022</v>
      </c>
      <c r="N503" s="58" t="str">
        <f>IF(tbRegistroEntradas[[#This Row],[DATA DO CAIXA PREVISTO]]="N/A","0",UPPER(TEXT(tbRegistroEntradas[[#This Row],[DATA DO CAIXA PREVISTO]],"mmm")))</f>
        <v>DEZ</v>
      </c>
      <c r="O503" s="58">
        <f>IF(tbRegistroEntradas[[#This Row],[DATA DO CAIXA PREVISTO]]="N/A",0,YEAR(tbRegistroEntradas[[#This Row],[DATA DO CAIXA PREVISTO]]))</f>
        <v>2022</v>
      </c>
      <c r="P503" s="58" t="str">
        <f ca="1">IF(AND(tbRegistroEntradas[[#This Row],[DATA DE CAIXA REALIZADO]]="N/A",tbRegistroEntradas[[#This Row],[DATA DO CAIXA PREVISTO]]&lt;TODAY()),"Vencida","Não Vencida")</f>
        <v>Não Vencida</v>
      </c>
      <c r="Q503" s="58" t="str">
        <f>IF(tbRegistroEntradas[[#This Row],[DATA DA COMPETÊNCIA]]=tbRegistroEntradas[[#This Row],[DATA DO CAIXA PREVISTO]],"Vista","Prazo")</f>
        <v>Prazo</v>
      </c>
      <c r="R503" s="58" t="str">
        <f>IF(tbRegistroEntradas[[#This Row],[DATA DE CAIXA REALIZADO]]&lt;&gt;"N/A","Em Dia","Com atraso")</f>
        <v>Em Dia</v>
      </c>
    </row>
    <row r="504" spans="1:18" s="52" customFormat="1" ht="14.4" customHeight="1" x14ac:dyDescent="0.3">
      <c r="A504" s="113">
        <v>44930.404641203706</v>
      </c>
      <c r="B504" s="115">
        <v>44912</v>
      </c>
      <c r="C504" s="115">
        <v>44930.404641203706</v>
      </c>
      <c r="D504" s="116" t="s">
        <v>62</v>
      </c>
      <c r="E504" s="116" t="s">
        <v>12</v>
      </c>
      <c r="F504" s="116" t="s">
        <v>19</v>
      </c>
      <c r="G504" s="116" t="s">
        <v>306</v>
      </c>
      <c r="H504" s="143" t="s">
        <v>91</v>
      </c>
      <c r="I504" s="120">
        <v>373</v>
      </c>
      <c r="J504" s="55" t="str">
        <f>IF(tbRegistroEntradas[[#This Row],[DATA DE CAIXA REALIZADO]]="N/A","0",UPPER(TEXT(tbRegistroEntradas[[#This Row],[DATA DE CAIXA REALIZADO]],"mmm")))</f>
        <v>JAN</v>
      </c>
      <c r="K504" s="58">
        <f>IF(tbRegistroEntradas[[#This Row],[DATA DE CAIXA REALIZADO]]="N/A",0,YEAR(tbRegistroEntradas[[#This Row],[DATA DE CAIXA REALIZADO]]))</f>
        <v>2023</v>
      </c>
      <c r="L504" s="79" t="str">
        <f>IF(tbRegistroEntradas[[#This Row],[DATA DA COMPETÊNCIA]]="N/A","0",UPPER(TEXT(tbRegistroEntradas[[#This Row],[DATA DA COMPETÊNCIA]],"mmm")))</f>
        <v>DEZ</v>
      </c>
      <c r="M504" s="79">
        <f>IF(tbRegistroEntradas[[#This Row],[DATA DA COMPETÊNCIA]]="N/A",0,YEAR(tbRegistroEntradas[[#This Row],[DATA DA COMPETÊNCIA]]))</f>
        <v>2022</v>
      </c>
      <c r="N504" s="84" t="str">
        <f>IF(tbRegistroEntradas[[#This Row],[DATA DO CAIXA PREVISTO]]="N/A","0",UPPER(TEXT(tbRegistroEntradas[[#This Row],[DATA DO CAIXA PREVISTO]],"mmm")))</f>
        <v>JAN</v>
      </c>
      <c r="O504" s="84">
        <f>IF(tbRegistroEntradas[[#This Row],[DATA DO CAIXA PREVISTO]]="N/A",0,YEAR(tbRegistroEntradas[[#This Row],[DATA DO CAIXA PREVISTO]]))</f>
        <v>2023</v>
      </c>
      <c r="P504" s="58" t="str">
        <f ca="1">IF(AND(tbRegistroEntradas[[#This Row],[DATA DE CAIXA REALIZADO]]="N/A",tbRegistroEntradas[[#This Row],[DATA DO CAIXA PREVISTO]]&lt;TODAY()),"Vencida","Não Vencida")</f>
        <v>Não Vencida</v>
      </c>
      <c r="Q504" s="58" t="str">
        <f>IF(tbRegistroEntradas[[#This Row],[DATA DA COMPETÊNCIA]]=tbRegistroEntradas[[#This Row],[DATA DO CAIXA PREVISTO]],"Vista","Prazo")</f>
        <v>Prazo</v>
      </c>
      <c r="R504" s="58" t="str">
        <f>IF(tbRegistroEntradas[[#This Row],[DATA DE CAIXA REALIZADO]]&lt;&gt;"N/A","Em Dia","Com atraso")</f>
        <v>Em Dia</v>
      </c>
    </row>
    <row r="505" spans="1:18" s="52" customFormat="1" ht="14.4" customHeight="1" x14ac:dyDescent="0.3">
      <c r="A505" s="49">
        <v>44944</v>
      </c>
      <c r="B505" s="49">
        <f>A505-31</f>
        <v>44913</v>
      </c>
      <c r="C505" s="125">
        <f>tbRegistroEntradas[[#This Row],[DATA DA COMPETÊNCIA]]</f>
        <v>44913</v>
      </c>
      <c r="D505" s="52" t="s">
        <v>63</v>
      </c>
      <c r="E505" s="52" t="s">
        <v>12</v>
      </c>
      <c r="F505" s="52" t="s">
        <v>32</v>
      </c>
      <c r="G505" s="52" t="s">
        <v>854</v>
      </c>
      <c r="H505" s="52" t="s">
        <v>69</v>
      </c>
      <c r="I505" s="18">
        <v>2381</v>
      </c>
      <c r="J505" s="110" t="str">
        <f>IF(tbRegistroEntradas[[#This Row],[DATA DE CAIXA REALIZADO]]="N/A","0",UPPER(TEXT(tbRegistroEntradas[[#This Row],[DATA DE CAIXA REALIZADO]],"mmm")))</f>
        <v>JAN</v>
      </c>
      <c r="K505" s="57">
        <f>IF(tbRegistroEntradas[[#This Row],[DATA DE CAIXA REALIZADO]]="N/A",0,YEAR(tbRegistroEntradas[[#This Row],[DATA DE CAIXA REALIZADO]]))</f>
        <v>2023</v>
      </c>
      <c r="L505" s="58" t="str">
        <f>IF(tbRegistroEntradas[[#This Row],[DATA DA COMPETÊNCIA]]="N/A","0",UPPER(TEXT(tbRegistroEntradas[[#This Row],[DATA DA COMPETÊNCIA]],"mmm")))</f>
        <v>DEZ</v>
      </c>
      <c r="M505" s="58">
        <f>IF(tbRegistroEntradas[[#This Row],[DATA DA COMPETÊNCIA]]="N/A",0,YEAR(tbRegistroEntradas[[#This Row],[DATA DA COMPETÊNCIA]]))</f>
        <v>2022</v>
      </c>
      <c r="N505" s="58" t="str">
        <f>IF(tbRegistroEntradas[[#This Row],[DATA DO CAIXA PREVISTO]]="N/A","0",UPPER(TEXT(tbRegistroEntradas[[#This Row],[DATA DO CAIXA PREVISTO]],"mmm")))</f>
        <v>DEZ</v>
      </c>
      <c r="O505" s="58">
        <f>IF(tbRegistroEntradas[[#This Row],[DATA DO CAIXA PREVISTO]]="N/A",0,YEAR(tbRegistroEntradas[[#This Row],[DATA DO CAIXA PREVISTO]]))</f>
        <v>2022</v>
      </c>
      <c r="P505" s="58" t="str">
        <f ca="1">IF(AND(tbRegistroEntradas[[#This Row],[DATA DE CAIXA REALIZADO]]="N/A",tbRegistroEntradas[[#This Row],[DATA DO CAIXA PREVISTO]]&lt;TODAY()),"Vencida","Não Vencida")</f>
        <v>Não Vencida</v>
      </c>
      <c r="Q505" s="58" t="str">
        <f>IF(tbRegistroEntradas[[#This Row],[DATA DA COMPETÊNCIA]]=tbRegistroEntradas[[#This Row],[DATA DO CAIXA PREVISTO]],"Vista","Prazo")</f>
        <v>Vista</v>
      </c>
      <c r="R505" s="58" t="str">
        <f>IF(tbRegistroEntradas[[#This Row],[DATA DE CAIXA REALIZADO]]&lt;&gt;"N/A","Em Dia","Com atraso")</f>
        <v>Em Dia</v>
      </c>
    </row>
    <row r="506" spans="1:18" s="52" customFormat="1" ht="14.4" customHeight="1" x14ac:dyDescent="0.3">
      <c r="A506" s="125">
        <v>44945</v>
      </c>
      <c r="B506" s="125">
        <f>A506-31</f>
        <v>44914</v>
      </c>
      <c r="C506" s="125">
        <f>(A506-B506)+B506-15</f>
        <v>44930</v>
      </c>
      <c r="D506" s="126" t="s">
        <v>61</v>
      </c>
      <c r="E506" s="126" t="s">
        <v>12</v>
      </c>
      <c r="F506" s="126" t="s">
        <v>32</v>
      </c>
      <c r="G506" s="126" t="s">
        <v>562</v>
      </c>
      <c r="H506" s="52" t="s">
        <v>80</v>
      </c>
      <c r="I506" s="127">
        <v>6436</v>
      </c>
      <c r="J506" s="110" t="str">
        <f>IF(tbRegistroEntradas[[#This Row],[DATA DE CAIXA REALIZADO]]="N/A","0",UPPER(TEXT(tbRegistroEntradas[[#This Row],[DATA DE CAIXA REALIZADO]],"mmm")))</f>
        <v>JAN</v>
      </c>
      <c r="K506" s="57">
        <f>IF(tbRegistroEntradas[[#This Row],[DATA DE CAIXA REALIZADO]]="N/A",0,YEAR(tbRegistroEntradas[[#This Row],[DATA DE CAIXA REALIZADO]]))</f>
        <v>2023</v>
      </c>
      <c r="L506" s="58" t="str">
        <f>IF(tbRegistroEntradas[[#This Row],[DATA DA COMPETÊNCIA]]="N/A","0",UPPER(TEXT(tbRegistroEntradas[[#This Row],[DATA DA COMPETÊNCIA]],"mmm")))</f>
        <v>DEZ</v>
      </c>
      <c r="M506" s="58">
        <f>IF(tbRegistroEntradas[[#This Row],[DATA DA COMPETÊNCIA]]="N/A",0,YEAR(tbRegistroEntradas[[#This Row],[DATA DA COMPETÊNCIA]]))</f>
        <v>2022</v>
      </c>
      <c r="N506" s="58" t="str">
        <f>IF(tbRegistroEntradas[[#This Row],[DATA DO CAIXA PREVISTO]]="N/A","0",UPPER(TEXT(tbRegistroEntradas[[#This Row],[DATA DO CAIXA PREVISTO]],"mmm")))</f>
        <v>JAN</v>
      </c>
      <c r="O506" s="58">
        <f>IF(tbRegistroEntradas[[#This Row],[DATA DO CAIXA PREVISTO]]="N/A",0,YEAR(tbRegistroEntradas[[#This Row],[DATA DO CAIXA PREVISTO]]))</f>
        <v>2023</v>
      </c>
      <c r="P506" s="58" t="str">
        <f ca="1">IF(AND(tbRegistroEntradas[[#This Row],[DATA DE CAIXA REALIZADO]]="N/A",tbRegistroEntradas[[#This Row],[DATA DO CAIXA PREVISTO]]&lt;TODAY()),"Vencida","Não Vencida")</f>
        <v>Não Vencida</v>
      </c>
      <c r="Q506" s="58" t="str">
        <f>IF(tbRegistroEntradas[[#This Row],[DATA DA COMPETÊNCIA]]=tbRegistroEntradas[[#This Row],[DATA DO CAIXA PREVISTO]],"Vista","Prazo")</f>
        <v>Prazo</v>
      </c>
      <c r="R506" s="58" t="str">
        <f>IF(tbRegistroEntradas[[#This Row],[DATA DE CAIXA REALIZADO]]&lt;&gt;"N/A","Em Dia","Com atraso")</f>
        <v>Em Dia</v>
      </c>
    </row>
    <row r="507" spans="1:18" ht="14.4" customHeight="1" x14ac:dyDescent="0.3">
      <c r="A507" s="111">
        <v>44946</v>
      </c>
      <c r="B507" s="111">
        <f>A507-31</f>
        <v>44915</v>
      </c>
      <c r="C507" s="111">
        <f>(A507-B507)+B507-15</f>
        <v>44931</v>
      </c>
      <c r="D507" s="109" t="s">
        <v>137</v>
      </c>
      <c r="E507" s="109" t="s">
        <v>12</v>
      </c>
      <c r="F507" s="109" t="s">
        <v>19</v>
      </c>
      <c r="G507" s="109" t="s">
        <v>726</v>
      </c>
      <c r="H507" s="52" t="s">
        <v>73</v>
      </c>
      <c r="I507" s="118">
        <v>6634</v>
      </c>
      <c r="J507" s="110" t="str">
        <f>IF(tbRegistroEntradas[[#This Row],[DATA DE CAIXA REALIZADO]]="N/A","0",UPPER(TEXT(tbRegistroEntradas[[#This Row],[DATA DE CAIXA REALIZADO]],"mmm")))</f>
        <v>JAN</v>
      </c>
      <c r="K507" s="57">
        <f>IF(tbRegistroEntradas[[#This Row],[DATA DE CAIXA REALIZADO]]="N/A",0,YEAR(tbRegistroEntradas[[#This Row],[DATA DE CAIXA REALIZADO]]))</f>
        <v>2023</v>
      </c>
      <c r="L507" s="58" t="str">
        <f>IF(tbRegistroEntradas[[#This Row],[DATA DA COMPETÊNCIA]]="N/A","0",UPPER(TEXT(tbRegistroEntradas[[#This Row],[DATA DA COMPETÊNCIA]],"mmm")))</f>
        <v>DEZ</v>
      </c>
      <c r="M507" s="58">
        <f>IF(tbRegistroEntradas[[#This Row],[DATA DA COMPETÊNCIA]]="N/A",0,YEAR(tbRegistroEntradas[[#This Row],[DATA DA COMPETÊNCIA]]))</f>
        <v>2022</v>
      </c>
      <c r="N507" s="58" t="str">
        <f>IF(tbRegistroEntradas[[#This Row],[DATA DO CAIXA PREVISTO]]="N/A","0",UPPER(TEXT(tbRegistroEntradas[[#This Row],[DATA DO CAIXA PREVISTO]],"mmm")))</f>
        <v>JAN</v>
      </c>
      <c r="O507" s="58">
        <f>IF(tbRegistroEntradas[[#This Row],[DATA DO CAIXA PREVISTO]]="N/A",0,YEAR(tbRegistroEntradas[[#This Row],[DATA DO CAIXA PREVISTO]]))</f>
        <v>2023</v>
      </c>
      <c r="P507" s="58" t="str">
        <f ca="1">IF(AND(tbRegistroEntradas[[#This Row],[DATA DE CAIXA REALIZADO]]="N/A",tbRegistroEntradas[[#This Row],[DATA DO CAIXA PREVISTO]]&lt;TODAY()),"Vencida","Não Vencida")</f>
        <v>Não Vencida</v>
      </c>
      <c r="Q507" s="58" t="str">
        <f>IF(tbRegistroEntradas[[#This Row],[DATA DA COMPETÊNCIA]]=tbRegistroEntradas[[#This Row],[DATA DO CAIXA PREVISTO]],"Vista","Prazo")</f>
        <v>Prazo</v>
      </c>
      <c r="R507" s="58" t="str">
        <f>IF(tbRegistroEntradas[[#This Row],[DATA DE CAIXA REALIZADO]]&lt;&gt;"N/A","Em Dia","Com atraso")</f>
        <v>Em Dia</v>
      </c>
    </row>
    <row r="508" spans="1:18" ht="14.4" customHeight="1" x14ac:dyDescent="0.3">
      <c r="A508" s="40">
        <v>44920.694212962961</v>
      </c>
      <c r="B508" s="41">
        <v>44915</v>
      </c>
      <c r="C508" s="41">
        <v>44920.694212962961</v>
      </c>
      <c r="D508" s="42" t="s">
        <v>64</v>
      </c>
      <c r="E508" s="42" t="s">
        <v>12</v>
      </c>
      <c r="F508" s="42" t="s">
        <v>17</v>
      </c>
      <c r="G508" s="42" t="s">
        <v>307</v>
      </c>
      <c r="H508" s="52" t="s">
        <v>109</v>
      </c>
      <c r="I508" s="121">
        <v>2088</v>
      </c>
      <c r="J508" s="55" t="str">
        <f>IF(tbRegistroEntradas[[#This Row],[DATA DE CAIXA REALIZADO]]="N/A","0",UPPER(TEXT(tbRegistroEntradas[[#This Row],[DATA DE CAIXA REALIZADO]],"mmm")))</f>
        <v>DEZ</v>
      </c>
      <c r="K508" s="58">
        <f>IF(tbRegistroEntradas[[#This Row],[DATA DE CAIXA REALIZADO]]="N/A",0,YEAR(tbRegistroEntradas[[#This Row],[DATA DE CAIXA REALIZADO]]))</f>
        <v>2022</v>
      </c>
      <c r="L508" s="79" t="str">
        <f>IF(tbRegistroEntradas[[#This Row],[DATA DA COMPETÊNCIA]]="N/A","0",UPPER(TEXT(tbRegistroEntradas[[#This Row],[DATA DA COMPETÊNCIA]],"mmm")))</f>
        <v>DEZ</v>
      </c>
      <c r="M508" s="79">
        <f>IF(tbRegistroEntradas[[#This Row],[DATA DA COMPETÊNCIA]]="N/A",0,YEAR(tbRegistroEntradas[[#This Row],[DATA DA COMPETÊNCIA]]))</f>
        <v>2022</v>
      </c>
      <c r="N508" s="84" t="str">
        <f>IF(tbRegistroEntradas[[#This Row],[DATA DO CAIXA PREVISTO]]="N/A","0",UPPER(TEXT(tbRegistroEntradas[[#This Row],[DATA DO CAIXA PREVISTO]],"mmm")))</f>
        <v>DEZ</v>
      </c>
      <c r="O508" s="84">
        <f>IF(tbRegistroEntradas[[#This Row],[DATA DO CAIXA PREVISTO]]="N/A",0,YEAR(tbRegistroEntradas[[#This Row],[DATA DO CAIXA PREVISTO]]))</f>
        <v>2022</v>
      </c>
      <c r="P508" s="58" t="str">
        <f ca="1">IF(AND(tbRegistroEntradas[[#This Row],[DATA DE CAIXA REALIZADO]]="N/A",tbRegistroEntradas[[#This Row],[DATA DO CAIXA PREVISTO]]&lt;TODAY()),"Vencida","Não Vencida")</f>
        <v>Não Vencida</v>
      </c>
      <c r="Q508" s="58" t="str">
        <f>IF(tbRegistroEntradas[[#This Row],[DATA DA COMPETÊNCIA]]=tbRegistroEntradas[[#This Row],[DATA DO CAIXA PREVISTO]],"Vista","Prazo")</f>
        <v>Prazo</v>
      </c>
      <c r="R508" s="58" t="str">
        <f>IF(tbRegistroEntradas[[#This Row],[DATA DE CAIXA REALIZADO]]&lt;&gt;"N/A","Em Dia","Com atraso")</f>
        <v>Em Dia</v>
      </c>
    </row>
    <row r="509" spans="1:18" ht="14.4" customHeight="1" x14ac:dyDescent="0.3">
      <c r="A509" s="43">
        <v>44958.817199074074</v>
      </c>
      <c r="B509" s="44">
        <v>44916</v>
      </c>
      <c r="C509" s="111">
        <f>tbRegistroEntradas[[#This Row],[DATA DA COMPETÊNCIA]]</f>
        <v>44916</v>
      </c>
      <c r="D509" s="35" t="s">
        <v>64</v>
      </c>
      <c r="E509" s="35" t="s">
        <v>12</v>
      </c>
      <c r="F509" s="35" t="s">
        <v>32</v>
      </c>
      <c r="G509" s="35" t="s">
        <v>308</v>
      </c>
      <c r="H509" s="52" t="s">
        <v>110</v>
      </c>
      <c r="I509" s="122">
        <v>1168</v>
      </c>
      <c r="J509" s="55" t="str">
        <f>IF(tbRegistroEntradas[[#This Row],[DATA DE CAIXA REALIZADO]]="N/A","0",UPPER(TEXT(tbRegistroEntradas[[#This Row],[DATA DE CAIXA REALIZADO]],"mmm")))</f>
        <v>FEV</v>
      </c>
      <c r="K509" s="58">
        <f>IF(tbRegistroEntradas[[#This Row],[DATA DE CAIXA REALIZADO]]="N/A",0,YEAR(tbRegistroEntradas[[#This Row],[DATA DE CAIXA REALIZADO]]))</f>
        <v>2023</v>
      </c>
      <c r="L509" s="79" t="str">
        <f>IF(tbRegistroEntradas[[#This Row],[DATA DA COMPETÊNCIA]]="N/A","0",UPPER(TEXT(tbRegistroEntradas[[#This Row],[DATA DA COMPETÊNCIA]],"mmm")))</f>
        <v>DEZ</v>
      </c>
      <c r="M509" s="79">
        <f>IF(tbRegistroEntradas[[#This Row],[DATA DA COMPETÊNCIA]]="N/A",0,YEAR(tbRegistroEntradas[[#This Row],[DATA DA COMPETÊNCIA]]))</f>
        <v>2022</v>
      </c>
      <c r="N509" s="84" t="str">
        <f>IF(tbRegistroEntradas[[#This Row],[DATA DO CAIXA PREVISTO]]="N/A","0",UPPER(TEXT(tbRegistroEntradas[[#This Row],[DATA DO CAIXA PREVISTO]],"mmm")))</f>
        <v>DEZ</v>
      </c>
      <c r="O509" s="84">
        <f>IF(tbRegistroEntradas[[#This Row],[DATA DO CAIXA PREVISTO]]="N/A",0,YEAR(tbRegistroEntradas[[#This Row],[DATA DO CAIXA PREVISTO]]))</f>
        <v>2022</v>
      </c>
      <c r="P509" s="58" t="str">
        <f ca="1">IF(AND(tbRegistroEntradas[[#This Row],[DATA DE CAIXA REALIZADO]]="N/A",tbRegistroEntradas[[#This Row],[DATA DO CAIXA PREVISTO]]&lt;TODAY()),"Vencida","Não Vencida")</f>
        <v>Não Vencida</v>
      </c>
      <c r="Q509" s="58" t="str">
        <f>IF(tbRegistroEntradas[[#This Row],[DATA DA COMPETÊNCIA]]=tbRegistroEntradas[[#This Row],[DATA DO CAIXA PREVISTO]],"Vista","Prazo")</f>
        <v>Vista</v>
      </c>
      <c r="R509" s="58" t="str">
        <f>IF(tbRegistroEntradas[[#This Row],[DATA DE CAIXA REALIZADO]]&lt;&gt;"N/A","Em Dia","Com atraso")</f>
        <v>Em Dia</v>
      </c>
    </row>
    <row r="510" spans="1:18" ht="14.4" customHeight="1" x14ac:dyDescent="0.3">
      <c r="A510" s="40">
        <v>45011.908171296294</v>
      </c>
      <c r="B510" s="41">
        <v>44918</v>
      </c>
      <c r="C510" s="41">
        <v>44954.89230324074</v>
      </c>
      <c r="D510" s="42" t="s">
        <v>64</v>
      </c>
      <c r="E510" s="42" t="s">
        <v>12</v>
      </c>
      <c r="F510" s="42" t="s">
        <v>32</v>
      </c>
      <c r="G510" s="42" t="s">
        <v>309</v>
      </c>
      <c r="H510" s="52" t="s">
        <v>111</v>
      </c>
      <c r="I510" s="121">
        <v>4429</v>
      </c>
      <c r="J510" s="55" t="str">
        <f>IF(tbRegistroEntradas[[#This Row],[DATA DE CAIXA REALIZADO]]="N/A","0",UPPER(TEXT(tbRegistroEntradas[[#This Row],[DATA DE CAIXA REALIZADO]],"mmm")))</f>
        <v>MAR</v>
      </c>
      <c r="K510" s="58">
        <f>IF(tbRegistroEntradas[[#This Row],[DATA DE CAIXA REALIZADO]]="N/A",0,YEAR(tbRegistroEntradas[[#This Row],[DATA DE CAIXA REALIZADO]]))</f>
        <v>2023</v>
      </c>
      <c r="L510" s="79" t="str">
        <f>IF(tbRegistroEntradas[[#This Row],[DATA DA COMPETÊNCIA]]="N/A","0",UPPER(TEXT(tbRegistroEntradas[[#This Row],[DATA DA COMPETÊNCIA]],"mmm")))</f>
        <v>DEZ</v>
      </c>
      <c r="M510" s="79">
        <f>IF(tbRegistroEntradas[[#This Row],[DATA DA COMPETÊNCIA]]="N/A",0,YEAR(tbRegistroEntradas[[#This Row],[DATA DA COMPETÊNCIA]]))</f>
        <v>2022</v>
      </c>
      <c r="N510" s="84" t="str">
        <f>IF(tbRegistroEntradas[[#This Row],[DATA DO CAIXA PREVISTO]]="N/A","0",UPPER(TEXT(tbRegistroEntradas[[#This Row],[DATA DO CAIXA PREVISTO]],"mmm")))</f>
        <v>JAN</v>
      </c>
      <c r="O510" s="84">
        <f>IF(tbRegistroEntradas[[#This Row],[DATA DO CAIXA PREVISTO]]="N/A",0,YEAR(tbRegistroEntradas[[#This Row],[DATA DO CAIXA PREVISTO]]))</f>
        <v>2023</v>
      </c>
      <c r="P510" s="58" t="str">
        <f ca="1">IF(AND(tbRegistroEntradas[[#This Row],[DATA DE CAIXA REALIZADO]]="N/A",tbRegistroEntradas[[#This Row],[DATA DO CAIXA PREVISTO]]&lt;TODAY()),"Vencida","Não Vencida")</f>
        <v>Não Vencida</v>
      </c>
      <c r="Q510" s="58" t="str">
        <f>IF(tbRegistroEntradas[[#This Row],[DATA DA COMPETÊNCIA]]=tbRegistroEntradas[[#This Row],[DATA DO CAIXA PREVISTO]],"Vista","Prazo")</f>
        <v>Prazo</v>
      </c>
      <c r="R510" s="58" t="str">
        <f>IF(tbRegistroEntradas[[#This Row],[DATA DE CAIXA REALIZADO]]&lt;&gt;"N/A","Em Dia","Com atraso")</f>
        <v>Em Dia</v>
      </c>
    </row>
    <row r="511" spans="1:18" ht="14.4" customHeight="1" x14ac:dyDescent="0.3">
      <c r="A511" s="111">
        <v>44951</v>
      </c>
      <c r="B511" s="111">
        <f>A511-31</f>
        <v>44920</v>
      </c>
      <c r="C511" s="111">
        <f>tbRegistroEntradas[[#This Row],[DATA DA COMPETÊNCIA]]</f>
        <v>44920</v>
      </c>
      <c r="D511" s="109" t="s">
        <v>66</v>
      </c>
      <c r="E511" s="109" t="s">
        <v>12</v>
      </c>
      <c r="F511" s="109" t="s">
        <v>18</v>
      </c>
      <c r="G511" s="109" t="s">
        <v>1088</v>
      </c>
      <c r="H511" s="52" t="s">
        <v>123</v>
      </c>
      <c r="I511" s="118">
        <v>3775</v>
      </c>
      <c r="J511" s="110" t="str">
        <f>IF(tbRegistroEntradas[[#This Row],[DATA DE CAIXA REALIZADO]]="N/A","0",UPPER(TEXT(tbRegistroEntradas[[#This Row],[DATA DE CAIXA REALIZADO]],"mmm")))</f>
        <v>JAN</v>
      </c>
      <c r="K511" s="57">
        <f>IF(tbRegistroEntradas[[#This Row],[DATA DE CAIXA REALIZADO]]="N/A",0,YEAR(tbRegistroEntradas[[#This Row],[DATA DE CAIXA REALIZADO]]))</f>
        <v>2023</v>
      </c>
      <c r="L511" s="58" t="str">
        <f>IF(tbRegistroEntradas[[#This Row],[DATA DA COMPETÊNCIA]]="N/A","0",UPPER(TEXT(tbRegistroEntradas[[#This Row],[DATA DA COMPETÊNCIA]],"mmm")))</f>
        <v>DEZ</v>
      </c>
      <c r="M511" s="58">
        <f>IF(tbRegistroEntradas[[#This Row],[DATA DA COMPETÊNCIA]]="N/A",0,YEAR(tbRegistroEntradas[[#This Row],[DATA DA COMPETÊNCIA]]))</f>
        <v>2022</v>
      </c>
      <c r="N511" s="58" t="str">
        <f>IF(tbRegistroEntradas[[#This Row],[DATA DO CAIXA PREVISTO]]="N/A","0",UPPER(TEXT(tbRegistroEntradas[[#This Row],[DATA DO CAIXA PREVISTO]],"mmm")))</f>
        <v>DEZ</v>
      </c>
      <c r="O511" s="58">
        <f>IF(tbRegistroEntradas[[#This Row],[DATA DO CAIXA PREVISTO]]="N/A",0,YEAR(tbRegistroEntradas[[#This Row],[DATA DO CAIXA PREVISTO]]))</f>
        <v>2022</v>
      </c>
      <c r="P511" s="58" t="str">
        <f ca="1">IF(AND(tbRegistroEntradas[[#This Row],[DATA DE CAIXA REALIZADO]]="N/A",tbRegistroEntradas[[#This Row],[DATA DO CAIXA PREVISTO]]&lt;TODAY()),"Vencida","Não Vencida")</f>
        <v>Não Vencida</v>
      </c>
      <c r="Q511" s="58" t="str">
        <f>IF(tbRegistroEntradas[[#This Row],[DATA DA COMPETÊNCIA]]=tbRegistroEntradas[[#This Row],[DATA DO CAIXA PREVISTO]],"Vista","Prazo")</f>
        <v>Vista</v>
      </c>
      <c r="R511" s="58" t="str">
        <f>IF(tbRegistroEntradas[[#This Row],[DATA DE CAIXA REALIZADO]]&lt;&gt;"N/A","Em Dia","Com atraso")</f>
        <v>Em Dia</v>
      </c>
    </row>
    <row r="512" spans="1:18" ht="14.4" customHeight="1" x14ac:dyDescent="0.3">
      <c r="A512" s="43">
        <v>44980.692754629628</v>
      </c>
      <c r="B512" s="44">
        <v>44923</v>
      </c>
      <c r="C512" s="44">
        <v>44980.692754629628</v>
      </c>
      <c r="D512" s="35" t="s">
        <v>61</v>
      </c>
      <c r="E512" s="35" t="s">
        <v>12</v>
      </c>
      <c r="F512" s="35" t="s">
        <v>19</v>
      </c>
      <c r="G512" s="35" t="s">
        <v>310</v>
      </c>
      <c r="H512" s="52" t="s">
        <v>81</v>
      </c>
      <c r="I512" s="122">
        <v>4955</v>
      </c>
      <c r="J512" s="55" t="str">
        <f>IF(tbRegistroEntradas[[#This Row],[DATA DE CAIXA REALIZADO]]="N/A","0",UPPER(TEXT(tbRegistroEntradas[[#This Row],[DATA DE CAIXA REALIZADO]],"mmm")))</f>
        <v>FEV</v>
      </c>
      <c r="K512" s="58">
        <f>IF(tbRegistroEntradas[[#This Row],[DATA DE CAIXA REALIZADO]]="N/A",0,YEAR(tbRegistroEntradas[[#This Row],[DATA DE CAIXA REALIZADO]]))</f>
        <v>2023</v>
      </c>
      <c r="L512" s="79" t="str">
        <f>IF(tbRegistroEntradas[[#This Row],[DATA DA COMPETÊNCIA]]="N/A","0",UPPER(TEXT(tbRegistroEntradas[[#This Row],[DATA DA COMPETÊNCIA]],"mmm")))</f>
        <v>DEZ</v>
      </c>
      <c r="M512" s="79">
        <f>IF(tbRegistroEntradas[[#This Row],[DATA DA COMPETÊNCIA]]="N/A",0,YEAR(tbRegistroEntradas[[#This Row],[DATA DA COMPETÊNCIA]]))</f>
        <v>2022</v>
      </c>
      <c r="N512" s="84" t="str">
        <f>IF(tbRegistroEntradas[[#This Row],[DATA DO CAIXA PREVISTO]]="N/A","0",UPPER(TEXT(tbRegistroEntradas[[#This Row],[DATA DO CAIXA PREVISTO]],"mmm")))</f>
        <v>FEV</v>
      </c>
      <c r="O512" s="84">
        <f>IF(tbRegistroEntradas[[#This Row],[DATA DO CAIXA PREVISTO]]="N/A",0,YEAR(tbRegistroEntradas[[#This Row],[DATA DO CAIXA PREVISTO]]))</f>
        <v>2023</v>
      </c>
      <c r="P512" s="58" t="str">
        <f ca="1">IF(AND(tbRegistroEntradas[[#This Row],[DATA DE CAIXA REALIZADO]]="N/A",tbRegistroEntradas[[#This Row],[DATA DO CAIXA PREVISTO]]&lt;TODAY()),"Vencida","Não Vencida")</f>
        <v>Não Vencida</v>
      </c>
      <c r="Q512" s="58" t="str">
        <f>IF(tbRegistroEntradas[[#This Row],[DATA DA COMPETÊNCIA]]=tbRegistroEntradas[[#This Row],[DATA DO CAIXA PREVISTO]],"Vista","Prazo")</f>
        <v>Prazo</v>
      </c>
      <c r="R512" s="58" t="str">
        <f>IF(tbRegistroEntradas[[#This Row],[DATA DE CAIXA REALIZADO]]&lt;&gt;"N/A","Em Dia","Com atraso")</f>
        <v>Em Dia</v>
      </c>
    </row>
    <row r="513" spans="1:18" ht="14.4" customHeight="1" x14ac:dyDescent="0.3">
      <c r="A513" s="111">
        <v>44955</v>
      </c>
      <c r="B513" s="111">
        <f>A513-31</f>
        <v>44924</v>
      </c>
      <c r="C513" s="111">
        <f>tbRegistroEntradas[[#This Row],[DATA DA COMPETÊNCIA]]</f>
        <v>44924</v>
      </c>
      <c r="D513" s="109" t="s">
        <v>137</v>
      </c>
      <c r="E513" s="109" t="s">
        <v>12</v>
      </c>
      <c r="F513" s="109" t="s">
        <v>16</v>
      </c>
      <c r="G513" s="109" t="s">
        <v>878</v>
      </c>
      <c r="H513" s="52" t="s">
        <v>105</v>
      </c>
      <c r="I513" s="118">
        <v>2728</v>
      </c>
      <c r="J513" s="110" t="str">
        <f>IF(tbRegistroEntradas[[#This Row],[DATA DE CAIXA REALIZADO]]="N/A","0",UPPER(TEXT(tbRegistroEntradas[[#This Row],[DATA DE CAIXA REALIZADO]],"mmm")))</f>
        <v>JAN</v>
      </c>
      <c r="K513" s="57">
        <f>IF(tbRegistroEntradas[[#This Row],[DATA DE CAIXA REALIZADO]]="N/A",0,YEAR(tbRegistroEntradas[[#This Row],[DATA DE CAIXA REALIZADO]]))</f>
        <v>2023</v>
      </c>
      <c r="L513" s="58" t="str">
        <f>IF(tbRegistroEntradas[[#This Row],[DATA DA COMPETÊNCIA]]="N/A","0",UPPER(TEXT(tbRegistroEntradas[[#This Row],[DATA DA COMPETÊNCIA]],"mmm")))</f>
        <v>DEZ</v>
      </c>
      <c r="M513" s="58">
        <f>IF(tbRegistroEntradas[[#This Row],[DATA DA COMPETÊNCIA]]="N/A",0,YEAR(tbRegistroEntradas[[#This Row],[DATA DA COMPETÊNCIA]]))</f>
        <v>2022</v>
      </c>
      <c r="N513" s="58" t="str">
        <f>IF(tbRegistroEntradas[[#This Row],[DATA DO CAIXA PREVISTO]]="N/A","0",UPPER(TEXT(tbRegistroEntradas[[#This Row],[DATA DO CAIXA PREVISTO]],"mmm")))</f>
        <v>DEZ</v>
      </c>
      <c r="O513" s="58">
        <f>IF(tbRegistroEntradas[[#This Row],[DATA DO CAIXA PREVISTO]]="N/A",0,YEAR(tbRegistroEntradas[[#This Row],[DATA DO CAIXA PREVISTO]]))</f>
        <v>2022</v>
      </c>
      <c r="P513" s="58" t="str">
        <f ca="1">IF(AND(tbRegistroEntradas[[#This Row],[DATA DE CAIXA REALIZADO]]="N/A",tbRegistroEntradas[[#This Row],[DATA DO CAIXA PREVISTO]]&lt;TODAY()),"Vencida","Não Vencida")</f>
        <v>Não Vencida</v>
      </c>
      <c r="Q513" s="58" t="str">
        <f>IF(tbRegistroEntradas[[#This Row],[DATA DA COMPETÊNCIA]]=tbRegistroEntradas[[#This Row],[DATA DO CAIXA PREVISTO]],"Vista","Prazo")</f>
        <v>Vista</v>
      </c>
      <c r="R513" s="58" t="str">
        <f>IF(tbRegistroEntradas[[#This Row],[DATA DE CAIXA REALIZADO]]&lt;&gt;"N/A","Em Dia","Com atraso")</f>
        <v>Em Dia</v>
      </c>
    </row>
    <row r="514" spans="1:18" ht="14.4" customHeight="1" x14ac:dyDescent="0.3">
      <c r="A514" s="111">
        <v>44955</v>
      </c>
      <c r="B514" s="111">
        <f>A514-31</f>
        <v>44924</v>
      </c>
      <c r="C514" s="111">
        <f>tbRegistroEntradas[[#This Row],[DATA DA COMPETÊNCIA]]</f>
        <v>44924</v>
      </c>
      <c r="D514" s="109" t="s">
        <v>65</v>
      </c>
      <c r="E514" s="109" t="s">
        <v>12</v>
      </c>
      <c r="F514" s="109" t="s">
        <v>19</v>
      </c>
      <c r="G514" s="109" t="s">
        <v>921</v>
      </c>
      <c r="H514" s="52" t="s">
        <v>117</v>
      </c>
      <c r="I514" s="118">
        <v>7729</v>
      </c>
      <c r="J514" s="110" t="str">
        <f>IF(tbRegistroEntradas[[#This Row],[DATA DE CAIXA REALIZADO]]="N/A","0",UPPER(TEXT(tbRegistroEntradas[[#This Row],[DATA DE CAIXA REALIZADO]],"mmm")))</f>
        <v>JAN</v>
      </c>
      <c r="K514" s="57">
        <f>IF(tbRegistroEntradas[[#This Row],[DATA DE CAIXA REALIZADO]]="N/A",0,YEAR(tbRegistroEntradas[[#This Row],[DATA DE CAIXA REALIZADO]]))</f>
        <v>2023</v>
      </c>
      <c r="L514" s="58" t="str">
        <f>IF(tbRegistroEntradas[[#This Row],[DATA DA COMPETÊNCIA]]="N/A","0",UPPER(TEXT(tbRegistroEntradas[[#This Row],[DATA DA COMPETÊNCIA]],"mmm")))</f>
        <v>DEZ</v>
      </c>
      <c r="M514" s="58">
        <f>IF(tbRegistroEntradas[[#This Row],[DATA DA COMPETÊNCIA]]="N/A",0,YEAR(tbRegistroEntradas[[#This Row],[DATA DA COMPETÊNCIA]]))</f>
        <v>2022</v>
      </c>
      <c r="N514" s="58" t="str">
        <f>IF(tbRegistroEntradas[[#This Row],[DATA DO CAIXA PREVISTO]]="N/A","0",UPPER(TEXT(tbRegistroEntradas[[#This Row],[DATA DO CAIXA PREVISTO]],"mmm")))</f>
        <v>DEZ</v>
      </c>
      <c r="O514" s="58">
        <f>IF(tbRegistroEntradas[[#This Row],[DATA DO CAIXA PREVISTO]]="N/A",0,YEAR(tbRegistroEntradas[[#This Row],[DATA DO CAIXA PREVISTO]]))</f>
        <v>2022</v>
      </c>
      <c r="P514" s="58" t="str">
        <f ca="1">IF(AND(tbRegistroEntradas[[#This Row],[DATA DE CAIXA REALIZADO]]="N/A",tbRegistroEntradas[[#This Row],[DATA DO CAIXA PREVISTO]]&lt;TODAY()),"Vencida","Não Vencida")</f>
        <v>Não Vencida</v>
      </c>
      <c r="Q514" s="58" t="str">
        <f>IF(tbRegistroEntradas[[#This Row],[DATA DA COMPETÊNCIA]]=tbRegistroEntradas[[#This Row],[DATA DO CAIXA PREVISTO]],"Vista","Prazo")</f>
        <v>Vista</v>
      </c>
      <c r="R514" s="58" t="str">
        <f>IF(tbRegistroEntradas[[#This Row],[DATA DE CAIXA REALIZADO]]&lt;&gt;"N/A","Em Dia","Com atraso")</f>
        <v>Em Dia</v>
      </c>
    </row>
    <row r="515" spans="1:18" ht="14.4" customHeight="1" x14ac:dyDescent="0.3">
      <c r="A515" s="111">
        <v>44956</v>
      </c>
      <c r="B515" s="111">
        <f>A515-31</f>
        <v>44925</v>
      </c>
      <c r="C515" s="111">
        <f>(A515-B515)+B515-15</f>
        <v>44941</v>
      </c>
      <c r="D515" s="109" t="s">
        <v>65</v>
      </c>
      <c r="E515" s="109" t="s">
        <v>12</v>
      </c>
      <c r="F515" s="109" t="s">
        <v>17</v>
      </c>
      <c r="G515" s="109" t="s">
        <v>807</v>
      </c>
      <c r="H515" s="52" t="s">
        <v>116</v>
      </c>
      <c r="I515" s="118">
        <v>5899</v>
      </c>
      <c r="J515" s="110" t="str">
        <f>IF(tbRegistroEntradas[[#This Row],[DATA DE CAIXA REALIZADO]]="N/A","0",UPPER(TEXT(tbRegistroEntradas[[#This Row],[DATA DE CAIXA REALIZADO]],"mmm")))</f>
        <v>JAN</v>
      </c>
      <c r="K515" s="57">
        <f>IF(tbRegistroEntradas[[#This Row],[DATA DE CAIXA REALIZADO]]="N/A",0,YEAR(tbRegistroEntradas[[#This Row],[DATA DE CAIXA REALIZADO]]))</f>
        <v>2023</v>
      </c>
      <c r="L515" s="58" t="str">
        <f>IF(tbRegistroEntradas[[#This Row],[DATA DA COMPETÊNCIA]]="N/A","0",UPPER(TEXT(tbRegistroEntradas[[#This Row],[DATA DA COMPETÊNCIA]],"mmm")))</f>
        <v>DEZ</v>
      </c>
      <c r="M515" s="58">
        <f>IF(tbRegistroEntradas[[#This Row],[DATA DA COMPETÊNCIA]]="N/A",0,YEAR(tbRegistroEntradas[[#This Row],[DATA DA COMPETÊNCIA]]))</f>
        <v>2022</v>
      </c>
      <c r="N515" s="58" t="str">
        <f>IF(tbRegistroEntradas[[#This Row],[DATA DO CAIXA PREVISTO]]="N/A","0",UPPER(TEXT(tbRegistroEntradas[[#This Row],[DATA DO CAIXA PREVISTO]],"mmm")))</f>
        <v>JAN</v>
      </c>
      <c r="O515" s="58">
        <f>IF(tbRegistroEntradas[[#This Row],[DATA DO CAIXA PREVISTO]]="N/A",0,YEAR(tbRegistroEntradas[[#This Row],[DATA DO CAIXA PREVISTO]]))</f>
        <v>2023</v>
      </c>
      <c r="P515" s="58" t="str">
        <f ca="1">IF(AND(tbRegistroEntradas[[#This Row],[DATA DE CAIXA REALIZADO]]="N/A",tbRegistroEntradas[[#This Row],[DATA DO CAIXA PREVISTO]]&lt;TODAY()),"Vencida","Não Vencida")</f>
        <v>Não Vencida</v>
      </c>
      <c r="Q515" s="58" t="str">
        <f>IF(tbRegistroEntradas[[#This Row],[DATA DA COMPETÊNCIA]]=tbRegistroEntradas[[#This Row],[DATA DO CAIXA PREVISTO]],"Vista","Prazo")</f>
        <v>Prazo</v>
      </c>
      <c r="R515" s="58" t="str">
        <f>IF(tbRegistroEntradas[[#This Row],[DATA DE CAIXA REALIZADO]]&lt;&gt;"N/A","Em Dia","Com atraso")</f>
        <v>Em Dia</v>
      </c>
    </row>
    <row r="516" spans="1:18" ht="14.4" customHeight="1" x14ac:dyDescent="0.3">
      <c r="A516" s="111">
        <v>44957</v>
      </c>
      <c r="B516" s="111">
        <f>A516-31</f>
        <v>44926</v>
      </c>
      <c r="C516" s="111">
        <f>tbRegistroEntradas[[#This Row],[DATA DA COMPETÊNCIA]]</f>
        <v>44926</v>
      </c>
      <c r="D516" s="109" t="s">
        <v>63</v>
      </c>
      <c r="E516" s="109" t="s">
        <v>12</v>
      </c>
      <c r="F516" s="109" t="s">
        <v>19</v>
      </c>
      <c r="G516" s="109" t="s">
        <v>988</v>
      </c>
      <c r="H516" s="52" t="s">
        <v>99</v>
      </c>
      <c r="I516" s="118">
        <v>7733</v>
      </c>
      <c r="J516" s="110" t="str">
        <f>IF(tbRegistroEntradas[[#This Row],[DATA DE CAIXA REALIZADO]]="N/A","0",UPPER(TEXT(tbRegistroEntradas[[#This Row],[DATA DE CAIXA REALIZADO]],"mmm")))</f>
        <v>JAN</v>
      </c>
      <c r="K516" s="57">
        <f>IF(tbRegistroEntradas[[#This Row],[DATA DE CAIXA REALIZADO]]="N/A",0,YEAR(tbRegistroEntradas[[#This Row],[DATA DE CAIXA REALIZADO]]))</f>
        <v>2023</v>
      </c>
      <c r="L516" s="58" t="str">
        <f>IF(tbRegistroEntradas[[#This Row],[DATA DA COMPETÊNCIA]]="N/A","0",UPPER(TEXT(tbRegistroEntradas[[#This Row],[DATA DA COMPETÊNCIA]],"mmm")))</f>
        <v>DEZ</v>
      </c>
      <c r="M516" s="58">
        <f>IF(tbRegistroEntradas[[#This Row],[DATA DA COMPETÊNCIA]]="N/A",0,YEAR(tbRegistroEntradas[[#This Row],[DATA DA COMPETÊNCIA]]))</f>
        <v>2022</v>
      </c>
      <c r="N516" s="58" t="str">
        <f>IF(tbRegistroEntradas[[#This Row],[DATA DO CAIXA PREVISTO]]="N/A","0",UPPER(TEXT(tbRegistroEntradas[[#This Row],[DATA DO CAIXA PREVISTO]],"mmm")))</f>
        <v>DEZ</v>
      </c>
      <c r="O516" s="58">
        <f>IF(tbRegistroEntradas[[#This Row],[DATA DO CAIXA PREVISTO]]="N/A",0,YEAR(tbRegistroEntradas[[#This Row],[DATA DO CAIXA PREVISTO]]))</f>
        <v>2022</v>
      </c>
      <c r="P516" s="58" t="str">
        <f ca="1">IF(AND(tbRegistroEntradas[[#This Row],[DATA DE CAIXA REALIZADO]]="N/A",tbRegistroEntradas[[#This Row],[DATA DO CAIXA PREVISTO]]&lt;TODAY()),"Vencida","Não Vencida")</f>
        <v>Não Vencida</v>
      </c>
      <c r="Q516" s="58" t="str">
        <f>IF(tbRegistroEntradas[[#This Row],[DATA DA COMPETÊNCIA]]=tbRegistroEntradas[[#This Row],[DATA DO CAIXA PREVISTO]],"Vista","Prazo")</f>
        <v>Vista</v>
      </c>
      <c r="R516" s="58" t="str">
        <f>IF(tbRegistroEntradas[[#This Row],[DATA DE CAIXA REALIZADO]]&lt;&gt;"N/A","Em Dia","Com atraso")</f>
        <v>Em Dia</v>
      </c>
    </row>
    <row r="517" spans="1:18" ht="14.4" customHeight="1" x14ac:dyDescent="0.3">
      <c r="A517" s="40">
        <v>44945.087071759262</v>
      </c>
      <c r="B517" s="41">
        <v>44926</v>
      </c>
      <c r="C517" s="41">
        <v>44944.090601851851</v>
      </c>
      <c r="D517" s="42" t="s">
        <v>61</v>
      </c>
      <c r="E517" s="42" t="s">
        <v>12</v>
      </c>
      <c r="F517" s="42" t="s">
        <v>19</v>
      </c>
      <c r="G517" s="42" t="s">
        <v>311</v>
      </c>
      <c r="H517" s="126" t="s">
        <v>82</v>
      </c>
      <c r="I517" s="121">
        <v>3201</v>
      </c>
      <c r="J517" s="55" t="str">
        <f>IF(tbRegistroEntradas[[#This Row],[DATA DE CAIXA REALIZADO]]="N/A","0",UPPER(TEXT(tbRegistroEntradas[[#This Row],[DATA DE CAIXA REALIZADO]],"mmm")))</f>
        <v>JAN</v>
      </c>
      <c r="K517" s="58">
        <f>IF(tbRegistroEntradas[[#This Row],[DATA DE CAIXA REALIZADO]]="N/A",0,YEAR(tbRegistroEntradas[[#This Row],[DATA DE CAIXA REALIZADO]]))</f>
        <v>2023</v>
      </c>
      <c r="L517" s="79" t="str">
        <f>IF(tbRegistroEntradas[[#This Row],[DATA DA COMPETÊNCIA]]="N/A","0",UPPER(TEXT(tbRegistroEntradas[[#This Row],[DATA DA COMPETÊNCIA]],"mmm")))</f>
        <v>DEZ</v>
      </c>
      <c r="M517" s="79">
        <f>IF(tbRegistroEntradas[[#This Row],[DATA DA COMPETÊNCIA]]="N/A",0,YEAR(tbRegistroEntradas[[#This Row],[DATA DA COMPETÊNCIA]]))</f>
        <v>2022</v>
      </c>
      <c r="N517" s="84" t="str">
        <f>IF(tbRegistroEntradas[[#This Row],[DATA DO CAIXA PREVISTO]]="N/A","0",UPPER(TEXT(tbRegistroEntradas[[#This Row],[DATA DO CAIXA PREVISTO]],"mmm")))</f>
        <v>JAN</v>
      </c>
      <c r="O517" s="84">
        <f>IF(tbRegistroEntradas[[#This Row],[DATA DO CAIXA PREVISTO]]="N/A",0,YEAR(tbRegistroEntradas[[#This Row],[DATA DO CAIXA PREVISTO]]))</f>
        <v>2023</v>
      </c>
      <c r="P517" s="58" t="str">
        <f ca="1">IF(AND(tbRegistroEntradas[[#This Row],[DATA DE CAIXA REALIZADO]]="N/A",tbRegistroEntradas[[#This Row],[DATA DO CAIXA PREVISTO]]&lt;TODAY()),"Vencida","Não Vencida")</f>
        <v>Não Vencida</v>
      </c>
      <c r="Q517" s="58" t="str">
        <f>IF(tbRegistroEntradas[[#This Row],[DATA DA COMPETÊNCIA]]=tbRegistroEntradas[[#This Row],[DATA DO CAIXA PREVISTO]],"Vista","Prazo")</f>
        <v>Prazo</v>
      </c>
      <c r="R517" s="58" t="str">
        <f>IF(tbRegistroEntradas[[#This Row],[DATA DE CAIXA REALIZADO]]&lt;&gt;"N/A","Em Dia","Com atraso")</f>
        <v>Em Dia</v>
      </c>
    </row>
    <row r="518" spans="1:18" ht="14.4" customHeight="1" x14ac:dyDescent="0.3">
      <c r="A518" s="111">
        <v>44959</v>
      </c>
      <c r="B518" s="111">
        <f>A518-31</f>
        <v>44928</v>
      </c>
      <c r="C518" s="111">
        <f>tbRegistroEntradas[[#This Row],[DATA DA COMPETÊNCIA]]</f>
        <v>44928</v>
      </c>
      <c r="D518" s="109" t="s">
        <v>61</v>
      </c>
      <c r="E518" s="109" t="s">
        <v>12</v>
      </c>
      <c r="F518" s="109" t="s">
        <v>17</v>
      </c>
      <c r="G518" s="109" t="s">
        <v>1038</v>
      </c>
      <c r="H518" s="52" t="s">
        <v>83</v>
      </c>
      <c r="I518" s="118">
        <v>3665</v>
      </c>
      <c r="J518" s="110" t="str">
        <f>IF(tbRegistroEntradas[[#This Row],[DATA DE CAIXA REALIZADO]]="N/A","0",UPPER(TEXT(tbRegistroEntradas[[#This Row],[DATA DE CAIXA REALIZADO]],"mmm")))</f>
        <v>FEV</v>
      </c>
      <c r="K518" s="57">
        <f>IF(tbRegistroEntradas[[#This Row],[DATA DE CAIXA REALIZADO]]="N/A",0,YEAR(tbRegistroEntradas[[#This Row],[DATA DE CAIXA REALIZADO]]))</f>
        <v>2023</v>
      </c>
      <c r="L518" s="58" t="str">
        <f>IF(tbRegistroEntradas[[#This Row],[DATA DA COMPETÊNCIA]]="N/A","0",UPPER(TEXT(tbRegistroEntradas[[#This Row],[DATA DA COMPETÊNCIA]],"mmm")))</f>
        <v>JAN</v>
      </c>
      <c r="M518" s="58">
        <f>IF(tbRegistroEntradas[[#This Row],[DATA DA COMPETÊNCIA]]="N/A",0,YEAR(tbRegistroEntradas[[#This Row],[DATA DA COMPETÊNCIA]]))</f>
        <v>2023</v>
      </c>
      <c r="N518" s="58" t="str">
        <f>IF(tbRegistroEntradas[[#This Row],[DATA DO CAIXA PREVISTO]]="N/A","0",UPPER(TEXT(tbRegistroEntradas[[#This Row],[DATA DO CAIXA PREVISTO]],"mmm")))</f>
        <v>JAN</v>
      </c>
      <c r="O518" s="58">
        <f>IF(tbRegistroEntradas[[#This Row],[DATA DO CAIXA PREVISTO]]="N/A",0,YEAR(tbRegistroEntradas[[#This Row],[DATA DO CAIXA PREVISTO]]))</f>
        <v>2023</v>
      </c>
      <c r="P518" s="58" t="str">
        <f ca="1">IF(AND(tbRegistroEntradas[[#This Row],[DATA DE CAIXA REALIZADO]]="N/A",tbRegistroEntradas[[#This Row],[DATA DO CAIXA PREVISTO]]&lt;TODAY()),"Vencida","Não Vencida")</f>
        <v>Não Vencida</v>
      </c>
      <c r="Q518" s="58" t="str">
        <f>IF(tbRegistroEntradas[[#This Row],[DATA DA COMPETÊNCIA]]=tbRegistroEntradas[[#This Row],[DATA DO CAIXA PREVISTO]],"Vista","Prazo")</f>
        <v>Vista</v>
      </c>
      <c r="R518" s="58" t="str">
        <f>IF(tbRegistroEntradas[[#This Row],[DATA DE CAIXA REALIZADO]]&lt;&gt;"N/A","Em Dia","Com atraso")</f>
        <v>Em Dia</v>
      </c>
    </row>
    <row r="519" spans="1:18" ht="14.4" customHeight="1" x14ac:dyDescent="0.3">
      <c r="A519" s="43">
        <v>44972.692407407405</v>
      </c>
      <c r="B519" s="44">
        <v>44930</v>
      </c>
      <c r="C519" s="44">
        <v>44972.692407407405</v>
      </c>
      <c r="D519" s="35" t="s">
        <v>67</v>
      </c>
      <c r="E519" s="35" t="s">
        <v>12</v>
      </c>
      <c r="F519" s="35" t="s">
        <v>18</v>
      </c>
      <c r="G519" s="35" t="s">
        <v>312</v>
      </c>
      <c r="H519" s="52" t="s">
        <v>129</v>
      </c>
      <c r="I519" s="122">
        <v>3007</v>
      </c>
      <c r="J519" s="55" t="str">
        <f>IF(tbRegistroEntradas[[#This Row],[DATA DE CAIXA REALIZADO]]="N/A","0",UPPER(TEXT(tbRegistroEntradas[[#This Row],[DATA DE CAIXA REALIZADO]],"mmm")))</f>
        <v>FEV</v>
      </c>
      <c r="K519" s="58">
        <f>IF(tbRegistroEntradas[[#This Row],[DATA DE CAIXA REALIZADO]]="N/A",0,YEAR(tbRegistroEntradas[[#This Row],[DATA DE CAIXA REALIZADO]]))</f>
        <v>2023</v>
      </c>
      <c r="L519" s="79" t="str">
        <f>IF(tbRegistroEntradas[[#This Row],[DATA DA COMPETÊNCIA]]="N/A","0",UPPER(TEXT(tbRegistroEntradas[[#This Row],[DATA DA COMPETÊNCIA]],"mmm")))</f>
        <v>JAN</v>
      </c>
      <c r="M519" s="79">
        <f>IF(tbRegistroEntradas[[#This Row],[DATA DA COMPETÊNCIA]]="N/A",0,YEAR(tbRegistroEntradas[[#This Row],[DATA DA COMPETÊNCIA]]))</f>
        <v>2023</v>
      </c>
      <c r="N519" s="84" t="str">
        <f>IF(tbRegistroEntradas[[#This Row],[DATA DO CAIXA PREVISTO]]="N/A","0",UPPER(TEXT(tbRegistroEntradas[[#This Row],[DATA DO CAIXA PREVISTO]],"mmm")))</f>
        <v>FEV</v>
      </c>
      <c r="O519" s="84">
        <f>IF(tbRegistroEntradas[[#This Row],[DATA DO CAIXA PREVISTO]]="N/A",0,YEAR(tbRegistroEntradas[[#This Row],[DATA DO CAIXA PREVISTO]]))</f>
        <v>2023</v>
      </c>
      <c r="P519" s="58" t="str">
        <f ca="1">IF(AND(tbRegistroEntradas[[#This Row],[DATA DE CAIXA REALIZADO]]="N/A",tbRegistroEntradas[[#This Row],[DATA DO CAIXA PREVISTO]]&lt;TODAY()),"Vencida","Não Vencida")</f>
        <v>Não Vencida</v>
      </c>
      <c r="Q519" s="58" t="str">
        <f>IF(tbRegistroEntradas[[#This Row],[DATA DA COMPETÊNCIA]]=tbRegistroEntradas[[#This Row],[DATA DO CAIXA PREVISTO]],"Vista","Prazo")</f>
        <v>Prazo</v>
      </c>
      <c r="R519" s="58" t="str">
        <f>IF(tbRegistroEntradas[[#This Row],[DATA DE CAIXA REALIZADO]]&lt;&gt;"N/A","Em Dia","Com atraso")</f>
        <v>Em Dia</v>
      </c>
    </row>
    <row r="520" spans="1:18" ht="14.4" customHeight="1" x14ac:dyDescent="0.3">
      <c r="A520" s="111">
        <v>44962</v>
      </c>
      <c r="B520" s="111">
        <f>A520-31</f>
        <v>44931</v>
      </c>
      <c r="C520" s="111">
        <f>(A520-B520)+B520-15</f>
        <v>44947</v>
      </c>
      <c r="D520" s="109" t="s">
        <v>137</v>
      </c>
      <c r="E520" s="109" t="s">
        <v>12</v>
      </c>
      <c r="F520" s="109" t="s">
        <v>17</v>
      </c>
      <c r="G520" s="109" t="s">
        <v>1058</v>
      </c>
      <c r="H520" s="52" t="s">
        <v>104</v>
      </c>
      <c r="I520" s="118">
        <v>7186</v>
      </c>
      <c r="J520" s="110" t="str">
        <f>IF(tbRegistroEntradas[[#This Row],[DATA DE CAIXA REALIZADO]]="N/A","0",UPPER(TEXT(tbRegistroEntradas[[#This Row],[DATA DE CAIXA REALIZADO]],"mmm")))</f>
        <v>FEV</v>
      </c>
      <c r="K520" s="57">
        <f>IF(tbRegistroEntradas[[#This Row],[DATA DE CAIXA REALIZADO]]="N/A",0,YEAR(tbRegistroEntradas[[#This Row],[DATA DE CAIXA REALIZADO]]))</f>
        <v>2023</v>
      </c>
      <c r="L520" s="58" t="str">
        <f>IF(tbRegistroEntradas[[#This Row],[DATA DA COMPETÊNCIA]]="N/A","0",UPPER(TEXT(tbRegistroEntradas[[#This Row],[DATA DA COMPETÊNCIA]],"mmm")))</f>
        <v>JAN</v>
      </c>
      <c r="M520" s="58">
        <f>IF(tbRegistroEntradas[[#This Row],[DATA DA COMPETÊNCIA]]="N/A",0,YEAR(tbRegistroEntradas[[#This Row],[DATA DA COMPETÊNCIA]]))</f>
        <v>2023</v>
      </c>
      <c r="N520" s="58" t="str">
        <f>IF(tbRegistroEntradas[[#This Row],[DATA DO CAIXA PREVISTO]]="N/A","0",UPPER(TEXT(tbRegistroEntradas[[#This Row],[DATA DO CAIXA PREVISTO]],"mmm")))</f>
        <v>JAN</v>
      </c>
      <c r="O520" s="58">
        <f>IF(tbRegistroEntradas[[#This Row],[DATA DO CAIXA PREVISTO]]="N/A",0,YEAR(tbRegistroEntradas[[#This Row],[DATA DO CAIXA PREVISTO]]))</f>
        <v>2023</v>
      </c>
      <c r="P520" s="58" t="str">
        <f ca="1">IF(AND(tbRegistroEntradas[[#This Row],[DATA DE CAIXA REALIZADO]]="N/A",tbRegistroEntradas[[#This Row],[DATA DO CAIXA PREVISTO]]&lt;TODAY()),"Vencida","Não Vencida")</f>
        <v>Não Vencida</v>
      </c>
      <c r="Q520" s="58" t="str">
        <f>IF(tbRegistroEntradas[[#This Row],[DATA DA COMPETÊNCIA]]=tbRegistroEntradas[[#This Row],[DATA DO CAIXA PREVISTO]],"Vista","Prazo")</f>
        <v>Prazo</v>
      </c>
      <c r="R520" s="58" t="str">
        <f>IF(tbRegistroEntradas[[#This Row],[DATA DE CAIXA REALIZADO]]&lt;&gt;"N/A","Em Dia","Com atraso")</f>
        <v>Em Dia</v>
      </c>
    </row>
    <row r="521" spans="1:18" ht="14.4" customHeight="1" x14ac:dyDescent="0.3">
      <c r="A521" s="40">
        <v>44972.11446759259</v>
      </c>
      <c r="B521" s="41">
        <v>44934</v>
      </c>
      <c r="C521" s="41">
        <v>44972.11446759259</v>
      </c>
      <c r="D521" s="42" t="s">
        <v>137</v>
      </c>
      <c r="E521" s="42" t="s">
        <v>12</v>
      </c>
      <c r="F521" s="42" t="s">
        <v>32</v>
      </c>
      <c r="G521" s="42" t="s">
        <v>313</v>
      </c>
      <c r="H521" s="52" t="s">
        <v>106</v>
      </c>
      <c r="I521" s="121">
        <v>900</v>
      </c>
      <c r="J521" s="55" t="str">
        <f>IF(tbRegistroEntradas[[#This Row],[DATA DE CAIXA REALIZADO]]="N/A","0",UPPER(TEXT(tbRegistroEntradas[[#This Row],[DATA DE CAIXA REALIZADO]],"mmm")))</f>
        <v>FEV</v>
      </c>
      <c r="K521" s="58">
        <f>IF(tbRegistroEntradas[[#This Row],[DATA DE CAIXA REALIZADO]]="N/A",0,YEAR(tbRegistroEntradas[[#This Row],[DATA DE CAIXA REALIZADO]]))</f>
        <v>2023</v>
      </c>
      <c r="L521" s="79" t="str">
        <f>IF(tbRegistroEntradas[[#This Row],[DATA DA COMPETÊNCIA]]="N/A","0",UPPER(TEXT(tbRegistroEntradas[[#This Row],[DATA DA COMPETÊNCIA]],"mmm")))</f>
        <v>JAN</v>
      </c>
      <c r="M521" s="79">
        <f>IF(tbRegistroEntradas[[#This Row],[DATA DA COMPETÊNCIA]]="N/A",0,YEAR(tbRegistroEntradas[[#This Row],[DATA DA COMPETÊNCIA]]))</f>
        <v>2023</v>
      </c>
      <c r="N521" s="84" t="str">
        <f>IF(tbRegistroEntradas[[#This Row],[DATA DO CAIXA PREVISTO]]="N/A","0",UPPER(TEXT(tbRegistroEntradas[[#This Row],[DATA DO CAIXA PREVISTO]],"mmm")))</f>
        <v>FEV</v>
      </c>
      <c r="O521" s="84">
        <f>IF(tbRegistroEntradas[[#This Row],[DATA DO CAIXA PREVISTO]]="N/A",0,YEAR(tbRegistroEntradas[[#This Row],[DATA DO CAIXA PREVISTO]]))</f>
        <v>2023</v>
      </c>
      <c r="P521" s="58" t="str">
        <f ca="1">IF(AND(tbRegistroEntradas[[#This Row],[DATA DE CAIXA REALIZADO]]="N/A",tbRegistroEntradas[[#This Row],[DATA DO CAIXA PREVISTO]]&lt;TODAY()),"Vencida","Não Vencida")</f>
        <v>Não Vencida</v>
      </c>
      <c r="Q521" s="58" t="str">
        <f>IF(tbRegistroEntradas[[#This Row],[DATA DA COMPETÊNCIA]]=tbRegistroEntradas[[#This Row],[DATA DO CAIXA PREVISTO]],"Vista","Prazo")</f>
        <v>Prazo</v>
      </c>
      <c r="R521" s="58" t="str">
        <f>IF(tbRegistroEntradas[[#This Row],[DATA DE CAIXA REALIZADO]]&lt;&gt;"N/A","Em Dia","Com atraso")</f>
        <v>Em Dia</v>
      </c>
    </row>
    <row r="522" spans="1:18" ht="14.4" customHeight="1" x14ac:dyDescent="0.3">
      <c r="A522" s="111">
        <v>44966</v>
      </c>
      <c r="B522" s="111">
        <f>A522-31</f>
        <v>44935</v>
      </c>
      <c r="C522" s="111">
        <f>tbRegistroEntradas[[#This Row],[DATA DA COMPETÊNCIA]]</f>
        <v>44935</v>
      </c>
      <c r="D522" s="109" t="s">
        <v>67</v>
      </c>
      <c r="E522" s="109" t="s">
        <v>12</v>
      </c>
      <c r="F522" s="109" t="s">
        <v>16</v>
      </c>
      <c r="G522" s="109" t="s">
        <v>763</v>
      </c>
      <c r="H522" s="52" t="s">
        <v>130</v>
      </c>
      <c r="I522" s="118">
        <v>755</v>
      </c>
      <c r="J522" s="110" t="str">
        <f>IF(tbRegistroEntradas[[#This Row],[DATA DE CAIXA REALIZADO]]="N/A","0",UPPER(TEXT(tbRegistroEntradas[[#This Row],[DATA DE CAIXA REALIZADO]],"mmm")))</f>
        <v>FEV</v>
      </c>
      <c r="K522" s="57">
        <f>IF(tbRegistroEntradas[[#This Row],[DATA DE CAIXA REALIZADO]]="N/A",0,YEAR(tbRegistroEntradas[[#This Row],[DATA DE CAIXA REALIZADO]]))</f>
        <v>2023</v>
      </c>
      <c r="L522" s="58" t="str">
        <f>IF(tbRegistroEntradas[[#This Row],[DATA DA COMPETÊNCIA]]="N/A","0",UPPER(TEXT(tbRegistroEntradas[[#This Row],[DATA DA COMPETÊNCIA]],"mmm")))</f>
        <v>JAN</v>
      </c>
      <c r="M522" s="58">
        <f>IF(tbRegistroEntradas[[#This Row],[DATA DA COMPETÊNCIA]]="N/A",0,YEAR(tbRegistroEntradas[[#This Row],[DATA DA COMPETÊNCIA]]))</f>
        <v>2023</v>
      </c>
      <c r="N522" s="58" t="str">
        <f>IF(tbRegistroEntradas[[#This Row],[DATA DO CAIXA PREVISTO]]="N/A","0",UPPER(TEXT(tbRegistroEntradas[[#This Row],[DATA DO CAIXA PREVISTO]],"mmm")))</f>
        <v>JAN</v>
      </c>
      <c r="O522" s="58">
        <f>IF(tbRegistroEntradas[[#This Row],[DATA DO CAIXA PREVISTO]]="N/A",0,YEAR(tbRegistroEntradas[[#This Row],[DATA DO CAIXA PREVISTO]]))</f>
        <v>2023</v>
      </c>
      <c r="P522" s="58" t="str">
        <f ca="1">IF(AND(tbRegistroEntradas[[#This Row],[DATA DE CAIXA REALIZADO]]="N/A",tbRegistroEntradas[[#This Row],[DATA DO CAIXA PREVISTO]]&lt;TODAY()),"Vencida","Não Vencida")</f>
        <v>Não Vencida</v>
      </c>
      <c r="Q522" s="58" t="str">
        <f>IF(tbRegistroEntradas[[#This Row],[DATA DA COMPETÊNCIA]]=tbRegistroEntradas[[#This Row],[DATA DO CAIXA PREVISTO]],"Vista","Prazo")</f>
        <v>Vista</v>
      </c>
      <c r="R522" s="58" t="str">
        <f>IF(tbRegistroEntradas[[#This Row],[DATA DE CAIXA REALIZADO]]&lt;&gt;"N/A","Em Dia","Com atraso")</f>
        <v>Em Dia</v>
      </c>
    </row>
    <row r="523" spans="1:18" ht="14.4" customHeight="1" x14ac:dyDescent="0.3">
      <c r="A523" s="111">
        <v>44966</v>
      </c>
      <c r="B523" s="111">
        <f>A523-31</f>
        <v>44935</v>
      </c>
      <c r="C523" s="111">
        <f>tbRegistroEntradas[[#This Row],[DATA DA COMPETÊNCIA]]</f>
        <v>44935</v>
      </c>
      <c r="D523" s="109" t="s">
        <v>64</v>
      </c>
      <c r="E523" s="109" t="s">
        <v>12</v>
      </c>
      <c r="F523" s="109" t="s">
        <v>17</v>
      </c>
      <c r="G523" s="109" t="s">
        <v>880</v>
      </c>
      <c r="H523" s="52" t="s">
        <v>112</v>
      </c>
      <c r="I523" s="118">
        <v>6980</v>
      </c>
      <c r="J523" s="110" t="str">
        <f>IF(tbRegistroEntradas[[#This Row],[DATA DE CAIXA REALIZADO]]="N/A","0",UPPER(TEXT(tbRegistroEntradas[[#This Row],[DATA DE CAIXA REALIZADO]],"mmm")))</f>
        <v>FEV</v>
      </c>
      <c r="K523" s="57">
        <f>IF(tbRegistroEntradas[[#This Row],[DATA DE CAIXA REALIZADO]]="N/A",0,YEAR(tbRegistroEntradas[[#This Row],[DATA DE CAIXA REALIZADO]]))</f>
        <v>2023</v>
      </c>
      <c r="L523" s="58" t="str">
        <f>IF(tbRegistroEntradas[[#This Row],[DATA DA COMPETÊNCIA]]="N/A","0",UPPER(TEXT(tbRegistroEntradas[[#This Row],[DATA DA COMPETÊNCIA]],"mmm")))</f>
        <v>JAN</v>
      </c>
      <c r="M523" s="58">
        <f>IF(tbRegistroEntradas[[#This Row],[DATA DA COMPETÊNCIA]]="N/A",0,YEAR(tbRegistroEntradas[[#This Row],[DATA DA COMPETÊNCIA]]))</f>
        <v>2023</v>
      </c>
      <c r="N523" s="58" t="str">
        <f>IF(tbRegistroEntradas[[#This Row],[DATA DO CAIXA PREVISTO]]="N/A","0",UPPER(TEXT(tbRegistroEntradas[[#This Row],[DATA DO CAIXA PREVISTO]],"mmm")))</f>
        <v>JAN</v>
      </c>
      <c r="O523" s="58">
        <f>IF(tbRegistroEntradas[[#This Row],[DATA DO CAIXA PREVISTO]]="N/A",0,YEAR(tbRegistroEntradas[[#This Row],[DATA DO CAIXA PREVISTO]]))</f>
        <v>2023</v>
      </c>
      <c r="P523" s="58" t="str">
        <f ca="1">IF(AND(tbRegistroEntradas[[#This Row],[DATA DE CAIXA REALIZADO]]="N/A",tbRegistroEntradas[[#This Row],[DATA DO CAIXA PREVISTO]]&lt;TODAY()),"Vencida","Não Vencida")</f>
        <v>Não Vencida</v>
      </c>
      <c r="Q523" s="58" t="str">
        <f>IF(tbRegistroEntradas[[#This Row],[DATA DA COMPETÊNCIA]]=tbRegistroEntradas[[#This Row],[DATA DO CAIXA PREVISTO]],"Vista","Prazo")</f>
        <v>Vista</v>
      </c>
      <c r="R523" s="58" t="str">
        <f>IF(tbRegistroEntradas[[#This Row],[DATA DE CAIXA REALIZADO]]&lt;&gt;"N/A","Em Dia","Com atraso")</f>
        <v>Em Dia</v>
      </c>
    </row>
    <row r="524" spans="1:18" ht="14.4" customHeight="1" x14ac:dyDescent="0.3">
      <c r="A524" s="111">
        <v>44966</v>
      </c>
      <c r="B524" s="111">
        <f>A524-31</f>
        <v>44935</v>
      </c>
      <c r="C524" s="111">
        <f>(A524-B524)+B524-15</f>
        <v>44951</v>
      </c>
      <c r="D524" s="109" t="s">
        <v>64</v>
      </c>
      <c r="E524" s="109" t="s">
        <v>12</v>
      </c>
      <c r="F524" s="109" t="s">
        <v>19</v>
      </c>
      <c r="G524" s="109" t="s">
        <v>956</v>
      </c>
      <c r="H524" s="52" t="s">
        <v>113</v>
      </c>
      <c r="I524" s="118">
        <v>6912</v>
      </c>
      <c r="J524" s="110" t="str">
        <f>IF(tbRegistroEntradas[[#This Row],[DATA DE CAIXA REALIZADO]]="N/A","0",UPPER(TEXT(tbRegistroEntradas[[#This Row],[DATA DE CAIXA REALIZADO]],"mmm")))</f>
        <v>FEV</v>
      </c>
      <c r="K524" s="57">
        <f>IF(tbRegistroEntradas[[#This Row],[DATA DE CAIXA REALIZADO]]="N/A",0,YEAR(tbRegistroEntradas[[#This Row],[DATA DE CAIXA REALIZADO]]))</f>
        <v>2023</v>
      </c>
      <c r="L524" s="58" t="str">
        <f>IF(tbRegistroEntradas[[#This Row],[DATA DA COMPETÊNCIA]]="N/A","0",UPPER(TEXT(tbRegistroEntradas[[#This Row],[DATA DA COMPETÊNCIA]],"mmm")))</f>
        <v>JAN</v>
      </c>
      <c r="M524" s="58">
        <f>IF(tbRegistroEntradas[[#This Row],[DATA DA COMPETÊNCIA]]="N/A",0,YEAR(tbRegistroEntradas[[#This Row],[DATA DA COMPETÊNCIA]]))</f>
        <v>2023</v>
      </c>
      <c r="N524" s="58" t="str">
        <f>IF(tbRegistroEntradas[[#This Row],[DATA DO CAIXA PREVISTO]]="N/A","0",UPPER(TEXT(tbRegistroEntradas[[#This Row],[DATA DO CAIXA PREVISTO]],"mmm")))</f>
        <v>JAN</v>
      </c>
      <c r="O524" s="58">
        <f>IF(tbRegistroEntradas[[#This Row],[DATA DO CAIXA PREVISTO]]="N/A",0,YEAR(tbRegistroEntradas[[#This Row],[DATA DO CAIXA PREVISTO]]))</f>
        <v>2023</v>
      </c>
      <c r="P524" s="58" t="str">
        <f ca="1">IF(AND(tbRegistroEntradas[[#This Row],[DATA DE CAIXA REALIZADO]]="N/A",tbRegistroEntradas[[#This Row],[DATA DO CAIXA PREVISTO]]&lt;TODAY()),"Vencida","Não Vencida")</f>
        <v>Não Vencida</v>
      </c>
      <c r="Q524" s="58" t="str">
        <f>IF(tbRegistroEntradas[[#This Row],[DATA DA COMPETÊNCIA]]=tbRegistroEntradas[[#This Row],[DATA DO CAIXA PREVISTO]],"Vista","Prazo")</f>
        <v>Prazo</v>
      </c>
      <c r="R524" s="58" t="str">
        <f>IF(tbRegistroEntradas[[#This Row],[DATA DE CAIXA REALIZADO]]&lt;&gt;"N/A","Em Dia","Com atraso")</f>
        <v>Em Dia</v>
      </c>
    </row>
    <row r="525" spans="1:18" ht="14.4" customHeight="1" x14ac:dyDescent="0.3">
      <c r="A525" s="111">
        <v>44967</v>
      </c>
      <c r="B525" s="111">
        <f>A525-31</f>
        <v>44936</v>
      </c>
      <c r="C525" s="111">
        <f>tbRegistroEntradas[[#This Row],[DATA DA COMPETÊNCIA]]</f>
        <v>44936</v>
      </c>
      <c r="D525" s="109" t="s">
        <v>67</v>
      </c>
      <c r="E525" s="109" t="s">
        <v>12</v>
      </c>
      <c r="F525" s="109" t="s">
        <v>18</v>
      </c>
      <c r="G525" s="109" t="s">
        <v>975</v>
      </c>
      <c r="H525" s="5" t="s">
        <v>132</v>
      </c>
      <c r="I525" s="118">
        <v>189</v>
      </c>
      <c r="J525" s="110" t="str">
        <f>IF(tbRegistroEntradas[[#This Row],[DATA DE CAIXA REALIZADO]]="N/A","0",UPPER(TEXT(tbRegistroEntradas[[#This Row],[DATA DE CAIXA REALIZADO]],"mmm")))</f>
        <v>FEV</v>
      </c>
      <c r="K525" s="57">
        <f>IF(tbRegistroEntradas[[#This Row],[DATA DE CAIXA REALIZADO]]="N/A",0,YEAR(tbRegistroEntradas[[#This Row],[DATA DE CAIXA REALIZADO]]))</f>
        <v>2023</v>
      </c>
      <c r="L525" s="58" t="str">
        <f>IF(tbRegistroEntradas[[#This Row],[DATA DA COMPETÊNCIA]]="N/A","0",UPPER(TEXT(tbRegistroEntradas[[#This Row],[DATA DA COMPETÊNCIA]],"mmm")))</f>
        <v>JAN</v>
      </c>
      <c r="M525" s="58">
        <f>IF(tbRegistroEntradas[[#This Row],[DATA DA COMPETÊNCIA]]="N/A",0,YEAR(tbRegistroEntradas[[#This Row],[DATA DA COMPETÊNCIA]]))</f>
        <v>2023</v>
      </c>
      <c r="N525" s="58" t="str">
        <f>IF(tbRegistroEntradas[[#This Row],[DATA DO CAIXA PREVISTO]]="N/A","0",UPPER(TEXT(tbRegistroEntradas[[#This Row],[DATA DO CAIXA PREVISTO]],"mmm")))</f>
        <v>JAN</v>
      </c>
      <c r="O525" s="58">
        <f>IF(tbRegistroEntradas[[#This Row],[DATA DO CAIXA PREVISTO]]="N/A",0,YEAR(tbRegistroEntradas[[#This Row],[DATA DO CAIXA PREVISTO]]))</f>
        <v>2023</v>
      </c>
      <c r="P525" s="58" t="str">
        <f ca="1">IF(AND(tbRegistroEntradas[[#This Row],[DATA DE CAIXA REALIZADO]]="N/A",tbRegistroEntradas[[#This Row],[DATA DO CAIXA PREVISTO]]&lt;TODAY()),"Vencida","Não Vencida")</f>
        <v>Não Vencida</v>
      </c>
      <c r="Q525" s="58" t="str">
        <f>IF(tbRegistroEntradas[[#This Row],[DATA DA COMPETÊNCIA]]=tbRegistroEntradas[[#This Row],[DATA DO CAIXA PREVISTO]],"Vista","Prazo")</f>
        <v>Vista</v>
      </c>
      <c r="R525" s="58" t="str">
        <f>IF(tbRegistroEntradas[[#This Row],[DATA DE CAIXA REALIZADO]]&lt;&gt;"N/A","Em Dia","Com atraso")</f>
        <v>Em Dia</v>
      </c>
    </row>
    <row r="526" spans="1:18" ht="14.4" customHeight="1" x14ac:dyDescent="0.3">
      <c r="A526" s="111">
        <v>44970</v>
      </c>
      <c r="B526" s="111">
        <f>A526-31</f>
        <v>44939</v>
      </c>
      <c r="C526" s="111">
        <f>tbRegistroEntradas[[#This Row],[DATA DA COMPETÊNCIA]]</f>
        <v>44939</v>
      </c>
      <c r="D526" s="109" t="s">
        <v>64</v>
      </c>
      <c r="E526" s="109" t="s">
        <v>12</v>
      </c>
      <c r="F526" s="109" t="s">
        <v>18</v>
      </c>
      <c r="G526" s="109" t="s">
        <v>810</v>
      </c>
      <c r="H526" s="52" t="s">
        <v>114</v>
      </c>
      <c r="I526" s="118">
        <v>4772</v>
      </c>
      <c r="J526" s="110" t="str">
        <f>IF(tbRegistroEntradas[[#This Row],[DATA DE CAIXA REALIZADO]]="N/A","0",UPPER(TEXT(tbRegistroEntradas[[#This Row],[DATA DE CAIXA REALIZADO]],"mmm")))</f>
        <v>FEV</v>
      </c>
      <c r="K526" s="57">
        <f>IF(tbRegistroEntradas[[#This Row],[DATA DE CAIXA REALIZADO]]="N/A",0,YEAR(tbRegistroEntradas[[#This Row],[DATA DE CAIXA REALIZADO]]))</f>
        <v>2023</v>
      </c>
      <c r="L526" s="58" t="str">
        <f>IF(tbRegistroEntradas[[#This Row],[DATA DA COMPETÊNCIA]]="N/A","0",UPPER(TEXT(tbRegistroEntradas[[#This Row],[DATA DA COMPETÊNCIA]],"mmm")))</f>
        <v>JAN</v>
      </c>
      <c r="M526" s="58">
        <f>IF(tbRegistroEntradas[[#This Row],[DATA DA COMPETÊNCIA]]="N/A",0,YEAR(tbRegistroEntradas[[#This Row],[DATA DA COMPETÊNCIA]]))</f>
        <v>2023</v>
      </c>
      <c r="N526" s="58" t="str">
        <f>IF(tbRegistroEntradas[[#This Row],[DATA DO CAIXA PREVISTO]]="N/A","0",UPPER(TEXT(tbRegistroEntradas[[#This Row],[DATA DO CAIXA PREVISTO]],"mmm")))</f>
        <v>JAN</v>
      </c>
      <c r="O526" s="58">
        <f>IF(tbRegistroEntradas[[#This Row],[DATA DO CAIXA PREVISTO]]="N/A",0,YEAR(tbRegistroEntradas[[#This Row],[DATA DO CAIXA PREVISTO]]))</f>
        <v>2023</v>
      </c>
      <c r="P526" s="58" t="str">
        <f ca="1">IF(AND(tbRegistroEntradas[[#This Row],[DATA DE CAIXA REALIZADO]]="N/A",tbRegistroEntradas[[#This Row],[DATA DO CAIXA PREVISTO]]&lt;TODAY()),"Vencida","Não Vencida")</f>
        <v>Não Vencida</v>
      </c>
      <c r="Q526" s="58" t="str">
        <f>IF(tbRegistroEntradas[[#This Row],[DATA DA COMPETÊNCIA]]=tbRegistroEntradas[[#This Row],[DATA DO CAIXA PREVISTO]],"Vista","Prazo")</f>
        <v>Vista</v>
      </c>
      <c r="R526" s="58" t="str">
        <f>IF(tbRegistroEntradas[[#This Row],[DATA DE CAIXA REALIZADO]]&lt;&gt;"N/A","Em Dia","Com atraso")</f>
        <v>Em Dia</v>
      </c>
    </row>
    <row r="527" spans="1:18" ht="14.4" customHeight="1" x14ac:dyDescent="0.3">
      <c r="A527" s="43">
        <v>44970.22115740741</v>
      </c>
      <c r="B527" s="44">
        <v>44939</v>
      </c>
      <c r="C527" s="44">
        <v>44970.22115740741</v>
      </c>
      <c r="D527" s="35" t="s">
        <v>62</v>
      </c>
      <c r="E527" s="35" t="s">
        <v>12</v>
      </c>
      <c r="F527" s="35" t="s">
        <v>19</v>
      </c>
      <c r="G527" s="35" t="s">
        <v>314</v>
      </c>
      <c r="H527" s="143" t="s">
        <v>116</v>
      </c>
      <c r="I527" s="122">
        <v>2970</v>
      </c>
      <c r="J527" s="55" t="str">
        <f>IF(tbRegistroEntradas[[#This Row],[DATA DE CAIXA REALIZADO]]="N/A","0",UPPER(TEXT(tbRegistroEntradas[[#This Row],[DATA DE CAIXA REALIZADO]],"mmm")))</f>
        <v>FEV</v>
      </c>
      <c r="K527" s="58">
        <f>IF(tbRegistroEntradas[[#This Row],[DATA DE CAIXA REALIZADO]]="N/A",0,YEAR(tbRegistroEntradas[[#This Row],[DATA DE CAIXA REALIZADO]]))</f>
        <v>2023</v>
      </c>
      <c r="L527" s="79" t="str">
        <f>IF(tbRegistroEntradas[[#This Row],[DATA DA COMPETÊNCIA]]="N/A","0",UPPER(TEXT(tbRegistroEntradas[[#This Row],[DATA DA COMPETÊNCIA]],"mmm")))</f>
        <v>JAN</v>
      </c>
      <c r="M527" s="79">
        <f>IF(tbRegistroEntradas[[#This Row],[DATA DA COMPETÊNCIA]]="N/A",0,YEAR(tbRegistroEntradas[[#This Row],[DATA DA COMPETÊNCIA]]))</f>
        <v>2023</v>
      </c>
      <c r="N527" s="84" t="str">
        <f>IF(tbRegistroEntradas[[#This Row],[DATA DO CAIXA PREVISTO]]="N/A","0",UPPER(TEXT(tbRegistroEntradas[[#This Row],[DATA DO CAIXA PREVISTO]],"mmm")))</f>
        <v>FEV</v>
      </c>
      <c r="O527" s="84">
        <f>IF(tbRegistroEntradas[[#This Row],[DATA DO CAIXA PREVISTO]]="N/A",0,YEAR(tbRegistroEntradas[[#This Row],[DATA DO CAIXA PREVISTO]]))</f>
        <v>2023</v>
      </c>
      <c r="P527" s="58" t="str">
        <f ca="1">IF(AND(tbRegistroEntradas[[#This Row],[DATA DE CAIXA REALIZADO]]="N/A",tbRegistroEntradas[[#This Row],[DATA DO CAIXA PREVISTO]]&lt;TODAY()),"Vencida","Não Vencida")</f>
        <v>Não Vencida</v>
      </c>
      <c r="Q527" s="58" t="str">
        <f>IF(tbRegistroEntradas[[#This Row],[DATA DA COMPETÊNCIA]]=tbRegistroEntradas[[#This Row],[DATA DO CAIXA PREVISTO]],"Vista","Prazo")</f>
        <v>Prazo</v>
      </c>
      <c r="R527" s="58" t="str">
        <f>IF(tbRegistroEntradas[[#This Row],[DATA DE CAIXA REALIZADO]]&lt;&gt;"N/A","Em Dia","Com atraso")</f>
        <v>Em Dia</v>
      </c>
    </row>
    <row r="528" spans="1:18" ht="14.4" x14ac:dyDescent="0.3">
      <c r="A528" s="40">
        <v>45062.782094907408</v>
      </c>
      <c r="B528" s="41">
        <v>44943</v>
      </c>
      <c r="C528" s="111">
        <f>tbRegistroEntradas[[#This Row],[DATA DA COMPETÊNCIA]]</f>
        <v>44943</v>
      </c>
      <c r="D528" s="42" t="s">
        <v>64</v>
      </c>
      <c r="E528" s="42" t="s">
        <v>12</v>
      </c>
      <c r="F528" s="42" t="s">
        <v>16</v>
      </c>
      <c r="G528" s="42" t="s">
        <v>315</v>
      </c>
      <c r="H528" s="52" t="s">
        <v>115</v>
      </c>
      <c r="I528" s="121">
        <v>4993</v>
      </c>
      <c r="J528" s="55" t="str">
        <f>IF(tbRegistroEntradas[[#This Row],[DATA DE CAIXA REALIZADO]]="N/A","0",UPPER(TEXT(tbRegistroEntradas[[#This Row],[DATA DE CAIXA REALIZADO]],"mmm")))</f>
        <v>MAI</v>
      </c>
      <c r="K528" s="58">
        <f>IF(tbRegistroEntradas[[#This Row],[DATA DE CAIXA REALIZADO]]="N/A",0,YEAR(tbRegistroEntradas[[#This Row],[DATA DE CAIXA REALIZADO]]))</f>
        <v>2023</v>
      </c>
      <c r="L528" s="79" t="str">
        <f>IF(tbRegistroEntradas[[#This Row],[DATA DA COMPETÊNCIA]]="N/A","0",UPPER(TEXT(tbRegistroEntradas[[#This Row],[DATA DA COMPETÊNCIA]],"mmm")))</f>
        <v>JAN</v>
      </c>
      <c r="M528" s="79">
        <f>IF(tbRegistroEntradas[[#This Row],[DATA DA COMPETÊNCIA]]="N/A",0,YEAR(tbRegistroEntradas[[#This Row],[DATA DA COMPETÊNCIA]]))</f>
        <v>2023</v>
      </c>
      <c r="N528" s="84" t="str">
        <f>IF(tbRegistroEntradas[[#This Row],[DATA DO CAIXA PREVISTO]]="N/A","0",UPPER(TEXT(tbRegistroEntradas[[#This Row],[DATA DO CAIXA PREVISTO]],"mmm")))</f>
        <v>JAN</v>
      </c>
      <c r="O528" s="84">
        <f>IF(tbRegistroEntradas[[#This Row],[DATA DO CAIXA PREVISTO]]="N/A",0,YEAR(tbRegistroEntradas[[#This Row],[DATA DO CAIXA PREVISTO]]))</f>
        <v>2023</v>
      </c>
      <c r="P528" s="58" t="str">
        <f ca="1">IF(AND(tbRegistroEntradas[[#This Row],[DATA DE CAIXA REALIZADO]]="N/A",tbRegistroEntradas[[#This Row],[DATA DO CAIXA PREVISTO]]&lt;TODAY()),"Vencida","Não Vencida")</f>
        <v>Não Vencida</v>
      </c>
      <c r="Q528" s="58" t="str">
        <f>IF(tbRegistroEntradas[[#This Row],[DATA DA COMPETÊNCIA]]=tbRegistroEntradas[[#This Row],[DATA DO CAIXA PREVISTO]],"Vista","Prazo")</f>
        <v>Vista</v>
      </c>
      <c r="R528" s="58" t="str">
        <f>IF(tbRegistroEntradas[[#This Row],[DATA DE CAIXA REALIZADO]]&lt;&gt;"N/A","Em Dia","Com atraso")</f>
        <v>Em Dia</v>
      </c>
    </row>
    <row r="529" spans="1:18" ht="14.4" customHeight="1" x14ac:dyDescent="0.3">
      <c r="A529" s="111">
        <v>44977</v>
      </c>
      <c r="B529" s="111">
        <f>A529-31</f>
        <v>44946</v>
      </c>
      <c r="C529" s="111">
        <f>tbRegistroEntradas[[#This Row],[DATA DA COMPETÊNCIA]]</f>
        <v>44946</v>
      </c>
      <c r="D529" s="109" t="s">
        <v>66</v>
      </c>
      <c r="E529" s="109" t="s">
        <v>12</v>
      </c>
      <c r="F529" s="109" t="s">
        <v>17</v>
      </c>
      <c r="G529" s="109" t="s">
        <v>818</v>
      </c>
      <c r="H529" s="126" t="s">
        <v>124</v>
      </c>
      <c r="I529" s="118">
        <v>2755</v>
      </c>
      <c r="J529" s="110" t="str">
        <f>IF(tbRegistroEntradas[[#This Row],[DATA DE CAIXA REALIZADO]]="N/A","0",UPPER(TEXT(tbRegistroEntradas[[#This Row],[DATA DE CAIXA REALIZADO]],"mmm")))</f>
        <v>FEV</v>
      </c>
      <c r="K529" s="57">
        <f>IF(tbRegistroEntradas[[#This Row],[DATA DE CAIXA REALIZADO]]="N/A",0,YEAR(tbRegistroEntradas[[#This Row],[DATA DE CAIXA REALIZADO]]))</f>
        <v>2023</v>
      </c>
      <c r="L529" s="58" t="str">
        <f>IF(tbRegistroEntradas[[#This Row],[DATA DA COMPETÊNCIA]]="N/A","0",UPPER(TEXT(tbRegistroEntradas[[#This Row],[DATA DA COMPETÊNCIA]],"mmm")))</f>
        <v>JAN</v>
      </c>
      <c r="M529" s="58">
        <f>IF(tbRegistroEntradas[[#This Row],[DATA DA COMPETÊNCIA]]="N/A",0,YEAR(tbRegistroEntradas[[#This Row],[DATA DA COMPETÊNCIA]]))</f>
        <v>2023</v>
      </c>
      <c r="N529" s="58" t="str">
        <f>IF(tbRegistroEntradas[[#This Row],[DATA DO CAIXA PREVISTO]]="N/A","0",UPPER(TEXT(tbRegistroEntradas[[#This Row],[DATA DO CAIXA PREVISTO]],"mmm")))</f>
        <v>JAN</v>
      </c>
      <c r="O529" s="58">
        <f>IF(tbRegistroEntradas[[#This Row],[DATA DO CAIXA PREVISTO]]="N/A",0,YEAR(tbRegistroEntradas[[#This Row],[DATA DO CAIXA PREVISTO]]))</f>
        <v>2023</v>
      </c>
      <c r="P529" s="58" t="str">
        <f ca="1">IF(AND(tbRegistroEntradas[[#This Row],[DATA DE CAIXA REALIZADO]]="N/A",tbRegistroEntradas[[#This Row],[DATA DO CAIXA PREVISTO]]&lt;TODAY()),"Vencida","Não Vencida")</f>
        <v>Não Vencida</v>
      </c>
      <c r="Q529" s="58" t="str">
        <f>IF(tbRegistroEntradas[[#This Row],[DATA DA COMPETÊNCIA]]=tbRegistroEntradas[[#This Row],[DATA DO CAIXA PREVISTO]],"Vista","Prazo")</f>
        <v>Vista</v>
      </c>
      <c r="R529" s="58" t="str">
        <f>IF(tbRegistroEntradas[[#This Row],[DATA DE CAIXA REALIZADO]]&lt;&gt;"N/A","Em Dia","Com atraso")</f>
        <v>Em Dia</v>
      </c>
    </row>
    <row r="530" spans="1:18" ht="14.4" customHeight="1" x14ac:dyDescent="0.3">
      <c r="A530" s="43">
        <v>44946.955497685187</v>
      </c>
      <c r="B530" s="44">
        <v>44946</v>
      </c>
      <c r="C530" s="44">
        <v>44946.955497685187</v>
      </c>
      <c r="D530" s="35" t="s">
        <v>67</v>
      </c>
      <c r="E530" s="35" t="s">
        <v>12</v>
      </c>
      <c r="F530" s="35" t="s">
        <v>32</v>
      </c>
      <c r="G530" s="35" t="s">
        <v>316</v>
      </c>
      <c r="H530" s="126" t="s">
        <v>133</v>
      </c>
      <c r="I530" s="122">
        <v>1664</v>
      </c>
      <c r="J530" s="55" t="str">
        <f>IF(tbRegistroEntradas[[#This Row],[DATA DE CAIXA REALIZADO]]="N/A","0",UPPER(TEXT(tbRegistroEntradas[[#This Row],[DATA DE CAIXA REALIZADO]],"mmm")))</f>
        <v>JAN</v>
      </c>
      <c r="K530" s="58">
        <f>IF(tbRegistroEntradas[[#This Row],[DATA DE CAIXA REALIZADO]]="N/A",0,YEAR(tbRegistroEntradas[[#This Row],[DATA DE CAIXA REALIZADO]]))</f>
        <v>2023</v>
      </c>
      <c r="L530" s="79" t="str">
        <f>IF(tbRegistroEntradas[[#This Row],[DATA DA COMPETÊNCIA]]="N/A","0",UPPER(TEXT(tbRegistroEntradas[[#This Row],[DATA DA COMPETÊNCIA]],"mmm")))</f>
        <v>JAN</v>
      </c>
      <c r="M530" s="79">
        <f>IF(tbRegistroEntradas[[#This Row],[DATA DA COMPETÊNCIA]]="N/A",0,YEAR(tbRegistroEntradas[[#This Row],[DATA DA COMPETÊNCIA]]))</f>
        <v>2023</v>
      </c>
      <c r="N530" s="84" t="str">
        <f>IF(tbRegistroEntradas[[#This Row],[DATA DO CAIXA PREVISTO]]="N/A","0",UPPER(TEXT(tbRegistroEntradas[[#This Row],[DATA DO CAIXA PREVISTO]],"mmm")))</f>
        <v>JAN</v>
      </c>
      <c r="O530" s="84">
        <f>IF(tbRegistroEntradas[[#This Row],[DATA DO CAIXA PREVISTO]]="N/A",0,YEAR(tbRegistroEntradas[[#This Row],[DATA DO CAIXA PREVISTO]]))</f>
        <v>2023</v>
      </c>
      <c r="P530" s="58" t="str">
        <f ca="1">IF(AND(tbRegistroEntradas[[#This Row],[DATA DE CAIXA REALIZADO]]="N/A",tbRegistroEntradas[[#This Row],[DATA DO CAIXA PREVISTO]]&lt;TODAY()),"Vencida","Não Vencida")</f>
        <v>Não Vencida</v>
      </c>
      <c r="Q530" s="58" t="str">
        <f>IF(tbRegistroEntradas[[#This Row],[DATA DA COMPETÊNCIA]]=tbRegistroEntradas[[#This Row],[DATA DO CAIXA PREVISTO]],"Vista","Prazo")</f>
        <v>Prazo</v>
      </c>
      <c r="R530" s="58" t="str">
        <f>IF(tbRegistroEntradas[[#This Row],[DATA DE CAIXA REALIZADO]]&lt;&gt;"N/A","Em Dia","Com atraso")</f>
        <v>Em Dia</v>
      </c>
    </row>
    <row r="531" spans="1:18" ht="14.4" customHeight="1" x14ac:dyDescent="0.3">
      <c r="A531" s="40">
        <v>44983.615243055552</v>
      </c>
      <c r="B531" s="41">
        <v>44947</v>
      </c>
      <c r="C531" s="111">
        <f>tbRegistroEntradas[[#This Row],[DATA DA COMPETÊNCIA]]</f>
        <v>44947</v>
      </c>
      <c r="D531" s="42" t="s">
        <v>66</v>
      </c>
      <c r="E531" s="42" t="s">
        <v>12</v>
      </c>
      <c r="F531" s="42" t="s">
        <v>19</v>
      </c>
      <c r="G531" s="42" t="s">
        <v>317</v>
      </c>
      <c r="H531" s="126" t="s">
        <v>126</v>
      </c>
      <c r="I531" s="121">
        <v>1815</v>
      </c>
      <c r="J531" s="55" t="str">
        <f>IF(tbRegistroEntradas[[#This Row],[DATA DE CAIXA REALIZADO]]="N/A","0",UPPER(TEXT(tbRegistroEntradas[[#This Row],[DATA DE CAIXA REALIZADO]],"mmm")))</f>
        <v>FEV</v>
      </c>
      <c r="K531" s="58">
        <f>IF(tbRegistroEntradas[[#This Row],[DATA DE CAIXA REALIZADO]]="N/A",0,YEAR(tbRegistroEntradas[[#This Row],[DATA DE CAIXA REALIZADO]]))</f>
        <v>2023</v>
      </c>
      <c r="L531" s="79" t="str">
        <f>IF(tbRegistroEntradas[[#This Row],[DATA DA COMPETÊNCIA]]="N/A","0",UPPER(TEXT(tbRegistroEntradas[[#This Row],[DATA DA COMPETÊNCIA]],"mmm")))</f>
        <v>JAN</v>
      </c>
      <c r="M531" s="79">
        <f>IF(tbRegistroEntradas[[#This Row],[DATA DA COMPETÊNCIA]]="N/A",0,YEAR(tbRegistroEntradas[[#This Row],[DATA DA COMPETÊNCIA]]))</f>
        <v>2023</v>
      </c>
      <c r="N531" s="84" t="str">
        <f>IF(tbRegistroEntradas[[#This Row],[DATA DO CAIXA PREVISTO]]="N/A","0",UPPER(TEXT(tbRegistroEntradas[[#This Row],[DATA DO CAIXA PREVISTO]],"mmm")))</f>
        <v>JAN</v>
      </c>
      <c r="O531" s="84">
        <f>IF(tbRegistroEntradas[[#This Row],[DATA DO CAIXA PREVISTO]]="N/A",0,YEAR(tbRegistroEntradas[[#This Row],[DATA DO CAIXA PREVISTO]]))</f>
        <v>2023</v>
      </c>
      <c r="P531" s="58" t="str">
        <f ca="1">IF(AND(tbRegistroEntradas[[#This Row],[DATA DE CAIXA REALIZADO]]="N/A",tbRegistroEntradas[[#This Row],[DATA DO CAIXA PREVISTO]]&lt;TODAY()),"Vencida","Não Vencida")</f>
        <v>Não Vencida</v>
      </c>
      <c r="Q531" s="58" t="str">
        <f>IF(tbRegistroEntradas[[#This Row],[DATA DA COMPETÊNCIA]]=tbRegistroEntradas[[#This Row],[DATA DO CAIXA PREVISTO]],"Vista","Prazo")</f>
        <v>Vista</v>
      </c>
      <c r="R531" s="58" t="str">
        <f>IF(tbRegistroEntradas[[#This Row],[DATA DE CAIXA REALIZADO]]&lt;&gt;"N/A","Em Dia","Com atraso")</f>
        <v>Em Dia</v>
      </c>
    </row>
    <row r="532" spans="1:18" ht="14.4" customHeight="1" x14ac:dyDescent="0.3">
      <c r="A532" s="111">
        <v>44979</v>
      </c>
      <c r="B532" s="111">
        <f>A532-31</f>
        <v>44948</v>
      </c>
      <c r="C532" s="111">
        <f>tbRegistroEntradas[[#This Row],[DATA DA COMPETÊNCIA]]</f>
        <v>44948</v>
      </c>
      <c r="D532" s="109" t="s">
        <v>138</v>
      </c>
      <c r="E532" s="109" t="s">
        <v>12</v>
      </c>
      <c r="F532" s="109" t="s">
        <v>19</v>
      </c>
      <c r="G532" s="109" t="s">
        <v>816</v>
      </c>
      <c r="H532" s="52" t="s">
        <v>68</v>
      </c>
      <c r="I532" s="118">
        <v>4679</v>
      </c>
      <c r="J532" s="110" t="str">
        <f>IF(tbRegistroEntradas[[#This Row],[DATA DE CAIXA REALIZADO]]="N/A","0",UPPER(TEXT(tbRegistroEntradas[[#This Row],[DATA DE CAIXA REALIZADO]],"mmm")))</f>
        <v>FEV</v>
      </c>
      <c r="K532" s="57">
        <f>IF(tbRegistroEntradas[[#This Row],[DATA DE CAIXA REALIZADO]]="N/A",0,YEAR(tbRegistroEntradas[[#This Row],[DATA DE CAIXA REALIZADO]]))</f>
        <v>2023</v>
      </c>
      <c r="L532" s="58" t="str">
        <f>IF(tbRegistroEntradas[[#This Row],[DATA DA COMPETÊNCIA]]="N/A","0",UPPER(TEXT(tbRegistroEntradas[[#This Row],[DATA DA COMPETÊNCIA]],"mmm")))</f>
        <v>JAN</v>
      </c>
      <c r="M532" s="58">
        <f>IF(tbRegistroEntradas[[#This Row],[DATA DA COMPETÊNCIA]]="N/A",0,YEAR(tbRegistroEntradas[[#This Row],[DATA DA COMPETÊNCIA]]))</f>
        <v>2023</v>
      </c>
      <c r="N532" s="58" t="str">
        <f>IF(tbRegistroEntradas[[#This Row],[DATA DO CAIXA PREVISTO]]="N/A","0",UPPER(TEXT(tbRegistroEntradas[[#This Row],[DATA DO CAIXA PREVISTO]],"mmm")))</f>
        <v>JAN</v>
      </c>
      <c r="O532" s="58">
        <f>IF(tbRegistroEntradas[[#This Row],[DATA DO CAIXA PREVISTO]]="N/A",0,YEAR(tbRegistroEntradas[[#This Row],[DATA DO CAIXA PREVISTO]]))</f>
        <v>2023</v>
      </c>
      <c r="P532" s="58" t="str">
        <f ca="1">IF(AND(tbRegistroEntradas[[#This Row],[DATA DE CAIXA REALIZADO]]="N/A",tbRegistroEntradas[[#This Row],[DATA DO CAIXA PREVISTO]]&lt;TODAY()),"Vencida","Não Vencida")</f>
        <v>Não Vencida</v>
      </c>
      <c r="Q532" s="58" t="str">
        <f>IF(tbRegistroEntradas[[#This Row],[DATA DA COMPETÊNCIA]]=tbRegistroEntradas[[#This Row],[DATA DO CAIXA PREVISTO]],"Vista","Prazo")</f>
        <v>Vista</v>
      </c>
      <c r="R532" s="58" t="str">
        <f>IF(tbRegistroEntradas[[#This Row],[DATA DE CAIXA REALIZADO]]&lt;&gt;"N/A","Em Dia","Com atraso")</f>
        <v>Em Dia</v>
      </c>
    </row>
    <row r="533" spans="1:18" ht="14.4" customHeight="1" x14ac:dyDescent="0.3">
      <c r="A533" s="111">
        <v>44979</v>
      </c>
      <c r="B533" s="111">
        <f>A533-31</f>
        <v>44948</v>
      </c>
      <c r="C533" s="111">
        <f>(A533-B533)+B533-15</f>
        <v>44964</v>
      </c>
      <c r="D533" s="109" t="s">
        <v>63</v>
      </c>
      <c r="E533" s="109" t="s">
        <v>12</v>
      </c>
      <c r="F533" s="109" t="s">
        <v>16</v>
      </c>
      <c r="G533" s="109" t="s">
        <v>920</v>
      </c>
      <c r="H533" s="126" t="s">
        <v>100</v>
      </c>
      <c r="I533" s="118">
        <v>7317</v>
      </c>
      <c r="J533" s="110" t="str">
        <f>IF(tbRegistroEntradas[[#This Row],[DATA DE CAIXA REALIZADO]]="N/A","0",UPPER(TEXT(tbRegistroEntradas[[#This Row],[DATA DE CAIXA REALIZADO]],"mmm")))</f>
        <v>FEV</v>
      </c>
      <c r="K533" s="57">
        <f>IF(tbRegistroEntradas[[#This Row],[DATA DE CAIXA REALIZADO]]="N/A",0,YEAR(tbRegistroEntradas[[#This Row],[DATA DE CAIXA REALIZADO]]))</f>
        <v>2023</v>
      </c>
      <c r="L533" s="58" t="str">
        <f>IF(tbRegistroEntradas[[#This Row],[DATA DA COMPETÊNCIA]]="N/A","0",UPPER(TEXT(tbRegistroEntradas[[#This Row],[DATA DA COMPETÊNCIA]],"mmm")))</f>
        <v>JAN</v>
      </c>
      <c r="M533" s="58">
        <f>IF(tbRegistroEntradas[[#This Row],[DATA DA COMPETÊNCIA]]="N/A",0,YEAR(tbRegistroEntradas[[#This Row],[DATA DA COMPETÊNCIA]]))</f>
        <v>2023</v>
      </c>
      <c r="N533" s="58" t="str">
        <f>IF(tbRegistroEntradas[[#This Row],[DATA DO CAIXA PREVISTO]]="N/A","0",UPPER(TEXT(tbRegistroEntradas[[#This Row],[DATA DO CAIXA PREVISTO]],"mmm")))</f>
        <v>FEV</v>
      </c>
      <c r="O533" s="58">
        <f>IF(tbRegistroEntradas[[#This Row],[DATA DO CAIXA PREVISTO]]="N/A",0,YEAR(tbRegistroEntradas[[#This Row],[DATA DO CAIXA PREVISTO]]))</f>
        <v>2023</v>
      </c>
      <c r="P533" s="58" t="str">
        <f ca="1">IF(AND(tbRegistroEntradas[[#This Row],[DATA DE CAIXA REALIZADO]]="N/A",tbRegistroEntradas[[#This Row],[DATA DO CAIXA PREVISTO]]&lt;TODAY()),"Vencida","Não Vencida")</f>
        <v>Não Vencida</v>
      </c>
      <c r="Q533" s="58" t="str">
        <f>IF(tbRegistroEntradas[[#This Row],[DATA DA COMPETÊNCIA]]=tbRegistroEntradas[[#This Row],[DATA DO CAIXA PREVISTO]],"Vista","Prazo")</f>
        <v>Prazo</v>
      </c>
      <c r="R533" s="58" t="str">
        <f>IF(tbRegistroEntradas[[#This Row],[DATA DE CAIXA REALIZADO]]&lt;&gt;"N/A","Em Dia","Com atraso")</f>
        <v>Em Dia</v>
      </c>
    </row>
    <row r="534" spans="1:18" ht="14.4" customHeight="1" x14ac:dyDescent="0.3">
      <c r="A534" s="43">
        <v>44966.043865740743</v>
      </c>
      <c r="B534" s="44">
        <v>44949</v>
      </c>
      <c r="C534" s="111">
        <f>tbRegistroEntradas[[#This Row],[DATA DA COMPETÊNCIA]]</f>
        <v>44949</v>
      </c>
      <c r="D534" s="35" t="s">
        <v>138</v>
      </c>
      <c r="E534" s="35" t="s">
        <v>12</v>
      </c>
      <c r="F534" s="35" t="s">
        <v>18</v>
      </c>
      <c r="G534" s="35" t="s">
        <v>318</v>
      </c>
      <c r="H534" s="52" t="s">
        <v>75</v>
      </c>
      <c r="I534" s="122">
        <v>3752</v>
      </c>
      <c r="J534" s="55" t="str">
        <f>IF(tbRegistroEntradas[[#This Row],[DATA DE CAIXA REALIZADO]]="N/A","0",UPPER(TEXT(tbRegistroEntradas[[#This Row],[DATA DE CAIXA REALIZADO]],"mmm")))</f>
        <v>FEV</v>
      </c>
      <c r="K534" s="58">
        <f>IF(tbRegistroEntradas[[#This Row],[DATA DE CAIXA REALIZADO]]="N/A",0,YEAR(tbRegistroEntradas[[#This Row],[DATA DE CAIXA REALIZADO]]))</f>
        <v>2023</v>
      </c>
      <c r="L534" s="79" t="str">
        <f>IF(tbRegistroEntradas[[#This Row],[DATA DA COMPETÊNCIA]]="N/A","0",UPPER(TEXT(tbRegistroEntradas[[#This Row],[DATA DA COMPETÊNCIA]],"mmm")))</f>
        <v>JAN</v>
      </c>
      <c r="M534" s="79">
        <f>IF(tbRegistroEntradas[[#This Row],[DATA DA COMPETÊNCIA]]="N/A",0,YEAR(tbRegistroEntradas[[#This Row],[DATA DA COMPETÊNCIA]]))</f>
        <v>2023</v>
      </c>
      <c r="N534" s="84" t="str">
        <f>IF(tbRegistroEntradas[[#This Row],[DATA DO CAIXA PREVISTO]]="N/A","0",UPPER(TEXT(tbRegistroEntradas[[#This Row],[DATA DO CAIXA PREVISTO]],"mmm")))</f>
        <v>JAN</v>
      </c>
      <c r="O534" s="84">
        <f>IF(tbRegistroEntradas[[#This Row],[DATA DO CAIXA PREVISTO]]="N/A",0,YEAR(tbRegistroEntradas[[#This Row],[DATA DO CAIXA PREVISTO]]))</f>
        <v>2023</v>
      </c>
      <c r="P534" s="58" t="str">
        <f ca="1">IF(AND(tbRegistroEntradas[[#This Row],[DATA DE CAIXA REALIZADO]]="N/A",tbRegistroEntradas[[#This Row],[DATA DO CAIXA PREVISTO]]&lt;TODAY()),"Vencida","Não Vencida")</f>
        <v>Não Vencida</v>
      </c>
      <c r="Q534" s="58" t="str">
        <f>IF(tbRegistroEntradas[[#This Row],[DATA DA COMPETÊNCIA]]=tbRegistroEntradas[[#This Row],[DATA DO CAIXA PREVISTO]],"Vista","Prazo")</f>
        <v>Vista</v>
      </c>
      <c r="R534" s="58" t="str">
        <f>IF(tbRegistroEntradas[[#This Row],[DATA DE CAIXA REALIZADO]]&lt;&gt;"N/A","Em Dia","Com atraso")</f>
        <v>Em Dia</v>
      </c>
    </row>
    <row r="535" spans="1:18" ht="14.4" customHeight="1" x14ac:dyDescent="0.3">
      <c r="A535" s="111">
        <v>44980</v>
      </c>
      <c r="B535" s="111">
        <f>A535-31</f>
        <v>44949</v>
      </c>
      <c r="C535" s="111">
        <f>(A535-B535)+B535-15</f>
        <v>44965</v>
      </c>
      <c r="D535" s="109" t="s">
        <v>65</v>
      </c>
      <c r="E535" s="109" t="s">
        <v>12</v>
      </c>
      <c r="F535" s="109" t="s">
        <v>18</v>
      </c>
      <c r="G535" s="109" t="s">
        <v>845</v>
      </c>
      <c r="H535" s="126" t="s">
        <v>118</v>
      </c>
      <c r="I535" s="118">
        <v>1401</v>
      </c>
      <c r="J535" s="110" t="str">
        <f>IF(tbRegistroEntradas[[#This Row],[DATA DE CAIXA REALIZADO]]="N/A","0",UPPER(TEXT(tbRegistroEntradas[[#This Row],[DATA DE CAIXA REALIZADO]],"mmm")))</f>
        <v>FEV</v>
      </c>
      <c r="K535" s="57">
        <f>IF(tbRegistroEntradas[[#This Row],[DATA DE CAIXA REALIZADO]]="N/A",0,YEAR(tbRegistroEntradas[[#This Row],[DATA DE CAIXA REALIZADO]]))</f>
        <v>2023</v>
      </c>
      <c r="L535" s="58" t="str">
        <f>IF(tbRegistroEntradas[[#This Row],[DATA DA COMPETÊNCIA]]="N/A","0",UPPER(TEXT(tbRegistroEntradas[[#This Row],[DATA DA COMPETÊNCIA]],"mmm")))</f>
        <v>JAN</v>
      </c>
      <c r="M535" s="58">
        <f>IF(tbRegistroEntradas[[#This Row],[DATA DA COMPETÊNCIA]]="N/A",0,YEAR(tbRegistroEntradas[[#This Row],[DATA DA COMPETÊNCIA]]))</f>
        <v>2023</v>
      </c>
      <c r="N535" s="58" t="str">
        <f>IF(tbRegistroEntradas[[#This Row],[DATA DO CAIXA PREVISTO]]="N/A","0",UPPER(TEXT(tbRegistroEntradas[[#This Row],[DATA DO CAIXA PREVISTO]],"mmm")))</f>
        <v>FEV</v>
      </c>
      <c r="O535" s="58">
        <f>IF(tbRegistroEntradas[[#This Row],[DATA DO CAIXA PREVISTO]]="N/A",0,YEAR(tbRegistroEntradas[[#This Row],[DATA DO CAIXA PREVISTO]]))</f>
        <v>2023</v>
      </c>
      <c r="P535" s="58" t="str">
        <f ca="1">IF(AND(tbRegistroEntradas[[#This Row],[DATA DE CAIXA REALIZADO]]="N/A",tbRegistroEntradas[[#This Row],[DATA DO CAIXA PREVISTO]]&lt;TODAY()),"Vencida","Não Vencida")</f>
        <v>Não Vencida</v>
      </c>
      <c r="Q535" s="58" t="str">
        <f>IF(tbRegistroEntradas[[#This Row],[DATA DA COMPETÊNCIA]]=tbRegistroEntradas[[#This Row],[DATA DO CAIXA PREVISTO]],"Vista","Prazo")</f>
        <v>Prazo</v>
      </c>
      <c r="R535" s="58" t="str">
        <f>IF(tbRegistroEntradas[[#This Row],[DATA DE CAIXA REALIZADO]]&lt;&gt;"N/A","Em Dia","Com atraso")</f>
        <v>Em Dia</v>
      </c>
    </row>
    <row r="536" spans="1:18" ht="14.4" customHeight="1" x14ac:dyDescent="0.3">
      <c r="A536" s="111">
        <v>44982</v>
      </c>
      <c r="B536" s="111">
        <f>A536-31</f>
        <v>44951</v>
      </c>
      <c r="C536" s="111">
        <f>(A536-B536)+B536-15</f>
        <v>44967</v>
      </c>
      <c r="D536" s="109" t="s">
        <v>63</v>
      </c>
      <c r="E536" s="109" t="s">
        <v>12</v>
      </c>
      <c r="F536" s="109" t="s">
        <v>32</v>
      </c>
      <c r="G536" s="109" t="s">
        <v>756</v>
      </c>
      <c r="H536" s="145" t="s">
        <v>101</v>
      </c>
      <c r="I536" s="118">
        <v>4107</v>
      </c>
      <c r="J536" s="110" t="str">
        <f>IF(tbRegistroEntradas[[#This Row],[DATA DE CAIXA REALIZADO]]="N/A","0",UPPER(TEXT(tbRegistroEntradas[[#This Row],[DATA DE CAIXA REALIZADO]],"mmm")))</f>
        <v>FEV</v>
      </c>
      <c r="K536" s="57">
        <f>IF(tbRegistroEntradas[[#This Row],[DATA DE CAIXA REALIZADO]]="N/A",0,YEAR(tbRegistroEntradas[[#This Row],[DATA DE CAIXA REALIZADO]]))</f>
        <v>2023</v>
      </c>
      <c r="L536" s="58" t="str">
        <f>IF(tbRegistroEntradas[[#This Row],[DATA DA COMPETÊNCIA]]="N/A","0",UPPER(TEXT(tbRegistroEntradas[[#This Row],[DATA DA COMPETÊNCIA]],"mmm")))</f>
        <v>JAN</v>
      </c>
      <c r="M536" s="58">
        <f>IF(tbRegistroEntradas[[#This Row],[DATA DA COMPETÊNCIA]]="N/A",0,YEAR(tbRegistroEntradas[[#This Row],[DATA DA COMPETÊNCIA]]))</f>
        <v>2023</v>
      </c>
      <c r="N536" s="58" t="str">
        <f>IF(tbRegistroEntradas[[#This Row],[DATA DO CAIXA PREVISTO]]="N/A","0",UPPER(TEXT(tbRegistroEntradas[[#This Row],[DATA DO CAIXA PREVISTO]],"mmm")))</f>
        <v>FEV</v>
      </c>
      <c r="O536" s="58">
        <f>IF(tbRegistroEntradas[[#This Row],[DATA DO CAIXA PREVISTO]]="N/A",0,YEAR(tbRegistroEntradas[[#This Row],[DATA DO CAIXA PREVISTO]]))</f>
        <v>2023</v>
      </c>
      <c r="P536" s="58" t="str">
        <f ca="1">IF(AND(tbRegistroEntradas[[#This Row],[DATA DE CAIXA REALIZADO]]="N/A",tbRegistroEntradas[[#This Row],[DATA DO CAIXA PREVISTO]]&lt;TODAY()),"Vencida","Não Vencida")</f>
        <v>Não Vencida</v>
      </c>
      <c r="Q536" s="58" t="str">
        <f>IF(tbRegistroEntradas[[#This Row],[DATA DA COMPETÊNCIA]]=tbRegistroEntradas[[#This Row],[DATA DO CAIXA PREVISTO]],"Vista","Prazo")</f>
        <v>Prazo</v>
      </c>
      <c r="R536" s="58" t="str">
        <f>IF(tbRegistroEntradas[[#This Row],[DATA DE CAIXA REALIZADO]]&lt;&gt;"N/A","Em Dia","Com atraso")</f>
        <v>Em Dia</v>
      </c>
    </row>
    <row r="537" spans="1:18" ht="14.4" customHeight="1" x14ac:dyDescent="0.3">
      <c r="A537" s="40">
        <v>44974.423182870371</v>
      </c>
      <c r="B537" s="41">
        <v>44953</v>
      </c>
      <c r="C537" s="41">
        <v>44974.423182870371</v>
      </c>
      <c r="D537" s="42" t="s">
        <v>63</v>
      </c>
      <c r="E537" s="42" t="s">
        <v>12</v>
      </c>
      <c r="F537" s="42" t="s">
        <v>19</v>
      </c>
      <c r="G537" s="42" t="s">
        <v>319</v>
      </c>
      <c r="H537" s="126" t="s">
        <v>98</v>
      </c>
      <c r="I537" s="121">
        <v>177</v>
      </c>
      <c r="J537" s="55" t="str">
        <f>IF(tbRegistroEntradas[[#This Row],[DATA DE CAIXA REALIZADO]]="N/A","0",UPPER(TEXT(tbRegistroEntradas[[#This Row],[DATA DE CAIXA REALIZADO]],"mmm")))</f>
        <v>FEV</v>
      </c>
      <c r="K537" s="58">
        <f>IF(tbRegistroEntradas[[#This Row],[DATA DE CAIXA REALIZADO]]="N/A",0,YEAR(tbRegistroEntradas[[#This Row],[DATA DE CAIXA REALIZADO]]))</f>
        <v>2023</v>
      </c>
      <c r="L537" s="79" t="str">
        <f>IF(tbRegistroEntradas[[#This Row],[DATA DA COMPETÊNCIA]]="N/A","0",UPPER(TEXT(tbRegistroEntradas[[#This Row],[DATA DA COMPETÊNCIA]],"mmm")))</f>
        <v>JAN</v>
      </c>
      <c r="M537" s="79">
        <f>IF(tbRegistroEntradas[[#This Row],[DATA DA COMPETÊNCIA]]="N/A",0,YEAR(tbRegistroEntradas[[#This Row],[DATA DA COMPETÊNCIA]]))</f>
        <v>2023</v>
      </c>
      <c r="N537" s="84" t="str">
        <f>IF(tbRegistroEntradas[[#This Row],[DATA DO CAIXA PREVISTO]]="N/A","0",UPPER(TEXT(tbRegistroEntradas[[#This Row],[DATA DO CAIXA PREVISTO]],"mmm")))</f>
        <v>FEV</v>
      </c>
      <c r="O537" s="84">
        <f>IF(tbRegistroEntradas[[#This Row],[DATA DO CAIXA PREVISTO]]="N/A",0,YEAR(tbRegistroEntradas[[#This Row],[DATA DO CAIXA PREVISTO]]))</f>
        <v>2023</v>
      </c>
      <c r="P537" s="58" t="str">
        <f ca="1">IF(AND(tbRegistroEntradas[[#This Row],[DATA DE CAIXA REALIZADO]]="N/A",tbRegistroEntradas[[#This Row],[DATA DO CAIXA PREVISTO]]&lt;TODAY()),"Vencida","Não Vencida")</f>
        <v>Não Vencida</v>
      </c>
      <c r="Q537" s="58" t="str">
        <f>IF(tbRegistroEntradas[[#This Row],[DATA DA COMPETÊNCIA]]=tbRegistroEntradas[[#This Row],[DATA DO CAIXA PREVISTO]],"Vista","Prazo")</f>
        <v>Prazo</v>
      </c>
      <c r="R537" s="58" t="str">
        <f>IF(tbRegistroEntradas[[#This Row],[DATA DE CAIXA REALIZADO]]&lt;&gt;"N/A","Em Dia","Com atraso")</f>
        <v>Em Dia</v>
      </c>
    </row>
    <row r="538" spans="1:18" ht="14.4" customHeight="1" x14ac:dyDescent="0.3">
      <c r="A538" s="111">
        <v>44984</v>
      </c>
      <c r="B538" s="111">
        <f>A538-31</f>
        <v>44953</v>
      </c>
      <c r="C538" s="111">
        <f>(A538-B538)+B538-15</f>
        <v>44969</v>
      </c>
      <c r="D538" s="109" t="s">
        <v>65</v>
      </c>
      <c r="E538" s="109" t="s">
        <v>12</v>
      </c>
      <c r="F538" s="109" t="s">
        <v>17</v>
      </c>
      <c r="G538" s="109" t="s">
        <v>696</v>
      </c>
      <c r="H538" s="126" t="s">
        <v>89</v>
      </c>
      <c r="I538" s="118">
        <v>1796</v>
      </c>
      <c r="J538" s="110" t="str">
        <f>IF(tbRegistroEntradas[[#This Row],[DATA DE CAIXA REALIZADO]]="N/A","0",UPPER(TEXT(tbRegistroEntradas[[#This Row],[DATA DE CAIXA REALIZADO]],"mmm")))</f>
        <v>FEV</v>
      </c>
      <c r="K538" s="57">
        <f>IF(tbRegistroEntradas[[#This Row],[DATA DE CAIXA REALIZADO]]="N/A",0,YEAR(tbRegistroEntradas[[#This Row],[DATA DE CAIXA REALIZADO]]))</f>
        <v>2023</v>
      </c>
      <c r="L538" s="58" t="str">
        <f>IF(tbRegistroEntradas[[#This Row],[DATA DA COMPETÊNCIA]]="N/A","0",UPPER(TEXT(tbRegistroEntradas[[#This Row],[DATA DA COMPETÊNCIA]],"mmm")))</f>
        <v>JAN</v>
      </c>
      <c r="M538" s="58">
        <f>IF(tbRegistroEntradas[[#This Row],[DATA DA COMPETÊNCIA]]="N/A",0,YEAR(tbRegistroEntradas[[#This Row],[DATA DA COMPETÊNCIA]]))</f>
        <v>2023</v>
      </c>
      <c r="N538" s="58" t="str">
        <f>IF(tbRegistroEntradas[[#This Row],[DATA DO CAIXA PREVISTO]]="N/A","0",UPPER(TEXT(tbRegistroEntradas[[#This Row],[DATA DO CAIXA PREVISTO]],"mmm")))</f>
        <v>FEV</v>
      </c>
      <c r="O538" s="58">
        <f>IF(tbRegistroEntradas[[#This Row],[DATA DO CAIXA PREVISTO]]="N/A",0,YEAR(tbRegistroEntradas[[#This Row],[DATA DO CAIXA PREVISTO]]))</f>
        <v>2023</v>
      </c>
      <c r="P538" s="58" t="str">
        <f ca="1">IF(AND(tbRegistroEntradas[[#This Row],[DATA DE CAIXA REALIZADO]]="N/A",tbRegistroEntradas[[#This Row],[DATA DO CAIXA PREVISTO]]&lt;TODAY()),"Vencida","Não Vencida")</f>
        <v>Não Vencida</v>
      </c>
      <c r="Q538" s="58" t="str">
        <f>IF(tbRegistroEntradas[[#This Row],[DATA DA COMPETÊNCIA]]=tbRegistroEntradas[[#This Row],[DATA DO CAIXA PREVISTO]],"Vista","Prazo")</f>
        <v>Prazo</v>
      </c>
      <c r="R538" s="58" t="str">
        <f>IF(tbRegistroEntradas[[#This Row],[DATA DE CAIXA REALIZADO]]&lt;&gt;"N/A","Em Dia","Com atraso")</f>
        <v>Em Dia</v>
      </c>
    </row>
    <row r="539" spans="1:18" ht="14.4" customHeight="1" x14ac:dyDescent="0.3">
      <c r="A539" s="111">
        <v>44985</v>
      </c>
      <c r="B539" s="111">
        <f>A539-31</f>
        <v>44954</v>
      </c>
      <c r="C539" s="111">
        <f>tbRegistroEntradas[[#This Row],[DATA DA COMPETÊNCIA]]</f>
        <v>44954</v>
      </c>
      <c r="D539" s="109" t="s">
        <v>65</v>
      </c>
      <c r="E539" s="109" t="s">
        <v>12</v>
      </c>
      <c r="F539" s="109" t="s">
        <v>17</v>
      </c>
      <c r="G539" s="109" t="s">
        <v>1037</v>
      </c>
      <c r="H539" s="126" t="s">
        <v>119</v>
      </c>
      <c r="I539" s="118">
        <v>3972</v>
      </c>
      <c r="J539" s="110" t="str">
        <f>IF(tbRegistroEntradas[[#This Row],[DATA DE CAIXA REALIZADO]]="N/A","0",UPPER(TEXT(tbRegistroEntradas[[#This Row],[DATA DE CAIXA REALIZADO]],"mmm")))</f>
        <v>FEV</v>
      </c>
      <c r="K539" s="57">
        <f>IF(tbRegistroEntradas[[#This Row],[DATA DE CAIXA REALIZADO]]="N/A",0,YEAR(tbRegistroEntradas[[#This Row],[DATA DE CAIXA REALIZADO]]))</f>
        <v>2023</v>
      </c>
      <c r="L539" s="58" t="str">
        <f>IF(tbRegistroEntradas[[#This Row],[DATA DA COMPETÊNCIA]]="N/A","0",UPPER(TEXT(tbRegistroEntradas[[#This Row],[DATA DA COMPETÊNCIA]],"mmm")))</f>
        <v>JAN</v>
      </c>
      <c r="M539" s="58">
        <f>IF(tbRegistroEntradas[[#This Row],[DATA DA COMPETÊNCIA]]="N/A",0,YEAR(tbRegistroEntradas[[#This Row],[DATA DA COMPETÊNCIA]]))</f>
        <v>2023</v>
      </c>
      <c r="N539" s="58" t="str">
        <f>IF(tbRegistroEntradas[[#This Row],[DATA DO CAIXA PREVISTO]]="N/A","0",UPPER(TEXT(tbRegistroEntradas[[#This Row],[DATA DO CAIXA PREVISTO]],"mmm")))</f>
        <v>JAN</v>
      </c>
      <c r="O539" s="58">
        <f>IF(tbRegistroEntradas[[#This Row],[DATA DO CAIXA PREVISTO]]="N/A",0,YEAR(tbRegistroEntradas[[#This Row],[DATA DO CAIXA PREVISTO]]))</f>
        <v>2023</v>
      </c>
      <c r="P539" s="58" t="str">
        <f ca="1">IF(AND(tbRegistroEntradas[[#This Row],[DATA DE CAIXA REALIZADO]]="N/A",tbRegistroEntradas[[#This Row],[DATA DO CAIXA PREVISTO]]&lt;TODAY()),"Vencida","Não Vencida")</f>
        <v>Não Vencida</v>
      </c>
      <c r="Q539" s="58" t="str">
        <f>IF(tbRegistroEntradas[[#This Row],[DATA DA COMPETÊNCIA]]=tbRegistroEntradas[[#This Row],[DATA DO CAIXA PREVISTO]],"Vista","Prazo")</f>
        <v>Vista</v>
      </c>
      <c r="R539" s="58" t="str">
        <f>IF(tbRegistroEntradas[[#This Row],[DATA DE CAIXA REALIZADO]]&lt;&gt;"N/A","Em Dia","Com atraso")</f>
        <v>Em Dia</v>
      </c>
    </row>
    <row r="540" spans="1:18" ht="14.4" customHeight="1" x14ac:dyDescent="0.3">
      <c r="A540" s="43">
        <v>44974.404062499998</v>
      </c>
      <c r="B540" s="44">
        <v>44955</v>
      </c>
      <c r="C540" s="111">
        <f>tbRegistroEntradas[[#This Row],[DATA DA COMPETÊNCIA]]</f>
        <v>44955</v>
      </c>
      <c r="D540" s="35" t="s">
        <v>137</v>
      </c>
      <c r="E540" s="35" t="s">
        <v>12</v>
      </c>
      <c r="F540" s="35" t="s">
        <v>19</v>
      </c>
      <c r="G540" s="35" t="s">
        <v>320</v>
      </c>
      <c r="H540" s="52" t="s">
        <v>107</v>
      </c>
      <c r="I540" s="122">
        <v>3619</v>
      </c>
      <c r="J540" s="55" t="str">
        <f>IF(tbRegistroEntradas[[#This Row],[DATA DE CAIXA REALIZADO]]="N/A","0",UPPER(TEXT(tbRegistroEntradas[[#This Row],[DATA DE CAIXA REALIZADO]],"mmm")))</f>
        <v>FEV</v>
      </c>
      <c r="K540" s="58">
        <f>IF(tbRegistroEntradas[[#This Row],[DATA DE CAIXA REALIZADO]]="N/A",0,YEAR(tbRegistroEntradas[[#This Row],[DATA DE CAIXA REALIZADO]]))</f>
        <v>2023</v>
      </c>
      <c r="L540" s="79" t="str">
        <f>IF(tbRegistroEntradas[[#This Row],[DATA DA COMPETÊNCIA]]="N/A","0",UPPER(TEXT(tbRegistroEntradas[[#This Row],[DATA DA COMPETÊNCIA]],"mmm")))</f>
        <v>JAN</v>
      </c>
      <c r="M540" s="79">
        <f>IF(tbRegistroEntradas[[#This Row],[DATA DA COMPETÊNCIA]]="N/A",0,YEAR(tbRegistroEntradas[[#This Row],[DATA DA COMPETÊNCIA]]))</f>
        <v>2023</v>
      </c>
      <c r="N540" s="84" t="str">
        <f>IF(tbRegistroEntradas[[#This Row],[DATA DO CAIXA PREVISTO]]="N/A","0",UPPER(TEXT(tbRegistroEntradas[[#This Row],[DATA DO CAIXA PREVISTO]],"mmm")))</f>
        <v>JAN</v>
      </c>
      <c r="O540" s="84">
        <f>IF(tbRegistroEntradas[[#This Row],[DATA DO CAIXA PREVISTO]]="N/A",0,YEAR(tbRegistroEntradas[[#This Row],[DATA DO CAIXA PREVISTO]]))</f>
        <v>2023</v>
      </c>
      <c r="P540" s="58" t="str">
        <f ca="1">IF(AND(tbRegistroEntradas[[#This Row],[DATA DE CAIXA REALIZADO]]="N/A",tbRegistroEntradas[[#This Row],[DATA DO CAIXA PREVISTO]]&lt;TODAY()),"Vencida","Não Vencida")</f>
        <v>Não Vencida</v>
      </c>
      <c r="Q540" s="58" t="str">
        <f>IF(tbRegistroEntradas[[#This Row],[DATA DA COMPETÊNCIA]]=tbRegistroEntradas[[#This Row],[DATA DO CAIXA PREVISTO]],"Vista","Prazo")</f>
        <v>Vista</v>
      </c>
      <c r="R540" s="58" t="str">
        <f>IF(tbRegistroEntradas[[#This Row],[DATA DE CAIXA REALIZADO]]&lt;&gt;"N/A","Em Dia","Com atraso")</f>
        <v>Em Dia</v>
      </c>
    </row>
    <row r="541" spans="1:18" ht="14.4" customHeight="1" x14ac:dyDescent="0.3">
      <c r="A541" s="111">
        <v>44988</v>
      </c>
      <c r="B541" s="111">
        <f>A541-31</f>
        <v>44957</v>
      </c>
      <c r="C541" s="111">
        <f>tbRegistroEntradas[[#This Row],[DATA DA COMPETÊNCIA]]</f>
        <v>44957</v>
      </c>
      <c r="D541" s="109" t="s">
        <v>64</v>
      </c>
      <c r="E541" s="109" t="s">
        <v>12</v>
      </c>
      <c r="F541" s="109" t="s">
        <v>16</v>
      </c>
      <c r="G541" s="109" t="s">
        <v>1062</v>
      </c>
      <c r="H541" s="52" t="s">
        <v>74</v>
      </c>
      <c r="I541" s="118">
        <v>408</v>
      </c>
      <c r="J541" s="110" t="str">
        <f>IF(tbRegistroEntradas[[#This Row],[DATA DE CAIXA REALIZADO]]="N/A","0",UPPER(TEXT(tbRegistroEntradas[[#This Row],[DATA DE CAIXA REALIZADO]],"mmm")))</f>
        <v>MAR</v>
      </c>
      <c r="K541" s="57">
        <f>IF(tbRegistroEntradas[[#This Row],[DATA DE CAIXA REALIZADO]]="N/A",0,YEAR(tbRegistroEntradas[[#This Row],[DATA DE CAIXA REALIZADO]]))</f>
        <v>2023</v>
      </c>
      <c r="L541" s="58" t="str">
        <f>IF(tbRegistroEntradas[[#This Row],[DATA DA COMPETÊNCIA]]="N/A","0",UPPER(TEXT(tbRegistroEntradas[[#This Row],[DATA DA COMPETÊNCIA]],"mmm")))</f>
        <v>JAN</v>
      </c>
      <c r="M541" s="58">
        <f>IF(tbRegistroEntradas[[#This Row],[DATA DA COMPETÊNCIA]]="N/A",0,YEAR(tbRegistroEntradas[[#This Row],[DATA DA COMPETÊNCIA]]))</f>
        <v>2023</v>
      </c>
      <c r="N541" s="58" t="str">
        <f>IF(tbRegistroEntradas[[#This Row],[DATA DO CAIXA PREVISTO]]="N/A","0",UPPER(TEXT(tbRegistroEntradas[[#This Row],[DATA DO CAIXA PREVISTO]],"mmm")))</f>
        <v>JAN</v>
      </c>
      <c r="O541" s="58">
        <f>IF(tbRegistroEntradas[[#This Row],[DATA DO CAIXA PREVISTO]]="N/A",0,YEAR(tbRegistroEntradas[[#This Row],[DATA DO CAIXA PREVISTO]]))</f>
        <v>2023</v>
      </c>
      <c r="P541" s="58" t="str">
        <f ca="1">IF(AND(tbRegistroEntradas[[#This Row],[DATA DE CAIXA REALIZADO]]="N/A",tbRegistroEntradas[[#This Row],[DATA DO CAIXA PREVISTO]]&lt;TODAY()),"Vencida","Não Vencida")</f>
        <v>Não Vencida</v>
      </c>
      <c r="Q541" s="58" t="str">
        <f>IF(tbRegistroEntradas[[#This Row],[DATA DA COMPETÊNCIA]]=tbRegistroEntradas[[#This Row],[DATA DO CAIXA PREVISTO]],"Vista","Prazo")</f>
        <v>Vista</v>
      </c>
      <c r="R541" s="58" t="str">
        <f>IF(tbRegistroEntradas[[#This Row],[DATA DE CAIXA REALIZADO]]&lt;&gt;"N/A","Em Dia","Com atraso")</f>
        <v>Em Dia</v>
      </c>
    </row>
    <row r="542" spans="1:18" ht="14.4" customHeight="1" x14ac:dyDescent="0.3">
      <c r="A542" s="40">
        <v>44995.989756944444</v>
      </c>
      <c r="B542" s="41">
        <v>44959</v>
      </c>
      <c r="C542" s="111">
        <f>tbRegistroEntradas[[#This Row],[DATA DA COMPETÊNCIA]]</f>
        <v>44959</v>
      </c>
      <c r="D542" s="42" t="s">
        <v>61</v>
      </c>
      <c r="E542" s="42" t="s">
        <v>12</v>
      </c>
      <c r="F542" s="42" t="s">
        <v>18</v>
      </c>
      <c r="G542" s="42" t="s">
        <v>321</v>
      </c>
      <c r="H542" s="52" t="s">
        <v>84</v>
      </c>
      <c r="I542" s="121">
        <v>4030</v>
      </c>
      <c r="J542" s="55" t="str">
        <f>IF(tbRegistroEntradas[[#This Row],[DATA DE CAIXA REALIZADO]]="N/A","0",UPPER(TEXT(tbRegistroEntradas[[#This Row],[DATA DE CAIXA REALIZADO]],"mmm")))</f>
        <v>MAR</v>
      </c>
      <c r="K542" s="58">
        <f>IF(tbRegistroEntradas[[#This Row],[DATA DE CAIXA REALIZADO]]="N/A",0,YEAR(tbRegistroEntradas[[#This Row],[DATA DE CAIXA REALIZADO]]))</f>
        <v>2023</v>
      </c>
      <c r="L542" s="79" t="str">
        <f>IF(tbRegistroEntradas[[#This Row],[DATA DA COMPETÊNCIA]]="N/A","0",UPPER(TEXT(tbRegistroEntradas[[#This Row],[DATA DA COMPETÊNCIA]],"mmm")))</f>
        <v>FEV</v>
      </c>
      <c r="M542" s="79">
        <f>IF(tbRegistroEntradas[[#This Row],[DATA DA COMPETÊNCIA]]="N/A",0,YEAR(tbRegistroEntradas[[#This Row],[DATA DA COMPETÊNCIA]]))</f>
        <v>2023</v>
      </c>
      <c r="N542" s="84" t="str">
        <f>IF(tbRegistroEntradas[[#This Row],[DATA DO CAIXA PREVISTO]]="N/A","0",UPPER(TEXT(tbRegistroEntradas[[#This Row],[DATA DO CAIXA PREVISTO]],"mmm")))</f>
        <v>FEV</v>
      </c>
      <c r="O542" s="84">
        <f>IF(tbRegistroEntradas[[#This Row],[DATA DO CAIXA PREVISTO]]="N/A",0,YEAR(tbRegistroEntradas[[#This Row],[DATA DO CAIXA PREVISTO]]))</f>
        <v>2023</v>
      </c>
      <c r="P542" s="58" t="str">
        <f ca="1">IF(AND(tbRegistroEntradas[[#This Row],[DATA DE CAIXA REALIZADO]]="N/A",tbRegistroEntradas[[#This Row],[DATA DO CAIXA PREVISTO]]&lt;TODAY()),"Vencida","Não Vencida")</f>
        <v>Não Vencida</v>
      </c>
      <c r="Q542" s="58" t="str">
        <f>IF(tbRegistroEntradas[[#This Row],[DATA DA COMPETÊNCIA]]=tbRegistroEntradas[[#This Row],[DATA DO CAIXA PREVISTO]],"Vista","Prazo")</f>
        <v>Vista</v>
      </c>
      <c r="R542" s="58" t="str">
        <f>IF(tbRegistroEntradas[[#This Row],[DATA DE CAIXA REALIZADO]]&lt;&gt;"N/A","Em Dia","Com atraso")</f>
        <v>Em Dia</v>
      </c>
    </row>
    <row r="543" spans="1:18" ht="14.4" customHeight="1" x14ac:dyDescent="0.3">
      <c r="A543" s="111">
        <v>44990</v>
      </c>
      <c r="B543" s="111">
        <f>A543-31</f>
        <v>44959</v>
      </c>
      <c r="C543" s="111">
        <f>tbRegistroEntradas[[#This Row],[DATA DA COMPETÊNCIA]]</f>
        <v>44959</v>
      </c>
      <c r="D543" s="109" t="s">
        <v>65</v>
      </c>
      <c r="E543" s="109" t="s">
        <v>12</v>
      </c>
      <c r="F543" s="109" t="s">
        <v>19</v>
      </c>
      <c r="G543" s="109" t="s">
        <v>938</v>
      </c>
      <c r="H543" s="52" t="s">
        <v>120</v>
      </c>
      <c r="I543" s="118">
        <v>598</v>
      </c>
      <c r="J543" s="110" t="str">
        <f>IF(tbRegistroEntradas[[#This Row],[DATA DE CAIXA REALIZADO]]="N/A","0",UPPER(TEXT(tbRegistroEntradas[[#This Row],[DATA DE CAIXA REALIZADO]],"mmm")))</f>
        <v>MAR</v>
      </c>
      <c r="K543" s="57">
        <f>IF(tbRegistroEntradas[[#This Row],[DATA DE CAIXA REALIZADO]]="N/A",0,YEAR(tbRegistroEntradas[[#This Row],[DATA DE CAIXA REALIZADO]]))</f>
        <v>2023</v>
      </c>
      <c r="L543" s="58" t="str">
        <f>IF(tbRegistroEntradas[[#This Row],[DATA DA COMPETÊNCIA]]="N/A","0",UPPER(TEXT(tbRegistroEntradas[[#This Row],[DATA DA COMPETÊNCIA]],"mmm")))</f>
        <v>FEV</v>
      </c>
      <c r="M543" s="58">
        <f>IF(tbRegistroEntradas[[#This Row],[DATA DA COMPETÊNCIA]]="N/A",0,YEAR(tbRegistroEntradas[[#This Row],[DATA DA COMPETÊNCIA]]))</f>
        <v>2023</v>
      </c>
      <c r="N543" s="58" t="str">
        <f>IF(tbRegistroEntradas[[#This Row],[DATA DO CAIXA PREVISTO]]="N/A","0",UPPER(TEXT(tbRegistroEntradas[[#This Row],[DATA DO CAIXA PREVISTO]],"mmm")))</f>
        <v>FEV</v>
      </c>
      <c r="O543" s="58">
        <f>IF(tbRegistroEntradas[[#This Row],[DATA DO CAIXA PREVISTO]]="N/A",0,YEAR(tbRegistroEntradas[[#This Row],[DATA DO CAIXA PREVISTO]]))</f>
        <v>2023</v>
      </c>
      <c r="P543" s="58" t="str">
        <f ca="1">IF(AND(tbRegistroEntradas[[#This Row],[DATA DE CAIXA REALIZADO]]="N/A",tbRegistroEntradas[[#This Row],[DATA DO CAIXA PREVISTO]]&lt;TODAY()),"Vencida","Não Vencida")</f>
        <v>Não Vencida</v>
      </c>
      <c r="Q543" s="58" t="str">
        <f>IF(tbRegistroEntradas[[#This Row],[DATA DA COMPETÊNCIA]]=tbRegistroEntradas[[#This Row],[DATA DO CAIXA PREVISTO]],"Vista","Prazo")</f>
        <v>Vista</v>
      </c>
      <c r="R543" s="58" t="str">
        <f>IF(tbRegistroEntradas[[#This Row],[DATA DE CAIXA REALIZADO]]&lt;&gt;"N/A","Em Dia","Com atraso")</f>
        <v>Em Dia</v>
      </c>
    </row>
    <row r="544" spans="1:18" ht="14.4" customHeight="1" x14ac:dyDescent="0.3">
      <c r="A544" s="111">
        <v>44990</v>
      </c>
      <c r="B544" s="111">
        <f>A544-31</f>
        <v>44959</v>
      </c>
      <c r="C544" s="111">
        <f>(A544-B544)+B544-15</f>
        <v>44975</v>
      </c>
      <c r="D544" s="109" t="s">
        <v>137</v>
      </c>
      <c r="E544" s="109" t="s">
        <v>12</v>
      </c>
      <c r="F544" s="109" t="s">
        <v>19</v>
      </c>
      <c r="G544" s="109" t="s">
        <v>747</v>
      </c>
      <c r="H544" s="126" t="s">
        <v>73</v>
      </c>
      <c r="I544" s="118">
        <v>6985</v>
      </c>
      <c r="J544" s="110" t="str">
        <f>IF(tbRegistroEntradas[[#This Row],[DATA DE CAIXA REALIZADO]]="N/A","0",UPPER(TEXT(tbRegistroEntradas[[#This Row],[DATA DE CAIXA REALIZADO]],"mmm")))</f>
        <v>MAR</v>
      </c>
      <c r="K544" s="57">
        <f>IF(tbRegistroEntradas[[#This Row],[DATA DE CAIXA REALIZADO]]="N/A",0,YEAR(tbRegistroEntradas[[#This Row],[DATA DE CAIXA REALIZADO]]))</f>
        <v>2023</v>
      </c>
      <c r="L544" s="58" t="str">
        <f>IF(tbRegistroEntradas[[#This Row],[DATA DA COMPETÊNCIA]]="N/A","0",UPPER(TEXT(tbRegistroEntradas[[#This Row],[DATA DA COMPETÊNCIA]],"mmm")))</f>
        <v>FEV</v>
      </c>
      <c r="M544" s="58">
        <f>IF(tbRegistroEntradas[[#This Row],[DATA DA COMPETÊNCIA]]="N/A",0,YEAR(tbRegistroEntradas[[#This Row],[DATA DA COMPETÊNCIA]]))</f>
        <v>2023</v>
      </c>
      <c r="N544" s="58" t="str">
        <f>IF(tbRegistroEntradas[[#This Row],[DATA DO CAIXA PREVISTO]]="N/A","0",UPPER(TEXT(tbRegistroEntradas[[#This Row],[DATA DO CAIXA PREVISTO]],"mmm")))</f>
        <v>FEV</v>
      </c>
      <c r="O544" s="58">
        <f>IF(tbRegistroEntradas[[#This Row],[DATA DO CAIXA PREVISTO]]="N/A",0,YEAR(tbRegistroEntradas[[#This Row],[DATA DO CAIXA PREVISTO]]))</f>
        <v>2023</v>
      </c>
      <c r="P544" s="58" t="str">
        <f ca="1">IF(AND(tbRegistroEntradas[[#This Row],[DATA DE CAIXA REALIZADO]]="N/A",tbRegistroEntradas[[#This Row],[DATA DO CAIXA PREVISTO]]&lt;TODAY()),"Vencida","Não Vencida")</f>
        <v>Não Vencida</v>
      </c>
      <c r="Q544" s="58" t="str">
        <f>IF(tbRegistroEntradas[[#This Row],[DATA DA COMPETÊNCIA]]=tbRegistroEntradas[[#This Row],[DATA DO CAIXA PREVISTO]],"Vista","Prazo")</f>
        <v>Prazo</v>
      </c>
      <c r="R544" s="58" t="str">
        <f>IF(tbRegistroEntradas[[#This Row],[DATA DE CAIXA REALIZADO]]&lt;&gt;"N/A","Em Dia","Com atraso")</f>
        <v>Em Dia</v>
      </c>
    </row>
    <row r="545" spans="1:18" ht="14.4" customHeight="1" x14ac:dyDescent="0.3">
      <c r="A545" s="111">
        <v>44992</v>
      </c>
      <c r="B545" s="111">
        <f>A545-31</f>
        <v>44961</v>
      </c>
      <c r="C545" s="111">
        <f>tbRegistroEntradas[[#This Row],[DATA DA COMPETÊNCIA]]</f>
        <v>44961</v>
      </c>
      <c r="D545" s="109" t="s">
        <v>137</v>
      </c>
      <c r="E545" s="109" t="s">
        <v>12</v>
      </c>
      <c r="F545" s="109" t="s">
        <v>17</v>
      </c>
      <c r="G545" s="109" t="s">
        <v>714</v>
      </c>
      <c r="H545" s="52" t="s">
        <v>105</v>
      </c>
      <c r="I545" s="118">
        <v>4423</v>
      </c>
      <c r="J545" s="110" t="str">
        <f>IF(tbRegistroEntradas[[#This Row],[DATA DE CAIXA REALIZADO]]="N/A","0",UPPER(TEXT(tbRegistroEntradas[[#This Row],[DATA DE CAIXA REALIZADO]],"mmm")))</f>
        <v>MAR</v>
      </c>
      <c r="K545" s="57">
        <f>IF(tbRegistroEntradas[[#This Row],[DATA DE CAIXA REALIZADO]]="N/A",0,YEAR(tbRegistroEntradas[[#This Row],[DATA DE CAIXA REALIZADO]]))</f>
        <v>2023</v>
      </c>
      <c r="L545" s="58" t="str">
        <f>IF(tbRegistroEntradas[[#This Row],[DATA DA COMPETÊNCIA]]="N/A","0",UPPER(TEXT(tbRegistroEntradas[[#This Row],[DATA DA COMPETÊNCIA]],"mmm")))</f>
        <v>FEV</v>
      </c>
      <c r="M545" s="58">
        <f>IF(tbRegistroEntradas[[#This Row],[DATA DA COMPETÊNCIA]]="N/A",0,YEAR(tbRegistroEntradas[[#This Row],[DATA DA COMPETÊNCIA]]))</f>
        <v>2023</v>
      </c>
      <c r="N545" s="58" t="str">
        <f>IF(tbRegistroEntradas[[#This Row],[DATA DO CAIXA PREVISTO]]="N/A","0",UPPER(TEXT(tbRegistroEntradas[[#This Row],[DATA DO CAIXA PREVISTO]],"mmm")))</f>
        <v>FEV</v>
      </c>
      <c r="O545" s="58">
        <f>IF(tbRegistroEntradas[[#This Row],[DATA DO CAIXA PREVISTO]]="N/A",0,YEAR(tbRegistroEntradas[[#This Row],[DATA DO CAIXA PREVISTO]]))</f>
        <v>2023</v>
      </c>
      <c r="P545" s="58" t="str">
        <f ca="1">IF(AND(tbRegistroEntradas[[#This Row],[DATA DE CAIXA REALIZADO]]="N/A",tbRegistroEntradas[[#This Row],[DATA DO CAIXA PREVISTO]]&lt;TODAY()),"Vencida","Não Vencida")</f>
        <v>Não Vencida</v>
      </c>
      <c r="Q545" s="58" t="str">
        <f>IF(tbRegistroEntradas[[#This Row],[DATA DA COMPETÊNCIA]]=tbRegistroEntradas[[#This Row],[DATA DO CAIXA PREVISTO]],"Vista","Prazo")</f>
        <v>Vista</v>
      </c>
      <c r="R545" s="58" t="str">
        <f>IF(tbRegistroEntradas[[#This Row],[DATA DE CAIXA REALIZADO]]&lt;&gt;"N/A","Em Dia","Com atraso")</f>
        <v>Em Dia</v>
      </c>
    </row>
    <row r="546" spans="1:18" ht="14.4" customHeight="1" x14ac:dyDescent="0.3">
      <c r="A546" s="111">
        <v>44992</v>
      </c>
      <c r="B546" s="111">
        <f>A546-31</f>
        <v>44961</v>
      </c>
      <c r="C546" s="111">
        <f>(A546-B546)+B546-15</f>
        <v>44977</v>
      </c>
      <c r="D546" s="109" t="s">
        <v>137</v>
      </c>
      <c r="E546" s="109" t="s">
        <v>12</v>
      </c>
      <c r="F546" s="109" t="s">
        <v>32</v>
      </c>
      <c r="G546" s="109" t="s">
        <v>773</v>
      </c>
      <c r="H546" s="126" t="s">
        <v>104</v>
      </c>
      <c r="I546" s="118">
        <v>5370</v>
      </c>
      <c r="J546" s="110" t="str">
        <f>IF(tbRegistroEntradas[[#This Row],[DATA DE CAIXA REALIZADO]]="N/A","0",UPPER(TEXT(tbRegistroEntradas[[#This Row],[DATA DE CAIXA REALIZADO]],"mmm")))</f>
        <v>MAR</v>
      </c>
      <c r="K546" s="57">
        <f>IF(tbRegistroEntradas[[#This Row],[DATA DE CAIXA REALIZADO]]="N/A",0,YEAR(tbRegistroEntradas[[#This Row],[DATA DE CAIXA REALIZADO]]))</f>
        <v>2023</v>
      </c>
      <c r="L546" s="58" t="str">
        <f>IF(tbRegistroEntradas[[#This Row],[DATA DA COMPETÊNCIA]]="N/A","0",UPPER(TEXT(tbRegistroEntradas[[#This Row],[DATA DA COMPETÊNCIA]],"mmm")))</f>
        <v>FEV</v>
      </c>
      <c r="M546" s="58">
        <f>IF(tbRegistroEntradas[[#This Row],[DATA DA COMPETÊNCIA]]="N/A",0,YEAR(tbRegistroEntradas[[#This Row],[DATA DA COMPETÊNCIA]]))</f>
        <v>2023</v>
      </c>
      <c r="N546" s="58" t="str">
        <f>IF(tbRegistroEntradas[[#This Row],[DATA DO CAIXA PREVISTO]]="N/A","0",UPPER(TEXT(tbRegistroEntradas[[#This Row],[DATA DO CAIXA PREVISTO]],"mmm")))</f>
        <v>FEV</v>
      </c>
      <c r="O546" s="58">
        <f>IF(tbRegistroEntradas[[#This Row],[DATA DO CAIXA PREVISTO]]="N/A",0,YEAR(tbRegistroEntradas[[#This Row],[DATA DO CAIXA PREVISTO]]))</f>
        <v>2023</v>
      </c>
      <c r="P546" s="58" t="str">
        <f ca="1">IF(AND(tbRegistroEntradas[[#This Row],[DATA DE CAIXA REALIZADO]]="N/A",tbRegistroEntradas[[#This Row],[DATA DO CAIXA PREVISTO]]&lt;TODAY()),"Vencida","Não Vencida")</f>
        <v>Não Vencida</v>
      </c>
      <c r="Q546" s="58" t="str">
        <f>IF(tbRegistroEntradas[[#This Row],[DATA DA COMPETÊNCIA]]=tbRegistroEntradas[[#This Row],[DATA DO CAIXA PREVISTO]],"Vista","Prazo")</f>
        <v>Prazo</v>
      </c>
      <c r="R546" s="58" t="str">
        <f>IF(tbRegistroEntradas[[#This Row],[DATA DE CAIXA REALIZADO]]&lt;&gt;"N/A","Em Dia","Com atraso")</f>
        <v>Em Dia</v>
      </c>
    </row>
    <row r="547" spans="1:18" ht="14.4" customHeight="1" x14ac:dyDescent="0.3">
      <c r="A547" s="111">
        <v>44992</v>
      </c>
      <c r="B547" s="111">
        <f>A547-31</f>
        <v>44961</v>
      </c>
      <c r="C547" s="111">
        <f>(A547-B547)+B547-15</f>
        <v>44977</v>
      </c>
      <c r="D547" s="109" t="s">
        <v>137</v>
      </c>
      <c r="E547" s="109" t="s">
        <v>12</v>
      </c>
      <c r="F547" s="109" t="s">
        <v>17</v>
      </c>
      <c r="G547" s="109" t="s">
        <v>1073</v>
      </c>
      <c r="H547" s="52" t="s">
        <v>106</v>
      </c>
      <c r="I547" s="118">
        <v>7369</v>
      </c>
      <c r="J547" s="110" t="str">
        <f>IF(tbRegistroEntradas[[#This Row],[DATA DE CAIXA REALIZADO]]="N/A","0",UPPER(TEXT(tbRegistroEntradas[[#This Row],[DATA DE CAIXA REALIZADO]],"mmm")))</f>
        <v>MAR</v>
      </c>
      <c r="K547" s="57">
        <f>IF(tbRegistroEntradas[[#This Row],[DATA DE CAIXA REALIZADO]]="N/A",0,YEAR(tbRegistroEntradas[[#This Row],[DATA DE CAIXA REALIZADO]]))</f>
        <v>2023</v>
      </c>
      <c r="L547" s="58" t="str">
        <f>IF(tbRegistroEntradas[[#This Row],[DATA DA COMPETÊNCIA]]="N/A","0",UPPER(TEXT(tbRegistroEntradas[[#This Row],[DATA DA COMPETÊNCIA]],"mmm")))</f>
        <v>FEV</v>
      </c>
      <c r="M547" s="58">
        <f>IF(tbRegistroEntradas[[#This Row],[DATA DA COMPETÊNCIA]]="N/A",0,YEAR(tbRegistroEntradas[[#This Row],[DATA DA COMPETÊNCIA]]))</f>
        <v>2023</v>
      </c>
      <c r="N547" s="58" t="str">
        <f>IF(tbRegistroEntradas[[#This Row],[DATA DO CAIXA PREVISTO]]="N/A","0",UPPER(TEXT(tbRegistroEntradas[[#This Row],[DATA DO CAIXA PREVISTO]],"mmm")))</f>
        <v>FEV</v>
      </c>
      <c r="O547" s="58">
        <f>IF(tbRegistroEntradas[[#This Row],[DATA DO CAIXA PREVISTO]]="N/A",0,YEAR(tbRegistroEntradas[[#This Row],[DATA DO CAIXA PREVISTO]]))</f>
        <v>2023</v>
      </c>
      <c r="P547" s="58" t="str">
        <f ca="1">IF(AND(tbRegistroEntradas[[#This Row],[DATA DE CAIXA REALIZADO]]="N/A",tbRegistroEntradas[[#This Row],[DATA DO CAIXA PREVISTO]]&lt;TODAY()),"Vencida","Não Vencida")</f>
        <v>Não Vencida</v>
      </c>
      <c r="Q547" s="58" t="str">
        <f>IF(tbRegistroEntradas[[#This Row],[DATA DA COMPETÊNCIA]]=tbRegistroEntradas[[#This Row],[DATA DO CAIXA PREVISTO]],"Vista","Prazo")</f>
        <v>Prazo</v>
      </c>
      <c r="R547" s="58" t="str">
        <f>IF(tbRegistroEntradas[[#This Row],[DATA DE CAIXA REALIZADO]]&lt;&gt;"N/A","Em Dia","Com atraso")</f>
        <v>Em Dia</v>
      </c>
    </row>
    <row r="548" spans="1:18" ht="14.4" customHeight="1" x14ac:dyDescent="0.3">
      <c r="A548" s="43">
        <v>44973.886041666665</v>
      </c>
      <c r="B548" s="44">
        <v>44962</v>
      </c>
      <c r="C548" s="111">
        <f>tbRegistroEntradas[[#This Row],[DATA DA COMPETÊNCIA]]</f>
        <v>44962</v>
      </c>
      <c r="D548" s="35" t="s">
        <v>61</v>
      </c>
      <c r="E548" s="35" t="s">
        <v>12</v>
      </c>
      <c r="F548" s="35" t="s">
        <v>18</v>
      </c>
      <c r="G548" s="35" t="s">
        <v>322</v>
      </c>
      <c r="H548" s="5" t="s">
        <v>85</v>
      </c>
      <c r="I548" s="122">
        <v>4157</v>
      </c>
      <c r="J548" s="55" t="str">
        <f>IF(tbRegistroEntradas[[#This Row],[DATA DE CAIXA REALIZADO]]="N/A","0",UPPER(TEXT(tbRegistroEntradas[[#This Row],[DATA DE CAIXA REALIZADO]],"mmm")))</f>
        <v>FEV</v>
      </c>
      <c r="K548" s="58">
        <f>IF(tbRegistroEntradas[[#This Row],[DATA DE CAIXA REALIZADO]]="N/A",0,YEAR(tbRegistroEntradas[[#This Row],[DATA DE CAIXA REALIZADO]]))</f>
        <v>2023</v>
      </c>
      <c r="L548" s="79" t="str">
        <f>IF(tbRegistroEntradas[[#This Row],[DATA DA COMPETÊNCIA]]="N/A","0",UPPER(TEXT(tbRegistroEntradas[[#This Row],[DATA DA COMPETÊNCIA]],"mmm")))</f>
        <v>FEV</v>
      </c>
      <c r="M548" s="79">
        <f>IF(tbRegistroEntradas[[#This Row],[DATA DA COMPETÊNCIA]]="N/A",0,YEAR(tbRegistroEntradas[[#This Row],[DATA DA COMPETÊNCIA]]))</f>
        <v>2023</v>
      </c>
      <c r="N548" s="84" t="str">
        <f>IF(tbRegistroEntradas[[#This Row],[DATA DO CAIXA PREVISTO]]="N/A","0",UPPER(TEXT(tbRegistroEntradas[[#This Row],[DATA DO CAIXA PREVISTO]],"mmm")))</f>
        <v>FEV</v>
      </c>
      <c r="O548" s="84">
        <f>IF(tbRegistroEntradas[[#This Row],[DATA DO CAIXA PREVISTO]]="N/A",0,YEAR(tbRegistroEntradas[[#This Row],[DATA DO CAIXA PREVISTO]]))</f>
        <v>2023</v>
      </c>
      <c r="P548" s="58" t="str">
        <f ca="1">IF(AND(tbRegistroEntradas[[#This Row],[DATA DE CAIXA REALIZADO]]="N/A",tbRegistroEntradas[[#This Row],[DATA DO CAIXA PREVISTO]]&lt;TODAY()),"Vencida","Não Vencida")</f>
        <v>Não Vencida</v>
      </c>
      <c r="Q548" s="58" t="str">
        <f>IF(tbRegistroEntradas[[#This Row],[DATA DA COMPETÊNCIA]]=tbRegistroEntradas[[#This Row],[DATA DO CAIXA PREVISTO]],"Vista","Prazo")</f>
        <v>Vista</v>
      </c>
      <c r="R548" s="58" t="str">
        <f>IF(tbRegistroEntradas[[#This Row],[DATA DE CAIXA REALIZADO]]&lt;&gt;"N/A","Em Dia","Com atraso")</f>
        <v>Em Dia</v>
      </c>
    </row>
    <row r="549" spans="1:18" ht="14.4" customHeight="1" x14ac:dyDescent="0.3">
      <c r="A549" s="40">
        <v>44993.824988425928</v>
      </c>
      <c r="B549" s="41">
        <v>44963</v>
      </c>
      <c r="C549" s="41">
        <v>44993.824988425928</v>
      </c>
      <c r="D549" s="41" t="s">
        <v>62</v>
      </c>
      <c r="E549" s="42" t="s">
        <v>12</v>
      </c>
      <c r="F549" s="42" t="s">
        <v>17</v>
      </c>
      <c r="G549" s="42" t="s">
        <v>323</v>
      </c>
      <c r="H549" s="110" t="s">
        <v>92</v>
      </c>
      <c r="I549" s="121">
        <v>1417</v>
      </c>
      <c r="J549" s="55" t="str">
        <f>IF(tbRegistroEntradas[[#This Row],[DATA DE CAIXA REALIZADO]]="N/A","0",UPPER(TEXT(tbRegistroEntradas[[#This Row],[DATA DE CAIXA REALIZADO]],"mmm")))</f>
        <v>MAR</v>
      </c>
      <c r="K549" s="58">
        <f>IF(tbRegistroEntradas[[#This Row],[DATA DE CAIXA REALIZADO]]="N/A",0,YEAR(tbRegistroEntradas[[#This Row],[DATA DE CAIXA REALIZADO]]))</f>
        <v>2023</v>
      </c>
      <c r="L549" s="79" t="str">
        <f>IF(tbRegistroEntradas[[#This Row],[DATA DA COMPETÊNCIA]]="N/A","0",UPPER(TEXT(tbRegistroEntradas[[#This Row],[DATA DA COMPETÊNCIA]],"mmm")))</f>
        <v>FEV</v>
      </c>
      <c r="M549" s="79">
        <f>IF(tbRegistroEntradas[[#This Row],[DATA DA COMPETÊNCIA]]="N/A",0,YEAR(tbRegistroEntradas[[#This Row],[DATA DA COMPETÊNCIA]]))</f>
        <v>2023</v>
      </c>
      <c r="N549" s="84" t="str">
        <f>IF(tbRegistroEntradas[[#This Row],[DATA DO CAIXA PREVISTO]]="N/A","0",UPPER(TEXT(tbRegistroEntradas[[#This Row],[DATA DO CAIXA PREVISTO]],"mmm")))</f>
        <v>MAR</v>
      </c>
      <c r="O549" s="84">
        <f>IF(tbRegistroEntradas[[#This Row],[DATA DO CAIXA PREVISTO]]="N/A",0,YEAR(tbRegistroEntradas[[#This Row],[DATA DO CAIXA PREVISTO]]))</f>
        <v>2023</v>
      </c>
      <c r="P549" s="58" t="str">
        <f ca="1">IF(AND(tbRegistroEntradas[[#This Row],[DATA DE CAIXA REALIZADO]]="N/A",tbRegistroEntradas[[#This Row],[DATA DO CAIXA PREVISTO]]&lt;TODAY()),"Vencida","Não Vencida")</f>
        <v>Não Vencida</v>
      </c>
      <c r="Q549" s="58" t="str">
        <f>IF(tbRegistroEntradas[[#This Row],[DATA DA COMPETÊNCIA]]=tbRegistroEntradas[[#This Row],[DATA DO CAIXA PREVISTO]],"Vista","Prazo")</f>
        <v>Prazo</v>
      </c>
      <c r="R549" s="58" t="str">
        <f>IF(tbRegistroEntradas[[#This Row],[DATA DE CAIXA REALIZADO]]&lt;&gt;"N/A","Em Dia","Com atraso")</f>
        <v>Em Dia</v>
      </c>
    </row>
    <row r="550" spans="1:18" ht="14.4" customHeight="1" x14ac:dyDescent="0.3">
      <c r="A550" s="111">
        <v>44996</v>
      </c>
      <c r="B550" s="111">
        <f>A550-31</f>
        <v>44965</v>
      </c>
      <c r="C550" s="111">
        <f>tbRegistroEntradas[[#This Row],[DATA DA COMPETÊNCIA]]</f>
        <v>44965</v>
      </c>
      <c r="D550" s="109" t="s">
        <v>65</v>
      </c>
      <c r="E550" s="109" t="s">
        <v>12</v>
      </c>
      <c r="F550" s="109" t="s">
        <v>32</v>
      </c>
      <c r="G550" s="109" t="s">
        <v>403</v>
      </c>
      <c r="H550" s="52" t="s">
        <v>121</v>
      </c>
      <c r="I550" s="118">
        <v>5569</v>
      </c>
      <c r="J550" s="110" t="str">
        <f>IF(tbRegistroEntradas[[#This Row],[DATA DE CAIXA REALIZADO]]="N/A","0",UPPER(TEXT(tbRegistroEntradas[[#This Row],[DATA DE CAIXA REALIZADO]],"mmm")))</f>
        <v>MAR</v>
      </c>
      <c r="K550" s="57">
        <f>IF(tbRegistroEntradas[[#This Row],[DATA DE CAIXA REALIZADO]]="N/A",0,YEAR(tbRegistroEntradas[[#This Row],[DATA DE CAIXA REALIZADO]]))</f>
        <v>2023</v>
      </c>
      <c r="L550" s="58" t="str">
        <f>IF(tbRegistroEntradas[[#This Row],[DATA DA COMPETÊNCIA]]="N/A","0",UPPER(TEXT(tbRegistroEntradas[[#This Row],[DATA DA COMPETÊNCIA]],"mmm")))</f>
        <v>FEV</v>
      </c>
      <c r="M550" s="58">
        <f>IF(tbRegistroEntradas[[#This Row],[DATA DA COMPETÊNCIA]]="N/A",0,YEAR(tbRegistroEntradas[[#This Row],[DATA DA COMPETÊNCIA]]))</f>
        <v>2023</v>
      </c>
      <c r="N550" s="58" t="str">
        <f>IF(tbRegistroEntradas[[#This Row],[DATA DO CAIXA PREVISTO]]="N/A","0",UPPER(TEXT(tbRegistroEntradas[[#This Row],[DATA DO CAIXA PREVISTO]],"mmm")))</f>
        <v>FEV</v>
      </c>
      <c r="O550" s="58">
        <f>IF(tbRegistroEntradas[[#This Row],[DATA DO CAIXA PREVISTO]]="N/A",0,YEAR(tbRegistroEntradas[[#This Row],[DATA DO CAIXA PREVISTO]]))</f>
        <v>2023</v>
      </c>
      <c r="P550" s="58" t="str">
        <f ca="1">IF(AND(tbRegistroEntradas[[#This Row],[DATA DE CAIXA REALIZADO]]="N/A",tbRegistroEntradas[[#This Row],[DATA DO CAIXA PREVISTO]]&lt;TODAY()),"Vencida","Não Vencida")</f>
        <v>Não Vencida</v>
      </c>
      <c r="Q550" s="58" t="str">
        <f>IF(tbRegistroEntradas[[#This Row],[DATA DA COMPETÊNCIA]]=tbRegistroEntradas[[#This Row],[DATA DO CAIXA PREVISTO]],"Vista","Prazo")</f>
        <v>Vista</v>
      </c>
      <c r="R550" s="58" t="str">
        <f>IF(tbRegistroEntradas[[#This Row],[DATA DE CAIXA REALIZADO]]&lt;&gt;"N/A","Em Dia","Com atraso")</f>
        <v>Em Dia</v>
      </c>
    </row>
    <row r="551" spans="1:18" ht="14.4" customHeight="1" x14ac:dyDescent="0.3">
      <c r="A551" s="43">
        <v>45001.31113425926</v>
      </c>
      <c r="B551" s="44">
        <v>44966</v>
      </c>
      <c r="C551" s="111">
        <f>tbRegistroEntradas[[#This Row],[DATA DA COMPETÊNCIA]]</f>
        <v>44966</v>
      </c>
      <c r="D551" s="44" t="s">
        <v>64</v>
      </c>
      <c r="E551" s="35" t="s">
        <v>12</v>
      </c>
      <c r="F551" s="35" t="s">
        <v>32</v>
      </c>
      <c r="G551" s="35" t="s">
        <v>324</v>
      </c>
      <c r="H551" s="52" t="s">
        <v>108</v>
      </c>
      <c r="I551" s="122">
        <v>1117</v>
      </c>
      <c r="J551" s="55" t="str">
        <f>IF(tbRegistroEntradas[[#This Row],[DATA DE CAIXA REALIZADO]]="N/A","0",UPPER(TEXT(tbRegistroEntradas[[#This Row],[DATA DE CAIXA REALIZADO]],"mmm")))</f>
        <v>MAR</v>
      </c>
      <c r="K551" s="58">
        <f>IF(tbRegistroEntradas[[#This Row],[DATA DE CAIXA REALIZADO]]="N/A",0,YEAR(tbRegistroEntradas[[#This Row],[DATA DE CAIXA REALIZADO]]))</f>
        <v>2023</v>
      </c>
      <c r="L551" s="79" t="str">
        <f>IF(tbRegistroEntradas[[#This Row],[DATA DA COMPETÊNCIA]]="N/A","0",UPPER(TEXT(tbRegistroEntradas[[#This Row],[DATA DA COMPETÊNCIA]],"mmm")))</f>
        <v>FEV</v>
      </c>
      <c r="M551" s="79">
        <f>IF(tbRegistroEntradas[[#This Row],[DATA DA COMPETÊNCIA]]="N/A",0,YEAR(tbRegistroEntradas[[#This Row],[DATA DA COMPETÊNCIA]]))</f>
        <v>2023</v>
      </c>
      <c r="N551" s="84" t="str">
        <f>IF(tbRegistroEntradas[[#This Row],[DATA DO CAIXA PREVISTO]]="N/A","0",UPPER(TEXT(tbRegistroEntradas[[#This Row],[DATA DO CAIXA PREVISTO]],"mmm")))</f>
        <v>FEV</v>
      </c>
      <c r="O551" s="84">
        <f>IF(tbRegistroEntradas[[#This Row],[DATA DO CAIXA PREVISTO]]="N/A",0,YEAR(tbRegistroEntradas[[#This Row],[DATA DO CAIXA PREVISTO]]))</f>
        <v>2023</v>
      </c>
      <c r="P551" s="58" t="str">
        <f ca="1">IF(AND(tbRegistroEntradas[[#This Row],[DATA DE CAIXA REALIZADO]]="N/A",tbRegistroEntradas[[#This Row],[DATA DO CAIXA PREVISTO]]&lt;TODAY()),"Vencida","Não Vencida")</f>
        <v>Não Vencida</v>
      </c>
      <c r="Q551" s="58" t="str">
        <f>IF(tbRegistroEntradas[[#This Row],[DATA DA COMPETÊNCIA]]=tbRegistroEntradas[[#This Row],[DATA DO CAIXA PREVISTO]],"Vista","Prazo")</f>
        <v>Vista</v>
      </c>
      <c r="R551" s="58" t="str">
        <f>IF(tbRegistroEntradas[[#This Row],[DATA DE CAIXA REALIZADO]]&lt;&gt;"N/A","Em Dia","Com atraso")</f>
        <v>Em Dia</v>
      </c>
    </row>
    <row r="552" spans="1:18" ht="14.4" customHeight="1" x14ac:dyDescent="0.3">
      <c r="A552" s="40">
        <v>45002.652546296296</v>
      </c>
      <c r="B552" s="41">
        <v>44967</v>
      </c>
      <c r="C552" s="41">
        <v>45002.652546296296</v>
      </c>
      <c r="D552" s="42" t="s">
        <v>67</v>
      </c>
      <c r="E552" s="42" t="s">
        <v>12</v>
      </c>
      <c r="F552" s="42" t="s">
        <v>16</v>
      </c>
      <c r="G552" s="42" t="s">
        <v>325</v>
      </c>
      <c r="H552" s="126" t="s">
        <v>131</v>
      </c>
      <c r="I552" s="121">
        <v>4461</v>
      </c>
      <c r="J552" s="55" t="str">
        <f>IF(tbRegistroEntradas[[#This Row],[DATA DE CAIXA REALIZADO]]="N/A","0",UPPER(TEXT(tbRegistroEntradas[[#This Row],[DATA DE CAIXA REALIZADO]],"mmm")))</f>
        <v>MAR</v>
      </c>
      <c r="K552" s="58">
        <f>IF(tbRegistroEntradas[[#This Row],[DATA DE CAIXA REALIZADO]]="N/A",0,YEAR(tbRegistroEntradas[[#This Row],[DATA DE CAIXA REALIZADO]]))</f>
        <v>2023</v>
      </c>
      <c r="L552" s="79" t="str">
        <f>IF(tbRegistroEntradas[[#This Row],[DATA DA COMPETÊNCIA]]="N/A","0",UPPER(TEXT(tbRegistroEntradas[[#This Row],[DATA DA COMPETÊNCIA]],"mmm")))</f>
        <v>FEV</v>
      </c>
      <c r="M552" s="79">
        <f>IF(tbRegistroEntradas[[#This Row],[DATA DA COMPETÊNCIA]]="N/A",0,YEAR(tbRegistroEntradas[[#This Row],[DATA DA COMPETÊNCIA]]))</f>
        <v>2023</v>
      </c>
      <c r="N552" s="84" t="str">
        <f>IF(tbRegistroEntradas[[#This Row],[DATA DO CAIXA PREVISTO]]="N/A","0",UPPER(TEXT(tbRegistroEntradas[[#This Row],[DATA DO CAIXA PREVISTO]],"mmm")))</f>
        <v>MAR</v>
      </c>
      <c r="O552" s="84">
        <f>IF(tbRegistroEntradas[[#This Row],[DATA DO CAIXA PREVISTO]]="N/A",0,YEAR(tbRegistroEntradas[[#This Row],[DATA DO CAIXA PREVISTO]]))</f>
        <v>2023</v>
      </c>
      <c r="P552" s="58" t="str">
        <f ca="1">IF(AND(tbRegistroEntradas[[#This Row],[DATA DE CAIXA REALIZADO]]="N/A",tbRegistroEntradas[[#This Row],[DATA DO CAIXA PREVISTO]]&lt;TODAY()),"Vencida","Não Vencida")</f>
        <v>Não Vencida</v>
      </c>
      <c r="Q552" s="58" t="str">
        <f>IF(tbRegistroEntradas[[#This Row],[DATA DA COMPETÊNCIA]]=tbRegistroEntradas[[#This Row],[DATA DO CAIXA PREVISTO]],"Vista","Prazo")</f>
        <v>Prazo</v>
      </c>
      <c r="R552" s="58" t="str">
        <f>IF(tbRegistroEntradas[[#This Row],[DATA DE CAIXA REALIZADO]]&lt;&gt;"N/A","Em Dia","Com atraso")</f>
        <v>Em Dia</v>
      </c>
    </row>
    <row r="553" spans="1:18" ht="14.4" customHeight="1" x14ac:dyDescent="0.3">
      <c r="A553" s="111">
        <v>45000</v>
      </c>
      <c r="B553" s="111">
        <f>A553-31</f>
        <v>44969</v>
      </c>
      <c r="C553" s="111">
        <f>tbRegistroEntradas[[#This Row],[DATA DA COMPETÊNCIA]]</f>
        <v>44969</v>
      </c>
      <c r="D553" s="109" t="s">
        <v>138</v>
      </c>
      <c r="E553" s="109" t="s">
        <v>12</v>
      </c>
      <c r="F553" s="109" t="s">
        <v>32</v>
      </c>
      <c r="G553" s="109" t="s">
        <v>759</v>
      </c>
      <c r="H553" s="52" t="s">
        <v>76</v>
      </c>
      <c r="I553" s="118">
        <v>7494</v>
      </c>
      <c r="J553" s="110" t="str">
        <f>IF(tbRegistroEntradas[[#This Row],[DATA DE CAIXA REALIZADO]]="N/A","0",UPPER(TEXT(tbRegistroEntradas[[#This Row],[DATA DE CAIXA REALIZADO]],"mmm")))</f>
        <v>MAR</v>
      </c>
      <c r="K553" s="57">
        <f>IF(tbRegistroEntradas[[#This Row],[DATA DE CAIXA REALIZADO]]="N/A",0,YEAR(tbRegistroEntradas[[#This Row],[DATA DE CAIXA REALIZADO]]))</f>
        <v>2023</v>
      </c>
      <c r="L553" s="58" t="str">
        <f>IF(tbRegistroEntradas[[#This Row],[DATA DA COMPETÊNCIA]]="N/A","0",UPPER(TEXT(tbRegistroEntradas[[#This Row],[DATA DA COMPETÊNCIA]],"mmm")))</f>
        <v>FEV</v>
      </c>
      <c r="M553" s="58">
        <f>IF(tbRegistroEntradas[[#This Row],[DATA DA COMPETÊNCIA]]="N/A",0,YEAR(tbRegistroEntradas[[#This Row],[DATA DA COMPETÊNCIA]]))</f>
        <v>2023</v>
      </c>
      <c r="N553" s="58" t="str">
        <f>IF(tbRegistroEntradas[[#This Row],[DATA DO CAIXA PREVISTO]]="N/A","0",UPPER(TEXT(tbRegistroEntradas[[#This Row],[DATA DO CAIXA PREVISTO]],"mmm")))</f>
        <v>FEV</v>
      </c>
      <c r="O553" s="58">
        <f>IF(tbRegistroEntradas[[#This Row],[DATA DO CAIXA PREVISTO]]="N/A",0,YEAR(tbRegistroEntradas[[#This Row],[DATA DO CAIXA PREVISTO]]))</f>
        <v>2023</v>
      </c>
      <c r="P553" s="58" t="str">
        <f ca="1">IF(AND(tbRegistroEntradas[[#This Row],[DATA DE CAIXA REALIZADO]]="N/A",tbRegistroEntradas[[#This Row],[DATA DO CAIXA PREVISTO]]&lt;TODAY()),"Vencida","Não Vencida")</f>
        <v>Não Vencida</v>
      </c>
      <c r="Q553" s="58" t="str">
        <f>IF(tbRegistroEntradas[[#This Row],[DATA DA COMPETÊNCIA]]=tbRegistroEntradas[[#This Row],[DATA DO CAIXA PREVISTO]],"Vista","Prazo")</f>
        <v>Vista</v>
      </c>
      <c r="R553" s="58" t="str">
        <f>IF(tbRegistroEntradas[[#This Row],[DATA DE CAIXA REALIZADO]]&lt;&gt;"N/A","Em Dia","Com atraso")</f>
        <v>Em Dia</v>
      </c>
    </row>
    <row r="554" spans="1:18" ht="14.4" customHeight="1" x14ac:dyDescent="0.3">
      <c r="A554" s="43">
        <v>45021.051678240743</v>
      </c>
      <c r="B554" s="44">
        <v>44969</v>
      </c>
      <c r="C554" s="44">
        <v>45015.095381944448</v>
      </c>
      <c r="D554" s="35" t="s">
        <v>65</v>
      </c>
      <c r="E554" s="35" t="s">
        <v>12</v>
      </c>
      <c r="F554" s="35" t="s">
        <v>19</v>
      </c>
      <c r="G554" s="35" t="s">
        <v>326</v>
      </c>
      <c r="H554" s="143" t="s">
        <v>118</v>
      </c>
      <c r="I554" s="122">
        <v>3732</v>
      </c>
      <c r="J554" s="55" t="str">
        <f>IF(tbRegistroEntradas[[#This Row],[DATA DE CAIXA REALIZADO]]="N/A","0",UPPER(TEXT(tbRegistroEntradas[[#This Row],[DATA DE CAIXA REALIZADO]],"mmm")))</f>
        <v>ABR</v>
      </c>
      <c r="K554" s="58">
        <f>IF(tbRegistroEntradas[[#This Row],[DATA DE CAIXA REALIZADO]]="N/A",0,YEAR(tbRegistroEntradas[[#This Row],[DATA DE CAIXA REALIZADO]]))</f>
        <v>2023</v>
      </c>
      <c r="L554" s="79" t="str">
        <f>IF(tbRegistroEntradas[[#This Row],[DATA DA COMPETÊNCIA]]="N/A","0",UPPER(TEXT(tbRegistroEntradas[[#This Row],[DATA DA COMPETÊNCIA]],"mmm")))</f>
        <v>FEV</v>
      </c>
      <c r="M554" s="79">
        <f>IF(tbRegistroEntradas[[#This Row],[DATA DA COMPETÊNCIA]]="N/A",0,YEAR(tbRegistroEntradas[[#This Row],[DATA DA COMPETÊNCIA]]))</f>
        <v>2023</v>
      </c>
      <c r="N554" s="84" t="str">
        <f>IF(tbRegistroEntradas[[#This Row],[DATA DO CAIXA PREVISTO]]="N/A","0",UPPER(TEXT(tbRegistroEntradas[[#This Row],[DATA DO CAIXA PREVISTO]],"mmm")))</f>
        <v>MAR</v>
      </c>
      <c r="O554" s="84">
        <f>IF(tbRegistroEntradas[[#This Row],[DATA DO CAIXA PREVISTO]]="N/A",0,YEAR(tbRegistroEntradas[[#This Row],[DATA DO CAIXA PREVISTO]]))</f>
        <v>2023</v>
      </c>
      <c r="P554" s="58" t="str">
        <f ca="1">IF(AND(tbRegistroEntradas[[#This Row],[DATA DE CAIXA REALIZADO]]="N/A",tbRegistroEntradas[[#This Row],[DATA DO CAIXA PREVISTO]]&lt;TODAY()),"Vencida","Não Vencida")</f>
        <v>Não Vencida</v>
      </c>
      <c r="Q554" s="58" t="str">
        <f>IF(tbRegistroEntradas[[#This Row],[DATA DA COMPETÊNCIA]]=tbRegistroEntradas[[#This Row],[DATA DO CAIXA PREVISTO]],"Vista","Prazo")</f>
        <v>Prazo</v>
      </c>
      <c r="R554" s="58" t="str">
        <f>IF(tbRegistroEntradas[[#This Row],[DATA DE CAIXA REALIZADO]]&lt;&gt;"N/A","Em Dia","Com atraso")</f>
        <v>Em Dia</v>
      </c>
    </row>
    <row r="555" spans="1:18" ht="14.4" customHeight="1" x14ac:dyDescent="0.3">
      <c r="A555" s="111">
        <v>45001</v>
      </c>
      <c r="B555" s="111">
        <f>A555-31</f>
        <v>44970</v>
      </c>
      <c r="C555" s="111">
        <f>(A555-B555)+B555-15</f>
        <v>44986</v>
      </c>
      <c r="D555" s="109" t="s">
        <v>65</v>
      </c>
      <c r="E555" s="109" t="s">
        <v>12</v>
      </c>
      <c r="F555" s="109" t="s">
        <v>32</v>
      </c>
      <c r="G555" s="109" t="s">
        <v>680</v>
      </c>
      <c r="H555" s="52" t="s">
        <v>122</v>
      </c>
      <c r="I555" s="118">
        <v>1813</v>
      </c>
      <c r="J555" s="110" t="str">
        <f>IF(tbRegistroEntradas[[#This Row],[DATA DE CAIXA REALIZADO]]="N/A","0",UPPER(TEXT(tbRegistroEntradas[[#This Row],[DATA DE CAIXA REALIZADO]],"mmm")))</f>
        <v>MAR</v>
      </c>
      <c r="K555" s="57">
        <f>IF(tbRegistroEntradas[[#This Row],[DATA DE CAIXA REALIZADO]]="N/A",0,YEAR(tbRegistroEntradas[[#This Row],[DATA DE CAIXA REALIZADO]]))</f>
        <v>2023</v>
      </c>
      <c r="L555" s="58" t="str">
        <f>IF(tbRegistroEntradas[[#This Row],[DATA DA COMPETÊNCIA]]="N/A","0",UPPER(TEXT(tbRegistroEntradas[[#This Row],[DATA DA COMPETÊNCIA]],"mmm")))</f>
        <v>FEV</v>
      </c>
      <c r="M555" s="58">
        <f>IF(tbRegistroEntradas[[#This Row],[DATA DA COMPETÊNCIA]]="N/A",0,YEAR(tbRegistroEntradas[[#This Row],[DATA DA COMPETÊNCIA]]))</f>
        <v>2023</v>
      </c>
      <c r="N555" s="58" t="str">
        <f>IF(tbRegistroEntradas[[#This Row],[DATA DO CAIXA PREVISTO]]="N/A","0",UPPER(TEXT(tbRegistroEntradas[[#This Row],[DATA DO CAIXA PREVISTO]],"mmm")))</f>
        <v>MAR</v>
      </c>
      <c r="O555" s="58">
        <f>IF(tbRegistroEntradas[[#This Row],[DATA DO CAIXA PREVISTO]]="N/A",0,YEAR(tbRegistroEntradas[[#This Row],[DATA DO CAIXA PREVISTO]]))</f>
        <v>2023</v>
      </c>
      <c r="P555" s="58" t="str">
        <f ca="1">IF(AND(tbRegistroEntradas[[#This Row],[DATA DE CAIXA REALIZADO]]="N/A",tbRegistroEntradas[[#This Row],[DATA DO CAIXA PREVISTO]]&lt;TODAY()),"Vencida","Não Vencida")</f>
        <v>Não Vencida</v>
      </c>
      <c r="Q555" s="58" t="str">
        <f>IF(tbRegistroEntradas[[#This Row],[DATA DA COMPETÊNCIA]]=tbRegistroEntradas[[#This Row],[DATA DO CAIXA PREVISTO]],"Vista","Prazo")</f>
        <v>Prazo</v>
      </c>
      <c r="R555" s="58" t="str">
        <f>IF(tbRegistroEntradas[[#This Row],[DATA DE CAIXA REALIZADO]]&lt;&gt;"N/A","Em Dia","Com atraso")</f>
        <v>Em Dia</v>
      </c>
    </row>
    <row r="556" spans="1:18" ht="14.4" customHeight="1" x14ac:dyDescent="0.3">
      <c r="A556" s="111">
        <v>45001</v>
      </c>
      <c r="B556" s="111">
        <f>A556-31</f>
        <v>44970</v>
      </c>
      <c r="C556" s="111">
        <f>(A556-B556)+B556-15</f>
        <v>44986</v>
      </c>
      <c r="D556" s="109" t="s">
        <v>138</v>
      </c>
      <c r="E556" s="109" t="s">
        <v>12</v>
      </c>
      <c r="F556" s="109" t="s">
        <v>32</v>
      </c>
      <c r="G556" s="109" t="s">
        <v>721</v>
      </c>
      <c r="H556" s="52" t="s">
        <v>77</v>
      </c>
      <c r="I556" s="118">
        <v>6183</v>
      </c>
      <c r="J556" s="110" t="str">
        <f>IF(tbRegistroEntradas[[#This Row],[DATA DE CAIXA REALIZADO]]="N/A","0",UPPER(TEXT(tbRegistroEntradas[[#This Row],[DATA DE CAIXA REALIZADO]],"mmm")))</f>
        <v>MAR</v>
      </c>
      <c r="K556" s="57">
        <f>IF(tbRegistroEntradas[[#This Row],[DATA DE CAIXA REALIZADO]]="N/A",0,YEAR(tbRegistroEntradas[[#This Row],[DATA DE CAIXA REALIZADO]]))</f>
        <v>2023</v>
      </c>
      <c r="L556" s="58" t="str">
        <f>IF(tbRegistroEntradas[[#This Row],[DATA DA COMPETÊNCIA]]="N/A","0",UPPER(TEXT(tbRegistroEntradas[[#This Row],[DATA DA COMPETÊNCIA]],"mmm")))</f>
        <v>FEV</v>
      </c>
      <c r="M556" s="58">
        <f>IF(tbRegistroEntradas[[#This Row],[DATA DA COMPETÊNCIA]]="N/A",0,YEAR(tbRegistroEntradas[[#This Row],[DATA DA COMPETÊNCIA]]))</f>
        <v>2023</v>
      </c>
      <c r="N556" s="58" t="str">
        <f>IF(tbRegistroEntradas[[#This Row],[DATA DO CAIXA PREVISTO]]="N/A","0",UPPER(TEXT(tbRegistroEntradas[[#This Row],[DATA DO CAIXA PREVISTO]],"mmm")))</f>
        <v>MAR</v>
      </c>
      <c r="O556" s="58">
        <f>IF(tbRegistroEntradas[[#This Row],[DATA DO CAIXA PREVISTO]]="N/A",0,YEAR(tbRegistroEntradas[[#This Row],[DATA DO CAIXA PREVISTO]]))</f>
        <v>2023</v>
      </c>
      <c r="P556" s="58" t="str">
        <f ca="1">IF(AND(tbRegistroEntradas[[#This Row],[DATA DE CAIXA REALIZADO]]="N/A",tbRegistroEntradas[[#This Row],[DATA DO CAIXA PREVISTO]]&lt;TODAY()),"Vencida","Não Vencida")</f>
        <v>Não Vencida</v>
      </c>
      <c r="Q556" s="58" t="str">
        <f>IF(tbRegistroEntradas[[#This Row],[DATA DA COMPETÊNCIA]]=tbRegistroEntradas[[#This Row],[DATA DO CAIXA PREVISTO]],"Vista","Prazo")</f>
        <v>Prazo</v>
      </c>
      <c r="R556" s="58" t="str">
        <f>IF(tbRegistroEntradas[[#This Row],[DATA DE CAIXA REALIZADO]]&lt;&gt;"N/A","Em Dia","Com atraso")</f>
        <v>Em Dia</v>
      </c>
    </row>
    <row r="557" spans="1:18" ht="14.4" customHeight="1" x14ac:dyDescent="0.3">
      <c r="A557" s="40">
        <v>44973.426655092589</v>
      </c>
      <c r="B557" s="41">
        <v>44970</v>
      </c>
      <c r="C557" s="41">
        <v>44973.426655092589</v>
      </c>
      <c r="D557" s="42" t="s">
        <v>63</v>
      </c>
      <c r="E557" s="42" t="s">
        <v>12</v>
      </c>
      <c r="F557" s="42" t="s">
        <v>32</v>
      </c>
      <c r="G557" s="42" t="s">
        <v>327</v>
      </c>
      <c r="H557" s="52" t="s">
        <v>102</v>
      </c>
      <c r="I557" s="121">
        <v>2024</v>
      </c>
      <c r="J557" s="55" t="str">
        <f>IF(tbRegistroEntradas[[#This Row],[DATA DE CAIXA REALIZADO]]="N/A","0",UPPER(TEXT(tbRegistroEntradas[[#This Row],[DATA DE CAIXA REALIZADO]],"mmm")))</f>
        <v>FEV</v>
      </c>
      <c r="K557" s="58">
        <f>IF(tbRegistroEntradas[[#This Row],[DATA DE CAIXA REALIZADO]]="N/A",0,YEAR(tbRegistroEntradas[[#This Row],[DATA DE CAIXA REALIZADO]]))</f>
        <v>2023</v>
      </c>
      <c r="L557" s="79" t="str">
        <f>IF(tbRegistroEntradas[[#This Row],[DATA DA COMPETÊNCIA]]="N/A","0",UPPER(TEXT(tbRegistroEntradas[[#This Row],[DATA DA COMPETÊNCIA]],"mmm")))</f>
        <v>FEV</v>
      </c>
      <c r="M557" s="79">
        <f>IF(tbRegistroEntradas[[#This Row],[DATA DA COMPETÊNCIA]]="N/A",0,YEAR(tbRegistroEntradas[[#This Row],[DATA DA COMPETÊNCIA]]))</f>
        <v>2023</v>
      </c>
      <c r="N557" s="84" t="str">
        <f>IF(tbRegistroEntradas[[#This Row],[DATA DO CAIXA PREVISTO]]="N/A","0",UPPER(TEXT(tbRegistroEntradas[[#This Row],[DATA DO CAIXA PREVISTO]],"mmm")))</f>
        <v>FEV</v>
      </c>
      <c r="O557" s="84">
        <f>IF(tbRegistroEntradas[[#This Row],[DATA DO CAIXA PREVISTO]]="N/A",0,YEAR(tbRegistroEntradas[[#This Row],[DATA DO CAIXA PREVISTO]]))</f>
        <v>2023</v>
      </c>
      <c r="P557" s="58" t="str">
        <f ca="1">IF(AND(tbRegistroEntradas[[#This Row],[DATA DE CAIXA REALIZADO]]="N/A",tbRegistroEntradas[[#This Row],[DATA DO CAIXA PREVISTO]]&lt;TODAY()),"Vencida","Não Vencida")</f>
        <v>Não Vencida</v>
      </c>
      <c r="Q557" s="58" t="str">
        <f>IF(tbRegistroEntradas[[#This Row],[DATA DA COMPETÊNCIA]]=tbRegistroEntradas[[#This Row],[DATA DO CAIXA PREVISTO]],"Vista","Prazo")</f>
        <v>Prazo</v>
      </c>
      <c r="R557" s="58" t="str">
        <f>IF(tbRegistroEntradas[[#This Row],[DATA DE CAIXA REALIZADO]]&lt;&gt;"N/A","Em Dia","Com atraso")</f>
        <v>Em Dia</v>
      </c>
    </row>
    <row r="558" spans="1:18" ht="14.4" customHeight="1" x14ac:dyDescent="0.3">
      <c r="A558" s="111">
        <v>45004</v>
      </c>
      <c r="B558" s="111">
        <f>A558-31</f>
        <v>44973</v>
      </c>
      <c r="C558" s="111">
        <f>tbRegistroEntradas[[#This Row],[DATA DA COMPETÊNCIA]]</f>
        <v>44973</v>
      </c>
      <c r="D558" s="109" t="s">
        <v>138</v>
      </c>
      <c r="E558" s="109" t="s">
        <v>12</v>
      </c>
      <c r="F558" s="109" t="s">
        <v>32</v>
      </c>
      <c r="G558" s="109" t="s">
        <v>705</v>
      </c>
      <c r="H558" s="52" t="s">
        <v>78</v>
      </c>
      <c r="I558" s="118">
        <v>754</v>
      </c>
      <c r="J558" s="110" t="str">
        <f>IF(tbRegistroEntradas[[#This Row],[DATA DE CAIXA REALIZADO]]="N/A","0",UPPER(TEXT(tbRegistroEntradas[[#This Row],[DATA DE CAIXA REALIZADO]],"mmm")))</f>
        <v>MAR</v>
      </c>
      <c r="K558" s="57">
        <f>IF(tbRegistroEntradas[[#This Row],[DATA DE CAIXA REALIZADO]]="N/A",0,YEAR(tbRegistroEntradas[[#This Row],[DATA DE CAIXA REALIZADO]]))</f>
        <v>2023</v>
      </c>
      <c r="L558" s="58" t="str">
        <f>IF(tbRegistroEntradas[[#This Row],[DATA DA COMPETÊNCIA]]="N/A","0",UPPER(TEXT(tbRegistroEntradas[[#This Row],[DATA DA COMPETÊNCIA]],"mmm")))</f>
        <v>FEV</v>
      </c>
      <c r="M558" s="58">
        <f>IF(tbRegistroEntradas[[#This Row],[DATA DA COMPETÊNCIA]]="N/A",0,YEAR(tbRegistroEntradas[[#This Row],[DATA DA COMPETÊNCIA]]))</f>
        <v>2023</v>
      </c>
      <c r="N558" s="58" t="str">
        <f>IF(tbRegistroEntradas[[#This Row],[DATA DO CAIXA PREVISTO]]="N/A","0",UPPER(TEXT(tbRegistroEntradas[[#This Row],[DATA DO CAIXA PREVISTO]],"mmm")))</f>
        <v>FEV</v>
      </c>
      <c r="O558" s="58">
        <f>IF(tbRegistroEntradas[[#This Row],[DATA DO CAIXA PREVISTO]]="N/A",0,YEAR(tbRegistroEntradas[[#This Row],[DATA DO CAIXA PREVISTO]]))</f>
        <v>2023</v>
      </c>
      <c r="P558" s="58" t="str">
        <f ca="1">IF(AND(tbRegistroEntradas[[#This Row],[DATA DE CAIXA REALIZADO]]="N/A",tbRegistroEntradas[[#This Row],[DATA DO CAIXA PREVISTO]]&lt;TODAY()),"Vencida","Não Vencida")</f>
        <v>Não Vencida</v>
      </c>
      <c r="Q558" s="58" t="str">
        <f>IF(tbRegistroEntradas[[#This Row],[DATA DA COMPETÊNCIA]]=tbRegistroEntradas[[#This Row],[DATA DO CAIXA PREVISTO]],"Vista","Prazo")</f>
        <v>Vista</v>
      </c>
      <c r="R558" s="58" t="str">
        <f>IF(tbRegistroEntradas[[#This Row],[DATA DE CAIXA REALIZADO]]&lt;&gt;"N/A","Em Dia","Com atraso")</f>
        <v>Em Dia</v>
      </c>
    </row>
    <row r="559" spans="1:18" ht="14.4" customHeight="1" x14ac:dyDescent="0.3">
      <c r="A559" s="43" t="s">
        <v>141</v>
      </c>
      <c r="B559" s="44">
        <v>44973</v>
      </c>
      <c r="C559" s="44">
        <v>45031.205879629626</v>
      </c>
      <c r="D559" s="35" t="s">
        <v>61</v>
      </c>
      <c r="E559" s="35" t="s">
        <v>12</v>
      </c>
      <c r="F559" s="35" t="s">
        <v>19</v>
      </c>
      <c r="G559" s="35" t="s">
        <v>328</v>
      </c>
      <c r="H559" s="126" t="s">
        <v>86</v>
      </c>
      <c r="I559" s="122">
        <v>928</v>
      </c>
      <c r="J559" s="55" t="str">
        <f>IF(tbRegistroEntradas[[#This Row],[DATA DE CAIXA REALIZADO]]="N/A","0",UPPER(TEXT(tbRegistroEntradas[[#This Row],[DATA DE CAIXA REALIZADO]],"mmm")))</f>
        <v>0</v>
      </c>
      <c r="K559" s="58">
        <f>IF(tbRegistroEntradas[[#This Row],[DATA DE CAIXA REALIZADO]]="N/A",0,YEAR(tbRegistroEntradas[[#This Row],[DATA DE CAIXA REALIZADO]]))</f>
        <v>0</v>
      </c>
      <c r="L559" s="79" t="str">
        <f>IF(tbRegistroEntradas[[#This Row],[DATA DA COMPETÊNCIA]]="N/A","0",UPPER(TEXT(tbRegistroEntradas[[#This Row],[DATA DA COMPETÊNCIA]],"mmm")))</f>
        <v>FEV</v>
      </c>
      <c r="M559" s="79">
        <f>IF(tbRegistroEntradas[[#This Row],[DATA DA COMPETÊNCIA]]="N/A",0,YEAR(tbRegistroEntradas[[#This Row],[DATA DA COMPETÊNCIA]]))</f>
        <v>2023</v>
      </c>
      <c r="N559" s="84" t="str">
        <f>IF(tbRegistroEntradas[[#This Row],[DATA DO CAIXA PREVISTO]]="N/A","0",UPPER(TEXT(tbRegistroEntradas[[#This Row],[DATA DO CAIXA PREVISTO]],"mmm")))</f>
        <v>ABR</v>
      </c>
      <c r="O559" s="84">
        <f>IF(tbRegistroEntradas[[#This Row],[DATA DO CAIXA PREVISTO]]="N/A",0,YEAR(tbRegistroEntradas[[#This Row],[DATA DO CAIXA PREVISTO]]))</f>
        <v>2023</v>
      </c>
      <c r="P559" s="58" t="str">
        <f ca="1">IF(AND(tbRegistroEntradas[[#This Row],[DATA DE CAIXA REALIZADO]]="N/A",tbRegistroEntradas[[#This Row],[DATA DO CAIXA PREVISTO]]&lt;TODAY()),"Vencida","Não Vencida")</f>
        <v>Vencida</v>
      </c>
      <c r="Q559" s="58" t="str">
        <f>IF(tbRegistroEntradas[[#This Row],[DATA DA COMPETÊNCIA]]=tbRegistroEntradas[[#This Row],[DATA DO CAIXA PREVISTO]],"Vista","Prazo")</f>
        <v>Prazo</v>
      </c>
      <c r="R559" s="58" t="str">
        <f>IF(tbRegistroEntradas[[#This Row],[DATA DE CAIXA REALIZADO]]&lt;&gt;"N/A","Em Dia","Com atraso")</f>
        <v>Com atraso</v>
      </c>
    </row>
    <row r="560" spans="1:18" ht="14.4" customHeight="1" x14ac:dyDescent="0.3">
      <c r="A560" s="40">
        <v>45021.066689814812</v>
      </c>
      <c r="B560" s="41">
        <v>44974</v>
      </c>
      <c r="C560" s="41">
        <v>45021.066689814812</v>
      </c>
      <c r="D560" s="42" t="s">
        <v>61</v>
      </c>
      <c r="E560" s="42" t="s">
        <v>12</v>
      </c>
      <c r="F560" s="42" t="s">
        <v>19</v>
      </c>
      <c r="G560" s="42" t="s">
        <v>329</v>
      </c>
      <c r="H560" s="126" t="s">
        <v>87</v>
      </c>
      <c r="I560" s="121">
        <v>3557</v>
      </c>
      <c r="J560" s="55" t="str">
        <f>IF(tbRegistroEntradas[[#This Row],[DATA DE CAIXA REALIZADO]]="N/A","0",UPPER(TEXT(tbRegistroEntradas[[#This Row],[DATA DE CAIXA REALIZADO]],"mmm")))</f>
        <v>ABR</v>
      </c>
      <c r="K560" s="58">
        <f>IF(tbRegistroEntradas[[#This Row],[DATA DE CAIXA REALIZADO]]="N/A",0,YEAR(tbRegistroEntradas[[#This Row],[DATA DE CAIXA REALIZADO]]))</f>
        <v>2023</v>
      </c>
      <c r="L560" s="79" t="str">
        <f>IF(tbRegistroEntradas[[#This Row],[DATA DA COMPETÊNCIA]]="N/A","0",UPPER(TEXT(tbRegistroEntradas[[#This Row],[DATA DA COMPETÊNCIA]],"mmm")))</f>
        <v>FEV</v>
      </c>
      <c r="M560" s="79">
        <f>IF(tbRegistroEntradas[[#This Row],[DATA DA COMPETÊNCIA]]="N/A",0,YEAR(tbRegistroEntradas[[#This Row],[DATA DA COMPETÊNCIA]]))</f>
        <v>2023</v>
      </c>
      <c r="N560" s="84" t="str">
        <f>IF(tbRegistroEntradas[[#This Row],[DATA DO CAIXA PREVISTO]]="N/A","0",UPPER(TEXT(tbRegistroEntradas[[#This Row],[DATA DO CAIXA PREVISTO]],"mmm")))</f>
        <v>ABR</v>
      </c>
      <c r="O560" s="84">
        <f>IF(tbRegistroEntradas[[#This Row],[DATA DO CAIXA PREVISTO]]="N/A",0,YEAR(tbRegistroEntradas[[#This Row],[DATA DO CAIXA PREVISTO]]))</f>
        <v>2023</v>
      </c>
      <c r="P560" s="58" t="str">
        <f ca="1">IF(AND(tbRegistroEntradas[[#This Row],[DATA DE CAIXA REALIZADO]]="N/A",tbRegistroEntradas[[#This Row],[DATA DO CAIXA PREVISTO]]&lt;TODAY()),"Vencida","Não Vencida")</f>
        <v>Não Vencida</v>
      </c>
      <c r="Q560" s="58" t="str">
        <f>IF(tbRegistroEntradas[[#This Row],[DATA DA COMPETÊNCIA]]=tbRegistroEntradas[[#This Row],[DATA DO CAIXA PREVISTO]],"Vista","Prazo")</f>
        <v>Prazo</v>
      </c>
      <c r="R560" s="58" t="str">
        <f>IF(tbRegistroEntradas[[#This Row],[DATA DE CAIXA REALIZADO]]&lt;&gt;"N/A","Em Dia","Com atraso")</f>
        <v>Em Dia</v>
      </c>
    </row>
    <row r="561" spans="1:18" ht="14.4" customHeight="1" x14ac:dyDescent="0.3">
      <c r="A561" s="43">
        <v>45001.820706018516</v>
      </c>
      <c r="B561" s="44">
        <v>44975</v>
      </c>
      <c r="C561" s="111">
        <f>tbRegistroEntradas[[#This Row],[DATA DA COMPETÊNCIA]]</f>
        <v>44975</v>
      </c>
      <c r="D561" s="35" t="s">
        <v>65</v>
      </c>
      <c r="E561" s="35" t="s">
        <v>12</v>
      </c>
      <c r="F561" s="35" t="s">
        <v>32</v>
      </c>
      <c r="G561" s="35" t="s">
        <v>330</v>
      </c>
      <c r="H561" s="143" t="s">
        <v>89</v>
      </c>
      <c r="I561" s="122">
        <v>741</v>
      </c>
      <c r="J561" s="55" t="str">
        <f>IF(tbRegistroEntradas[[#This Row],[DATA DE CAIXA REALIZADO]]="N/A","0",UPPER(TEXT(tbRegistroEntradas[[#This Row],[DATA DE CAIXA REALIZADO]],"mmm")))</f>
        <v>MAR</v>
      </c>
      <c r="K561" s="58">
        <f>IF(tbRegistroEntradas[[#This Row],[DATA DE CAIXA REALIZADO]]="N/A",0,YEAR(tbRegistroEntradas[[#This Row],[DATA DE CAIXA REALIZADO]]))</f>
        <v>2023</v>
      </c>
      <c r="L561" s="79" t="str">
        <f>IF(tbRegistroEntradas[[#This Row],[DATA DA COMPETÊNCIA]]="N/A","0",UPPER(TEXT(tbRegistroEntradas[[#This Row],[DATA DA COMPETÊNCIA]],"mmm")))</f>
        <v>FEV</v>
      </c>
      <c r="M561" s="79">
        <f>IF(tbRegistroEntradas[[#This Row],[DATA DA COMPETÊNCIA]]="N/A",0,YEAR(tbRegistroEntradas[[#This Row],[DATA DA COMPETÊNCIA]]))</f>
        <v>2023</v>
      </c>
      <c r="N561" s="84" t="str">
        <f>IF(tbRegistroEntradas[[#This Row],[DATA DO CAIXA PREVISTO]]="N/A","0",UPPER(TEXT(tbRegistroEntradas[[#This Row],[DATA DO CAIXA PREVISTO]],"mmm")))</f>
        <v>FEV</v>
      </c>
      <c r="O561" s="84">
        <f>IF(tbRegistroEntradas[[#This Row],[DATA DO CAIXA PREVISTO]]="N/A",0,YEAR(tbRegistroEntradas[[#This Row],[DATA DO CAIXA PREVISTO]]))</f>
        <v>2023</v>
      </c>
      <c r="P561" s="58" t="str">
        <f ca="1">IF(AND(tbRegistroEntradas[[#This Row],[DATA DE CAIXA REALIZADO]]="N/A",tbRegistroEntradas[[#This Row],[DATA DO CAIXA PREVISTO]]&lt;TODAY()),"Vencida","Não Vencida")</f>
        <v>Não Vencida</v>
      </c>
      <c r="Q561" s="58" t="str">
        <f>IF(tbRegistroEntradas[[#This Row],[DATA DA COMPETÊNCIA]]=tbRegistroEntradas[[#This Row],[DATA DO CAIXA PREVISTO]],"Vista","Prazo")</f>
        <v>Vista</v>
      </c>
      <c r="R561" s="58" t="str">
        <f>IF(tbRegistroEntradas[[#This Row],[DATA DE CAIXA REALIZADO]]&lt;&gt;"N/A","Em Dia","Com atraso")</f>
        <v>Em Dia</v>
      </c>
    </row>
    <row r="562" spans="1:18" ht="14.4" customHeight="1" x14ac:dyDescent="0.3">
      <c r="A562" s="111">
        <v>45006</v>
      </c>
      <c r="B562" s="111">
        <f>A562-31</f>
        <v>44975</v>
      </c>
      <c r="C562" s="111">
        <f>(A562-B562)+B562-15</f>
        <v>44991</v>
      </c>
      <c r="D562" s="109" t="s">
        <v>63</v>
      </c>
      <c r="E562" s="109" t="s">
        <v>12</v>
      </c>
      <c r="F562" s="109" t="s">
        <v>32</v>
      </c>
      <c r="G562" s="109" t="s">
        <v>942</v>
      </c>
      <c r="H562" s="52" t="s">
        <v>103</v>
      </c>
      <c r="I562" s="118">
        <v>6787</v>
      </c>
      <c r="J562" s="110" t="str">
        <f>IF(tbRegistroEntradas[[#This Row],[DATA DE CAIXA REALIZADO]]="N/A","0",UPPER(TEXT(tbRegistroEntradas[[#This Row],[DATA DE CAIXA REALIZADO]],"mmm")))</f>
        <v>MAR</v>
      </c>
      <c r="K562" s="57">
        <f>IF(tbRegistroEntradas[[#This Row],[DATA DE CAIXA REALIZADO]]="N/A",0,YEAR(tbRegistroEntradas[[#This Row],[DATA DE CAIXA REALIZADO]]))</f>
        <v>2023</v>
      </c>
      <c r="L562" s="58" t="str">
        <f>IF(tbRegistroEntradas[[#This Row],[DATA DA COMPETÊNCIA]]="N/A","0",UPPER(TEXT(tbRegistroEntradas[[#This Row],[DATA DA COMPETÊNCIA]],"mmm")))</f>
        <v>FEV</v>
      </c>
      <c r="M562" s="58">
        <f>IF(tbRegistroEntradas[[#This Row],[DATA DA COMPETÊNCIA]]="N/A",0,YEAR(tbRegistroEntradas[[#This Row],[DATA DA COMPETÊNCIA]]))</f>
        <v>2023</v>
      </c>
      <c r="N562" s="58" t="str">
        <f>IF(tbRegistroEntradas[[#This Row],[DATA DO CAIXA PREVISTO]]="N/A","0",UPPER(TEXT(tbRegistroEntradas[[#This Row],[DATA DO CAIXA PREVISTO]],"mmm")))</f>
        <v>MAR</v>
      </c>
      <c r="O562" s="58">
        <f>IF(tbRegistroEntradas[[#This Row],[DATA DO CAIXA PREVISTO]]="N/A",0,YEAR(tbRegistroEntradas[[#This Row],[DATA DO CAIXA PREVISTO]]))</f>
        <v>2023</v>
      </c>
      <c r="P562" s="58" t="str">
        <f ca="1">IF(AND(tbRegistroEntradas[[#This Row],[DATA DE CAIXA REALIZADO]]="N/A",tbRegistroEntradas[[#This Row],[DATA DO CAIXA PREVISTO]]&lt;TODAY()),"Vencida","Não Vencida")</f>
        <v>Não Vencida</v>
      </c>
      <c r="Q562" s="58" t="str">
        <f>IF(tbRegistroEntradas[[#This Row],[DATA DA COMPETÊNCIA]]=tbRegistroEntradas[[#This Row],[DATA DO CAIXA PREVISTO]],"Vista","Prazo")</f>
        <v>Prazo</v>
      </c>
      <c r="R562" s="58" t="str">
        <f>IF(tbRegistroEntradas[[#This Row],[DATA DE CAIXA REALIZADO]]&lt;&gt;"N/A","Em Dia","Com atraso")</f>
        <v>Em Dia</v>
      </c>
    </row>
    <row r="563" spans="1:18" ht="14.4" customHeight="1" x14ac:dyDescent="0.3">
      <c r="A563" s="40">
        <v>45009.222939814812</v>
      </c>
      <c r="B563" s="41">
        <v>44978</v>
      </c>
      <c r="C563" s="41">
        <v>45009.222939814812</v>
      </c>
      <c r="D563" s="42" t="s">
        <v>138</v>
      </c>
      <c r="E563" s="42" t="s">
        <v>12</v>
      </c>
      <c r="F563" s="42" t="s">
        <v>32</v>
      </c>
      <c r="G563" s="42" t="s">
        <v>331</v>
      </c>
      <c r="H563" s="52" t="s">
        <v>135</v>
      </c>
      <c r="I563" s="121">
        <v>850</v>
      </c>
      <c r="J563" s="55" t="str">
        <f>IF(tbRegistroEntradas[[#This Row],[DATA DE CAIXA REALIZADO]]="N/A","0",UPPER(TEXT(tbRegistroEntradas[[#This Row],[DATA DE CAIXA REALIZADO]],"mmm")))</f>
        <v>MAR</v>
      </c>
      <c r="K563" s="58">
        <f>IF(tbRegistroEntradas[[#This Row],[DATA DE CAIXA REALIZADO]]="N/A",0,YEAR(tbRegistroEntradas[[#This Row],[DATA DE CAIXA REALIZADO]]))</f>
        <v>2023</v>
      </c>
      <c r="L563" s="79" t="str">
        <f>IF(tbRegistroEntradas[[#This Row],[DATA DA COMPETÊNCIA]]="N/A","0",UPPER(TEXT(tbRegistroEntradas[[#This Row],[DATA DA COMPETÊNCIA]],"mmm")))</f>
        <v>FEV</v>
      </c>
      <c r="M563" s="79">
        <f>IF(tbRegistroEntradas[[#This Row],[DATA DA COMPETÊNCIA]]="N/A",0,YEAR(tbRegistroEntradas[[#This Row],[DATA DA COMPETÊNCIA]]))</f>
        <v>2023</v>
      </c>
      <c r="N563" s="84" t="str">
        <f>IF(tbRegistroEntradas[[#This Row],[DATA DO CAIXA PREVISTO]]="N/A","0",UPPER(TEXT(tbRegistroEntradas[[#This Row],[DATA DO CAIXA PREVISTO]],"mmm")))</f>
        <v>MAR</v>
      </c>
      <c r="O563" s="84">
        <f>IF(tbRegistroEntradas[[#This Row],[DATA DO CAIXA PREVISTO]]="N/A",0,YEAR(tbRegistroEntradas[[#This Row],[DATA DO CAIXA PREVISTO]]))</f>
        <v>2023</v>
      </c>
      <c r="P563" s="58" t="str">
        <f ca="1">IF(AND(tbRegistroEntradas[[#This Row],[DATA DE CAIXA REALIZADO]]="N/A",tbRegistroEntradas[[#This Row],[DATA DO CAIXA PREVISTO]]&lt;TODAY()),"Vencida","Não Vencida")</f>
        <v>Não Vencida</v>
      </c>
      <c r="Q563" s="58" t="str">
        <f>IF(tbRegistroEntradas[[#This Row],[DATA DA COMPETÊNCIA]]=tbRegistroEntradas[[#This Row],[DATA DO CAIXA PREVISTO]],"Vista","Prazo")</f>
        <v>Prazo</v>
      </c>
      <c r="R563" s="58" t="str">
        <f>IF(tbRegistroEntradas[[#This Row],[DATA DE CAIXA REALIZADO]]&lt;&gt;"N/A","Em Dia","Com atraso")</f>
        <v>Em Dia</v>
      </c>
    </row>
    <row r="564" spans="1:18" ht="14.4" customHeight="1" x14ac:dyDescent="0.3">
      <c r="A564" s="111">
        <v>45013</v>
      </c>
      <c r="B564" s="111">
        <f>A564-31</f>
        <v>44982</v>
      </c>
      <c r="C564" s="111">
        <f>(A564-B564)+B564-15</f>
        <v>44998</v>
      </c>
      <c r="D564" s="109" t="s">
        <v>138</v>
      </c>
      <c r="E564" s="109" t="s">
        <v>12</v>
      </c>
      <c r="F564" s="109" t="s">
        <v>32</v>
      </c>
      <c r="G564" s="109" t="s">
        <v>857</v>
      </c>
      <c r="H564" s="126" t="s">
        <v>136</v>
      </c>
      <c r="I564" s="118">
        <v>2897</v>
      </c>
      <c r="J564" s="110" t="str">
        <f>IF(tbRegistroEntradas[[#This Row],[DATA DE CAIXA REALIZADO]]="N/A","0",UPPER(TEXT(tbRegistroEntradas[[#This Row],[DATA DE CAIXA REALIZADO]],"mmm")))</f>
        <v>MAR</v>
      </c>
      <c r="K564" s="57">
        <f>IF(tbRegistroEntradas[[#This Row],[DATA DE CAIXA REALIZADO]]="N/A",0,YEAR(tbRegistroEntradas[[#This Row],[DATA DE CAIXA REALIZADO]]))</f>
        <v>2023</v>
      </c>
      <c r="L564" s="58" t="str">
        <f>IF(tbRegistroEntradas[[#This Row],[DATA DA COMPETÊNCIA]]="N/A","0",UPPER(TEXT(tbRegistroEntradas[[#This Row],[DATA DA COMPETÊNCIA]],"mmm")))</f>
        <v>FEV</v>
      </c>
      <c r="M564" s="58">
        <f>IF(tbRegistroEntradas[[#This Row],[DATA DA COMPETÊNCIA]]="N/A",0,YEAR(tbRegistroEntradas[[#This Row],[DATA DA COMPETÊNCIA]]))</f>
        <v>2023</v>
      </c>
      <c r="N564" s="58" t="str">
        <f>IF(tbRegistroEntradas[[#This Row],[DATA DO CAIXA PREVISTO]]="N/A","0",UPPER(TEXT(tbRegistroEntradas[[#This Row],[DATA DO CAIXA PREVISTO]],"mmm")))</f>
        <v>MAR</v>
      </c>
      <c r="O564" s="58">
        <f>IF(tbRegistroEntradas[[#This Row],[DATA DO CAIXA PREVISTO]]="N/A",0,YEAR(tbRegistroEntradas[[#This Row],[DATA DO CAIXA PREVISTO]]))</f>
        <v>2023</v>
      </c>
      <c r="P564" s="58" t="str">
        <f ca="1">IF(AND(tbRegistroEntradas[[#This Row],[DATA DE CAIXA REALIZADO]]="N/A",tbRegistroEntradas[[#This Row],[DATA DO CAIXA PREVISTO]]&lt;TODAY()),"Vencida","Não Vencida")</f>
        <v>Não Vencida</v>
      </c>
      <c r="Q564" s="58" t="str">
        <f>IF(tbRegistroEntradas[[#This Row],[DATA DA COMPETÊNCIA]]=tbRegistroEntradas[[#This Row],[DATA DO CAIXA PREVISTO]],"Vista","Prazo")</f>
        <v>Prazo</v>
      </c>
      <c r="R564" s="58" t="str">
        <f>IF(tbRegistroEntradas[[#This Row],[DATA DE CAIXA REALIZADO]]&lt;&gt;"N/A","Em Dia","Com atraso")</f>
        <v>Em Dia</v>
      </c>
    </row>
    <row r="565" spans="1:18" ht="14.4" customHeight="1" x14ac:dyDescent="0.3">
      <c r="A565" s="43">
        <v>45086.080023148148</v>
      </c>
      <c r="B565" s="44">
        <v>44983</v>
      </c>
      <c r="C565" s="44">
        <v>45024.814201388886</v>
      </c>
      <c r="D565" s="35" t="s">
        <v>62</v>
      </c>
      <c r="E565" s="35" t="s">
        <v>12</v>
      </c>
      <c r="F565" s="35" t="s">
        <v>19</v>
      </c>
      <c r="G565" s="35" t="s">
        <v>332</v>
      </c>
      <c r="H565" s="143" t="s">
        <v>93</v>
      </c>
      <c r="I565" s="122">
        <v>4741</v>
      </c>
      <c r="J565" s="55" t="str">
        <f>IF(tbRegistroEntradas[[#This Row],[DATA DE CAIXA REALIZADO]]="N/A","0",UPPER(TEXT(tbRegistroEntradas[[#This Row],[DATA DE CAIXA REALIZADO]],"mmm")))</f>
        <v>JUN</v>
      </c>
      <c r="K565" s="58">
        <f>IF(tbRegistroEntradas[[#This Row],[DATA DE CAIXA REALIZADO]]="N/A",0,YEAR(tbRegistroEntradas[[#This Row],[DATA DE CAIXA REALIZADO]]))</f>
        <v>2023</v>
      </c>
      <c r="L565" s="79" t="str">
        <f>IF(tbRegistroEntradas[[#This Row],[DATA DA COMPETÊNCIA]]="N/A","0",UPPER(TEXT(tbRegistroEntradas[[#This Row],[DATA DA COMPETÊNCIA]],"mmm")))</f>
        <v>FEV</v>
      </c>
      <c r="M565" s="79">
        <f>IF(tbRegistroEntradas[[#This Row],[DATA DA COMPETÊNCIA]]="N/A",0,YEAR(tbRegistroEntradas[[#This Row],[DATA DA COMPETÊNCIA]]))</f>
        <v>2023</v>
      </c>
      <c r="N565" s="84" t="str">
        <f>IF(tbRegistroEntradas[[#This Row],[DATA DO CAIXA PREVISTO]]="N/A","0",UPPER(TEXT(tbRegistroEntradas[[#This Row],[DATA DO CAIXA PREVISTO]],"mmm")))</f>
        <v>ABR</v>
      </c>
      <c r="O565" s="84">
        <f>IF(tbRegistroEntradas[[#This Row],[DATA DO CAIXA PREVISTO]]="N/A",0,YEAR(tbRegistroEntradas[[#This Row],[DATA DO CAIXA PREVISTO]]))</f>
        <v>2023</v>
      </c>
      <c r="P565" s="58" t="str">
        <f ca="1">IF(AND(tbRegistroEntradas[[#This Row],[DATA DE CAIXA REALIZADO]]="N/A",tbRegistroEntradas[[#This Row],[DATA DO CAIXA PREVISTO]]&lt;TODAY()),"Vencida","Não Vencida")</f>
        <v>Não Vencida</v>
      </c>
      <c r="Q565" s="58" t="str">
        <f>IF(tbRegistroEntradas[[#This Row],[DATA DA COMPETÊNCIA]]=tbRegistroEntradas[[#This Row],[DATA DO CAIXA PREVISTO]],"Vista","Prazo")</f>
        <v>Prazo</v>
      </c>
      <c r="R565" s="58" t="str">
        <f>IF(tbRegistroEntradas[[#This Row],[DATA DE CAIXA REALIZADO]]&lt;&gt;"N/A","Em Dia","Com atraso")</f>
        <v>Em Dia</v>
      </c>
    </row>
    <row r="566" spans="1:18" ht="14.4" customHeight="1" x14ac:dyDescent="0.3">
      <c r="A566" s="111">
        <v>45015</v>
      </c>
      <c r="B566" s="111">
        <f>A566-31</f>
        <v>44984</v>
      </c>
      <c r="C566" s="111">
        <f>(A566-B566)+B566-15</f>
        <v>45000</v>
      </c>
      <c r="D566" s="109" t="s">
        <v>63</v>
      </c>
      <c r="E566" s="109" t="s">
        <v>12</v>
      </c>
      <c r="F566" s="109" t="s">
        <v>17</v>
      </c>
      <c r="G566" s="109" t="s">
        <v>295</v>
      </c>
      <c r="H566" s="109" t="s">
        <v>69</v>
      </c>
      <c r="I566" s="118">
        <v>3440</v>
      </c>
      <c r="J566" s="110" t="str">
        <f>IF(tbRegistroEntradas[[#This Row],[DATA DE CAIXA REALIZADO]]="N/A","0",UPPER(TEXT(tbRegistroEntradas[[#This Row],[DATA DE CAIXA REALIZADO]],"mmm")))</f>
        <v>MAR</v>
      </c>
      <c r="K566" s="57">
        <f>IF(tbRegistroEntradas[[#This Row],[DATA DE CAIXA REALIZADO]]="N/A",0,YEAR(tbRegistroEntradas[[#This Row],[DATA DE CAIXA REALIZADO]]))</f>
        <v>2023</v>
      </c>
      <c r="L566" s="58" t="str">
        <f>IF(tbRegistroEntradas[[#This Row],[DATA DA COMPETÊNCIA]]="N/A","0",UPPER(TEXT(tbRegistroEntradas[[#This Row],[DATA DA COMPETÊNCIA]],"mmm")))</f>
        <v>FEV</v>
      </c>
      <c r="M566" s="58">
        <f>IF(tbRegistroEntradas[[#This Row],[DATA DA COMPETÊNCIA]]="N/A",0,YEAR(tbRegistroEntradas[[#This Row],[DATA DA COMPETÊNCIA]]))</f>
        <v>2023</v>
      </c>
      <c r="N566" s="58" t="str">
        <f>IF(tbRegistroEntradas[[#This Row],[DATA DO CAIXA PREVISTO]]="N/A","0",UPPER(TEXT(tbRegistroEntradas[[#This Row],[DATA DO CAIXA PREVISTO]],"mmm")))</f>
        <v>MAR</v>
      </c>
      <c r="O566" s="58">
        <f>IF(tbRegistroEntradas[[#This Row],[DATA DO CAIXA PREVISTO]]="N/A",0,YEAR(tbRegistroEntradas[[#This Row],[DATA DO CAIXA PREVISTO]]))</f>
        <v>2023</v>
      </c>
      <c r="P566" s="58" t="str">
        <f ca="1">IF(AND(tbRegistroEntradas[[#This Row],[DATA DE CAIXA REALIZADO]]="N/A",tbRegistroEntradas[[#This Row],[DATA DO CAIXA PREVISTO]]&lt;TODAY()),"Vencida","Não Vencida")</f>
        <v>Não Vencida</v>
      </c>
      <c r="Q566" s="58" t="str">
        <f>IF(tbRegistroEntradas[[#This Row],[DATA DA COMPETÊNCIA]]=tbRegistroEntradas[[#This Row],[DATA DO CAIXA PREVISTO]],"Vista","Prazo")</f>
        <v>Prazo</v>
      </c>
      <c r="R566" s="58" t="str">
        <f>IF(tbRegistroEntradas[[#This Row],[DATA DE CAIXA REALIZADO]]&lt;&gt;"N/A","Em Dia","Com atraso")</f>
        <v>Em Dia</v>
      </c>
    </row>
    <row r="567" spans="1:18" ht="14.4" customHeight="1" x14ac:dyDescent="0.3">
      <c r="A567" s="40">
        <v>45032.459062499998</v>
      </c>
      <c r="B567" s="41">
        <v>44986</v>
      </c>
      <c r="C567" s="41">
        <v>45032.459062499998</v>
      </c>
      <c r="D567" s="42" t="s">
        <v>61</v>
      </c>
      <c r="E567" s="42" t="s">
        <v>12</v>
      </c>
      <c r="F567" s="42" t="s">
        <v>17</v>
      </c>
      <c r="G567" s="42" t="s">
        <v>333</v>
      </c>
      <c r="H567" s="109" t="s">
        <v>88</v>
      </c>
      <c r="I567" s="121">
        <v>471</v>
      </c>
      <c r="J567" s="55" t="str">
        <f>IF(tbRegistroEntradas[[#This Row],[DATA DE CAIXA REALIZADO]]="N/A","0",UPPER(TEXT(tbRegistroEntradas[[#This Row],[DATA DE CAIXA REALIZADO]],"mmm")))</f>
        <v>ABR</v>
      </c>
      <c r="K567" s="58">
        <f>IF(tbRegistroEntradas[[#This Row],[DATA DE CAIXA REALIZADO]]="N/A",0,YEAR(tbRegistroEntradas[[#This Row],[DATA DE CAIXA REALIZADO]]))</f>
        <v>2023</v>
      </c>
      <c r="L567" s="79" t="str">
        <f>IF(tbRegistroEntradas[[#This Row],[DATA DA COMPETÊNCIA]]="N/A","0",UPPER(TEXT(tbRegistroEntradas[[#This Row],[DATA DA COMPETÊNCIA]],"mmm")))</f>
        <v>MAR</v>
      </c>
      <c r="M567" s="79">
        <f>IF(tbRegistroEntradas[[#This Row],[DATA DA COMPETÊNCIA]]="N/A",0,YEAR(tbRegistroEntradas[[#This Row],[DATA DA COMPETÊNCIA]]))</f>
        <v>2023</v>
      </c>
      <c r="N567" s="84" t="str">
        <f>IF(tbRegistroEntradas[[#This Row],[DATA DO CAIXA PREVISTO]]="N/A","0",UPPER(TEXT(tbRegistroEntradas[[#This Row],[DATA DO CAIXA PREVISTO]],"mmm")))</f>
        <v>ABR</v>
      </c>
      <c r="O567" s="84">
        <f>IF(tbRegistroEntradas[[#This Row],[DATA DO CAIXA PREVISTO]]="N/A",0,YEAR(tbRegistroEntradas[[#This Row],[DATA DO CAIXA PREVISTO]]))</f>
        <v>2023</v>
      </c>
      <c r="P567" s="58" t="str">
        <f ca="1">IF(AND(tbRegistroEntradas[[#This Row],[DATA DE CAIXA REALIZADO]]="N/A",tbRegistroEntradas[[#This Row],[DATA DO CAIXA PREVISTO]]&lt;TODAY()),"Vencida","Não Vencida")</f>
        <v>Não Vencida</v>
      </c>
      <c r="Q567" s="58" t="str">
        <f>IF(tbRegistroEntradas[[#This Row],[DATA DA COMPETÊNCIA]]=tbRegistroEntradas[[#This Row],[DATA DO CAIXA PREVISTO]],"Vista","Prazo")</f>
        <v>Prazo</v>
      </c>
      <c r="R567" s="58" t="str">
        <f>IF(tbRegistroEntradas[[#This Row],[DATA DE CAIXA REALIZADO]]&lt;&gt;"N/A","Em Dia","Com atraso")</f>
        <v>Em Dia</v>
      </c>
    </row>
    <row r="568" spans="1:18" ht="14.4" customHeight="1" x14ac:dyDescent="0.3">
      <c r="A568" s="43">
        <v>45051.006793981483</v>
      </c>
      <c r="B568" s="44">
        <v>44988</v>
      </c>
      <c r="C568" s="44">
        <v>45029.716481481482</v>
      </c>
      <c r="D568" s="35" t="s">
        <v>61</v>
      </c>
      <c r="E568" s="35" t="s">
        <v>12</v>
      </c>
      <c r="F568" s="35" t="s">
        <v>17</v>
      </c>
      <c r="G568" s="35" t="s">
        <v>334</v>
      </c>
      <c r="H568" s="46" t="s">
        <v>86</v>
      </c>
      <c r="I568" s="122">
        <v>517</v>
      </c>
      <c r="J568" s="55" t="str">
        <f>IF(tbRegistroEntradas[[#This Row],[DATA DE CAIXA REALIZADO]]="N/A","0",UPPER(TEXT(tbRegistroEntradas[[#This Row],[DATA DE CAIXA REALIZADO]],"mmm")))</f>
        <v>MAI</v>
      </c>
      <c r="K568" s="58">
        <f>IF(tbRegistroEntradas[[#This Row],[DATA DE CAIXA REALIZADO]]="N/A",0,YEAR(tbRegistroEntradas[[#This Row],[DATA DE CAIXA REALIZADO]]))</f>
        <v>2023</v>
      </c>
      <c r="L568" s="79" t="str">
        <f>IF(tbRegistroEntradas[[#This Row],[DATA DA COMPETÊNCIA]]="N/A","0",UPPER(TEXT(tbRegistroEntradas[[#This Row],[DATA DA COMPETÊNCIA]],"mmm")))</f>
        <v>MAR</v>
      </c>
      <c r="M568" s="79">
        <f>IF(tbRegistroEntradas[[#This Row],[DATA DA COMPETÊNCIA]]="N/A",0,YEAR(tbRegistroEntradas[[#This Row],[DATA DA COMPETÊNCIA]]))</f>
        <v>2023</v>
      </c>
      <c r="N568" s="84" t="str">
        <f>IF(tbRegistroEntradas[[#This Row],[DATA DO CAIXA PREVISTO]]="N/A","0",UPPER(TEXT(tbRegistroEntradas[[#This Row],[DATA DO CAIXA PREVISTO]],"mmm")))</f>
        <v>ABR</v>
      </c>
      <c r="O568" s="84">
        <f>IF(tbRegistroEntradas[[#This Row],[DATA DO CAIXA PREVISTO]]="N/A",0,YEAR(tbRegistroEntradas[[#This Row],[DATA DO CAIXA PREVISTO]]))</f>
        <v>2023</v>
      </c>
      <c r="P568" s="58" t="str">
        <f ca="1">IF(AND(tbRegistroEntradas[[#This Row],[DATA DE CAIXA REALIZADO]]="N/A",tbRegistroEntradas[[#This Row],[DATA DO CAIXA PREVISTO]]&lt;TODAY()),"Vencida","Não Vencida")</f>
        <v>Não Vencida</v>
      </c>
      <c r="Q568" s="58" t="str">
        <f>IF(tbRegistroEntradas[[#This Row],[DATA DA COMPETÊNCIA]]=tbRegistroEntradas[[#This Row],[DATA DO CAIXA PREVISTO]],"Vista","Prazo")</f>
        <v>Prazo</v>
      </c>
      <c r="R568" s="58" t="str">
        <f>IF(tbRegistroEntradas[[#This Row],[DATA DE CAIXA REALIZADO]]&lt;&gt;"N/A","Em Dia","Com atraso")</f>
        <v>Em Dia</v>
      </c>
    </row>
    <row r="569" spans="1:18" ht="14.4" customHeight="1" x14ac:dyDescent="0.3">
      <c r="A569" s="111">
        <v>45021</v>
      </c>
      <c r="B569" s="111">
        <f>A569-31</f>
        <v>44990</v>
      </c>
      <c r="C569" s="111">
        <f>(A569-B569)+B569-15</f>
        <v>45006</v>
      </c>
      <c r="D569" s="109" t="s">
        <v>67</v>
      </c>
      <c r="E569" s="109" t="s">
        <v>12</v>
      </c>
      <c r="F569" s="109" t="s">
        <v>16</v>
      </c>
      <c r="G569" s="109" t="s">
        <v>509</v>
      </c>
      <c r="H569" s="109" t="s">
        <v>134</v>
      </c>
      <c r="I569" s="118">
        <v>2909</v>
      </c>
      <c r="J569" s="110" t="str">
        <f>IF(tbRegistroEntradas[[#This Row],[DATA DE CAIXA REALIZADO]]="N/A","0",UPPER(TEXT(tbRegistroEntradas[[#This Row],[DATA DE CAIXA REALIZADO]],"mmm")))</f>
        <v>ABR</v>
      </c>
      <c r="K569" s="57">
        <f>IF(tbRegistroEntradas[[#This Row],[DATA DE CAIXA REALIZADO]]="N/A",0,YEAR(tbRegistroEntradas[[#This Row],[DATA DE CAIXA REALIZADO]]))</f>
        <v>2023</v>
      </c>
      <c r="L569" s="58" t="str">
        <f>IF(tbRegistroEntradas[[#This Row],[DATA DA COMPETÊNCIA]]="N/A","0",UPPER(TEXT(tbRegistroEntradas[[#This Row],[DATA DA COMPETÊNCIA]],"mmm")))</f>
        <v>MAR</v>
      </c>
      <c r="M569" s="58">
        <f>IF(tbRegistroEntradas[[#This Row],[DATA DA COMPETÊNCIA]]="N/A",0,YEAR(tbRegistroEntradas[[#This Row],[DATA DA COMPETÊNCIA]]))</f>
        <v>2023</v>
      </c>
      <c r="N569" s="58" t="str">
        <f>IF(tbRegistroEntradas[[#This Row],[DATA DO CAIXA PREVISTO]]="N/A","0",UPPER(TEXT(tbRegistroEntradas[[#This Row],[DATA DO CAIXA PREVISTO]],"mmm")))</f>
        <v>MAR</v>
      </c>
      <c r="O569" s="58">
        <f>IF(tbRegistroEntradas[[#This Row],[DATA DO CAIXA PREVISTO]]="N/A",0,YEAR(tbRegistroEntradas[[#This Row],[DATA DO CAIXA PREVISTO]]))</f>
        <v>2023</v>
      </c>
      <c r="P569" s="58" t="str">
        <f ca="1">IF(AND(tbRegistroEntradas[[#This Row],[DATA DE CAIXA REALIZADO]]="N/A",tbRegistroEntradas[[#This Row],[DATA DO CAIXA PREVISTO]]&lt;TODAY()),"Vencida","Não Vencida")</f>
        <v>Não Vencida</v>
      </c>
      <c r="Q569" s="58" t="str">
        <f>IF(tbRegistroEntradas[[#This Row],[DATA DA COMPETÊNCIA]]=tbRegistroEntradas[[#This Row],[DATA DO CAIXA PREVISTO]],"Vista","Prazo")</f>
        <v>Prazo</v>
      </c>
      <c r="R569" s="58" t="str">
        <f>IF(tbRegistroEntradas[[#This Row],[DATA DE CAIXA REALIZADO]]&lt;&gt;"N/A","Em Dia","Com atraso")</f>
        <v>Em Dia</v>
      </c>
    </row>
    <row r="570" spans="1:18" ht="14.4" customHeight="1" x14ac:dyDescent="0.3">
      <c r="A570" s="111">
        <v>45022</v>
      </c>
      <c r="B570" s="111">
        <f>A570-31</f>
        <v>44991</v>
      </c>
      <c r="C570" s="111">
        <f>(A570-B570)+B570-15</f>
        <v>45007</v>
      </c>
      <c r="D570" s="109" t="s">
        <v>65</v>
      </c>
      <c r="E570" s="109" t="s">
        <v>12</v>
      </c>
      <c r="F570" s="109" t="s">
        <v>32</v>
      </c>
      <c r="G570" s="109" t="s">
        <v>959</v>
      </c>
      <c r="H570" s="52" t="s">
        <v>117</v>
      </c>
      <c r="I570" s="118">
        <v>7078</v>
      </c>
      <c r="J570" s="110" t="str">
        <f>IF(tbRegistroEntradas[[#This Row],[DATA DE CAIXA REALIZADO]]="N/A","0",UPPER(TEXT(tbRegistroEntradas[[#This Row],[DATA DE CAIXA REALIZADO]],"mmm")))</f>
        <v>ABR</v>
      </c>
      <c r="K570" s="57">
        <f>IF(tbRegistroEntradas[[#This Row],[DATA DE CAIXA REALIZADO]]="N/A",0,YEAR(tbRegistroEntradas[[#This Row],[DATA DE CAIXA REALIZADO]]))</f>
        <v>2023</v>
      </c>
      <c r="L570" s="58" t="str">
        <f>IF(tbRegistroEntradas[[#This Row],[DATA DA COMPETÊNCIA]]="N/A","0",UPPER(TEXT(tbRegistroEntradas[[#This Row],[DATA DA COMPETÊNCIA]],"mmm")))</f>
        <v>MAR</v>
      </c>
      <c r="M570" s="58">
        <f>IF(tbRegistroEntradas[[#This Row],[DATA DA COMPETÊNCIA]]="N/A",0,YEAR(tbRegistroEntradas[[#This Row],[DATA DA COMPETÊNCIA]]))</f>
        <v>2023</v>
      </c>
      <c r="N570" s="58" t="str">
        <f>IF(tbRegistroEntradas[[#This Row],[DATA DO CAIXA PREVISTO]]="N/A","0",UPPER(TEXT(tbRegistroEntradas[[#This Row],[DATA DO CAIXA PREVISTO]],"mmm")))</f>
        <v>MAR</v>
      </c>
      <c r="O570" s="58">
        <f>IF(tbRegistroEntradas[[#This Row],[DATA DO CAIXA PREVISTO]]="N/A",0,YEAR(tbRegistroEntradas[[#This Row],[DATA DO CAIXA PREVISTO]]))</f>
        <v>2023</v>
      </c>
      <c r="P570" s="58" t="str">
        <f ca="1">IF(AND(tbRegistroEntradas[[#This Row],[DATA DE CAIXA REALIZADO]]="N/A",tbRegistroEntradas[[#This Row],[DATA DO CAIXA PREVISTO]]&lt;TODAY()),"Vencida","Não Vencida")</f>
        <v>Não Vencida</v>
      </c>
      <c r="Q570" s="58" t="str">
        <f>IF(tbRegistroEntradas[[#This Row],[DATA DA COMPETÊNCIA]]=tbRegistroEntradas[[#This Row],[DATA DO CAIXA PREVISTO]],"Vista","Prazo")</f>
        <v>Prazo</v>
      </c>
      <c r="R570" s="58" t="str">
        <f>IF(tbRegistroEntradas[[#This Row],[DATA DE CAIXA REALIZADO]]&lt;&gt;"N/A","Em Dia","Com atraso")</f>
        <v>Em Dia</v>
      </c>
    </row>
    <row r="571" spans="1:18" ht="14.4" customHeight="1" x14ac:dyDescent="0.3">
      <c r="A571" s="111">
        <v>45024</v>
      </c>
      <c r="B571" s="111">
        <f>A571-31</f>
        <v>44993</v>
      </c>
      <c r="C571" s="111">
        <f>(A571-B571)+B571-15</f>
        <v>45009</v>
      </c>
      <c r="D571" s="109" t="s">
        <v>137</v>
      </c>
      <c r="E571" s="109" t="s">
        <v>12</v>
      </c>
      <c r="F571" s="109" t="s">
        <v>19</v>
      </c>
      <c r="G571" s="109" t="s">
        <v>699</v>
      </c>
      <c r="H571" s="52" t="s">
        <v>107</v>
      </c>
      <c r="I571" s="118">
        <v>6810</v>
      </c>
      <c r="J571" s="110" t="str">
        <f>IF(tbRegistroEntradas[[#This Row],[DATA DE CAIXA REALIZADO]]="N/A","0",UPPER(TEXT(tbRegistroEntradas[[#This Row],[DATA DE CAIXA REALIZADO]],"mmm")))</f>
        <v>ABR</v>
      </c>
      <c r="K571" s="57">
        <f>IF(tbRegistroEntradas[[#This Row],[DATA DE CAIXA REALIZADO]]="N/A",0,YEAR(tbRegistroEntradas[[#This Row],[DATA DE CAIXA REALIZADO]]))</f>
        <v>2023</v>
      </c>
      <c r="L571" s="58" t="str">
        <f>IF(tbRegistroEntradas[[#This Row],[DATA DA COMPETÊNCIA]]="N/A","0",UPPER(TEXT(tbRegistroEntradas[[#This Row],[DATA DA COMPETÊNCIA]],"mmm")))</f>
        <v>MAR</v>
      </c>
      <c r="M571" s="58">
        <f>IF(tbRegistroEntradas[[#This Row],[DATA DA COMPETÊNCIA]]="N/A",0,YEAR(tbRegistroEntradas[[#This Row],[DATA DA COMPETÊNCIA]]))</f>
        <v>2023</v>
      </c>
      <c r="N571" s="58" t="str">
        <f>IF(tbRegistroEntradas[[#This Row],[DATA DO CAIXA PREVISTO]]="N/A","0",UPPER(TEXT(tbRegistroEntradas[[#This Row],[DATA DO CAIXA PREVISTO]],"mmm")))</f>
        <v>MAR</v>
      </c>
      <c r="O571" s="58">
        <f>IF(tbRegistroEntradas[[#This Row],[DATA DO CAIXA PREVISTO]]="N/A",0,YEAR(tbRegistroEntradas[[#This Row],[DATA DO CAIXA PREVISTO]]))</f>
        <v>2023</v>
      </c>
      <c r="P571" s="58" t="str">
        <f ca="1">IF(AND(tbRegistroEntradas[[#This Row],[DATA DE CAIXA REALIZADO]]="N/A",tbRegistroEntradas[[#This Row],[DATA DO CAIXA PREVISTO]]&lt;TODAY()),"Vencida","Não Vencida")</f>
        <v>Não Vencida</v>
      </c>
      <c r="Q571" s="58" t="str">
        <f>IF(tbRegistroEntradas[[#This Row],[DATA DA COMPETÊNCIA]]=tbRegistroEntradas[[#This Row],[DATA DO CAIXA PREVISTO]],"Vista","Prazo")</f>
        <v>Prazo</v>
      </c>
      <c r="R571" s="58" t="str">
        <f>IF(tbRegistroEntradas[[#This Row],[DATA DE CAIXA REALIZADO]]&lt;&gt;"N/A","Em Dia","Com atraso")</f>
        <v>Em Dia</v>
      </c>
    </row>
    <row r="572" spans="1:18" ht="14.4" customHeight="1" x14ac:dyDescent="0.3">
      <c r="A572" s="111">
        <v>45026</v>
      </c>
      <c r="B572" s="111">
        <f>A572-31</f>
        <v>44995</v>
      </c>
      <c r="C572" s="111">
        <f>tbRegistroEntradas[[#This Row],[DATA DA COMPETÊNCIA]]</f>
        <v>44995</v>
      </c>
      <c r="D572" s="109" t="s">
        <v>64</v>
      </c>
      <c r="E572" s="109" t="s">
        <v>12</v>
      </c>
      <c r="F572" s="109" t="s">
        <v>16</v>
      </c>
      <c r="G572" s="109" t="s">
        <v>894</v>
      </c>
      <c r="H572" s="52" t="s">
        <v>109</v>
      </c>
      <c r="I572" s="118">
        <v>4664</v>
      </c>
      <c r="J572" s="110" t="str">
        <f>IF(tbRegistroEntradas[[#This Row],[DATA DE CAIXA REALIZADO]]="N/A","0",UPPER(TEXT(tbRegistroEntradas[[#This Row],[DATA DE CAIXA REALIZADO]],"mmm")))</f>
        <v>ABR</v>
      </c>
      <c r="K572" s="57">
        <f>IF(tbRegistroEntradas[[#This Row],[DATA DE CAIXA REALIZADO]]="N/A",0,YEAR(tbRegistroEntradas[[#This Row],[DATA DE CAIXA REALIZADO]]))</f>
        <v>2023</v>
      </c>
      <c r="L572" s="58" t="str">
        <f>IF(tbRegistroEntradas[[#This Row],[DATA DA COMPETÊNCIA]]="N/A","0",UPPER(TEXT(tbRegistroEntradas[[#This Row],[DATA DA COMPETÊNCIA]],"mmm")))</f>
        <v>MAR</v>
      </c>
      <c r="M572" s="58">
        <f>IF(tbRegistroEntradas[[#This Row],[DATA DA COMPETÊNCIA]]="N/A",0,YEAR(tbRegistroEntradas[[#This Row],[DATA DA COMPETÊNCIA]]))</f>
        <v>2023</v>
      </c>
      <c r="N572" s="58" t="str">
        <f>IF(tbRegistroEntradas[[#This Row],[DATA DO CAIXA PREVISTO]]="N/A","0",UPPER(TEXT(tbRegistroEntradas[[#This Row],[DATA DO CAIXA PREVISTO]],"mmm")))</f>
        <v>MAR</v>
      </c>
      <c r="O572" s="58">
        <f>IF(tbRegistroEntradas[[#This Row],[DATA DO CAIXA PREVISTO]]="N/A",0,YEAR(tbRegistroEntradas[[#This Row],[DATA DO CAIXA PREVISTO]]))</f>
        <v>2023</v>
      </c>
      <c r="P572" s="58" t="str">
        <f ca="1">IF(AND(tbRegistroEntradas[[#This Row],[DATA DE CAIXA REALIZADO]]="N/A",tbRegistroEntradas[[#This Row],[DATA DO CAIXA PREVISTO]]&lt;TODAY()),"Vencida","Não Vencida")</f>
        <v>Não Vencida</v>
      </c>
      <c r="Q572" s="58" t="str">
        <f>IF(tbRegistroEntradas[[#This Row],[DATA DA COMPETÊNCIA]]=tbRegistroEntradas[[#This Row],[DATA DO CAIXA PREVISTO]],"Vista","Prazo")</f>
        <v>Vista</v>
      </c>
      <c r="R572" s="58" t="str">
        <f>IF(tbRegistroEntradas[[#This Row],[DATA DE CAIXA REALIZADO]]&lt;&gt;"N/A","Em Dia","Com atraso")</f>
        <v>Em Dia</v>
      </c>
    </row>
    <row r="573" spans="1:18" ht="14.4" customHeight="1" x14ac:dyDescent="0.3">
      <c r="A573" s="40">
        <v>45024.221435185187</v>
      </c>
      <c r="B573" s="41">
        <v>44995</v>
      </c>
      <c r="C573" s="41">
        <v>45024.221435185187</v>
      </c>
      <c r="D573" s="42" t="s">
        <v>63</v>
      </c>
      <c r="E573" s="42" t="s">
        <v>12</v>
      </c>
      <c r="F573" s="42" t="s">
        <v>17</v>
      </c>
      <c r="G573" s="42" t="s">
        <v>335</v>
      </c>
      <c r="H573" s="52" t="s">
        <v>99</v>
      </c>
      <c r="I573" s="121">
        <v>3034</v>
      </c>
      <c r="J573" s="55" t="str">
        <f>IF(tbRegistroEntradas[[#This Row],[DATA DE CAIXA REALIZADO]]="N/A","0",UPPER(TEXT(tbRegistroEntradas[[#This Row],[DATA DE CAIXA REALIZADO]],"mmm")))</f>
        <v>ABR</v>
      </c>
      <c r="K573" s="58">
        <f>IF(tbRegistroEntradas[[#This Row],[DATA DE CAIXA REALIZADO]]="N/A",0,YEAR(tbRegistroEntradas[[#This Row],[DATA DE CAIXA REALIZADO]]))</f>
        <v>2023</v>
      </c>
      <c r="L573" s="79" t="str">
        <f>IF(tbRegistroEntradas[[#This Row],[DATA DA COMPETÊNCIA]]="N/A","0",UPPER(TEXT(tbRegistroEntradas[[#This Row],[DATA DA COMPETÊNCIA]],"mmm")))</f>
        <v>MAR</v>
      </c>
      <c r="M573" s="79">
        <f>IF(tbRegistroEntradas[[#This Row],[DATA DA COMPETÊNCIA]]="N/A",0,YEAR(tbRegistroEntradas[[#This Row],[DATA DA COMPETÊNCIA]]))</f>
        <v>2023</v>
      </c>
      <c r="N573" s="84" t="str">
        <f>IF(tbRegistroEntradas[[#This Row],[DATA DO CAIXA PREVISTO]]="N/A","0",UPPER(TEXT(tbRegistroEntradas[[#This Row],[DATA DO CAIXA PREVISTO]],"mmm")))</f>
        <v>ABR</v>
      </c>
      <c r="O573" s="84">
        <f>IF(tbRegistroEntradas[[#This Row],[DATA DO CAIXA PREVISTO]]="N/A",0,YEAR(tbRegistroEntradas[[#This Row],[DATA DO CAIXA PREVISTO]]))</f>
        <v>2023</v>
      </c>
      <c r="P573" s="58" t="str">
        <f ca="1">IF(AND(tbRegistroEntradas[[#This Row],[DATA DE CAIXA REALIZADO]]="N/A",tbRegistroEntradas[[#This Row],[DATA DO CAIXA PREVISTO]]&lt;TODAY()),"Vencida","Não Vencida")</f>
        <v>Não Vencida</v>
      </c>
      <c r="Q573" s="58" t="str">
        <f>IF(tbRegistroEntradas[[#This Row],[DATA DA COMPETÊNCIA]]=tbRegistroEntradas[[#This Row],[DATA DO CAIXA PREVISTO]],"Vista","Prazo")</f>
        <v>Prazo</v>
      </c>
      <c r="R573" s="58" t="str">
        <f>IF(tbRegistroEntradas[[#This Row],[DATA DE CAIXA REALIZADO]]&lt;&gt;"N/A","Em Dia","Com atraso")</f>
        <v>Em Dia</v>
      </c>
    </row>
    <row r="574" spans="1:18" ht="14.4" customHeight="1" x14ac:dyDescent="0.3">
      <c r="A574" s="111">
        <v>45029</v>
      </c>
      <c r="B574" s="111">
        <f>A574-31</f>
        <v>44998</v>
      </c>
      <c r="C574" s="111">
        <f>tbRegistroEntradas[[#This Row],[DATA DA COMPETÊNCIA]]</f>
        <v>44998</v>
      </c>
      <c r="D574" s="109" t="s">
        <v>138</v>
      </c>
      <c r="E574" s="109" t="s">
        <v>12</v>
      </c>
      <c r="F574" s="109" t="s">
        <v>32</v>
      </c>
      <c r="G574" s="109" t="s">
        <v>1095</v>
      </c>
      <c r="H574" s="52" t="s">
        <v>68</v>
      </c>
      <c r="I574" s="118">
        <v>1511</v>
      </c>
      <c r="J574" s="110" t="str">
        <f>IF(tbRegistroEntradas[[#This Row],[DATA DE CAIXA REALIZADO]]="N/A","0",UPPER(TEXT(tbRegistroEntradas[[#This Row],[DATA DE CAIXA REALIZADO]],"mmm")))</f>
        <v>ABR</v>
      </c>
      <c r="K574" s="57">
        <f>IF(tbRegistroEntradas[[#This Row],[DATA DE CAIXA REALIZADO]]="N/A",0,YEAR(tbRegistroEntradas[[#This Row],[DATA DE CAIXA REALIZADO]]))</f>
        <v>2023</v>
      </c>
      <c r="L574" s="58" t="str">
        <f>IF(tbRegistroEntradas[[#This Row],[DATA DA COMPETÊNCIA]]="N/A","0",UPPER(TEXT(tbRegistroEntradas[[#This Row],[DATA DA COMPETÊNCIA]],"mmm")))</f>
        <v>MAR</v>
      </c>
      <c r="M574" s="58">
        <f>IF(tbRegistroEntradas[[#This Row],[DATA DA COMPETÊNCIA]]="N/A",0,YEAR(tbRegistroEntradas[[#This Row],[DATA DA COMPETÊNCIA]]))</f>
        <v>2023</v>
      </c>
      <c r="N574" s="58" t="str">
        <f>IF(tbRegistroEntradas[[#This Row],[DATA DO CAIXA PREVISTO]]="N/A","0",UPPER(TEXT(tbRegistroEntradas[[#This Row],[DATA DO CAIXA PREVISTO]],"mmm")))</f>
        <v>MAR</v>
      </c>
      <c r="O574" s="58">
        <f>IF(tbRegistroEntradas[[#This Row],[DATA DO CAIXA PREVISTO]]="N/A",0,YEAR(tbRegistroEntradas[[#This Row],[DATA DO CAIXA PREVISTO]]))</f>
        <v>2023</v>
      </c>
      <c r="P574" s="58" t="str">
        <f ca="1">IF(AND(tbRegistroEntradas[[#This Row],[DATA DE CAIXA REALIZADO]]="N/A",tbRegistroEntradas[[#This Row],[DATA DO CAIXA PREVISTO]]&lt;TODAY()),"Vencida","Não Vencida")</f>
        <v>Não Vencida</v>
      </c>
      <c r="Q574" s="58" t="str">
        <f>IF(tbRegistroEntradas[[#This Row],[DATA DA COMPETÊNCIA]]=tbRegistroEntradas[[#This Row],[DATA DO CAIXA PREVISTO]],"Vista","Prazo")</f>
        <v>Vista</v>
      </c>
      <c r="R574" s="58" t="str">
        <f>IF(tbRegistroEntradas[[#This Row],[DATA DE CAIXA REALIZADO]]&lt;&gt;"N/A","Em Dia","Com atraso")</f>
        <v>Em Dia</v>
      </c>
    </row>
    <row r="575" spans="1:18" ht="14.4" customHeight="1" x14ac:dyDescent="0.3">
      <c r="A575" s="43">
        <v>45039.576921296299</v>
      </c>
      <c r="B575" s="44">
        <v>44998</v>
      </c>
      <c r="C575" s="44">
        <v>45039.576921296299</v>
      </c>
      <c r="D575" s="35" t="s">
        <v>66</v>
      </c>
      <c r="E575" s="35" t="s">
        <v>12</v>
      </c>
      <c r="F575" s="35" t="s">
        <v>19</v>
      </c>
      <c r="G575" s="35" t="s">
        <v>336</v>
      </c>
      <c r="H575" s="5" t="s">
        <v>127</v>
      </c>
      <c r="I575" s="122">
        <v>3172</v>
      </c>
      <c r="J575" s="55" t="str">
        <f>IF(tbRegistroEntradas[[#This Row],[DATA DE CAIXA REALIZADO]]="N/A","0",UPPER(TEXT(tbRegistroEntradas[[#This Row],[DATA DE CAIXA REALIZADO]],"mmm")))</f>
        <v>ABR</v>
      </c>
      <c r="K575" s="58">
        <f>IF(tbRegistroEntradas[[#This Row],[DATA DE CAIXA REALIZADO]]="N/A",0,YEAR(tbRegistroEntradas[[#This Row],[DATA DE CAIXA REALIZADO]]))</f>
        <v>2023</v>
      </c>
      <c r="L575" s="79" t="str">
        <f>IF(tbRegistroEntradas[[#This Row],[DATA DA COMPETÊNCIA]]="N/A","0",UPPER(TEXT(tbRegistroEntradas[[#This Row],[DATA DA COMPETÊNCIA]],"mmm")))</f>
        <v>MAR</v>
      </c>
      <c r="M575" s="79">
        <f>IF(tbRegistroEntradas[[#This Row],[DATA DA COMPETÊNCIA]]="N/A",0,YEAR(tbRegistroEntradas[[#This Row],[DATA DA COMPETÊNCIA]]))</f>
        <v>2023</v>
      </c>
      <c r="N575" s="84" t="str">
        <f>IF(tbRegistroEntradas[[#This Row],[DATA DO CAIXA PREVISTO]]="N/A","0",UPPER(TEXT(tbRegistroEntradas[[#This Row],[DATA DO CAIXA PREVISTO]],"mmm")))</f>
        <v>ABR</v>
      </c>
      <c r="O575" s="84">
        <f>IF(tbRegistroEntradas[[#This Row],[DATA DO CAIXA PREVISTO]]="N/A",0,YEAR(tbRegistroEntradas[[#This Row],[DATA DO CAIXA PREVISTO]]))</f>
        <v>2023</v>
      </c>
      <c r="P575" s="58" t="str">
        <f ca="1">IF(AND(tbRegistroEntradas[[#This Row],[DATA DE CAIXA REALIZADO]]="N/A",tbRegistroEntradas[[#This Row],[DATA DO CAIXA PREVISTO]]&lt;TODAY()),"Vencida","Não Vencida")</f>
        <v>Não Vencida</v>
      </c>
      <c r="Q575" s="58" t="str">
        <f>IF(tbRegistroEntradas[[#This Row],[DATA DA COMPETÊNCIA]]=tbRegistroEntradas[[#This Row],[DATA DO CAIXA PREVISTO]],"Vista","Prazo")</f>
        <v>Prazo</v>
      </c>
      <c r="R575" s="58" t="str">
        <f>IF(tbRegistroEntradas[[#This Row],[DATA DE CAIXA REALIZADO]]&lt;&gt;"N/A","Em Dia","Com atraso")</f>
        <v>Em Dia</v>
      </c>
    </row>
    <row r="576" spans="1:18" ht="14.4" customHeight="1" x14ac:dyDescent="0.3">
      <c r="A576" s="111">
        <v>45034</v>
      </c>
      <c r="B576" s="111">
        <f>A576-31</f>
        <v>45003</v>
      </c>
      <c r="C576" s="111">
        <f>(A576-B576)+B576-15</f>
        <v>45019</v>
      </c>
      <c r="D576" s="109" t="s">
        <v>66</v>
      </c>
      <c r="E576" s="109" t="s">
        <v>12</v>
      </c>
      <c r="F576" s="109" t="s">
        <v>32</v>
      </c>
      <c r="G576" s="109" t="s">
        <v>788</v>
      </c>
      <c r="H576" s="52" t="s">
        <v>128</v>
      </c>
      <c r="I576" s="118">
        <v>7841</v>
      </c>
      <c r="J576" s="110" t="str">
        <f>IF(tbRegistroEntradas[[#This Row],[DATA DE CAIXA REALIZADO]]="N/A","0",UPPER(TEXT(tbRegistroEntradas[[#This Row],[DATA DE CAIXA REALIZADO]],"mmm")))</f>
        <v>ABR</v>
      </c>
      <c r="K576" s="57">
        <f>IF(tbRegistroEntradas[[#This Row],[DATA DE CAIXA REALIZADO]]="N/A",0,YEAR(tbRegistroEntradas[[#This Row],[DATA DE CAIXA REALIZADO]]))</f>
        <v>2023</v>
      </c>
      <c r="L576" s="58" t="str">
        <f>IF(tbRegistroEntradas[[#This Row],[DATA DA COMPETÊNCIA]]="N/A","0",UPPER(TEXT(tbRegistroEntradas[[#This Row],[DATA DA COMPETÊNCIA]],"mmm")))</f>
        <v>MAR</v>
      </c>
      <c r="M576" s="58">
        <f>IF(tbRegistroEntradas[[#This Row],[DATA DA COMPETÊNCIA]]="N/A",0,YEAR(tbRegistroEntradas[[#This Row],[DATA DA COMPETÊNCIA]]))</f>
        <v>2023</v>
      </c>
      <c r="N576" s="58" t="str">
        <f>IF(tbRegistroEntradas[[#This Row],[DATA DO CAIXA PREVISTO]]="N/A","0",UPPER(TEXT(tbRegistroEntradas[[#This Row],[DATA DO CAIXA PREVISTO]],"mmm")))</f>
        <v>ABR</v>
      </c>
      <c r="O576" s="58">
        <f>IF(tbRegistroEntradas[[#This Row],[DATA DO CAIXA PREVISTO]]="N/A",0,YEAR(tbRegistroEntradas[[#This Row],[DATA DO CAIXA PREVISTO]]))</f>
        <v>2023</v>
      </c>
      <c r="P576" s="58" t="str">
        <f ca="1">IF(AND(tbRegistroEntradas[[#This Row],[DATA DE CAIXA REALIZADO]]="N/A",tbRegistroEntradas[[#This Row],[DATA DO CAIXA PREVISTO]]&lt;TODAY()),"Vencida","Não Vencida")</f>
        <v>Não Vencida</v>
      </c>
      <c r="Q576" s="58" t="str">
        <f>IF(tbRegistroEntradas[[#This Row],[DATA DA COMPETÊNCIA]]=tbRegistroEntradas[[#This Row],[DATA DO CAIXA PREVISTO]],"Vista","Prazo")</f>
        <v>Prazo</v>
      </c>
      <c r="R576" s="58" t="str">
        <f>IF(tbRegistroEntradas[[#This Row],[DATA DE CAIXA REALIZADO]]&lt;&gt;"N/A","Em Dia","Com atraso")</f>
        <v>Em Dia</v>
      </c>
    </row>
    <row r="577" spans="1:18" ht="14.4" customHeight="1" x14ac:dyDescent="0.3">
      <c r="A577" s="111">
        <v>45034</v>
      </c>
      <c r="B577" s="111">
        <f>A577-31</f>
        <v>45003</v>
      </c>
      <c r="C577" s="111">
        <f>(A577-B577)+B577-15</f>
        <v>45019</v>
      </c>
      <c r="D577" s="109" t="s">
        <v>65</v>
      </c>
      <c r="E577" s="109" t="s">
        <v>12</v>
      </c>
      <c r="F577" s="109" t="s">
        <v>19</v>
      </c>
      <c r="G577" s="109" t="s">
        <v>965</v>
      </c>
      <c r="H577" s="52" t="s">
        <v>116</v>
      </c>
      <c r="I577" s="118">
        <v>829</v>
      </c>
      <c r="J577" s="110" t="str">
        <f>IF(tbRegistroEntradas[[#This Row],[DATA DE CAIXA REALIZADO]]="N/A","0",UPPER(TEXT(tbRegistroEntradas[[#This Row],[DATA DE CAIXA REALIZADO]],"mmm")))</f>
        <v>ABR</v>
      </c>
      <c r="K577" s="57">
        <f>IF(tbRegistroEntradas[[#This Row],[DATA DE CAIXA REALIZADO]]="N/A",0,YEAR(tbRegistroEntradas[[#This Row],[DATA DE CAIXA REALIZADO]]))</f>
        <v>2023</v>
      </c>
      <c r="L577" s="58" t="str">
        <f>IF(tbRegistroEntradas[[#This Row],[DATA DA COMPETÊNCIA]]="N/A","0",UPPER(TEXT(tbRegistroEntradas[[#This Row],[DATA DA COMPETÊNCIA]],"mmm")))</f>
        <v>MAR</v>
      </c>
      <c r="M577" s="58">
        <f>IF(tbRegistroEntradas[[#This Row],[DATA DA COMPETÊNCIA]]="N/A",0,YEAR(tbRegistroEntradas[[#This Row],[DATA DA COMPETÊNCIA]]))</f>
        <v>2023</v>
      </c>
      <c r="N577" s="58" t="str">
        <f>IF(tbRegistroEntradas[[#This Row],[DATA DO CAIXA PREVISTO]]="N/A","0",UPPER(TEXT(tbRegistroEntradas[[#This Row],[DATA DO CAIXA PREVISTO]],"mmm")))</f>
        <v>ABR</v>
      </c>
      <c r="O577" s="58">
        <f>IF(tbRegistroEntradas[[#This Row],[DATA DO CAIXA PREVISTO]]="N/A",0,YEAR(tbRegistroEntradas[[#This Row],[DATA DO CAIXA PREVISTO]]))</f>
        <v>2023</v>
      </c>
      <c r="P577" s="58" t="str">
        <f ca="1">IF(AND(tbRegistroEntradas[[#This Row],[DATA DE CAIXA REALIZADO]]="N/A",tbRegistroEntradas[[#This Row],[DATA DO CAIXA PREVISTO]]&lt;TODAY()),"Vencida","Não Vencida")</f>
        <v>Não Vencida</v>
      </c>
      <c r="Q577" s="58" t="str">
        <f>IF(tbRegistroEntradas[[#This Row],[DATA DA COMPETÊNCIA]]=tbRegistroEntradas[[#This Row],[DATA DO CAIXA PREVISTO]],"Vista","Prazo")</f>
        <v>Prazo</v>
      </c>
      <c r="R577" s="58" t="str">
        <f>IF(tbRegistroEntradas[[#This Row],[DATA DE CAIXA REALIZADO]]&lt;&gt;"N/A","Em Dia","Com atraso")</f>
        <v>Em Dia</v>
      </c>
    </row>
    <row r="578" spans="1:18" ht="14.4" customHeight="1" x14ac:dyDescent="0.3">
      <c r="A578" s="40">
        <v>45016.684212962966</v>
      </c>
      <c r="B578" s="41">
        <v>45004</v>
      </c>
      <c r="C578" s="111">
        <f>tbRegistroEntradas[[#This Row],[DATA DA COMPETÊNCIA]]</f>
        <v>45004</v>
      </c>
      <c r="D578" s="42" t="s">
        <v>66</v>
      </c>
      <c r="E578" s="42" t="s">
        <v>12</v>
      </c>
      <c r="F578" s="42" t="s">
        <v>18</v>
      </c>
      <c r="G578" s="42" t="s">
        <v>337</v>
      </c>
      <c r="H578" s="52" t="s">
        <v>90</v>
      </c>
      <c r="I578" s="121">
        <v>2069</v>
      </c>
      <c r="J578" s="55" t="str">
        <f>IF(tbRegistroEntradas[[#This Row],[DATA DE CAIXA REALIZADO]]="N/A","0",UPPER(TEXT(tbRegistroEntradas[[#This Row],[DATA DE CAIXA REALIZADO]],"mmm")))</f>
        <v>MAR</v>
      </c>
      <c r="K578" s="58">
        <f>IF(tbRegistroEntradas[[#This Row],[DATA DE CAIXA REALIZADO]]="N/A",0,YEAR(tbRegistroEntradas[[#This Row],[DATA DE CAIXA REALIZADO]]))</f>
        <v>2023</v>
      </c>
      <c r="L578" s="79" t="str">
        <f>IF(tbRegistroEntradas[[#This Row],[DATA DA COMPETÊNCIA]]="N/A","0",UPPER(TEXT(tbRegistroEntradas[[#This Row],[DATA DA COMPETÊNCIA]],"mmm")))</f>
        <v>MAR</v>
      </c>
      <c r="M578" s="79">
        <f>IF(tbRegistroEntradas[[#This Row],[DATA DA COMPETÊNCIA]]="N/A",0,YEAR(tbRegistroEntradas[[#This Row],[DATA DA COMPETÊNCIA]]))</f>
        <v>2023</v>
      </c>
      <c r="N578" s="84" t="str">
        <f>IF(tbRegistroEntradas[[#This Row],[DATA DO CAIXA PREVISTO]]="N/A","0",UPPER(TEXT(tbRegistroEntradas[[#This Row],[DATA DO CAIXA PREVISTO]],"mmm")))</f>
        <v>MAR</v>
      </c>
      <c r="O578" s="84">
        <f>IF(tbRegistroEntradas[[#This Row],[DATA DO CAIXA PREVISTO]]="N/A",0,YEAR(tbRegistroEntradas[[#This Row],[DATA DO CAIXA PREVISTO]]))</f>
        <v>2023</v>
      </c>
      <c r="P578" s="58" t="str">
        <f ca="1">IF(AND(tbRegistroEntradas[[#This Row],[DATA DE CAIXA REALIZADO]]="N/A",tbRegistroEntradas[[#This Row],[DATA DO CAIXA PREVISTO]]&lt;TODAY()),"Vencida","Não Vencida")</f>
        <v>Não Vencida</v>
      </c>
      <c r="Q578" s="58" t="str">
        <f>IF(tbRegistroEntradas[[#This Row],[DATA DA COMPETÊNCIA]]=tbRegistroEntradas[[#This Row],[DATA DO CAIXA PREVISTO]],"Vista","Prazo")</f>
        <v>Vista</v>
      </c>
      <c r="R578" s="58" t="str">
        <f>IF(tbRegistroEntradas[[#This Row],[DATA DE CAIXA REALIZADO]]&lt;&gt;"N/A","Em Dia","Com atraso")</f>
        <v>Em Dia</v>
      </c>
    </row>
    <row r="579" spans="1:18" ht="14.4" customHeight="1" x14ac:dyDescent="0.3">
      <c r="A579" s="111">
        <v>45036</v>
      </c>
      <c r="B579" s="111">
        <f>A579-31</f>
        <v>45005</v>
      </c>
      <c r="C579" s="111">
        <f>(A579-B579)+B579-15</f>
        <v>45021</v>
      </c>
      <c r="D579" s="109" t="s">
        <v>61</v>
      </c>
      <c r="E579" s="109" t="s">
        <v>12</v>
      </c>
      <c r="F579" s="109" t="s">
        <v>32</v>
      </c>
      <c r="G579" s="109" t="s">
        <v>1067</v>
      </c>
      <c r="H579" s="52" t="s">
        <v>71</v>
      </c>
      <c r="I579" s="118">
        <v>4596</v>
      </c>
      <c r="J579" s="110" t="str">
        <f>IF(tbRegistroEntradas[[#This Row],[DATA DE CAIXA REALIZADO]]="N/A","0",UPPER(TEXT(tbRegistroEntradas[[#This Row],[DATA DE CAIXA REALIZADO]],"mmm")))</f>
        <v>ABR</v>
      </c>
      <c r="K579" s="57">
        <f>IF(tbRegistroEntradas[[#This Row],[DATA DE CAIXA REALIZADO]]="N/A",0,YEAR(tbRegistroEntradas[[#This Row],[DATA DE CAIXA REALIZADO]]))</f>
        <v>2023</v>
      </c>
      <c r="L579" s="58" t="str">
        <f>IF(tbRegistroEntradas[[#This Row],[DATA DA COMPETÊNCIA]]="N/A","0",UPPER(TEXT(tbRegistroEntradas[[#This Row],[DATA DA COMPETÊNCIA]],"mmm")))</f>
        <v>MAR</v>
      </c>
      <c r="M579" s="58">
        <f>IF(tbRegistroEntradas[[#This Row],[DATA DA COMPETÊNCIA]]="N/A",0,YEAR(tbRegistroEntradas[[#This Row],[DATA DA COMPETÊNCIA]]))</f>
        <v>2023</v>
      </c>
      <c r="N579" s="58" t="str">
        <f>IF(tbRegistroEntradas[[#This Row],[DATA DO CAIXA PREVISTO]]="N/A","0",UPPER(TEXT(tbRegistroEntradas[[#This Row],[DATA DO CAIXA PREVISTO]],"mmm")))</f>
        <v>ABR</v>
      </c>
      <c r="O579" s="58">
        <f>IF(tbRegistroEntradas[[#This Row],[DATA DO CAIXA PREVISTO]]="N/A",0,YEAR(tbRegistroEntradas[[#This Row],[DATA DO CAIXA PREVISTO]]))</f>
        <v>2023</v>
      </c>
      <c r="P579" s="58" t="str">
        <f ca="1">IF(AND(tbRegistroEntradas[[#This Row],[DATA DE CAIXA REALIZADO]]="N/A",tbRegistroEntradas[[#This Row],[DATA DO CAIXA PREVISTO]]&lt;TODAY()),"Vencida","Não Vencida")</f>
        <v>Não Vencida</v>
      </c>
      <c r="Q579" s="58" t="str">
        <f>IF(tbRegistroEntradas[[#This Row],[DATA DA COMPETÊNCIA]]=tbRegistroEntradas[[#This Row],[DATA DO CAIXA PREVISTO]],"Vista","Prazo")</f>
        <v>Prazo</v>
      </c>
      <c r="R579" s="58" t="str">
        <f>IF(tbRegistroEntradas[[#This Row],[DATA DE CAIXA REALIZADO]]&lt;&gt;"N/A","Em Dia","Com atraso")</f>
        <v>Em Dia</v>
      </c>
    </row>
    <row r="580" spans="1:18" ht="14.4" customHeight="1" x14ac:dyDescent="0.3">
      <c r="A580" s="111">
        <v>45036</v>
      </c>
      <c r="B580" s="111">
        <f>A580-31</f>
        <v>45005</v>
      </c>
      <c r="C580" s="111">
        <f>(A580-B580)+B580-15</f>
        <v>45021</v>
      </c>
      <c r="D580" s="109" t="s">
        <v>65</v>
      </c>
      <c r="E580" s="109" t="s">
        <v>12</v>
      </c>
      <c r="F580" s="109" t="s">
        <v>16</v>
      </c>
      <c r="G580" s="109" t="s">
        <v>1101</v>
      </c>
      <c r="H580" s="52" t="s">
        <v>118</v>
      </c>
      <c r="I580" s="118">
        <v>6957</v>
      </c>
      <c r="J580" s="110" t="str">
        <f>IF(tbRegistroEntradas[[#This Row],[DATA DE CAIXA REALIZADO]]="N/A","0",UPPER(TEXT(tbRegistroEntradas[[#This Row],[DATA DE CAIXA REALIZADO]],"mmm")))</f>
        <v>ABR</v>
      </c>
      <c r="K580" s="57">
        <f>IF(tbRegistroEntradas[[#This Row],[DATA DE CAIXA REALIZADO]]="N/A",0,YEAR(tbRegistroEntradas[[#This Row],[DATA DE CAIXA REALIZADO]]))</f>
        <v>2023</v>
      </c>
      <c r="L580" s="58" t="str">
        <f>IF(tbRegistroEntradas[[#This Row],[DATA DA COMPETÊNCIA]]="N/A","0",UPPER(TEXT(tbRegistroEntradas[[#This Row],[DATA DA COMPETÊNCIA]],"mmm")))</f>
        <v>MAR</v>
      </c>
      <c r="M580" s="58">
        <f>IF(tbRegistroEntradas[[#This Row],[DATA DA COMPETÊNCIA]]="N/A",0,YEAR(tbRegistroEntradas[[#This Row],[DATA DA COMPETÊNCIA]]))</f>
        <v>2023</v>
      </c>
      <c r="N580" s="58" t="str">
        <f>IF(tbRegistroEntradas[[#This Row],[DATA DO CAIXA PREVISTO]]="N/A","0",UPPER(TEXT(tbRegistroEntradas[[#This Row],[DATA DO CAIXA PREVISTO]],"mmm")))</f>
        <v>ABR</v>
      </c>
      <c r="O580" s="58">
        <f>IF(tbRegistroEntradas[[#This Row],[DATA DO CAIXA PREVISTO]]="N/A",0,YEAR(tbRegistroEntradas[[#This Row],[DATA DO CAIXA PREVISTO]]))</f>
        <v>2023</v>
      </c>
      <c r="P580" s="58" t="str">
        <f ca="1">IF(AND(tbRegistroEntradas[[#This Row],[DATA DE CAIXA REALIZADO]]="N/A",tbRegistroEntradas[[#This Row],[DATA DO CAIXA PREVISTO]]&lt;TODAY()),"Vencida","Não Vencida")</f>
        <v>Não Vencida</v>
      </c>
      <c r="Q580" s="58" t="str">
        <f>IF(tbRegistroEntradas[[#This Row],[DATA DA COMPETÊNCIA]]=tbRegistroEntradas[[#This Row],[DATA DO CAIXA PREVISTO]],"Vista","Prazo")</f>
        <v>Prazo</v>
      </c>
      <c r="R580" s="58" t="str">
        <f>IF(tbRegistroEntradas[[#This Row],[DATA DE CAIXA REALIZADO]]&lt;&gt;"N/A","Em Dia","Com atraso")</f>
        <v>Em Dia</v>
      </c>
    </row>
    <row r="581" spans="1:18" ht="14.4" customHeight="1" x14ac:dyDescent="0.3">
      <c r="A581" s="111">
        <v>45037</v>
      </c>
      <c r="B581" s="111">
        <f>A581-31</f>
        <v>45006</v>
      </c>
      <c r="C581" s="111">
        <f>(A581-B581)+B581-15</f>
        <v>45022</v>
      </c>
      <c r="D581" s="109" t="s">
        <v>61</v>
      </c>
      <c r="E581" s="109" t="s">
        <v>12</v>
      </c>
      <c r="F581" s="109" t="s">
        <v>17</v>
      </c>
      <c r="G581" s="109" t="s">
        <v>997</v>
      </c>
      <c r="H581" s="52" t="s">
        <v>79</v>
      </c>
      <c r="I581" s="118">
        <v>1020</v>
      </c>
      <c r="J581" s="110" t="str">
        <f>IF(tbRegistroEntradas[[#This Row],[DATA DE CAIXA REALIZADO]]="N/A","0",UPPER(TEXT(tbRegistroEntradas[[#This Row],[DATA DE CAIXA REALIZADO]],"mmm")))</f>
        <v>ABR</v>
      </c>
      <c r="K581" s="57">
        <f>IF(tbRegistroEntradas[[#This Row],[DATA DE CAIXA REALIZADO]]="N/A",0,YEAR(tbRegistroEntradas[[#This Row],[DATA DE CAIXA REALIZADO]]))</f>
        <v>2023</v>
      </c>
      <c r="L581" s="58" t="str">
        <f>IF(tbRegistroEntradas[[#This Row],[DATA DA COMPETÊNCIA]]="N/A","0",UPPER(TEXT(tbRegistroEntradas[[#This Row],[DATA DA COMPETÊNCIA]],"mmm")))</f>
        <v>MAR</v>
      </c>
      <c r="M581" s="58">
        <f>IF(tbRegistroEntradas[[#This Row],[DATA DA COMPETÊNCIA]]="N/A",0,YEAR(tbRegistroEntradas[[#This Row],[DATA DA COMPETÊNCIA]]))</f>
        <v>2023</v>
      </c>
      <c r="N581" s="58" t="str">
        <f>IF(tbRegistroEntradas[[#This Row],[DATA DO CAIXA PREVISTO]]="N/A","0",UPPER(TEXT(tbRegistroEntradas[[#This Row],[DATA DO CAIXA PREVISTO]],"mmm")))</f>
        <v>ABR</v>
      </c>
      <c r="O581" s="58">
        <f>IF(tbRegistroEntradas[[#This Row],[DATA DO CAIXA PREVISTO]]="N/A",0,YEAR(tbRegistroEntradas[[#This Row],[DATA DO CAIXA PREVISTO]]))</f>
        <v>2023</v>
      </c>
      <c r="P581" s="58" t="str">
        <f ca="1">IF(AND(tbRegistroEntradas[[#This Row],[DATA DE CAIXA REALIZADO]]="N/A",tbRegistroEntradas[[#This Row],[DATA DO CAIXA PREVISTO]]&lt;TODAY()),"Vencida","Não Vencida")</f>
        <v>Não Vencida</v>
      </c>
      <c r="Q581" s="58" t="str">
        <f>IF(tbRegistroEntradas[[#This Row],[DATA DA COMPETÊNCIA]]=tbRegistroEntradas[[#This Row],[DATA DO CAIXA PREVISTO]],"Vista","Prazo")</f>
        <v>Prazo</v>
      </c>
      <c r="R581" s="58" t="str">
        <f>IF(tbRegistroEntradas[[#This Row],[DATA DE CAIXA REALIZADO]]&lt;&gt;"N/A","Em Dia","Com atraso")</f>
        <v>Em Dia</v>
      </c>
    </row>
    <row r="582" spans="1:18" ht="14.4" customHeight="1" x14ac:dyDescent="0.3">
      <c r="A582" s="43">
        <v>45075.347326388888</v>
      </c>
      <c r="B582" s="44">
        <v>45006</v>
      </c>
      <c r="C582" s="44">
        <v>45020.473958333336</v>
      </c>
      <c r="D582" s="35" t="s">
        <v>62</v>
      </c>
      <c r="E582" s="35" t="s">
        <v>12</v>
      </c>
      <c r="F582" s="35" t="s">
        <v>18</v>
      </c>
      <c r="G582" s="35" t="s">
        <v>338</v>
      </c>
      <c r="H582" s="143" t="s">
        <v>94</v>
      </c>
      <c r="I582" s="122">
        <v>3849</v>
      </c>
      <c r="J582" s="55" t="str">
        <f>IF(tbRegistroEntradas[[#This Row],[DATA DE CAIXA REALIZADO]]="N/A","0",UPPER(TEXT(tbRegistroEntradas[[#This Row],[DATA DE CAIXA REALIZADO]],"mmm")))</f>
        <v>MAI</v>
      </c>
      <c r="K582" s="58">
        <f>IF(tbRegistroEntradas[[#This Row],[DATA DE CAIXA REALIZADO]]="N/A",0,YEAR(tbRegistroEntradas[[#This Row],[DATA DE CAIXA REALIZADO]]))</f>
        <v>2023</v>
      </c>
      <c r="L582" s="79" t="str">
        <f>IF(tbRegistroEntradas[[#This Row],[DATA DA COMPETÊNCIA]]="N/A","0",UPPER(TEXT(tbRegistroEntradas[[#This Row],[DATA DA COMPETÊNCIA]],"mmm")))</f>
        <v>MAR</v>
      </c>
      <c r="M582" s="79">
        <f>IF(tbRegistroEntradas[[#This Row],[DATA DA COMPETÊNCIA]]="N/A",0,YEAR(tbRegistroEntradas[[#This Row],[DATA DA COMPETÊNCIA]]))</f>
        <v>2023</v>
      </c>
      <c r="N582" s="84" t="str">
        <f>IF(tbRegistroEntradas[[#This Row],[DATA DO CAIXA PREVISTO]]="N/A","0",UPPER(TEXT(tbRegistroEntradas[[#This Row],[DATA DO CAIXA PREVISTO]],"mmm")))</f>
        <v>ABR</v>
      </c>
      <c r="O582" s="84">
        <f>IF(tbRegistroEntradas[[#This Row],[DATA DO CAIXA PREVISTO]]="N/A",0,YEAR(tbRegistroEntradas[[#This Row],[DATA DO CAIXA PREVISTO]]))</f>
        <v>2023</v>
      </c>
      <c r="P582" s="58" t="str">
        <f ca="1">IF(AND(tbRegistroEntradas[[#This Row],[DATA DE CAIXA REALIZADO]]="N/A",tbRegistroEntradas[[#This Row],[DATA DO CAIXA PREVISTO]]&lt;TODAY()),"Vencida","Não Vencida")</f>
        <v>Não Vencida</v>
      </c>
      <c r="Q582" s="58" t="str">
        <f>IF(tbRegistroEntradas[[#This Row],[DATA DA COMPETÊNCIA]]=tbRegistroEntradas[[#This Row],[DATA DO CAIXA PREVISTO]],"Vista","Prazo")</f>
        <v>Prazo</v>
      </c>
      <c r="R582" s="58" t="str">
        <f>IF(tbRegistroEntradas[[#This Row],[DATA DE CAIXA REALIZADO]]&lt;&gt;"N/A","Em Dia","Com atraso")</f>
        <v>Em Dia</v>
      </c>
    </row>
    <row r="583" spans="1:18" ht="14.4" customHeight="1" x14ac:dyDescent="0.3">
      <c r="A583" s="111">
        <v>45040</v>
      </c>
      <c r="B583" s="111">
        <f>A583-31</f>
        <v>45009</v>
      </c>
      <c r="C583" s="111">
        <f>(A583-B583)+B583-15</f>
        <v>45025</v>
      </c>
      <c r="D583" s="109" t="s">
        <v>64</v>
      </c>
      <c r="E583" s="109" t="s">
        <v>12</v>
      </c>
      <c r="F583" s="109" t="s">
        <v>32</v>
      </c>
      <c r="G583" s="109" t="s">
        <v>677</v>
      </c>
      <c r="H583" s="52" t="s">
        <v>110</v>
      </c>
      <c r="I583" s="118">
        <v>811</v>
      </c>
      <c r="J583" s="110" t="str">
        <f>IF(tbRegistroEntradas[[#This Row],[DATA DE CAIXA REALIZADO]]="N/A","0",UPPER(TEXT(tbRegistroEntradas[[#This Row],[DATA DE CAIXA REALIZADO]],"mmm")))</f>
        <v>ABR</v>
      </c>
      <c r="K583" s="57">
        <f>IF(tbRegistroEntradas[[#This Row],[DATA DE CAIXA REALIZADO]]="N/A",0,YEAR(tbRegistroEntradas[[#This Row],[DATA DE CAIXA REALIZADO]]))</f>
        <v>2023</v>
      </c>
      <c r="L583" s="58" t="str">
        <f>IF(tbRegistroEntradas[[#This Row],[DATA DA COMPETÊNCIA]]="N/A","0",UPPER(TEXT(tbRegistroEntradas[[#This Row],[DATA DA COMPETÊNCIA]],"mmm")))</f>
        <v>MAR</v>
      </c>
      <c r="M583" s="58">
        <f>IF(tbRegistroEntradas[[#This Row],[DATA DA COMPETÊNCIA]]="N/A",0,YEAR(tbRegistroEntradas[[#This Row],[DATA DA COMPETÊNCIA]]))</f>
        <v>2023</v>
      </c>
      <c r="N583" s="58" t="str">
        <f>IF(tbRegistroEntradas[[#This Row],[DATA DO CAIXA PREVISTO]]="N/A","0",UPPER(TEXT(tbRegistroEntradas[[#This Row],[DATA DO CAIXA PREVISTO]],"mmm")))</f>
        <v>ABR</v>
      </c>
      <c r="O583" s="58">
        <f>IF(tbRegistroEntradas[[#This Row],[DATA DO CAIXA PREVISTO]]="N/A",0,YEAR(tbRegistroEntradas[[#This Row],[DATA DO CAIXA PREVISTO]]))</f>
        <v>2023</v>
      </c>
      <c r="P583" s="58" t="str">
        <f ca="1">IF(AND(tbRegistroEntradas[[#This Row],[DATA DE CAIXA REALIZADO]]="N/A",tbRegistroEntradas[[#This Row],[DATA DO CAIXA PREVISTO]]&lt;TODAY()),"Vencida","Não Vencida")</f>
        <v>Não Vencida</v>
      </c>
      <c r="Q583" s="58" t="str">
        <f>IF(tbRegistroEntradas[[#This Row],[DATA DA COMPETÊNCIA]]=tbRegistroEntradas[[#This Row],[DATA DO CAIXA PREVISTO]],"Vista","Prazo")</f>
        <v>Prazo</v>
      </c>
      <c r="R583" s="58" t="str">
        <f>IF(tbRegistroEntradas[[#This Row],[DATA DE CAIXA REALIZADO]]&lt;&gt;"N/A","Em Dia","Com atraso")</f>
        <v>Em Dia</v>
      </c>
    </row>
    <row r="584" spans="1:18" ht="14.4" customHeight="1" x14ac:dyDescent="0.3">
      <c r="A584" s="111">
        <v>45040</v>
      </c>
      <c r="B584" s="111">
        <f>A584-31</f>
        <v>45009</v>
      </c>
      <c r="C584" s="111">
        <f>(A584-B584)+B584-15</f>
        <v>45025</v>
      </c>
      <c r="D584" s="109" t="s">
        <v>63</v>
      </c>
      <c r="E584" s="109" t="s">
        <v>12</v>
      </c>
      <c r="F584" s="109" t="s">
        <v>17</v>
      </c>
      <c r="G584" s="109" t="s">
        <v>698</v>
      </c>
      <c r="H584" s="126" t="s">
        <v>100</v>
      </c>
      <c r="I584" s="118">
        <v>6786</v>
      </c>
      <c r="J584" s="110" t="str">
        <f>IF(tbRegistroEntradas[[#This Row],[DATA DE CAIXA REALIZADO]]="N/A","0",UPPER(TEXT(tbRegistroEntradas[[#This Row],[DATA DE CAIXA REALIZADO]],"mmm")))</f>
        <v>ABR</v>
      </c>
      <c r="K584" s="57">
        <f>IF(tbRegistroEntradas[[#This Row],[DATA DE CAIXA REALIZADO]]="N/A",0,YEAR(tbRegistroEntradas[[#This Row],[DATA DE CAIXA REALIZADO]]))</f>
        <v>2023</v>
      </c>
      <c r="L584" s="58" t="str">
        <f>IF(tbRegistroEntradas[[#This Row],[DATA DA COMPETÊNCIA]]="N/A","0",UPPER(TEXT(tbRegistroEntradas[[#This Row],[DATA DA COMPETÊNCIA]],"mmm")))</f>
        <v>MAR</v>
      </c>
      <c r="M584" s="58">
        <f>IF(tbRegistroEntradas[[#This Row],[DATA DA COMPETÊNCIA]]="N/A",0,YEAR(tbRegistroEntradas[[#This Row],[DATA DA COMPETÊNCIA]]))</f>
        <v>2023</v>
      </c>
      <c r="N584" s="58" t="str">
        <f>IF(tbRegistroEntradas[[#This Row],[DATA DO CAIXA PREVISTO]]="N/A","0",UPPER(TEXT(tbRegistroEntradas[[#This Row],[DATA DO CAIXA PREVISTO]],"mmm")))</f>
        <v>ABR</v>
      </c>
      <c r="O584" s="58">
        <f>IF(tbRegistroEntradas[[#This Row],[DATA DO CAIXA PREVISTO]]="N/A",0,YEAR(tbRegistroEntradas[[#This Row],[DATA DO CAIXA PREVISTO]]))</f>
        <v>2023</v>
      </c>
      <c r="P584" s="58" t="str">
        <f ca="1">IF(AND(tbRegistroEntradas[[#This Row],[DATA DE CAIXA REALIZADO]]="N/A",tbRegistroEntradas[[#This Row],[DATA DO CAIXA PREVISTO]]&lt;TODAY()),"Vencida","Não Vencida")</f>
        <v>Não Vencida</v>
      </c>
      <c r="Q584" s="58" t="str">
        <f>IF(tbRegistroEntradas[[#This Row],[DATA DA COMPETÊNCIA]]=tbRegistroEntradas[[#This Row],[DATA DO CAIXA PREVISTO]],"Vista","Prazo")</f>
        <v>Prazo</v>
      </c>
      <c r="R584" s="58" t="str">
        <f>IF(tbRegistroEntradas[[#This Row],[DATA DE CAIXA REALIZADO]]&lt;&gt;"N/A","Em Dia","Com atraso")</f>
        <v>Em Dia</v>
      </c>
    </row>
    <row r="585" spans="1:18" ht="14.4" customHeight="1" x14ac:dyDescent="0.3">
      <c r="A585" s="40">
        <v>45083.661192129628</v>
      </c>
      <c r="B585" s="41">
        <v>45012</v>
      </c>
      <c r="C585" s="41">
        <v>45047.046956018516</v>
      </c>
      <c r="D585" s="41" t="s">
        <v>137</v>
      </c>
      <c r="E585" s="42" t="s">
        <v>12</v>
      </c>
      <c r="F585" s="42" t="s">
        <v>32</v>
      </c>
      <c r="G585" s="42" t="s">
        <v>339</v>
      </c>
      <c r="H585" s="45" t="s">
        <v>105</v>
      </c>
      <c r="I585" s="121">
        <v>4141</v>
      </c>
      <c r="J585" s="55" t="str">
        <f>IF(tbRegistroEntradas[[#This Row],[DATA DE CAIXA REALIZADO]]="N/A","0",UPPER(TEXT(tbRegistroEntradas[[#This Row],[DATA DE CAIXA REALIZADO]],"mmm")))</f>
        <v>JUN</v>
      </c>
      <c r="K585" s="58">
        <f>IF(tbRegistroEntradas[[#This Row],[DATA DE CAIXA REALIZADO]]="N/A",0,YEAR(tbRegistroEntradas[[#This Row],[DATA DE CAIXA REALIZADO]]))</f>
        <v>2023</v>
      </c>
      <c r="L585" s="79" t="str">
        <f>IF(tbRegistroEntradas[[#This Row],[DATA DA COMPETÊNCIA]]="N/A","0",UPPER(TEXT(tbRegistroEntradas[[#This Row],[DATA DA COMPETÊNCIA]],"mmm")))</f>
        <v>MAR</v>
      </c>
      <c r="M585" s="79">
        <f>IF(tbRegistroEntradas[[#This Row],[DATA DA COMPETÊNCIA]]="N/A",0,YEAR(tbRegistroEntradas[[#This Row],[DATA DA COMPETÊNCIA]]))</f>
        <v>2023</v>
      </c>
      <c r="N585" s="84" t="str">
        <f>IF(tbRegistroEntradas[[#This Row],[DATA DO CAIXA PREVISTO]]="N/A","0",UPPER(TEXT(tbRegistroEntradas[[#This Row],[DATA DO CAIXA PREVISTO]],"mmm")))</f>
        <v>MAI</v>
      </c>
      <c r="O585" s="84">
        <f>IF(tbRegistroEntradas[[#This Row],[DATA DO CAIXA PREVISTO]]="N/A",0,YEAR(tbRegistroEntradas[[#This Row],[DATA DO CAIXA PREVISTO]]))</f>
        <v>2023</v>
      </c>
      <c r="P585" s="58" t="str">
        <f ca="1">IF(AND(tbRegistroEntradas[[#This Row],[DATA DE CAIXA REALIZADO]]="N/A",tbRegistroEntradas[[#This Row],[DATA DO CAIXA PREVISTO]]&lt;TODAY()),"Vencida","Não Vencida")</f>
        <v>Não Vencida</v>
      </c>
      <c r="Q585" s="58" t="str">
        <f>IF(tbRegistroEntradas[[#This Row],[DATA DA COMPETÊNCIA]]=tbRegistroEntradas[[#This Row],[DATA DO CAIXA PREVISTO]],"Vista","Prazo")</f>
        <v>Prazo</v>
      </c>
      <c r="R585" s="58" t="str">
        <f>IF(tbRegistroEntradas[[#This Row],[DATA DE CAIXA REALIZADO]]&lt;&gt;"N/A","Em Dia","Com atraso")</f>
        <v>Em Dia</v>
      </c>
    </row>
    <row r="586" spans="1:18" ht="14.4" customHeight="1" x14ac:dyDescent="0.3">
      <c r="A586" s="43" t="s">
        <v>141</v>
      </c>
      <c r="B586" s="44">
        <v>45013</v>
      </c>
      <c r="C586" s="111">
        <f>tbRegistroEntradas[[#This Row],[DATA DA COMPETÊNCIA]]</f>
        <v>45013</v>
      </c>
      <c r="D586" s="35" t="s">
        <v>137</v>
      </c>
      <c r="E586" s="35" t="s">
        <v>12</v>
      </c>
      <c r="F586" s="35" t="s">
        <v>32</v>
      </c>
      <c r="G586" s="35" t="s">
        <v>340</v>
      </c>
      <c r="H586" s="52" t="s">
        <v>105</v>
      </c>
      <c r="I586" s="122">
        <v>1348</v>
      </c>
      <c r="J586" s="55" t="str">
        <f>IF(tbRegistroEntradas[[#This Row],[DATA DE CAIXA REALIZADO]]="N/A","0",UPPER(TEXT(tbRegistroEntradas[[#This Row],[DATA DE CAIXA REALIZADO]],"mmm")))</f>
        <v>0</v>
      </c>
      <c r="K586" s="58">
        <f>IF(tbRegistroEntradas[[#This Row],[DATA DE CAIXA REALIZADO]]="N/A",0,YEAR(tbRegistroEntradas[[#This Row],[DATA DE CAIXA REALIZADO]]))</f>
        <v>0</v>
      </c>
      <c r="L586" s="79" t="str">
        <f>IF(tbRegistroEntradas[[#This Row],[DATA DA COMPETÊNCIA]]="N/A","0",UPPER(TEXT(tbRegistroEntradas[[#This Row],[DATA DA COMPETÊNCIA]],"mmm")))</f>
        <v>MAR</v>
      </c>
      <c r="M586" s="79">
        <f>IF(tbRegistroEntradas[[#This Row],[DATA DA COMPETÊNCIA]]="N/A",0,YEAR(tbRegistroEntradas[[#This Row],[DATA DA COMPETÊNCIA]]))</f>
        <v>2023</v>
      </c>
      <c r="N586" s="84" t="str">
        <f>IF(tbRegistroEntradas[[#This Row],[DATA DO CAIXA PREVISTO]]="N/A","0",UPPER(TEXT(tbRegistroEntradas[[#This Row],[DATA DO CAIXA PREVISTO]],"mmm")))</f>
        <v>MAR</v>
      </c>
      <c r="O586" s="84">
        <f>IF(tbRegistroEntradas[[#This Row],[DATA DO CAIXA PREVISTO]]="N/A",0,YEAR(tbRegistroEntradas[[#This Row],[DATA DO CAIXA PREVISTO]]))</f>
        <v>2023</v>
      </c>
      <c r="P586" s="58" t="str">
        <f ca="1">IF(AND(tbRegistroEntradas[[#This Row],[DATA DE CAIXA REALIZADO]]="N/A",tbRegistroEntradas[[#This Row],[DATA DO CAIXA PREVISTO]]&lt;TODAY()),"Vencida","Não Vencida")</f>
        <v>Vencida</v>
      </c>
      <c r="Q586" s="58" t="str">
        <f>IF(tbRegistroEntradas[[#This Row],[DATA DA COMPETÊNCIA]]=tbRegistroEntradas[[#This Row],[DATA DO CAIXA PREVISTO]],"Vista","Prazo")</f>
        <v>Vista</v>
      </c>
      <c r="R586" s="58" t="str">
        <f>IF(tbRegistroEntradas[[#This Row],[DATA DE CAIXA REALIZADO]]&lt;&gt;"N/A","Em Dia","Com atraso")</f>
        <v>Com atraso</v>
      </c>
    </row>
    <row r="587" spans="1:18" ht="14.4" customHeight="1" x14ac:dyDescent="0.3">
      <c r="A587" s="111">
        <v>45044</v>
      </c>
      <c r="B587" s="111">
        <f>A587-31</f>
        <v>45013</v>
      </c>
      <c r="C587" s="111">
        <f>(A587-B587)+B587-15</f>
        <v>45029</v>
      </c>
      <c r="D587" s="109" t="s">
        <v>137</v>
      </c>
      <c r="E587" s="109" t="s">
        <v>12</v>
      </c>
      <c r="F587" s="109" t="s">
        <v>32</v>
      </c>
      <c r="G587" s="109" t="s">
        <v>725</v>
      </c>
      <c r="H587" s="52" t="s">
        <v>73</v>
      </c>
      <c r="I587" s="118">
        <v>3324</v>
      </c>
      <c r="J587" s="110" t="str">
        <f>IF(tbRegistroEntradas[[#This Row],[DATA DE CAIXA REALIZADO]]="N/A","0",UPPER(TEXT(tbRegistroEntradas[[#This Row],[DATA DE CAIXA REALIZADO]],"mmm")))</f>
        <v>ABR</v>
      </c>
      <c r="K587" s="57">
        <f>IF(tbRegistroEntradas[[#This Row],[DATA DE CAIXA REALIZADO]]="N/A",0,YEAR(tbRegistroEntradas[[#This Row],[DATA DE CAIXA REALIZADO]]))</f>
        <v>2023</v>
      </c>
      <c r="L587" s="58" t="str">
        <f>IF(tbRegistroEntradas[[#This Row],[DATA DA COMPETÊNCIA]]="N/A","0",UPPER(TEXT(tbRegistroEntradas[[#This Row],[DATA DA COMPETÊNCIA]],"mmm")))</f>
        <v>MAR</v>
      </c>
      <c r="M587" s="58">
        <f>IF(tbRegistroEntradas[[#This Row],[DATA DA COMPETÊNCIA]]="N/A",0,YEAR(tbRegistroEntradas[[#This Row],[DATA DA COMPETÊNCIA]]))</f>
        <v>2023</v>
      </c>
      <c r="N587" s="58" t="str">
        <f>IF(tbRegistroEntradas[[#This Row],[DATA DO CAIXA PREVISTO]]="N/A","0",UPPER(TEXT(tbRegistroEntradas[[#This Row],[DATA DO CAIXA PREVISTO]],"mmm")))</f>
        <v>ABR</v>
      </c>
      <c r="O587" s="58">
        <f>IF(tbRegistroEntradas[[#This Row],[DATA DO CAIXA PREVISTO]]="N/A",0,YEAR(tbRegistroEntradas[[#This Row],[DATA DO CAIXA PREVISTO]]))</f>
        <v>2023</v>
      </c>
      <c r="P587" s="58" t="str">
        <f ca="1">IF(AND(tbRegistroEntradas[[#This Row],[DATA DE CAIXA REALIZADO]]="N/A",tbRegistroEntradas[[#This Row],[DATA DO CAIXA PREVISTO]]&lt;TODAY()),"Vencida","Não Vencida")</f>
        <v>Não Vencida</v>
      </c>
      <c r="Q587" s="58" t="str">
        <f>IF(tbRegistroEntradas[[#This Row],[DATA DA COMPETÊNCIA]]=tbRegistroEntradas[[#This Row],[DATA DO CAIXA PREVISTO]],"Vista","Prazo")</f>
        <v>Prazo</v>
      </c>
      <c r="R587" s="58" t="str">
        <f>IF(tbRegistroEntradas[[#This Row],[DATA DE CAIXA REALIZADO]]&lt;&gt;"N/A","Em Dia","Com atraso")</f>
        <v>Em Dia</v>
      </c>
    </row>
    <row r="588" spans="1:18" ht="14.4" customHeight="1" x14ac:dyDescent="0.3">
      <c r="A588" s="111">
        <v>45045</v>
      </c>
      <c r="B588" s="111">
        <f>A588-31</f>
        <v>45014</v>
      </c>
      <c r="C588" s="111">
        <f>(A588-B588)+B588-15</f>
        <v>45030</v>
      </c>
      <c r="D588" s="109" t="s">
        <v>137</v>
      </c>
      <c r="E588" s="109" t="s">
        <v>12</v>
      </c>
      <c r="F588" s="109" t="s">
        <v>32</v>
      </c>
      <c r="G588" s="109" t="s">
        <v>898</v>
      </c>
      <c r="H588" s="52" t="s">
        <v>104</v>
      </c>
      <c r="I588" s="118">
        <v>3461</v>
      </c>
      <c r="J588" s="110" t="str">
        <f>IF(tbRegistroEntradas[[#This Row],[DATA DE CAIXA REALIZADO]]="N/A","0",UPPER(TEXT(tbRegistroEntradas[[#This Row],[DATA DE CAIXA REALIZADO]],"mmm")))</f>
        <v>ABR</v>
      </c>
      <c r="K588" s="57">
        <f>IF(tbRegistroEntradas[[#This Row],[DATA DE CAIXA REALIZADO]]="N/A",0,YEAR(tbRegistroEntradas[[#This Row],[DATA DE CAIXA REALIZADO]]))</f>
        <v>2023</v>
      </c>
      <c r="L588" s="58" t="str">
        <f>IF(tbRegistroEntradas[[#This Row],[DATA DA COMPETÊNCIA]]="N/A","0",UPPER(TEXT(tbRegistroEntradas[[#This Row],[DATA DA COMPETÊNCIA]],"mmm")))</f>
        <v>MAR</v>
      </c>
      <c r="M588" s="58">
        <f>IF(tbRegistroEntradas[[#This Row],[DATA DA COMPETÊNCIA]]="N/A",0,YEAR(tbRegistroEntradas[[#This Row],[DATA DA COMPETÊNCIA]]))</f>
        <v>2023</v>
      </c>
      <c r="N588" s="58" t="str">
        <f>IF(tbRegistroEntradas[[#This Row],[DATA DO CAIXA PREVISTO]]="N/A","0",UPPER(TEXT(tbRegistroEntradas[[#This Row],[DATA DO CAIXA PREVISTO]],"mmm")))</f>
        <v>ABR</v>
      </c>
      <c r="O588" s="58">
        <f>IF(tbRegistroEntradas[[#This Row],[DATA DO CAIXA PREVISTO]]="N/A",0,YEAR(tbRegistroEntradas[[#This Row],[DATA DO CAIXA PREVISTO]]))</f>
        <v>2023</v>
      </c>
      <c r="P588" s="58" t="str">
        <f ca="1">IF(AND(tbRegistroEntradas[[#This Row],[DATA DE CAIXA REALIZADO]]="N/A",tbRegistroEntradas[[#This Row],[DATA DO CAIXA PREVISTO]]&lt;TODAY()),"Vencida","Não Vencida")</f>
        <v>Não Vencida</v>
      </c>
      <c r="Q588" s="58" t="str">
        <f>IF(tbRegistroEntradas[[#This Row],[DATA DA COMPETÊNCIA]]=tbRegistroEntradas[[#This Row],[DATA DO CAIXA PREVISTO]],"Vista","Prazo")</f>
        <v>Prazo</v>
      </c>
      <c r="R588" s="58" t="str">
        <f>IF(tbRegistroEntradas[[#This Row],[DATA DE CAIXA REALIZADO]]&lt;&gt;"N/A","Em Dia","Com atraso")</f>
        <v>Em Dia</v>
      </c>
    </row>
    <row r="589" spans="1:18" ht="14.4" customHeight="1" x14ac:dyDescent="0.3">
      <c r="A589" s="111">
        <v>45048</v>
      </c>
      <c r="B589" s="111">
        <f>A589-31</f>
        <v>45017</v>
      </c>
      <c r="C589" s="111">
        <f>tbRegistroEntradas[[#This Row],[DATA DA COMPETÊNCIA]]</f>
        <v>45017</v>
      </c>
      <c r="D589" s="109" t="s">
        <v>138</v>
      </c>
      <c r="E589" s="109" t="s">
        <v>12</v>
      </c>
      <c r="F589" s="109" t="s">
        <v>32</v>
      </c>
      <c r="G589" s="109" t="s">
        <v>976</v>
      </c>
      <c r="H589" s="52" t="s">
        <v>75</v>
      </c>
      <c r="I589" s="118">
        <v>2177</v>
      </c>
      <c r="J589" s="110" t="str">
        <f>IF(tbRegistroEntradas[[#This Row],[DATA DE CAIXA REALIZADO]]="N/A","0",UPPER(TEXT(tbRegistroEntradas[[#This Row],[DATA DE CAIXA REALIZADO]],"mmm")))</f>
        <v>MAI</v>
      </c>
      <c r="K589" s="57">
        <f>IF(tbRegistroEntradas[[#This Row],[DATA DE CAIXA REALIZADO]]="N/A",0,YEAR(tbRegistroEntradas[[#This Row],[DATA DE CAIXA REALIZADO]]))</f>
        <v>2023</v>
      </c>
      <c r="L589" s="58" t="str">
        <f>IF(tbRegistroEntradas[[#This Row],[DATA DA COMPETÊNCIA]]="N/A","0",UPPER(TEXT(tbRegistroEntradas[[#This Row],[DATA DA COMPETÊNCIA]],"mmm")))</f>
        <v>ABR</v>
      </c>
      <c r="M589" s="58">
        <f>IF(tbRegistroEntradas[[#This Row],[DATA DA COMPETÊNCIA]]="N/A",0,YEAR(tbRegistroEntradas[[#This Row],[DATA DA COMPETÊNCIA]]))</f>
        <v>2023</v>
      </c>
      <c r="N589" s="58" t="str">
        <f>IF(tbRegistroEntradas[[#This Row],[DATA DO CAIXA PREVISTO]]="N/A","0",UPPER(TEXT(tbRegistroEntradas[[#This Row],[DATA DO CAIXA PREVISTO]],"mmm")))</f>
        <v>ABR</v>
      </c>
      <c r="O589" s="58">
        <f>IF(tbRegistroEntradas[[#This Row],[DATA DO CAIXA PREVISTO]]="N/A",0,YEAR(tbRegistroEntradas[[#This Row],[DATA DO CAIXA PREVISTO]]))</f>
        <v>2023</v>
      </c>
      <c r="P589" s="58" t="str">
        <f ca="1">IF(AND(tbRegistroEntradas[[#This Row],[DATA DE CAIXA REALIZADO]]="N/A",tbRegistroEntradas[[#This Row],[DATA DO CAIXA PREVISTO]]&lt;TODAY()),"Vencida","Não Vencida")</f>
        <v>Não Vencida</v>
      </c>
      <c r="Q589" s="58" t="str">
        <f>IF(tbRegistroEntradas[[#This Row],[DATA DA COMPETÊNCIA]]=tbRegistroEntradas[[#This Row],[DATA DO CAIXA PREVISTO]],"Vista","Prazo")</f>
        <v>Vista</v>
      </c>
      <c r="R589" s="58" t="str">
        <f>IF(tbRegistroEntradas[[#This Row],[DATA DE CAIXA REALIZADO]]&lt;&gt;"N/A","Em Dia","Com atraso")</f>
        <v>Em Dia</v>
      </c>
    </row>
    <row r="590" spans="1:18" ht="14.4" customHeight="1" x14ac:dyDescent="0.3">
      <c r="A590" s="40">
        <v>45040.560844907406</v>
      </c>
      <c r="B590" s="41">
        <v>45019</v>
      </c>
      <c r="C590" s="41">
        <v>45040.560844907406</v>
      </c>
      <c r="D590" s="42" t="s">
        <v>63</v>
      </c>
      <c r="E590" s="42" t="s">
        <v>12</v>
      </c>
      <c r="F590" s="42" t="s">
        <v>19</v>
      </c>
      <c r="G590" s="42" t="s">
        <v>341</v>
      </c>
      <c r="H590" s="145" t="s">
        <v>101</v>
      </c>
      <c r="I590" s="121">
        <v>1738</v>
      </c>
      <c r="J590" s="55" t="str">
        <f>IF(tbRegistroEntradas[[#This Row],[DATA DE CAIXA REALIZADO]]="N/A","0",UPPER(TEXT(tbRegistroEntradas[[#This Row],[DATA DE CAIXA REALIZADO]],"mmm")))</f>
        <v>ABR</v>
      </c>
      <c r="K590" s="58">
        <f>IF(tbRegistroEntradas[[#This Row],[DATA DE CAIXA REALIZADO]]="N/A",0,YEAR(tbRegistroEntradas[[#This Row],[DATA DE CAIXA REALIZADO]]))</f>
        <v>2023</v>
      </c>
      <c r="L590" s="79" t="str">
        <f>IF(tbRegistroEntradas[[#This Row],[DATA DA COMPETÊNCIA]]="N/A","0",UPPER(TEXT(tbRegistroEntradas[[#This Row],[DATA DA COMPETÊNCIA]],"mmm")))</f>
        <v>ABR</v>
      </c>
      <c r="M590" s="79">
        <f>IF(tbRegistroEntradas[[#This Row],[DATA DA COMPETÊNCIA]]="N/A",0,YEAR(tbRegistroEntradas[[#This Row],[DATA DA COMPETÊNCIA]]))</f>
        <v>2023</v>
      </c>
      <c r="N590" s="84" t="str">
        <f>IF(tbRegistroEntradas[[#This Row],[DATA DO CAIXA PREVISTO]]="N/A","0",UPPER(TEXT(tbRegistroEntradas[[#This Row],[DATA DO CAIXA PREVISTO]],"mmm")))</f>
        <v>ABR</v>
      </c>
      <c r="O590" s="84">
        <f>IF(tbRegistroEntradas[[#This Row],[DATA DO CAIXA PREVISTO]]="N/A",0,YEAR(tbRegistroEntradas[[#This Row],[DATA DO CAIXA PREVISTO]]))</f>
        <v>2023</v>
      </c>
      <c r="P590" s="58" t="str">
        <f ca="1">IF(AND(tbRegistroEntradas[[#This Row],[DATA DE CAIXA REALIZADO]]="N/A",tbRegistroEntradas[[#This Row],[DATA DO CAIXA PREVISTO]]&lt;TODAY()),"Vencida","Não Vencida")</f>
        <v>Não Vencida</v>
      </c>
      <c r="Q590" s="58" t="str">
        <f>IF(tbRegistroEntradas[[#This Row],[DATA DA COMPETÊNCIA]]=tbRegistroEntradas[[#This Row],[DATA DO CAIXA PREVISTO]],"Vista","Prazo")</f>
        <v>Prazo</v>
      </c>
      <c r="R590" s="58" t="str">
        <f>IF(tbRegistroEntradas[[#This Row],[DATA DE CAIXA REALIZADO]]&lt;&gt;"N/A","Em Dia","Com atraso")</f>
        <v>Em Dia</v>
      </c>
    </row>
    <row r="591" spans="1:18" ht="14.4" customHeight="1" x14ac:dyDescent="0.3">
      <c r="A591" s="43">
        <v>45077.927766203706</v>
      </c>
      <c r="B591" s="44">
        <v>45022</v>
      </c>
      <c r="C591" s="44">
        <v>45077.927766203706</v>
      </c>
      <c r="D591" s="35" t="s">
        <v>64</v>
      </c>
      <c r="E591" s="35" t="s">
        <v>12</v>
      </c>
      <c r="F591" s="35" t="s">
        <v>19</v>
      </c>
      <c r="G591" s="35" t="s">
        <v>342</v>
      </c>
      <c r="H591" s="126" t="s">
        <v>111</v>
      </c>
      <c r="I591" s="122">
        <v>732</v>
      </c>
      <c r="J591" s="55" t="str">
        <f>IF(tbRegistroEntradas[[#This Row],[DATA DE CAIXA REALIZADO]]="N/A","0",UPPER(TEXT(tbRegistroEntradas[[#This Row],[DATA DE CAIXA REALIZADO]],"mmm")))</f>
        <v>MAI</v>
      </c>
      <c r="K591" s="58">
        <f>IF(tbRegistroEntradas[[#This Row],[DATA DE CAIXA REALIZADO]]="N/A",0,YEAR(tbRegistroEntradas[[#This Row],[DATA DE CAIXA REALIZADO]]))</f>
        <v>2023</v>
      </c>
      <c r="L591" s="79" t="str">
        <f>IF(tbRegistroEntradas[[#This Row],[DATA DA COMPETÊNCIA]]="N/A","0",UPPER(TEXT(tbRegistroEntradas[[#This Row],[DATA DA COMPETÊNCIA]],"mmm")))</f>
        <v>ABR</v>
      </c>
      <c r="M591" s="79">
        <f>IF(tbRegistroEntradas[[#This Row],[DATA DA COMPETÊNCIA]]="N/A",0,YEAR(tbRegistroEntradas[[#This Row],[DATA DA COMPETÊNCIA]]))</f>
        <v>2023</v>
      </c>
      <c r="N591" s="84" t="str">
        <f>IF(tbRegistroEntradas[[#This Row],[DATA DO CAIXA PREVISTO]]="N/A","0",UPPER(TEXT(tbRegistroEntradas[[#This Row],[DATA DO CAIXA PREVISTO]],"mmm")))</f>
        <v>MAI</v>
      </c>
      <c r="O591" s="84">
        <f>IF(tbRegistroEntradas[[#This Row],[DATA DO CAIXA PREVISTO]]="N/A",0,YEAR(tbRegistroEntradas[[#This Row],[DATA DO CAIXA PREVISTO]]))</f>
        <v>2023</v>
      </c>
      <c r="P591" s="58" t="str">
        <f ca="1">IF(AND(tbRegistroEntradas[[#This Row],[DATA DE CAIXA REALIZADO]]="N/A",tbRegistroEntradas[[#This Row],[DATA DO CAIXA PREVISTO]]&lt;TODAY()),"Vencida","Não Vencida")</f>
        <v>Não Vencida</v>
      </c>
      <c r="Q591" s="58" t="str">
        <f>IF(tbRegistroEntradas[[#This Row],[DATA DA COMPETÊNCIA]]=tbRegistroEntradas[[#This Row],[DATA DO CAIXA PREVISTO]],"Vista","Prazo")</f>
        <v>Prazo</v>
      </c>
      <c r="R591" s="58" t="str">
        <f>IF(tbRegistroEntradas[[#This Row],[DATA DE CAIXA REALIZADO]]&lt;&gt;"N/A","Em Dia","Com atraso")</f>
        <v>Em Dia</v>
      </c>
    </row>
    <row r="592" spans="1:18" ht="14.4" customHeight="1" x14ac:dyDescent="0.3">
      <c r="A592" s="40">
        <v>45086.825520833336</v>
      </c>
      <c r="B592" s="41">
        <v>45023</v>
      </c>
      <c r="C592" s="111">
        <f>tbRegistroEntradas[[#This Row],[DATA DA COMPETÊNCIA]]</f>
        <v>45023</v>
      </c>
      <c r="D592" s="42" t="s">
        <v>138</v>
      </c>
      <c r="E592" s="42" t="s">
        <v>12</v>
      </c>
      <c r="F592" s="42" t="s">
        <v>32</v>
      </c>
      <c r="G592" s="42" t="s">
        <v>343</v>
      </c>
      <c r="H592" s="126" t="s">
        <v>76</v>
      </c>
      <c r="I592" s="121">
        <v>373</v>
      </c>
      <c r="J592" s="55" t="str">
        <f>IF(tbRegistroEntradas[[#This Row],[DATA DE CAIXA REALIZADO]]="N/A","0",UPPER(TEXT(tbRegistroEntradas[[#This Row],[DATA DE CAIXA REALIZADO]],"mmm")))</f>
        <v>JUN</v>
      </c>
      <c r="K592" s="58">
        <f>IF(tbRegistroEntradas[[#This Row],[DATA DE CAIXA REALIZADO]]="N/A",0,YEAR(tbRegistroEntradas[[#This Row],[DATA DE CAIXA REALIZADO]]))</f>
        <v>2023</v>
      </c>
      <c r="L592" s="79" t="str">
        <f>IF(tbRegistroEntradas[[#This Row],[DATA DA COMPETÊNCIA]]="N/A","0",UPPER(TEXT(tbRegistroEntradas[[#This Row],[DATA DA COMPETÊNCIA]],"mmm")))</f>
        <v>ABR</v>
      </c>
      <c r="M592" s="79">
        <f>IF(tbRegistroEntradas[[#This Row],[DATA DA COMPETÊNCIA]]="N/A",0,YEAR(tbRegistroEntradas[[#This Row],[DATA DA COMPETÊNCIA]]))</f>
        <v>2023</v>
      </c>
      <c r="N592" s="84" t="str">
        <f>IF(tbRegistroEntradas[[#This Row],[DATA DO CAIXA PREVISTO]]="N/A","0",UPPER(TEXT(tbRegistroEntradas[[#This Row],[DATA DO CAIXA PREVISTO]],"mmm")))</f>
        <v>ABR</v>
      </c>
      <c r="O592" s="84">
        <f>IF(tbRegistroEntradas[[#This Row],[DATA DO CAIXA PREVISTO]]="N/A",0,YEAR(tbRegistroEntradas[[#This Row],[DATA DO CAIXA PREVISTO]]))</f>
        <v>2023</v>
      </c>
      <c r="P592" s="58" t="str">
        <f ca="1">IF(AND(tbRegistroEntradas[[#This Row],[DATA DE CAIXA REALIZADO]]="N/A",tbRegistroEntradas[[#This Row],[DATA DO CAIXA PREVISTO]]&lt;TODAY()),"Vencida","Não Vencida")</f>
        <v>Não Vencida</v>
      </c>
      <c r="Q592" s="58" t="str">
        <f>IF(tbRegistroEntradas[[#This Row],[DATA DA COMPETÊNCIA]]=tbRegistroEntradas[[#This Row],[DATA DO CAIXA PREVISTO]],"Vista","Prazo")</f>
        <v>Vista</v>
      </c>
      <c r="R592" s="58" t="str">
        <f>IF(tbRegistroEntradas[[#This Row],[DATA DE CAIXA REALIZADO]]&lt;&gt;"N/A","Em Dia","Com atraso")</f>
        <v>Em Dia</v>
      </c>
    </row>
    <row r="593" spans="1:18" ht="14.4" customHeight="1" x14ac:dyDescent="0.3">
      <c r="A593" s="111">
        <v>45054</v>
      </c>
      <c r="B593" s="111">
        <f>A593-31</f>
        <v>45023</v>
      </c>
      <c r="C593" s="111">
        <f>(A593-B593)+B593-15</f>
        <v>45039</v>
      </c>
      <c r="D593" s="109" t="s">
        <v>63</v>
      </c>
      <c r="E593" s="109" t="s">
        <v>12</v>
      </c>
      <c r="F593" s="109" t="s">
        <v>17</v>
      </c>
      <c r="G593" s="109" t="s">
        <v>753</v>
      </c>
      <c r="H593" s="126" t="s">
        <v>98</v>
      </c>
      <c r="I593" s="118">
        <v>3685</v>
      </c>
      <c r="J593" s="110" t="str">
        <f>IF(tbRegistroEntradas[[#This Row],[DATA DE CAIXA REALIZADO]]="N/A","0",UPPER(TEXT(tbRegistroEntradas[[#This Row],[DATA DE CAIXA REALIZADO]],"mmm")))</f>
        <v>MAI</v>
      </c>
      <c r="K593" s="57">
        <f>IF(tbRegistroEntradas[[#This Row],[DATA DE CAIXA REALIZADO]]="N/A",0,YEAR(tbRegistroEntradas[[#This Row],[DATA DE CAIXA REALIZADO]]))</f>
        <v>2023</v>
      </c>
      <c r="L593" s="58" t="str">
        <f>IF(tbRegistroEntradas[[#This Row],[DATA DA COMPETÊNCIA]]="N/A","0",UPPER(TEXT(tbRegistroEntradas[[#This Row],[DATA DA COMPETÊNCIA]],"mmm")))</f>
        <v>ABR</v>
      </c>
      <c r="M593" s="58">
        <f>IF(tbRegistroEntradas[[#This Row],[DATA DA COMPETÊNCIA]]="N/A",0,YEAR(tbRegistroEntradas[[#This Row],[DATA DA COMPETÊNCIA]]))</f>
        <v>2023</v>
      </c>
      <c r="N593" s="58" t="str">
        <f>IF(tbRegistroEntradas[[#This Row],[DATA DO CAIXA PREVISTO]]="N/A","0",UPPER(TEXT(tbRegistroEntradas[[#This Row],[DATA DO CAIXA PREVISTO]],"mmm")))</f>
        <v>ABR</v>
      </c>
      <c r="O593" s="58">
        <f>IF(tbRegistroEntradas[[#This Row],[DATA DO CAIXA PREVISTO]]="N/A",0,YEAR(tbRegistroEntradas[[#This Row],[DATA DO CAIXA PREVISTO]]))</f>
        <v>2023</v>
      </c>
      <c r="P593" s="58" t="str">
        <f ca="1">IF(AND(tbRegistroEntradas[[#This Row],[DATA DE CAIXA REALIZADO]]="N/A",tbRegistroEntradas[[#This Row],[DATA DO CAIXA PREVISTO]]&lt;TODAY()),"Vencida","Não Vencida")</f>
        <v>Não Vencida</v>
      </c>
      <c r="Q593" s="58" t="str">
        <f>IF(tbRegistroEntradas[[#This Row],[DATA DA COMPETÊNCIA]]=tbRegistroEntradas[[#This Row],[DATA DO CAIXA PREVISTO]],"Vista","Prazo")</f>
        <v>Prazo</v>
      </c>
      <c r="R593" s="58" t="str">
        <f>IF(tbRegistroEntradas[[#This Row],[DATA DE CAIXA REALIZADO]]&lt;&gt;"N/A","Em Dia","Com atraso")</f>
        <v>Em Dia</v>
      </c>
    </row>
    <row r="594" spans="1:18" ht="14.4" customHeight="1" x14ac:dyDescent="0.3">
      <c r="A594" s="111">
        <v>45055</v>
      </c>
      <c r="B594" s="111">
        <f>A594-31</f>
        <v>45024</v>
      </c>
      <c r="C594" s="111">
        <f>tbRegistroEntradas[[#This Row],[DATA DA COMPETÊNCIA]]</f>
        <v>45024</v>
      </c>
      <c r="D594" s="109" t="s">
        <v>67</v>
      </c>
      <c r="E594" s="109" t="s">
        <v>12</v>
      </c>
      <c r="F594" s="109" t="s">
        <v>17</v>
      </c>
      <c r="G594" s="109" t="s">
        <v>782</v>
      </c>
      <c r="H594" s="52" t="s">
        <v>70</v>
      </c>
      <c r="I594" s="118">
        <v>142</v>
      </c>
      <c r="J594" s="110" t="str">
        <f>IF(tbRegistroEntradas[[#This Row],[DATA DE CAIXA REALIZADO]]="N/A","0",UPPER(TEXT(tbRegistroEntradas[[#This Row],[DATA DE CAIXA REALIZADO]],"mmm")))</f>
        <v>MAI</v>
      </c>
      <c r="K594" s="57">
        <f>IF(tbRegistroEntradas[[#This Row],[DATA DE CAIXA REALIZADO]]="N/A",0,YEAR(tbRegistroEntradas[[#This Row],[DATA DE CAIXA REALIZADO]]))</f>
        <v>2023</v>
      </c>
      <c r="L594" s="58" t="str">
        <f>IF(tbRegistroEntradas[[#This Row],[DATA DA COMPETÊNCIA]]="N/A","0",UPPER(TEXT(tbRegistroEntradas[[#This Row],[DATA DA COMPETÊNCIA]],"mmm")))</f>
        <v>ABR</v>
      </c>
      <c r="M594" s="58">
        <f>IF(tbRegistroEntradas[[#This Row],[DATA DA COMPETÊNCIA]]="N/A",0,YEAR(tbRegistroEntradas[[#This Row],[DATA DA COMPETÊNCIA]]))</f>
        <v>2023</v>
      </c>
      <c r="N594" s="58" t="str">
        <f>IF(tbRegistroEntradas[[#This Row],[DATA DO CAIXA PREVISTO]]="N/A","0",UPPER(TEXT(tbRegistroEntradas[[#This Row],[DATA DO CAIXA PREVISTO]],"mmm")))</f>
        <v>ABR</v>
      </c>
      <c r="O594" s="58">
        <f>IF(tbRegistroEntradas[[#This Row],[DATA DO CAIXA PREVISTO]]="N/A",0,YEAR(tbRegistroEntradas[[#This Row],[DATA DO CAIXA PREVISTO]]))</f>
        <v>2023</v>
      </c>
      <c r="P594" s="58" t="str">
        <f ca="1">IF(AND(tbRegistroEntradas[[#This Row],[DATA DE CAIXA REALIZADO]]="N/A",tbRegistroEntradas[[#This Row],[DATA DO CAIXA PREVISTO]]&lt;TODAY()),"Vencida","Não Vencida")</f>
        <v>Não Vencida</v>
      </c>
      <c r="Q594" s="58" t="str">
        <f>IF(tbRegistroEntradas[[#This Row],[DATA DA COMPETÊNCIA]]=tbRegistroEntradas[[#This Row],[DATA DO CAIXA PREVISTO]],"Vista","Prazo")</f>
        <v>Vista</v>
      </c>
      <c r="R594" s="58" t="str">
        <f>IF(tbRegistroEntradas[[#This Row],[DATA DE CAIXA REALIZADO]]&lt;&gt;"N/A","Em Dia","Com atraso")</f>
        <v>Em Dia</v>
      </c>
    </row>
    <row r="595" spans="1:18" ht="14.4" customHeight="1" x14ac:dyDescent="0.3">
      <c r="A595" s="43">
        <v>45141.092546296299</v>
      </c>
      <c r="B595" s="44">
        <v>45025</v>
      </c>
      <c r="C595" s="44">
        <v>45070.201504629629</v>
      </c>
      <c r="D595" s="35" t="s">
        <v>67</v>
      </c>
      <c r="E595" s="35" t="s">
        <v>12</v>
      </c>
      <c r="F595" s="35" t="s">
        <v>17</v>
      </c>
      <c r="G595" s="35" t="s">
        <v>344</v>
      </c>
      <c r="H595" s="52" t="s">
        <v>129</v>
      </c>
      <c r="I595" s="122">
        <v>609</v>
      </c>
      <c r="J595" s="55" t="str">
        <f>IF(tbRegistroEntradas[[#This Row],[DATA DE CAIXA REALIZADO]]="N/A","0",UPPER(TEXT(tbRegistroEntradas[[#This Row],[DATA DE CAIXA REALIZADO]],"mmm")))</f>
        <v>AGO</v>
      </c>
      <c r="K595" s="58">
        <f>IF(tbRegistroEntradas[[#This Row],[DATA DE CAIXA REALIZADO]]="N/A",0,YEAR(tbRegistroEntradas[[#This Row],[DATA DE CAIXA REALIZADO]]))</f>
        <v>2023</v>
      </c>
      <c r="L595" s="79" t="str">
        <f>IF(tbRegistroEntradas[[#This Row],[DATA DA COMPETÊNCIA]]="N/A","0",UPPER(TEXT(tbRegistroEntradas[[#This Row],[DATA DA COMPETÊNCIA]],"mmm")))</f>
        <v>ABR</v>
      </c>
      <c r="M595" s="79">
        <f>IF(tbRegistroEntradas[[#This Row],[DATA DA COMPETÊNCIA]]="N/A",0,YEAR(tbRegistroEntradas[[#This Row],[DATA DA COMPETÊNCIA]]))</f>
        <v>2023</v>
      </c>
      <c r="N595" s="84" t="str">
        <f>IF(tbRegistroEntradas[[#This Row],[DATA DO CAIXA PREVISTO]]="N/A","0",UPPER(TEXT(tbRegistroEntradas[[#This Row],[DATA DO CAIXA PREVISTO]],"mmm")))</f>
        <v>MAI</v>
      </c>
      <c r="O595" s="84">
        <f>IF(tbRegistroEntradas[[#This Row],[DATA DO CAIXA PREVISTO]]="N/A",0,YEAR(tbRegistroEntradas[[#This Row],[DATA DO CAIXA PREVISTO]]))</f>
        <v>2023</v>
      </c>
      <c r="P595" s="58" t="str">
        <f ca="1">IF(AND(tbRegistroEntradas[[#This Row],[DATA DE CAIXA REALIZADO]]="N/A",tbRegistroEntradas[[#This Row],[DATA DO CAIXA PREVISTO]]&lt;TODAY()),"Vencida","Não Vencida")</f>
        <v>Não Vencida</v>
      </c>
      <c r="Q595" s="58" t="str">
        <f>IF(tbRegistroEntradas[[#This Row],[DATA DA COMPETÊNCIA]]=tbRegistroEntradas[[#This Row],[DATA DO CAIXA PREVISTO]],"Vista","Prazo")</f>
        <v>Prazo</v>
      </c>
      <c r="R595" s="58" t="str">
        <f>IF(tbRegistroEntradas[[#This Row],[DATA DE CAIXA REALIZADO]]&lt;&gt;"N/A","Em Dia","Com atraso")</f>
        <v>Em Dia</v>
      </c>
    </row>
    <row r="596" spans="1:18" ht="14.4" customHeight="1" x14ac:dyDescent="0.3">
      <c r="A596" s="40">
        <v>45076.075821759259</v>
      </c>
      <c r="B596" s="41">
        <v>45028</v>
      </c>
      <c r="C596" s="41">
        <v>45076.075821759259</v>
      </c>
      <c r="D596" s="42" t="s">
        <v>137</v>
      </c>
      <c r="E596" s="42" t="s">
        <v>12</v>
      </c>
      <c r="F596" s="42" t="s">
        <v>19</v>
      </c>
      <c r="G596" s="42" t="s">
        <v>345</v>
      </c>
      <c r="H596" s="109" t="s">
        <v>106</v>
      </c>
      <c r="I596" s="121">
        <v>2883</v>
      </c>
      <c r="J596" s="55" t="str">
        <f>IF(tbRegistroEntradas[[#This Row],[DATA DE CAIXA REALIZADO]]="N/A","0",UPPER(TEXT(tbRegistroEntradas[[#This Row],[DATA DE CAIXA REALIZADO]],"mmm")))</f>
        <v>MAI</v>
      </c>
      <c r="K596" s="58">
        <f>IF(tbRegistroEntradas[[#This Row],[DATA DE CAIXA REALIZADO]]="N/A",0,YEAR(tbRegistroEntradas[[#This Row],[DATA DE CAIXA REALIZADO]]))</f>
        <v>2023</v>
      </c>
      <c r="L596" s="79" t="str">
        <f>IF(tbRegistroEntradas[[#This Row],[DATA DA COMPETÊNCIA]]="N/A","0",UPPER(TEXT(tbRegistroEntradas[[#This Row],[DATA DA COMPETÊNCIA]],"mmm")))</f>
        <v>ABR</v>
      </c>
      <c r="M596" s="79">
        <f>IF(tbRegistroEntradas[[#This Row],[DATA DA COMPETÊNCIA]]="N/A",0,YEAR(tbRegistroEntradas[[#This Row],[DATA DA COMPETÊNCIA]]))</f>
        <v>2023</v>
      </c>
      <c r="N596" s="84" t="str">
        <f>IF(tbRegistroEntradas[[#This Row],[DATA DO CAIXA PREVISTO]]="N/A","0",UPPER(TEXT(tbRegistroEntradas[[#This Row],[DATA DO CAIXA PREVISTO]],"mmm")))</f>
        <v>MAI</v>
      </c>
      <c r="O596" s="84">
        <f>IF(tbRegistroEntradas[[#This Row],[DATA DO CAIXA PREVISTO]]="N/A",0,YEAR(tbRegistroEntradas[[#This Row],[DATA DO CAIXA PREVISTO]]))</f>
        <v>2023</v>
      </c>
      <c r="P596" s="58" t="str">
        <f ca="1">IF(AND(tbRegistroEntradas[[#This Row],[DATA DE CAIXA REALIZADO]]="N/A",tbRegistroEntradas[[#This Row],[DATA DO CAIXA PREVISTO]]&lt;TODAY()),"Vencida","Não Vencida")</f>
        <v>Não Vencida</v>
      </c>
      <c r="Q596" s="58" t="str">
        <f>IF(tbRegistroEntradas[[#This Row],[DATA DA COMPETÊNCIA]]=tbRegistroEntradas[[#This Row],[DATA DO CAIXA PREVISTO]],"Vista","Prazo")</f>
        <v>Prazo</v>
      </c>
      <c r="R596" s="58" t="str">
        <f>IF(tbRegistroEntradas[[#This Row],[DATA DE CAIXA REALIZADO]]&lt;&gt;"N/A","Em Dia","Com atraso")</f>
        <v>Em Dia</v>
      </c>
    </row>
    <row r="597" spans="1:18" ht="14.4" customHeight="1" x14ac:dyDescent="0.3">
      <c r="A597" s="111">
        <v>45059</v>
      </c>
      <c r="B597" s="111">
        <f>A597-31</f>
        <v>45028</v>
      </c>
      <c r="C597" s="111">
        <f>(A597-B597)+B597-15</f>
        <v>45044</v>
      </c>
      <c r="D597" s="109" t="s">
        <v>66</v>
      </c>
      <c r="E597" s="109" t="s">
        <v>12</v>
      </c>
      <c r="F597" s="109" t="s">
        <v>32</v>
      </c>
      <c r="G597" s="109" t="s">
        <v>671</v>
      </c>
      <c r="H597" s="126" t="s">
        <v>125</v>
      </c>
      <c r="I597" s="118">
        <v>894</v>
      </c>
      <c r="J597" s="110" t="str">
        <f>IF(tbRegistroEntradas[[#This Row],[DATA DE CAIXA REALIZADO]]="N/A","0",UPPER(TEXT(tbRegistroEntradas[[#This Row],[DATA DE CAIXA REALIZADO]],"mmm")))</f>
        <v>MAI</v>
      </c>
      <c r="K597" s="57">
        <f>IF(tbRegistroEntradas[[#This Row],[DATA DE CAIXA REALIZADO]]="N/A",0,YEAR(tbRegistroEntradas[[#This Row],[DATA DE CAIXA REALIZADO]]))</f>
        <v>2023</v>
      </c>
      <c r="L597" s="58" t="str">
        <f>IF(tbRegistroEntradas[[#This Row],[DATA DA COMPETÊNCIA]]="N/A","0",UPPER(TEXT(tbRegistroEntradas[[#This Row],[DATA DA COMPETÊNCIA]],"mmm")))</f>
        <v>ABR</v>
      </c>
      <c r="M597" s="58">
        <f>IF(tbRegistroEntradas[[#This Row],[DATA DA COMPETÊNCIA]]="N/A",0,YEAR(tbRegistroEntradas[[#This Row],[DATA DA COMPETÊNCIA]]))</f>
        <v>2023</v>
      </c>
      <c r="N597" s="58" t="str">
        <f>IF(tbRegistroEntradas[[#This Row],[DATA DO CAIXA PREVISTO]]="N/A","0",UPPER(TEXT(tbRegistroEntradas[[#This Row],[DATA DO CAIXA PREVISTO]],"mmm")))</f>
        <v>ABR</v>
      </c>
      <c r="O597" s="58">
        <f>IF(tbRegistroEntradas[[#This Row],[DATA DO CAIXA PREVISTO]]="N/A",0,YEAR(tbRegistroEntradas[[#This Row],[DATA DO CAIXA PREVISTO]]))</f>
        <v>2023</v>
      </c>
      <c r="P597" s="58" t="str">
        <f ca="1">IF(AND(tbRegistroEntradas[[#This Row],[DATA DE CAIXA REALIZADO]]="N/A",tbRegistroEntradas[[#This Row],[DATA DO CAIXA PREVISTO]]&lt;TODAY()),"Vencida","Não Vencida")</f>
        <v>Não Vencida</v>
      </c>
      <c r="Q597" s="58" t="str">
        <f>IF(tbRegistroEntradas[[#This Row],[DATA DA COMPETÊNCIA]]=tbRegistroEntradas[[#This Row],[DATA DO CAIXA PREVISTO]],"Vista","Prazo")</f>
        <v>Prazo</v>
      </c>
      <c r="R597" s="58" t="str">
        <f>IF(tbRegistroEntradas[[#This Row],[DATA DE CAIXA REALIZADO]]&lt;&gt;"N/A","Em Dia","Com atraso")</f>
        <v>Em Dia</v>
      </c>
    </row>
    <row r="598" spans="1:18" ht="14.4" customHeight="1" x14ac:dyDescent="0.3">
      <c r="A598" s="43">
        <v>45031.769490740742</v>
      </c>
      <c r="B598" s="44">
        <v>45030</v>
      </c>
      <c r="C598" s="44">
        <v>45031.769490740742</v>
      </c>
      <c r="D598" s="35" t="s">
        <v>61</v>
      </c>
      <c r="E598" s="35" t="s">
        <v>12</v>
      </c>
      <c r="F598" s="35" t="s">
        <v>17</v>
      </c>
      <c r="G598" s="35" t="s">
        <v>346</v>
      </c>
      <c r="H598" s="52" t="s">
        <v>80</v>
      </c>
      <c r="I598" s="122">
        <v>4651</v>
      </c>
      <c r="J598" s="55" t="str">
        <f>IF(tbRegistroEntradas[[#This Row],[DATA DE CAIXA REALIZADO]]="N/A","0",UPPER(TEXT(tbRegistroEntradas[[#This Row],[DATA DE CAIXA REALIZADO]],"mmm")))</f>
        <v>ABR</v>
      </c>
      <c r="K598" s="58">
        <f>IF(tbRegistroEntradas[[#This Row],[DATA DE CAIXA REALIZADO]]="N/A",0,YEAR(tbRegistroEntradas[[#This Row],[DATA DE CAIXA REALIZADO]]))</f>
        <v>2023</v>
      </c>
      <c r="L598" s="79" t="str">
        <f>IF(tbRegistroEntradas[[#This Row],[DATA DA COMPETÊNCIA]]="N/A","0",UPPER(TEXT(tbRegistroEntradas[[#This Row],[DATA DA COMPETÊNCIA]],"mmm")))</f>
        <v>ABR</v>
      </c>
      <c r="M598" s="79">
        <f>IF(tbRegistroEntradas[[#This Row],[DATA DA COMPETÊNCIA]]="N/A",0,YEAR(tbRegistroEntradas[[#This Row],[DATA DA COMPETÊNCIA]]))</f>
        <v>2023</v>
      </c>
      <c r="N598" s="84" t="str">
        <f>IF(tbRegistroEntradas[[#This Row],[DATA DO CAIXA PREVISTO]]="N/A","0",UPPER(TEXT(tbRegistroEntradas[[#This Row],[DATA DO CAIXA PREVISTO]],"mmm")))</f>
        <v>ABR</v>
      </c>
      <c r="O598" s="84">
        <f>IF(tbRegistroEntradas[[#This Row],[DATA DO CAIXA PREVISTO]]="N/A",0,YEAR(tbRegistroEntradas[[#This Row],[DATA DO CAIXA PREVISTO]]))</f>
        <v>2023</v>
      </c>
      <c r="P598" s="58" t="str">
        <f ca="1">IF(AND(tbRegistroEntradas[[#This Row],[DATA DE CAIXA REALIZADO]]="N/A",tbRegistroEntradas[[#This Row],[DATA DO CAIXA PREVISTO]]&lt;TODAY()),"Vencida","Não Vencida")</f>
        <v>Não Vencida</v>
      </c>
      <c r="Q598" s="58" t="str">
        <f>IF(tbRegistroEntradas[[#This Row],[DATA DA COMPETÊNCIA]]=tbRegistroEntradas[[#This Row],[DATA DO CAIXA PREVISTO]],"Vista","Prazo")</f>
        <v>Prazo</v>
      </c>
      <c r="R598" s="58" t="str">
        <f>IF(tbRegistroEntradas[[#This Row],[DATA DE CAIXA REALIZADO]]&lt;&gt;"N/A","Em Dia","Com atraso")</f>
        <v>Em Dia</v>
      </c>
    </row>
    <row r="599" spans="1:18" ht="14.4" customHeight="1" x14ac:dyDescent="0.3">
      <c r="A599" s="111">
        <v>45063</v>
      </c>
      <c r="B599" s="111">
        <f>A599-31</f>
        <v>45032</v>
      </c>
      <c r="C599" s="111">
        <f>(A599-B599)+B599-15</f>
        <v>45048</v>
      </c>
      <c r="D599" s="109" t="s">
        <v>66</v>
      </c>
      <c r="E599" s="109" t="s">
        <v>12</v>
      </c>
      <c r="F599" s="109" t="s">
        <v>32</v>
      </c>
      <c r="G599" s="109" t="s">
        <v>989</v>
      </c>
      <c r="H599" s="52" t="s">
        <v>123</v>
      </c>
      <c r="I599" s="118">
        <v>3939</v>
      </c>
      <c r="J599" s="110" t="str">
        <f>IF(tbRegistroEntradas[[#This Row],[DATA DE CAIXA REALIZADO]]="N/A","0",UPPER(TEXT(tbRegistroEntradas[[#This Row],[DATA DE CAIXA REALIZADO]],"mmm")))</f>
        <v>MAI</v>
      </c>
      <c r="K599" s="57">
        <f>IF(tbRegistroEntradas[[#This Row],[DATA DE CAIXA REALIZADO]]="N/A",0,YEAR(tbRegistroEntradas[[#This Row],[DATA DE CAIXA REALIZADO]]))</f>
        <v>2023</v>
      </c>
      <c r="L599" s="58" t="str">
        <f>IF(tbRegistroEntradas[[#This Row],[DATA DA COMPETÊNCIA]]="N/A","0",UPPER(TEXT(tbRegistroEntradas[[#This Row],[DATA DA COMPETÊNCIA]],"mmm")))</f>
        <v>ABR</v>
      </c>
      <c r="M599" s="58">
        <f>IF(tbRegistroEntradas[[#This Row],[DATA DA COMPETÊNCIA]]="N/A",0,YEAR(tbRegistroEntradas[[#This Row],[DATA DA COMPETÊNCIA]]))</f>
        <v>2023</v>
      </c>
      <c r="N599" s="58" t="str">
        <f>IF(tbRegistroEntradas[[#This Row],[DATA DO CAIXA PREVISTO]]="N/A","0",UPPER(TEXT(tbRegistroEntradas[[#This Row],[DATA DO CAIXA PREVISTO]],"mmm")))</f>
        <v>MAI</v>
      </c>
      <c r="O599" s="58">
        <f>IF(tbRegistroEntradas[[#This Row],[DATA DO CAIXA PREVISTO]]="N/A",0,YEAR(tbRegistroEntradas[[#This Row],[DATA DO CAIXA PREVISTO]]))</f>
        <v>2023</v>
      </c>
      <c r="P599" s="58" t="str">
        <f ca="1">IF(AND(tbRegistroEntradas[[#This Row],[DATA DE CAIXA REALIZADO]]="N/A",tbRegistroEntradas[[#This Row],[DATA DO CAIXA PREVISTO]]&lt;TODAY()),"Vencida","Não Vencida")</f>
        <v>Não Vencida</v>
      </c>
      <c r="Q599" s="58" t="str">
        <f>IF(tbRegistroEntradas[[#This Row],[DATA DA COMPETÊNCIA]]=tbRegistroEntradas[[#This Row],[DATA DO CAIXA PREVISTO]],"Vista","Prazo")</f>
        <v>Prazo</v>
      </c>
      <c r="R599" s="58" t="str">
        <f>IF(tbRegistroEntradas[[#This Row],[DATA DE CAIXA REALIZADO]]&lt;&gt;"N/A","Em Dia","Com atraso")</f>
        <v>Em Dia</v>
      </c>
    </row>
    <row r="600" spans="1:18" ht="14.4" customHeight="1" x14ac:dyDescent="0.3">
      <c r="A600" s="111">
        <v>45064</v>
      </c>
      <c r="B600" s="111">
        <f>A600-31</f>
        <v>45033</v>
      </c>
      <c r="C600" s="111">
        <f>tbRegistroEntradas[[#This Row],[DATA DA COMPETÊNCIA]]</f>
        <v>45033</v>
      </c>
      <c r="D600" s="109" t="s">
        <v>61</v>
      </c>
      <c r="E600" s="109" t="s">
        <v>12</v>
      </c>
      <c r="F600" s="109" t="s">
        <v>16</v>
      </c>
      <c r="G600" s="109" t="s">
        <v>689</v>
      </c>
      <c r="H600" s="52" t="s">
        <v>81</v>
      </c>
      <c r="I600" s="118">
        <v>4599</v>
      </c>
      <c r="J600" s="110" t="str">
        <f>IF(tbRegistroEntradas[[#This Row],[DATA DE CAIXA REALIZADO]]="N/A","0",UPPER(TEXT(tbRegistroEntradas[[#This Row],[DATA DE CAIXA REALIZADO]],"mmm")))</f>
        <v>MAI</v>
      </c>
      <c r="K600" s="57">
        <f>IF(tbRegistroEntradas[[#This Row],[DATA DE CAIXA REALIZADO]]="N/A",0,YEAR(tbRegistroEntradas[[#This Row],[DATA DE CAIXA REALIZADO]]))</f>
        <v>2023</v>
      </c>
      <c r="L600" s="58" t="str">
        <f>IF(tbRegistroEntradas[[#This Row],[DATA DA COMPETÊNCIA]]="N/A","0",UPPER(TEXT(tbRegistroEntradas[[#This Row],[DATA DA COMPETÊNCIA]],"mmm")))</f>
        <v>ABR</v>
      </c>
      <c r="M600" s="58">
        <f>IF(tbRegistroEntradas[[#This Row],[DATA DA COMPETÊNCIA]]="N/A",0,YEAR(tbRegistroEntradas[[#This Row],[DATA DA COMPETÊNCIA]]))</f>
        <v>2023</v>
      </c>
      <c r="N600" s="58" t="str">
        <f>IF(tbRegistroEntradas[[#This Row],[DATA DO CAIXA PREVISTO]]="N/A","0",UPPER(TEXT(tbRegistroEntradas[[#This Row],[DATA DO CAIXA PREVISTO]],"mmm")))</f>
        <v>ABR</v>
      </c>
      <c r="O600" s="58">
        <f>IF(tbRegistroEntradas[[#This Row],[DATA DO CAIXA PREVISTO]]="N/A",0,YEAR(tbRegistroEntradas[[#This Row],[DATA DO CAIXA PREVISTO]]))</f>
        <v>2023</v>
      </c>
      <c r="P600" s="58" t="str">
        <f ca="1">IF(AND(tbRegistroEntradas[[#This Row],[DATA DE CAIXA REALIZADO]]="N/A",tbRegistroEntradas[[#This Row],[DATA DO CAIXA PREVISTO]]&lt;TODAY()),"Vencida","Não Vencida")</f>
        <v>Não Vencida</v>
      </c>
      <c r="Q600" s="58" t="str">
        <f>IF(tbRegistroEntradas[[#This Row],[DATA DA COMPETÊNCIA]]=tbRegistroEntradas[[#This Row],[DATA DO CAIXA PREVISTO]],"Vista","Prazo")</f>
        <v>Vista</v>
      </c>
      <c r="R600" s="58" t="str">
        <f>IF(tbRegistroEntradas[[#This Row],[DATA DE CAIXA REALIZADO]]&lt;&gt;"N/A","Em Dia","Com atraso")</f>
        <v>Em Dia</v>
      </c>
    </row>
    <row r="601" spans="1:18" ht="14.4" customHeight="1" x14ac:dyDescent="0.3">
      <c r="A601" s="40">
        <v>45040.931863425925</v>
      </c>
      <c r="B601" s="41">
        <v>45034</v>
      </c>
      <c r="C601" s="41">
        <v>45040.931863425925</v>
      </c>
      <c r="D601" s="42" t="s">
        <v>67</v>
      </c>
      <c r="E601" s="42" t="s">
        <v>12</v>
      </c>
      <c r="F601" s="42" t="s">
        <v>17</v>
      </c>
      <c r="G601" s="42" t="s">
        <v>347</v>
      </c>
      <c r="H601" s="5" t="s">
        <v>132</v>
      </c>
      <c r="I601" s="121">
        <v>4797</v>
      </c>
      <c r="J601" s="55" t="str">
        <f>IF(tbRegistroEntradas[[#This Row],[DATA DE CAIXA REALIZADO]]="N/A","0",UPPER(TEXT(tbRegistroEntradas[[#This Row],[DATA DE CAIXA REALIZADO]],"mmm")))</f>
        <v>ABR</v>
      </c>
      <c r="K601" s="58">
        <f>IF(tbRegistroEntradas[[#This Row],[DATA DE CAIXA REALIZADO]]="N/A",0,YEAR(tbRegistroEntradas[[#This Row],[DATA DE CAIXA REALIZADO]]))</f>
        <v>2023</v>
      </c>
      <c r="L601" s="79" t="str">
        <f>IF(tbRegistroEntradas[[#This Row],[DATA DA COMPETÊNCIA]]="N/A","0",UPPER(TEXT(tbRegistroEntradas[[#This Row],[DATA DA COMPETÊNCIA]],"mmm")))</f>
        <v>ABR</v>
      </c>
      <c r="M601" s="79">
        <f>IF(tbRegistroEntradas[[#This Row],[DATA DA COMPETÊNCIA]]="N/A",0,YEAR(tbRegistroEntradas[[#This Row],[DATA DA COMPETÊNCIA]]))</f>
        <v>2023</v>
      </c>
      <c r="N601" s="84" t="str">
        <f>IF(tbRegistroEntradas[[#This Row],[DATA DO CAIXA PREVISTO]]="N/A","0",UPPER(TEXT(tbRegistroEntradas[[#This Row],[DATA DO CAIXA PREVISTO]],"mmm")))</f>
        <v>ABR</v>
      </c>
      <c r="O601" s="84">
        <f>IF(tbRegistroEntradas[[#This Row],[DATA DO CAIXA PREVISTO]]="N/A",0,YEAR(tbRegistroEntradas[[#This Row],[DATA DO CAIXA PREVISTO]]))</f>
        <v>2023</v>
      </c>
      <c r="P601" s="58" t="str">
        <f ca="1">IF(AND(tbRegistroEntradas[[#This Row],[DATA DE CAIXA REALIZADO]]="N/A",tbRegistroEntradas[[#This Row],[DATA DO CAIXA PREVISTO]]&lt;TODAY()),"Vencida","Não Vencida")</f>
        <v>Não Vencida</v>
      </c>
      <c r="Q601" s="58" t="str">
        <f>IF(tbRegistroEntradas[[#This Row],[DATA DA COMPETÊNCIA]]=tbRegistroEntradas[[#This Row],[DATA DO CAIXA PREVISTO]],"Vista","Prazo")</f>
        <v>Prazo</v>
      </c>
      <c r="R601" s="58" t="str">
        <f>IF(tbRegistroEntradas[[#This Row],[DATA DE CAIXA REALIZADO]]&lt;&gt;"N/A","Em Dia","Com atraso")</f>
        <v>Em Dia</v>
      </c>
    </row>
    <row r="602" spans="1:18" ht="14.4" customHeight="1" x14ac:dyDescent="0.3">
      <c r="A602" s="111">
        <v>45065</v>
      </c>
      <c r="B602" s="111">
        <f>A602-31</f>
        <v>45034</v>
      </c>
      <c r="C602" s="111">
        <f>(A602-B602)+B602-15</f>
        <v>45050</v>
      </c>
      <c r="D602" s="109" t="s">
        <v>67</v>
      </c>
      <c r="E602" s="109" t="s">
        <v>12</v>
      </c>
      <c r="F602" s="109" t="s">
        <v>32</v>
      </c>
      <c r="G602" s="109" t="s">
        <v>713</v>
      </c>
      <c r="H602" s="52" t="s">
        <v>130</v>
      </c>
      <c r="I602" s="118">
        <v>3793</v>
      </c>
      <c r="J602" s="110" t="str">
        <f>IF(tbRegistroEntradas[[#This Row],[DATA DE CAIXA REALIZADO]]="N/A","0",UPPER(TEXT(tbRegistroEntradas[[#This Row],[DATA DE CAIXA REALIZADO]],"mmm")))</f>
        <v>MAI</v>
      </c>
      <c r="K602" s="57">
        <f>IF(tbRegistroEntradas[[#This Row],[DATA DE CAIXA REALIZADO]]="N/A",0,YEAR(tbRegistroEntradas[[#This Row],[DATA DE CAIXA REALIZADO]]))</f>
        <v>2023</v>
      </c>
      <c r="L602" s="58" t="str">
        <f>IF(tbRegistroEntradas[[#This Row],[DATA DA COMPETÊNCIA]]="N/A","0",UPPER(TEXT(tbRegistroEntradas[[#This Row],[DATA DA COMPETÊNCIA]],"mmm")))</f>
        <v>ABR</v>
      </c>
      <c r="M602" s="58">
        <f>IF(tbRegistroEntradas[[#This Row],[DATA DA COMPETÊNCIA]]="N/A",0,YEAR(tbRegistroEntradas[[#This Row],[DATA DA COMPETÊNCIA]]))</f>
        <v>2023</v>
      </c>
      <c r="N602" s="58" t="str">
        <f>IF(tbRegistroEntradas[[#This Row],[DATA DO CAIXA PREVISTO]]="N/A","0",UPPER(TEXT(tbRegistroEntradas[[#This Row],[DATA DO CAIXA PREVISTO]],"mmm")))</f>
        <v>MAI</v>
      </c>
      <c r="O602" s="58">
        <f>IF(tbRegistroEntradas[[#This Row],[DATA DO CAIXA PREVISTO]]="N/A",0,YEAR(tbRegistroEntradas[[#This Row],[DATA DO CAIXA PREVISTO]]))</f>
        <v>2023</v>
      </c>
      <c r="P602" s="58" t="str">
        <f ca="1">IF(AND(tbRegistroEntradas[[#This Row],[DATA DE CAIXA REALIZADO]]="N/A",tbRegistroEntradas[[#This Row],[DATA DO CAIXA PREVISTO]]&lt;TODAY()),"Vencida","Não Vencida")</f>
        <v>Não Vencida</v>
      </c>
      <c r="Q602" s="58" t="str">
        <f>IF(tbRegistroEntradas[[#This Row],[DATA DA COMPETÊNCIA]]=tbRegistroEntradas[[#This Row],[DATA DO CAIXA PREVISTO]],"Vista","Prazo")</f>
        <v>Prazo</v>
      </c>
      <c r="R602" s="58" t="str">
        <f>IF(tbRegistroEntradas[[#This Row],[DATA DE CAIXA REALIZADO]]&lt;&gt;"N/A","Em Dia","Com atraso")</f>
        <v>Em Dia</v>
      </c>
    </row>
    <row r="603" spans="1:18" ht="14.4" customHeight="1" x14ac:dyDescent="0.3">
      <c r="A603" s="43">
        <v>45059.937060185184</v>
      </c>
      <c r="B603" s="44">
        <v>45036</v>
      </c>
      <c r="C603" s="44">
        <v>45059.937060185184</v>
      </c>
      <c r="D603" s="35" t="s">
        <v>66</v>
      </c>
      <c r="E603" s="35" t="s">
        <v>12</v>
      </c>
      <c r="F603" s="35" t="s">
        <v>18</v>
      </c>
      <c r="G603" s="35" t="s">
        <v>348</v>
      </c>
      <c r="H603" s="126" t="s">
        <v>124</v>
      </c>
      <c r="I603" s="122">
        <v>1620</v>
      </c>
      <c r="J603" s="55" t="str">
        <f>IF(tbRegistroEntradas[[#This Row],[DATA DE CAIXA REALIZADO]]="N/A","0",UPPER(TEXT(tbRegistroEntradas[[#This Row],[DATA DE CAIXA REALIZADO]],"mmm")))</f>
        <v>MAI</v>
      </c>
      <c r="K603" s="58">
        <f>IF(tbRegistroEntradas[[#This Row],[DATA DE CAIXA REALIZADO]]="N/A",0,YEAR(tbRegistroEntradas[[#This Row],[DATA DE CAIXA REALIZADO]]))</f>
        <v>2023</v>
      </c>
      <c r="L603" s="79" t="str">
        <f>IF(tbRegistroEntradas[[#This Row],[DATA DA COMPETÊNCIA]]="N/A","0",UPPER(TEXT(tbRegistroEntradas[[#This Row],[DATA DA COMPETÊNCIA]],"mmm")))</f>
        <v>ABR</v>
      </c>
      <c r="M603" s="79">
        <f>IF(tbRegistroEntradas[[#This Row],[DATA DA COMPETÊNCIA]]="N/A",0,YEAR(tbRegistroEntradas[[#This Row],[DATA DA COMPETÊNCIA]]))</f>
        <v>2023</v>
      </c>
      <c r="N603" s="84" t="str">
        <f>IF(tbRegistroEntradas[[#This Row],[DATA DO CAIXA PREVISTO]]="N/A","0",UPPER(TEXT(tbRegistroEntradas[[#This Row],[DATA DO CAIXA PREVISTO]],"mmm")))</f>
        <v>MAI</v>
      </c>
      <c r="O603" s="84">
        <f>IF(tbRegistroEntradas[[#This Row],[DATA DO CAIXA PREVISTO]]="N/A",0,YEAR(tbRegistroEntradas[[#This Row],[DATA DO CAIXA PREVISTO]]))</f>
        <v>2023</v>
      </c>
      <c r="P603" s="58" t="str">
        <f ca="1">IF(AND(tbRegistroEntradas[[#This Row],[DATA DE CAIXA REALIZADO]]="N/A",tbRegistroEntradas[[#This Row],[DATA DO CAIXA PREVISTO]]&lt;TODAY()),"Vencida","Não Vencida")</f>
        <v>Não Vencida</v>
      </c>
      <c r="Q603" s="58" t="str">
        <f>IF(tbRegistroEntradas[[#This Row],[DATA DA COMPETÊNCIA]]=tbRegistroEntradas[[#This Row],[DATA DO CAIXA PREVISTO]],"Vista","Prazo")</f>
        <v>Prazo</v>
      </c>
      <c r="R603" s="58" t="str">
        <f>IF(tbRegistroEntradas[[#This Row],[DATA DE CAIXA REALIZADO]]&lt;&gt;"N/A","Em Dia","Com atraso")</f>
        <v>Em Dia</v>
      </c>
    </row>
    <row r="604" spans="1:18" ht="14.4" customHeight="1" x14ac:dyDescent="0.3">
      <c r="A604" s="111">
        <v>45070</v>
      </c>
      <c r="B604" s="111">
        <f>A604-31</f>
        <v>45039</v>
      </c>
      <c r="C604" s="111">
        <f>(A604-B604)+B604-15</f>
        <v>45055</v>
      </c>
      <c r="D604" s="109" t="s">
        <v>66</v>
      </c>
      <c r="E604" s="109" t="s">
        <v>12</v>
      </c>
      <c r="F604" s="109" t="s">
        <v>18</v>
      </c>
      <c r="G604" s="109" t="s">
        <v>1023</v>
      </c>
      <c r="H604" s="52" t="s">
        <v>126</v>
      </c>
      <c r="I604" s="118">
        <v>1005</v>
      </c>
      <c r="J604" s="110" t="str">
        <f>IF(tbRegistroEntradas[[#This Row],[DATA DE CAIXA REALIZADO]]="N/A","0",UPPER(TEXT(tbRegistroEntradas[[#This Row],[DATA DE CAIXA REALIZADO]],"mmm")))</f>
        <v>MAI</v>
      </c>
      <c r="K604" s="57">
        <f>IF(tbRegistroEntradas[[#This Row],[DATA DE CAIXA REALIZADO]]="N/A",0,YEAR(tbRegistroEntradas[[#This Row],[DATA DE CAIXA REALIZADO]]))</f>
        <v>2023</v>
      </c>
      <c r="L604" s="58" t="str">
        <f>IF(tbRegistroEntradas[[#This Row],[DATA DA COMPETÊNCIA]]="N/A","0",UPPER(TEXT(tbRegistroEntradas[[#This Row],[DATA DA COMPETÊNCIA]],"mmm")))</f>
        <v>ABR</v>
      </c>
      <c r="M604" s="58">
        <f>IF(tbRegistroEntradas[[#This Row],[DATA DA COMPETÊNCIA]]="N/A",0,YEAR(tbRegistroEntradas[[#This Row],[DATA DA COMPETÊNCIA]]))</f>
        <v>2023</v>
      </c>
      <c r="N604" s="58" t="str">
        <f>IF(tbRegistroEntradas[[#This Row],[DATA DO CAIXA PREVISTO]]="N/A","0",UPPER(TEXT(tbRegistroEntradas[[#This Row],[DATA DO CAIXA PREVISTO]],"mmm")))</f>
        <v>MAI</v>
      </c>
      <c r="O604" s="58">
        <f>IF(tbRegistroEntradas[[#This Row],[DATA DO CAIXA PREVISTO]]="N/A",0,YEAR(tbRegistroEntradas[[#This Row],[DATA DO CAIXA PREVISTO]]))</f>
        <v>2023</v>
      </c>
      <c r="P604" s="58" t="str">
        <f ca="1">IF(AND(tbRegistroEntradas[[#This Row],[DATA DE CAIXA REALIZADO]]="N/A",tbRegistroEntradas[[#This Row],[DATA DO CAIXA PREVISTO]]&lt;TODAY()),"Vencida","Não Vencida")</f>
        <v>Não Vencida</v>
      </c>
      <c r="Q604" s="58" t="str">
        <f>IF(tbRegistroEntradas[[#This Row],[DATA DA COMPETÊNCIA]]=tbRegistroEntradas[[#This Row],[DATA DO CAIXA PREVISTO]],"Vista","Prazo")</f>
        <v>Prazo</v>
      </c>
      <c r="R604" s="58" t="str">
        <f>IF(tbRegistroEntradas[[#This Row],[DATA DE CAIXA REALIZADO]]&lt;&gt;"N/A","Em Dia","Com atraso")</f>
        <v>Em Dia</v>
      </c>
    </row>
    <row r="605" spans="1:18" ht="14.4" customHeight="1" x14ac:dyDescent="0.3">
      <c r="A605" s="111">
        <v>45071</v>
      </c>
      <c r="B605" s="111">
        <f>A605-31</f>
        <v>45040</v>
      </c>
      <c r="C605" s="111">
        <f>tbRegistroEntradas[[#This Row],[DATA DA COMPETÊNCIA]]</f>
        <v>45040</v>
      </c>
      <c r="D605" s="109" t="s">
        <v>61</v>
      </c>
      <c r="E605" s="109" t="s">
        <v>12</v>
      </c>
      <c r="F605" s="109" t="s">
        <v>18</v>
      </c>
      <c r="G605" s="109" t="s">
        <v>766</v>
      </c>
      <c r="H605" s="52" t="s">
        <v>82</v>
      </c>
      <c r="I605" s="118">
        <v>4505</v>
      </c>
      <c r="J605" s="110" t="str">
        <f>IF(tbRegistroEntradas[[#This Row],[DATA DE CAIXA REALIZADO]]="N/A","0",UPPER(TEXT(tbRegistroEntradas[[#This Row],[DATA DE CAIXA REALIZADO]],"mmm")))</f>
        <v>MAI</v>
      </c>
      <c r="K605" s="57">
        <f>IF(tbRegistroEntradas[[#This Row],[DATA DE CAIXA REALIZADO]]="N/A",0,YEAR(tbRegistroEntradas[[#This Row],[DATA DE CAIXA REALIZADO]]))</f>
        <v>2023</v>
      </c>
      <c r="L605" s="58" t="str">
        <f>IF(tbRegistroEntradas[[#This Row],[DATA DA COMPETÊNCIA]]="N/A","0",UPPER(TEXT(tbRegistroEntradas[[#This Row],[DATA DA COMPETÊNCIA]],"mmm")))</f>
        <v>ABR</v>
      </c>
      <c r="M605" s="58">
        <f>IF(tbRegistroEntradas[[#This Row],[DATA DA COMPETÊNCIA]]="N/A",0,YEAR(tbRegistroEntradas[[#This Row],[DATA DA COMPETÊNCIA]]))</f>
        <v>2023</v>
      </c>
      <c r="N605" s="58" t="str">
        <f>IF(tbRegistroEntradas[[#This Row],[DATA DO CAIXA PREVISTO]]="N/A","0",UPPER(TEXT(tbRegistroEntradas[[#This Row],[DATA DO CAIXA PREVISTO]],"mmm")))</f>
        <v>ABR</v>
      </c>
      <c r="O605" s="58">
        <f>IF(tbRegistroEntradas[[#This Row],[DATA DO CAIXA PREVISTO]]="N/A",0,YEAR(tbRegistroEntradas[[#This Row],[DATA DO CAIXA PREVISTO]]))</f>
        <v>2023</v>
      </c>
      <c r="P605" s="58" t="str">
        <f ca="1">IF(AND(tbRegistroEntradas[[#This Row],[DATA DE CAIXA REALIZADO]]="N/A",tbRegistroEntradas[[#This Row],[DATA DO CAIXA PREVISTO]]&lt;TODAY()),"Vencida","Não Vencida")</f>
        <v>Não Vencida</v>
      </c>
      <c r="Q605" s="58" t="str">
        <f>IF(tbRegistroEntradas[[#This Row],[DATA DA COMPETÊNCIA]]=tbRegistroEntradas[[#This Row],[DATA DO CAIXA PREVISTO]],"Vista","Prazo")</f>
        <v>Vista</v>
      </c>
      <c r="R605" s="58" t="str">
        <f>IF(tbRegistroEntradas[[#This Row],[DATA DE CAIXA REALIZADO]]&lt;&gt;"N/A","Em Dia","Com atraso")</f>
        <v>Em Dia</v>
      </c>
    </row>
    <row r="606" spans="1:18" ht="14.4" customHeight="1" x14ac:dyDescent="0.3">
      <c r="A606" s="111">
        <v>45072</v>
      </c>
      <c r="B606" s="111">
        <f>A606-31</f>
        <v>45041</v>
      </c>
      <c r="C606" s="111">
        <f>tbRegistroEntradas[[#This Row],[DATA DA COMPETÊNCIA]]</f>
        <v>45041</v>
      </c>
      <c r="D606" s="109" t="s">
        <v>63</v>
      </c>
      <c r="E606" s="109" t="s">
        <v>12</v>
      </c>
      <c r="F606" s="109" t="s">
        <v>19</v>
      </c>
      <c r="G606" s="109" t="s">
        <v>872</v>
      </c>
      <c r="H606" s="52" t="s">
        <v>102</v>
      </c>
      <c r="I606" s="118">
        <v>6546</v>
      </c>
      <c r="J606" s="110" t="str">
        <f>IF(tbRegistroEntradas[[#This Row],[DATA DE CAIXA REALIZADO]]="N/A","0",UPPER(TEXT(tbRegistroEntradas[[#This Row],[DATA DE CAIXA REALIZADO]],"mmm")))</f>
        <v>MAI</v>
      </c>
      <c r="K606" s="57">
        <f>IF(tbRegistroEntradas[[#This Row],[DATA DE CAIXA REALIZADO]]="N/A",0,YEAR(tbRegistroEntradas[[#This Row],[DATA DE CAIXA REALIZADO]]))</f>
        <v>2023</v>
      </c>
      <c r="L606" s="58" t="str">
        <f>IF(tbRegistroEntradas[[#This Row],[DATA DA COMPETÊNCIA]]="N/A","0",UPPER(TEXT(tbRegistroEntradas[[#This Row],[DATA DA COMPETÊNCIA]],"mmm")))</f>
        <v>ABR</v>
      </c>
      <c r="M606" s="58">
        <f>IF(tbRegistroEntradas[[#This Row],[DATA DA COMPETÊNCIA]]="N/A",0,YEAR(tbRegistroEntradas[[#This Row],[DATA DA COMPETÊNCIA]]))</f>
        <v>2023</v>
      </c>
      <c r="N606" s="58" t="str">
        <f>IF(tbRegistroEntradas[[#This Row],[DATA DO CAIXA PREVISTO]]="N/A","0",UPPER(TEXT(tbRegistroEntradas[[#This Row],[DATA DO CAIXA PREVISTO]],"mmm")))</f>
        <v>ABR</v>
      </c>
      <c r="O606" s="58">
        <f>IF(tbRegistroEntradas[[#This Row],[DATA DO CAIXA PREVISTO]]="N/A",0,YEAR(tbRegistroEntradas[[#This Row],[DATA DO CAIXA PREVISTO]]))</f>
        <v>2023</v>
      </c>
      <c r="P606" s="58" t="str">
        <f ca="1">IF(AND(tbRegistroEntradas[[#This Row],[DATA DE CAIXA REALIZADO]]="N/A",tbRegistroEntradas[[#This Row],[DATA DO CAIXA PREVISTO]]&lt;TODAY()),"Vencida","Não Vencida")</f>
        <v>Não Vencida</v>
      </c>
      <c r="Q606" s="58" t="str">
        <f>IF(tbRegistroEntradas[[#This Row],[DATA DA COMPETÊNCIA]]=tbRegistroEntradas[[#This Row],[DATA DO CAIXA PREVISTO]],"Vista","Prazo")</f>
        <v>Vista</v>
      </c>
      <c r="R606" s="58" t="str">
        <f>IF(tbRegistroEntradas[[#This Row],[DATA DE CAIXA REALIZADO]]&lt;&gt;"N/A","Em Dia","Com atraso")</f>
        <v>Em Dia</v>
      </c>
    </row>
    <row r="607" spans="1:18" ht="14.4" customHeight="1" x14ac:dyDescent="0.3">
      <c r="A607" s="40">
        <v>45086.868576388886</v>
      </c>
      <c r="B607" s="41">
        <v>45043</v>
      </c>
      <c r="C607" s="41">
        <v>45086.868576388886</v>
      </c>
      <c r="D607" s="42" t="s">
        <v>65</v>
      </c>
      <c r="E607" s="42" t="s">
        <v>12</v>
      </c>
      <c r="F607" s="42" t="s">
        <v>32</v>
      </c>
      <c r="G607" s="42" t="s">
        <v>349</v>
      </c>
      <c r="H607" s="45" t="s">
        <v>134</v>
      </c>
      <c r="I607" s="121">
        <v>245</v>
      </c>
      <c r="J607" s="55" t="str">
        <f>IF(tbRegistroEntradas[[#This Row],[DATA DE CAIXA REALIZADO]]="N/A","0",UPPER(TEXT(tbRegistroEntradas[[#This Row],[DATA DE CAIXA REALIZADO]],"mmm")))</f>
        <v>JUN</v>
      </c>
      <c r="K607" s="58">
        <f>IF(tbRegistroEntradas[[#This Row],[DATA DE CAIXA REALIZADO]]="N/A",0,YEAR(tbRegistroEntradas[[#This Row],[DATA DE CAIXA REALIZADO]]))</f>
        <v>2023</v>
      </c>
      <c r="L607" s="79" t="str">
        <f>IF(tbRegistroEntradas[[#This Row],[DATA DA COMPETÊNCIA]]="N/A","0",UPPER(TEXT(tbRegistroEntradas[[#This Row],[DATA DA COMPETÊNCIA]],"mmm")))</f>
        <v>ABR</v>
      </c>
      <c r="M607" s="79">
        <f>IF(tbRegistroEntradas[[#This Row],[DATA DA COMPETÊNCIA]]="N/A",0,YEAR(tbRegistroEntradas[[#This Row],[DATA DA COMPETÊNCIA]]))</f>
        <v>2023</v>
      </c>
      <c r="N607" s="84" t="str">
        <f>IF(tbRegistroEntradas[[#This Row],[DATA DO CAIXA PREVISTO]]="N/A","0",UPPER(TEXT(tbRegistroEntradas[[#This Row],[DATA DO CAIXA PREVISTO]],"mmm")))</f>
        <v>JUN</v>
      </c>
      <c r="O607" s="84">
        <f>IF(tbRegistroEntradas[[#This Row],[DATA DO CAIXA PREVISTO]]="N/A",0,YEAR(tbRegistroEntradas[[#This Row],[DATA DO CAIXA PREVISTO]]))</f>
        <v>2023</v>
      </c>
      <c r="P607" s="58" t="str">
        <f ca="1">IF(AND(tbRegistroEntradas[[#This Row],[DATA DE CAIXA REALIZADO]]="N/A",tbRegistroEntradas[[#This Row],[DATA DO CAIXA PREVISTO]]&lt;TODAY()),"Vencida","Não Vencida")</f>
        <v>Não Vencida</v>
      </c>
      <c r="Q607" s="58" t="str">
        <f>IF(tbRegistroEntradas[[#This Row],[DATA DA COMPETÊNCIA]]=tbRegistroEntradas[[#This Row],[DATA DO CAIXA PREVISTO]],"Vista","Prazo")</f>
        <v>Prazo</v>
      </c>
      <c r="R607" s="58" t="str">
        <f>IF(tbRegistroEntradas[[#This Row],[DATA DE CAIXA REALIZADO]]&lt;&gt;"N/A","Em Dia","Com atraso")</f>
        <v>Em Dia</v>
      </c>
    </row>
    <row r="608" spans="1:18" ht="14.4" customHeight="1" x14ac:dyDescent="0.3">
      <c r="A608" s="111">
        <v>45075</v>
      </c>
      <c r="B608" s="111">
        <f>A608-31</f>
        <v>45044</v>
      </c>
      <c r="C608" s="111">
        <f>(A608-B608)+B608-15</f>
        <v>45060</v>
      </c>
      <c r="D608" s="109" t="s">
        <v>63</v>
      </c>
      <c r="E608" s="109" t="s">
        <v>12</v>
      </c>
      <c r="F608" s="109" t="s">
        <v>17</v>
      </c>
      <c r="G608" s="109" t="s">
        <v>924</v>
      </c>
      <c r="H608" s="52" t="s">
        <v>103</v>
      </c>
      <c r="I608" s="118">
        <v>6846</v>
      </c>
      <c r="J608" s="110" t="str">
        <f>IF(tbRegistroEntradas[[#This Row],[DATA DE CAIXA REALIZADO]]="N/A","0",UPPER(TEXT(tbRegistroEntradas[[#This Row],[DATA DE CAIXA REALIZADO]],"mmm")))</f>
        <v>MAI</v>
      </c>
      <c r="K608" s="57">
        <f>IF(tbRegistroEntradas[[#This Row],[DATA DE CAIXA REALIZADO]]="N/A",0,YEAR(tbRegistroEntradas[[#This Row],[DATA DE CAIXA REALIZADO]]))</f>
        <v>2023</v>
      </c>
      <c r="L608" s="58" t="str">
        <f>IF(tbRegistroEntradas[[#This Row],[DATA DA COMPETÊNCIA]]="N/A","0",UPPER(TEXT(tbRegistroEntradas[[#This Row],[DATA DA COMPETÊNCIA]],"mmm")))</f>
        <v>ABR</v>
      </c>
      <c r="M608" s="58">
        <f>IF(tbRegistroEntradas[[#This Row],[DATA DA COMPETÊNCIA]]="N/A",0,YEAR(tbRegistroEntradas[[#This Row],[DATA DA COMPETÊNCIA]]))</f>
        <v>2023</v>
      </c>
      <c r="N608" s="58" t="str">
        <f>IF(tbRegistroEntradas[[#This Row],[DATA DO CAIXA PREVISTO]]="N/A","0",UPPER(TEXT(tbRegistroEntradas[[#This Row],[DATA DO CAIXA PREVISTO]],"mmm")))</f>
        <v>MAI</v>
      </c>
      <c r="O608" s="58">
        <f>IF(tbRegistroEntradas[[#This Row],[DATA DO CAIXA PREVISTO]]="N/A",0,YEAR(tbRegistroEntradas[[#This Row],[DATA DO CAIXA PREVISTO]]))</f>
        <v>2023</v>
      </c>
      <c r="P608" s="58" t="str">
        <f ca="1">IF(AND(tbRegistroEntradas[[#This Row],[DATA DE CAIXA REALIZADO]]="N/A",tbRegistroEntradas[[#This Row],[DATA DO CAIXA PREVISTO]]&lt;TODAY()),"Vencida","Não Vencida")</f>
        <v>Não Vencida</v>
      </c>
      <c r="Q608" s="58" t="str">
        <f>IF(tbRegistroEntradas[[#This Row],[DATA DA COMPETÊNCIA]]=tbRegistroEntradas[[#This Row],[DATA DO CAIXA PREVISTO]],"Vista","Prazo")</f>
        <v>Prazo</v>
      </c>
      <c r="R608" s="58" t="str">
        <f>IF(tbRegistroEntradas[[#This Row],[DATA DE CAIXA REALIZADO]]&lt;&gt;"N/A","Em Dia","Com atraso")</f>
        <v>Em Dia</v>
      </c>
    </row>
    <row r="609" spans="1:18" ht="14.4" customHeight="1" x14ac:dyDescent="0.3">
      <c r="A609" s="43">
        <v>45056.98678240741</v>
      </c>
      <c r="B609" s="44">
        <v>45045</v>
      </c>
      <c r="C609" s="44">
        <v>45056.98678240741</v>
      </c>
      <c r="D609" s="35" t="s">
        <v>61</v>
      </c>
      <c r="E609" s="35" t="s">
        <v>12</v>
      </c>
      <c r="F609" s="35" t="s">
        <v>19</v>
      </c>
      <c r="G609" s="35" t="s">
        <v>350</v>
      </c>
      <c r="H609" s="52" t="s">
        <v>83</v>
      </c>
      <c r="I609" s="122">
        <v>2091</v>
      </c>
      <c r="J609" s="55" t="str">
        <f>IF(tbRegistroEntradas[[#This Row],[DATA DE CAIXA REALIZADO]]="N/A","0",UPPER(TEXT(tbRegistroEntradas[[#This Row],[DATA DE CAIXA REALIZADO]],"mmm")))</f>
        <v>MAI</v>
      </c>
      <c r="K609" s="58">
        <f>IF(tbRegistroEntradas[[#This Row],[DATA DE CAIXA REALIZADO]]="N/A",0,YEAR(tbRegistroEntradas[[#This Row],[DATA DE CAIXA REALIZADO]]))</f>
        <v>2023</v>
      </c>
      <c r="L609" s="79" t="str">
        <f>IF(tbRegistroEntradas[[#This Row],[DATA DA COMPETÊNCIA]]="N/A","0",UPPER(TEXT(tbRegistroEntradas[[#This Row],[DATA DA COMPETÊNCIA]],"mmm")))</f>
        <v>ABR</v>
      </c>
      <c r="M609" s="79">
        <f>IF(tbRegistroEntradas[[#This Row],[DATA DA COMPETÊNCIA]]="N/A",0,YEAR(tbRegistroEntradas[[#This Row],[DATA DA COMPETÊNCIA]]))</f>
        <v>2023</v>
      </c>
      <c r="N609" s="84" t="str">
        <f>IF(tbRegistroEntradas[[#This Row],[DATA DO CAIXA PREVISTO]]="N/A","0",UPPER(TEXT(tbRegistroEntradas[[#This Row],[DATA DO CAIXA PREVISTO]],"mmm")))</f>
        <v>MAI</v>
      </c>
      <c r="O609" s="84">
        <f>IF(tbRegistroEntradas[[#This Row],[DATA DO CAIXA PREVISTO]]="N/A",0,YEAR(tbRegistroEntradas[[#This Row],[DATA DO CAIXA PREVISTO]]))</f>
        <v>2023</v>
      </c>
      <c r="P609" s="58" t="str">
        <f ca="1">IF(AND(tbRegistroEntradas[[#This Row],[DATA DE CAIXA REALIZADO]]="N/A",tbRegistroEntradas[[#This Row],[DATA DO CAIXA PREVISTO]]&lt;TODAY()),"Vencida","Não Vencida")</f>
        <v>Não Vencida</v>
      </c>
      <c r="Q609" s="58" t="str">
        <f>IF(tbRegistroEntradas[[#This Row],[DATA DA COMPETÊNCIA]]=tbRegistroEntradas[[#This Row],[DATA DO CAIXA PREVISTO]],"Vista","Prazo")</f>
        <v>Prazo</v>
      </c>
      <c r="R609" s="58" t="str">
        <f>IF(tbRegistroEntradas[[#This Row],[DATA DE CAIXA REALIZADO]]&lt;&gt;"N/A","Em Dia","Com atraso")</f>
        <v>Em Dia</v>
      </c>
    </row>
    <row r="610" spans="1:18" ht="14.4" customHeight="1" x14ac:dyDescent="0.3">
      <c r="A610" s="40">
        <v>45055.434930555559</v>
      </c>
      <c r="B610" s="41">
        <v>45046</v>
      </c>
      <c r="C610" s="41">
        <v>45055.434930555559</v>
      </c>
      <c r="D610" s="42" t="s">
        <v>62</v>
      </c>
      <c r="E610" s="42" t="s">
        <v>12</v>
      </c>
      <c r="F610" s="42" t="s">
        <v>19</v>
      </c>
      <c r="G610" s="42" t="s">
        <v>351</v>
      </c>
      <c r="H610" s="110" t="s">
        <v>95</v>
      </c>
      <c r="I610" s="121">
        <v>3200</v>
      </c>
      <c r="J610" s="55" t="str">
        <f>IF(tbRegistroEntradas[[#This Row],[DATA DE CAIXA REALIZADO]]="N/A","0",UPPER(TEXT(tbRegistroEntradas[[#This Row],[DATA DE CAIXA REALIZADO]],"mmm")))</f>
        <v>MAI</v>
      </c>
      <c r="K610" s="58">
        <f>IF(tbRegistroEntradas[[#This Row],[DATA DE CAIXA REALIZADO]]="N/A",0,YEAR(tbRegistroEntradas[[#This Row],[DATA DE CAIXA REALIZADO]]))</f>
        <v>2023</v>
      </c>
      <c r="L610" s="79" t="str">
        <f>IF(tbRegistroEntradas[[#This Row],[DATA DA COMPETÊNCIA]]="N/A","0",UPPER(TEXT(tbRegistroEntradas[[#This Row],[DATA DA COMPETÊNCIA]],"mmm")))</f>
        <v>ABR</v>
      </c>
      <c r="M610" s="79">
        <f>IF(tbRegistroEntradas[[#This Row],[DATA DA COMPETÊNCIA]]="N/A",0,YEAR(tbRegistroEntradas[[#This Row],[DATA DA COMPETÊNCIA]]))</f>
        <v>2023</v>
      </c>
      <c r="N610" s="84" t="str">
        <f>IF(tbRegistroEntradas[[#This Row],[DATA DO CAIXA PREVISTO]]="N/A","0",UPPER(TEXT(tbRegistroEntradas[[#This Row],[DATA DO CAIXA PREVISTO]],"mmm")))</f>
        <v>MAI</v>
      </c>
      <c r="O610" s="84">
        <f>IF(tbRegistroEntradas[[#This Row],[DATA DO CAIXA PREVISTO]]="N/A",0,YEAR(tbRegistroEntradas[[#This Row],[DATA DO CAIXA PREVISTO]]))</f>
        <v>2023</v>
      </c>
      <c r="P610" s="58" t="str">
        <f ca="1">IF(AND(tbRegistroEntradas[[#This Row],[DATA DE CAIXA REALIZADO]]="N/A",tbRegistroEntradas[[#This Row],[DATA DO CAIXA PREVISTO]]&lt;TODAY()),"Vencida","Não Vencida")</f>
        <v>Não Vencida</v>
      </c>
      <c r="Q610" s="58" t="str">
        <f>IF(tbRegistroEntradas[[#This Row],[DATA DA COMPETÊNCIA]]=tbRegistroEntradas[[#This Row],[DATA DO CAIXA PREVISTO]],"Vista","Prazo")</f>
        <v>Prazo</v>
      </c>
      <c r="R610" s="58" t="str">
        <f>IF(tbRegistroEntradas[[#This Row],[DATA DE CAIXA REALIZADO]]&lt;&gt;"N/A","Em Dia","Com atraso")</f>
        <v>Em Dia</v>
      </c>
    </row>
    <row r="611" spans="1:18" ht="14.4" customHeight="1" x14ac:dyDescent="0.3">
      <c r="A611" s="111">
        <v>45079</v>
      </c>
      <c r="B611" s="111">
        <f>A611-31</f>
        <v>45048</v>
      </c>
      <c r="C611" s="111">
        <f>tbRegistroEntradas[[#This Row],[DATA DA COMPETÊNCIA]]</f>
        <v>45048</v>
      </c>
      <c r="D611" s="109" t="s">
        <v>64</v>
      </c>
      <c r="E611" s="109" t="s">
        <v>12</v>
      </c>
      <c r="F611" s="109" t="s">
        <v>19</v>
      </c>
      <c r="G611" s="109" t="s">
        <v>933</v>
      </c>
      <c r="H611" s="52" t="s">
        <v>112</v>
      </c>
      <c r="I611" s="118">
        <v>5250</v>
      </c>
      <c r="J611" s="110" t="str">
        <f>IF(tbRegistroEntradas[[#This Row],[DATA DE CAIXA REALIZADO]]="N/A","0",UPPER(TEXT(tbRegistroEntradas[[#This Row],[DATA DE CAIXA REALIZADO]],"mmm")))</f>
        <v>JUN</v>
      </c>
      <c r="K611" s="57">
        <f>IF(tbRegistroEntradas[[#This Row],[DATA DE CAIXA REALIZADO]]="N/A",0,YEAR(tbRegistroEntradas[[#This Row],[DATA DE CAIXA REALIZADO]]))</f>
        <v>2023</v>
      </c>
      <c r="L611" s="58" t="str">
        <f>IF(tbRegistroEntradas[[#This Row],[DATA DA COMPETÊNCIA]]="N/A","0",UPPER(TEXT(tbRegistroEntradas[[#This Row],[DATA DA COMPETÊNCIA]],"mmm")))</f>
        <v>MAI</v>
      </c>
      <c r="M611" s="58">
        <f>IF(tbRegistroEntradas[[#This Row],[DATA DA COMPETÊNCIA]]="N/A",0,YEAR(tbRegistroEntradas[[#This Row],[DATA DA COMPETÊNCIA]]))</f>
        <v>2023</v>
      </c>
      <c r="N611" s="58" t="str">
        <f>IF(tbRegistroEntradas[[#This Row],[DATA DO CAIXA PREVISTO]]="N/A","0",UPPER(TEXT(tbRegistroEntradas[[#This Row],[DATA DO CAIXA PREVISTO]],"mmm")))</f>
        <v>MAI</v>
      </c>
      <c r="O611" s="58">
        <f>IF(tbRegistroEntradas[[#This Row],[DATA DO CAIXA PREVISTO]]="N/A",0,YEAR(tbRegistroEntradas[[#This Row],[DATA DO CAIXA PREVISTO]]))</f>
        <v>2023</v>
      </c>
      <c r="P611" s="58" t="str">
        <f ca="1">IF(AND(tbRegistroEntradas[[#This Row],[DATA DE CAIXA REALIZADO]]="N/A",tbRegistroEntradas[[#This Row],[DATA DO CAIXA PREVISTO]]&lt;TODAY()),"Vencida","Não Vencida")</f>
        <v>Não Vencida</v>
      </c>
      <c r="Q611" s="58" t="str">
        <f>IF(tbRegistroEntradas[[#This Row],[DATA DA COMPETÊNCIA]]=tbRegistroEntradas[[#This Row],[DATA DO CAIXA PREVISTO]],"Vista","Prazo")</f>
        <v>Vista</v>
      </c>
      <c r="R611" s="58" t="str">
        <f>IF(tbRegistroEntradas[[#This Row],[DATA DE CAIXA REALIZADO]]&lt;&gt;"N/A","Em Dia","Com atraso")</f>
        <v>Em Dia</v>
      </c>
    </row>
    <row r="612" spans="1:18" ht="14.4" customHeight="1" x14ac:dyDescent="0.3">
      <c r="A612" s="43">
        <v>45065.067997685182</v>
      </c>
      <c r="B612" s="44">
        <v>45048</v>
      </c>
      <c r="C612" s="44">
        <v>45065.067997685182</v>
      </c>
      <c r="D612" s="35" t="s">
        <v>62</v>
      </c>
      <c r="E612" s="35" t="s">
        <v>12</v>
      </c>
      <c r="F612" s="35" t="s">
        <v>32</v>
      </c>
      <c r="G612" s="35" t="s">
        <v>352</v>
      </c>
      <c r="H612" s="143" t="s">
        <v>96</v>
      </c>
      <c r="I612" s="122">
        <v>583</v>
      </c>
      <c r="J612" s="55" t="str">
        <f>IF(tbRegistroEntradas[[#This Row],[DATA DE CAIXA REALIZADO]]="N/A","0",UPPER(TEXT(tbRegistroEntradas[[#This Row],[DATA DE CAIXA REALIZADO]],"mmm")))</f>
        <v>MAI</v>
      </c>
      <c r="K612" s="58">
        <f>IF(tbRegistroEntradas[[#This Row],[DATA DE CAIXA REALIZADO]]="N/A",0,YEAR(tbRegistroEntradas[[#This Row],[DATA DE CAIXA REALIZADO]]))</f>
        <v>2023</v>
      </c>
      <c r="L612" s="79" t="str">
        <f>IF(tbRegistroEntradas[[#This Row],[DATA DA COMPETÊNCIA]]="N/A","0",UPPER(TEXT(tbRegistroEntradas[[#This Row],[DATA DA COMPETÊNCIA]],"mmm")))</f>
        <v>MAI</v>
      </c>
      <c r="M612" s="79">
        <f>IF(tbRegistroEntradas[[#This Row],[DATA DA COMPETÊNCIA]]="N/A",0,YEAR(tbRegistroEntradas[[#This Row],[DATA DA COMPETÊNCIA]]))</f>
        <v>2023</v>
      </c>
      <c r="N612" s="84" t="str">
        <f>IF(tbRegistroEntradas[[#This Row],[DATA DO CAIXA PREVISTO]]="N/A","0",UPPER(TEXT(tbRegistroEntradas[[#This Row],[DATA DO CAIXA PREVISTO]],"mmm")))</f>
        <v>MAI</v>
      </c>
      <c r="O612" s="84">
        <f>IF(tbRegistroEntradas[[#This Row],[DATA DO CAIXA PREVISTO]]="N/A",0,YEAR(tbRegistroEntradas[[#This Row],[DATA DO CAIXA PREVISTO]]))</f>
        <v>2023</v>
      </c>
      <c r="P612" s="58" t="str">
        <f ca="1">IF(AND(tbRegistroEntradas[[#This Row],[DATA DE CAIXA REALIZADO]]="N/A",tbRegistroEntradas[[#This Row],[DATA DO CAIXA PREVISTO]]&lt;TODAY()),"Vencida","Não Vencida")</f>
        <v>Não Vencida</v>
      </c>
      <c r="Q612" s="58" t="str">
        <f>IF(tbRegistroEntradas[[#This Row],[DATA DA COMPETÊNCIA]]=tbRegistroEntradas[[#This Row],[DATA DO CAIXA PREVISTO]],"Vista","Prazo")</f>
        <v>Prazo</v>
      </c>
      <c r="R612" s="58" t="str">
        <f>IF(tbRegistroEntradas[[#This Row],[DATA DE CAIXA REALIZADO]]&lt;&gt;"N/A","Em Dia","Com atraso")</f>
        <v>Em Dia</v>
      </c>
    </row>
    <row r="613" spans="1:18" ht="14.4" customHeight="1" x14ac:dyDescent="0.3">
      <c r="A613" s="40">
        <v>45087.576851851853</v>
      </c>
      <c r="B613" s="41">
        <v>45051</v>
      </c>
      <c r="C613" s="111">
        <f>tbRegistroEntradas[[#This Row],[DATA DA COMPETÊNCIA]]</f>
        <v>45051</v>
      </c>
      <c r="D613" s="42" t="s">
        <v>61</v>
      </c>
      <c r="E613" s="42" t="s">
        <v>12</v>
      </c>
      <c r="F613" s="42" t="s">
        <v>19</v>
      </c>
      <c r="G613" s="42" t="s">
        <v>353</v>
      </c>
      <c r="H613" s="52" t="s">
        <v>84</v>
      </c>
      <c r="I613" s="121">
        <v>4505</v>
      </c>
      <c r="J613" s="55" t="str">
        <f>IF(tbRegistroEntradas[[#This Row],[DATA DE CAIXA REALIZADO]]="N/A","0",UPPER(TEXT(tbRegistroEntradas[[#This Row],[DATA DE CAIXA REALIZADO]],"mmm")))</f>
        <v>JUN</v>
      </c>
      <c r="K613" s="58">
        <f>IF(tbRegistroEntradas[[#This Row],[DATA DE CAIXA REALIZADO]]="N/A",0,YEAR(tbRegistroEntradas[[#This Row],[DATA DE CAIXA REALIZADO]]))</f>
        <v>2023</v>
      </c>
      <c r="L613" s="79" t="str">
        <f>IF(tbRegistroEntradas[[#This Row],[DATA DA COMPETÊNCIA]]="N/A","0",UPPER(TEXT(tbRegistroEntradas[[#This Row],[DATA DA COMPETÊNCIA]],"mmm")))</f>
        <v>MAI</v>
      </c>
      <c r="M613" s="79">
        <f>IF(tbRegistroEntradas[[#This Row],[DATA DA COMPETÊNCIA]]="N/A",0,YEAR(tbRegistroEntradas[[#This Row],[DATA DA COMPETÊNCIA]]))</f>
        <v>2023</v>
      </c>
      <c r="N613" s="84" t="str">
        <f>IF(tbRegistroEntradas[[#This Row],[DATA DO CAIXA PREVISTO]]="N/A","0",UPPER(TEXT(tbRegistroEntradas[[#This Row],[DATA DO CAIXA PREVISTO]],"mmm")))</f>
        <v>MAI</v>
      </c>
      <c r="O613" s="84">
        <f>IF(tbRegistroEntradas[[#This Row],[DATA DO CAIXA PREVISTO]]="N/A",0,YEAR(tbRegistroEntradas[[#This Row],[DATA DO CAIXA PREVISTO]]))</f>
        <v>2023</v>
      </c>
      <c r="P613" s="58" t="str">
        <f ca="1">IF(AND(tbRegistroEntradas[[#This Row],[DATA DE CAIXA REALIZADO]]="N/A",tbRegistroEntradas[[#This Row],[DATA DO CAIXA PREVISTO]]&lt;TODAY()),"Vencida","Não Vencida")</f>
        <v>Não Vencida</v>
      </c>
      <c r="Q613" s="58" t="str">
        <f>IF(tbRegistroEntradas[[#This Row],[DATA DA COMPETÊNCIA]]=tbRegistroEntradas[[#This Row],[DATA DO CAIXA PREVISTO]],"Vista","Prazo")</f>
        <v>Vista</v>
      </c>
      <c r="R613" s="58" t="str">
        <f>IF(tbRegistroEntradas[[#This Row],[DATA DE CAIXA REALIZADO]]&lt;&gt;"N/A","Em Dia","Com atraso")</f>
        <v>Em Dia</v>
      </c>
    </row>
    <row r="614" spans="1:18" ht="14.4" customHeight="1" x14ac:dyDescent="0.3">
      <c r="A614" s="111">
        <v>45083</v>
      </c>
      <c r="B614" s="111">
        <f>A614-31</f>
        <v>45052</v>
      </c>
      <c r="C614" s="111">
        <f>(A614-B614)+B614-15</f>
        <v>45068</v>
      </c>
      <c r="D614" s="109" t="s">
        <v>63</v>
      </c>
      <c r="E614" s="109" t="s">
        <v>12</v>
      </c>
      <c r="F614" s="109" t="s">
        <v>18</v>
      </c>
      <c r="G614" s="109" t="s">
        <v>907</v>
      </c>
      <c r="H614" s="52" t="s">
        <v>69</v>
      </c>
      <c r="I614" s="118">
        <v>6753</v>
      </c>
      <c r="J614" s="110" t="str">
        <f>IF(tbRegistroEntradas[[#This Row],[DATA DE CAIXA REALIZADO]]="N/A","0",UPPER(TEXT(tbRegistroEntradas[[#This Row],[DATA DE CAIXA REALIZADO]],"mmm")))</f>
        <v>JUN</v>
      </c>
      <c r="K614" s="57">
        <f>IF(tbRegistroEntradas[[#This Row],[DATA DE CAIXA REALIZADO]]="N/A",0,YEAR(tbRegistroEntradas[[#This Row],[DATA DE CAIXA REALIZADO]]))</f>
        <v>2023</v>
      </c>
      <c r="L614" s="58" t="str">
        <f>IF(tbRegistroEntradas[[#This Row],[DATA DA COMPETÊNCIA]]="N/A","0",UPPER(TEXT(tbRegistroEntradas[[#This Row],[DATA DA COMPETÊNCIA]],"mmm")))</f>
        <v>MAI</v>
      </c>
      <c r="M614" s="58">
        <f>IF(tbRegistroEntradas[[#This Row],[DATA DA COMPETÊNCIA]]="N/A",0,YEAR(tbRegistroEntradas[[#This Row],[DATA DA COMPETÊNCIA]]))</f>
        <v>2023</v>
      </c>
      <c r="N614" s="58" t="str">
        <f>IF(tbRegistroEntradas[[#This Row],[DATA DO CAIXA PREVISTO]]="N/A","0",UPPER(TEXT(tbRegistroEntradas[[#This Row],[DATA DO CAIXA PREVISTO]],"mmm")))</f>
        <v>MAI</v>
      </c>
      <c r="O614" s="58">
        <f>IF(tbRegistroEntradas[[#This Row],[DATA DO CAIXA PREVISTO]]="N/A",0,YEAR(tbRegistroEntradas[[#This Row],[DATA DO CAIXA PREVISTO]]))</f>
        <v>2023</v>
      </c>
      <c r="P614" s="58" t="str">
        <f ca="1">IF(AND(tbRegistroEntradas[[#This Row],[DATA DE CAIXA REALIZADO]]="N/A",tbRegistroEntradas[[#This Row],[DATA DO CAIXA PREVISTO]]&lt;TODAY()),"Vencida","Não Vencida")</f>
        <v>Não Vencida</v>
      </c>
      <c r="Q614" s="58" t="str">
        <f>IF(tbRegistroEntradas[[#This Row],[DATA DA COMPETÊNCIA]]=tbRegistroEntradas[[#This Row],[DATA DO CAIXA PREVISTO]],"Vista","Prazo")</f>
        <v>Prazo</v>
      </c>
      <c r="R614" s="58" t="str">
        <f>IF(tbRegistroEntradas[[#This Row],[DATA DE CAIXA REALIZADO]]&lt;&gt;"N/A","Em Dia","Com atraso")</f>
        <v>Em Dia</v>
      </c>
    </row>
    <row r="615" spans="1:18" ht="14.4" customHeight="1" x14ac:dyDescent="0.3">
      <c r="A615" s="111">
        <v>45083</v>
      </c>
      <c r="B615" s="111">
        <f>A615-31</f>
        <v>45052</v>
      </c>
      <c r="C615" s="111">
        <f>(A615-B615)+B615-15</f>
        <v>45068</v>
      </c>
      <c r="D615" s="109" t="s">
        <v>138</v>
      </c>
      <c r="E615" s="109" t="s">
        <v>12</v>
      </c>
      <c r="F615" s="109" t="s">
        <v>19</v>
      </c>
      <c r="G615" s="109" t="s">
        <v>1071</v>
      </c>
      <c r="H615" s="52" t="s">
        <v>77</v>
      </c>
      <c r="I615" s="118">
        <v>5471</v>
      </c>
      <c r="J615" s="110" t="str">
        <f>IF(tbRegistroEntradas[[#This Row],[DATA DE CAIXA REALIZADO]]="N/A","0",UPPER(TEXT(tbRegistroEntradas[[#This Row],[DATA DE CAIXA REALIZADO]],"mmm")))</f>
        <v>JUN</v>
      </c>
      <c r="K615" s="57">
        <f>IF(tbRegistroEntradas[[#This Row],[DATA DE CAIXA REALIZADO]]="N/A",0,YEAR(tbRegistroEntradas[[#This Row],[DATA DE CAIXA REALIZADO]]))</f>
        <v>2023</v>
      </c>
      <c r="L615" s="58" t="str">
        <f>IF(tbRegistroEntradas[[#This Row],[DATA DA COMPETÊNCIA]]="N/A","0",UPPER(TEXT(tbRegistroEntradas[[#This Row],[DATA DA COMPETÊNCIA]],"mmm")))</f>
        <v>MAI</v>
      </c>
      <c r="M615" s="58">
        <f>IF(tbRegistroEntradas[[#This Row],[DATA DA COMPETÊNCIA]]="N/A",0,YEAR(tbRegistroEntradas[[#This Row],[DATA DA COMPETÊNCIA]]))</f>
        <v>2023</v>
      </c>
      <c r="N615" s="58" t="str">
        <f>IF(tbRegistroEntradas[[#This Row],[DATA DO CAIXA PREVISTO]]="N/A","0",UPPER(TEXT(tbRegistroEntradas[[#This Row],[DATA DO CAIXA PREVISTO]],"mmm")))</f>
        <v>MAI</v>
      </c>
      <c r="O615" s="58">
        <f>IF(tbRegistroEntradas[[#This Row],[DATA DO CAIXA PREVISTO]]="N/A",0,YEAR(tbRegistroEntradas[[#This Row],[DATA DO CAIXA PREVISTO]]))</f>
        <v>2023</v>
      </c>
      <c r="P615" s="58" t="str">
        <f ca="1">IF(AND(tbRegistroEntradas[[#This Row],[DATA DE CAIXA REALIZADO]]="N/A",tbRegistroEntradas[[#This Row],[DATA DO CAIXA PREVISTO]]&lt;TODAY()),"Vencida","Não Vencida")</f>
        <v>Não Vencida</v>
      </c>
      <c r="Q615" s="58" t="str">
        <f>IF(tbRegistroEntradas[[#This Row],[DATA DA COMPETÊNCIA]]=tbRegistroEntradas[[#This Row],[DATA DO CAIXA PREVISTO]],"Vista","Prazo")</f>
        <v>Prazo</v>
      </c>
      <c r="R615" s="58" t="str">
        <f>IF(tbRegistroEntradas[[#This Row],[DATA DE CAIXA REALIZADO]]&lt;&gt;"N/A","Em Dia","Com atraso")</f>
        <v>Em Dia</v>
      </c>
    </row>
    <row r="616" spans="1:18" ht="14.4" customHeight="1" x14ac:dyDescent="0.3">
      <c r="A616" s="43">
        <v>45085.539953703701</v>
      </c>
      <c r="B616" s="44">
        <v>45053</v>
      </c>
      <c r="C616" s="44">
        <v>45070.115057870367</v>
      </c>
      <c r="D616" s="35" t="s">
        <v>61</v>
      </c>
      <c r="E616" s="35" t="s">
        <v>12</v>
      </c>
      <c r="F616" s="35" t="s">
        <v>19</v>
      </c>
      <c r="G616" s="35" t="s">
        <v>354</v>
      </c>
      <c r="H616" s="145" t="s">
        <v>85</v>
      </c>
      <c r="I616" s="122">
        <v>343</v>
      </c>
      <c r="J616" s="55" t="str">
        <f>IF(tbRegistroEntradas[[#This Row],[DATA DE CAIXA REALIZADO]]="N/A","0",UPPER(TEXT(tbRegistroEntradas[[#This Row],[DATA DE CAIXA REALIZADO]],"mmm")))</f>
        <v>JUN</v>
      </c>
      <c r="K616" s="58">
        <f>IF(tbRegistroEntradas[[#This Row],[DATA DE CAIXA REALIZADO]]="N/A",0,YEAR(tbRegistroEntradas[[#This Row],[DATA DE CAIXA REALIZADO]]))</f>
        <v>2023</v>
      </c>
      <c r="L616" s="79" t="str">
        <f>IF(tbRegistroEntradas[[#This Row],[DATA DA COMPETÊNCIA]]="N/A","0",UPPER(TEXT(tbRegistroEntradas[[#This Row],[DATA DA COMPETÊNCIA]],"mmm")))</f>
        <v>MAI</v>
      </c>
      <c r="M616" s="79">
        <f>IF(tbRegistroEntradas[[#This Row],[DATA DA COMPETÊNCIA]]="N/A",0,YEAR(tbRegistroEntradas[[#This Row],[DATA DA COMPETÊNCIA]]))</f>
        <v>2023</v>
      </c>
      <c r="N616" s="84" t="str">
        <f>IF(tbRegistroEntradas[[#This Row],[DATA DO CAIXA PREVISTO]]="N/A","0",UPPER(TEXT(tbRegistroEntradas[[#This Row],[DATA DO CAIXA PREVISTO]],"mmm")))</f>
        <v>MAI</v>
      </c>
      <c r="O616" s="84">
        <f>IF(tbRegistroEntradas[[#This Row],[DATA DO CAIXA PREVISTO]]="N/A",0,YEAR(tbRegistroEntradas[[#This Row],[DATA DO CAIXA PREVISTO]]))</f>
        <v>2023</v>
      </c>
      <c r="P616" s="58" t="str">
        <f ca="1">IF(AND(tbRegistroEntradas[[#This Row],[DATA DE CAIXA REALIZADO]]="N/A",tbRegistroEntradas[[#This Row],[DATA DO CAIXA PREVISTO]]&lt;TODAY()),"Vencida","Não Vencida")</f>
        <v>Não Vencida</v>
      </c>
      <c r="Q616" s="58" t="str">
        <f>IF(tbRegistroEntradas[[#This Row],[DATA DA COMPETÊNCIA]]=tbRegistroEntradas[[#This Row],[DATA DO CAIXA PREVISTO]],"Vista","Prazo")</f>
        <v>Prazo</v>
      </c>
      <c r="R616" s="58" t="str">
        <f>IF(tbRegistroEntradas[[#This Row],[DATA DE CAIXA REALIZADO]]&lt;&gt;"N/A","Em Dia","Com atraso")</f>
        <v>Em Dia</v>
      </c>
    </row>
    <row r="617" spans="1:18" ht="14.4" customHeight="1" x14ac:dyDescent="0.3">
      <c r="A617" s="40">
        <v>45064.679988425924</v>
      </c>
      <c r="B617" s="41">
        <v>45054</v>
      </c>
      <c r="C617" s="41">
        <v>45064.679988425924</v>
      </c>
      <c r="D617" s="42" t="s">
        <v>138</v>
      </c>
      <c r="E617" s="42" t="s">
        <v>12</v>
      </c>
      <c r="F617" s="42" t="s">
        <v>17</v>
      </c>
      <c r="G617" s="42" t="s">
        <v>355</v>
      </c>
      <c r="H617" s="52" t="s">
        <v>78</v>
      </c>
      <c r="I617" s="121">
        <v>4510</v>
      </c>
      <c r="J617" s="55" t="str">
        <f>IF(tbRegistroEntradas[[#This Row],[DATA DE CAIXA REALIZADO]]="N/A","0",UPPER(TEXT(tbRegistroEntradas[[#This Row],[DATA DE CAIXA REALIZADO]],"mmm")))</f>
        <v>MAI</v>
      </c>
      <c r="K617" s="58">
        <f>IF(tbRegistroEntradas[[#This Row],[DATA DE CAIXA REALIZADO]]="N/A",0,YEAR(tbRegistroEntradas[[#This Row],[DATA DE CAIXA REALIZADO]]))</f>
        <v>2023</v>
      </c>
      <c r="L617" s="79" t="str">
        <f>IF(tbRegistroEntradas[[#This Row],[DATA DA COMPETÊNCIA]]="N/A","0",UPPER(TEXT(tbRegistroEntradas[[#This Row],[DATA DA COMPETÊNCIA]],"mmm")))</f>
        <v>MAI</v>
      </c>
      <c r="M617" s="79">
        <f>IF(tbRegistroEntradas[[#This Row],[DATA DA COMPETÊNCIA]]="N/A",0,YEAR(tbRegistroEntradas[[#This Row],[DATA DA COMPETÊNCIA]]))</f>
        <v>2023</v>
      </c>
      <c r="N617" s="84" t="str">
        <f>IF(tbRegistroEntradas[[#This Row],[DATA DO CAIXA PREVISTO]]="N/A","0",UPPER(TEXT(tbRegistroEntradas[[#This Row],[DATA DO CAIXA PREVISTO]],"mmm")))</f>
        <v>MAI</v>
      </c>
      <c r="O617" s="84">
        <f>IF(tbRegistroEntradas[[#This Row],[DATA DO CAIXA PREVISTO]]="N/A",0,YEAR(tbRegistroEntradas[[#This Row],[DATA DO CAIXA PREVISTO]]))</f>
        <v>2023</v>
      </c>
      <c r="P617" s="58" t="str">
        <f ca="1">IF(AND(tbRegistroEntradas[[#This Row],[DATA DE CAIXA REALIZADO]]="N/A",tbRegistroEntradas[[#This Row],[DATA DO CAIXA PREVISTO]]&lt;TODAY()),"Vencida","Não Vencida")</f>
        <v>Não Vencida</v>
      </c>
      <c r="Q617" s="58" t="str">
        <f>IF(tbRegistroEntradas[[#This Row],[DATA DA COMPETÊNCIA]]=tbRegistroEntradas[[#This Row],[DATA DO CAIXA PREVISTO]],"Vista","Prazo")</f>
        <v>Prazo</v>
      </c>
      <c r="R617" s="58" t="str">
        <f>IF(tbRegistroEntradas[[#This Row],[DATA DE CAIXA REALIZADO]]&lt;&gt;"N/A","Em Dia","Com atraso")</f>
        <v>Em Dia</v>
      </c>
    </row>
    <row r="618" spans="1:18" ht="14.4" customHeight="1" x14ac:dyDescent="0.3">
      <c r="A618" s="111">
        <v>45086</v>
      </c>
      <c r="B618" s="111">
        <f>A618-31</f>
        <v>45055</v>
      </c>
      <c r="C618" s="111">
        <f>(A618-B618)+B618-15</f>
        <v>45071</v>
      </c>
      <c r="D618" s="109" t="s">
        <v>63</v>
      </c>
      <c r="E618" s="109" t="s">
        <v>12</v>
      </c>
      <c r="F618" s="109" t="s">
        <v>19</v>
      </c>
      <c r="G618" s="109" t="s">
        <v>1057</v>
      </c>
      <c r="H618" s="52" t="s">
        <v>99</v>
      </c>
      <c r="I618" s="118">
        <v>678</v>
      </c>
      <c r="J618" s="110" t="str">
        <f>IF(tbRegistroEntradas[[#This Row],[DATA DE CAIXA REALIZADO]]="N/A","0",UPPER(TEXT(tbRegistroEntradas[[#This Row],[DATA DE CAIXA REALIZADO]],"mmm")))</f>
        <v>JUN</v>
      </c>
      <c r="K618" s="57">
        <f>IF(tbRegistroEntradas[[#This Row],[DATA DE CAIXA REALIZADO]]="N/A",0,YEAR(tbRegistroEntradas[[#This Row],[DATA DE CAIXA REALIZADO]]))</f>
        <v>2023</v>
      </c>
      <c r="L618" s="58" t="str">
        <f>IF(tbRegistroEntradas[[#This Row],[DATA DA COMPETÊNCIA]]="N/A","0",UPPER(TEXT(tbRegistroEntradas[[#This Row],[DATA DA COMPETÊNCIA]],"mmm")))</f>
        <v>MAI</v>
      </c>
      <c r="M618" s="58">
        <f>IF(tbRegistroEntradas[[#This Row],[DATA DA COMPETÊNCIA]]="N/A",0,YEAR(tbRegistroEntradas[[#This Row],[DATA DA COMPETÊNCIA]]))</f>
        <v>2023</v>
      </c>
      <c r="N618" s="58" t="str">
        <f>IF(tbRegistroEntradas[[#This Row],[DATA DO CAIXA PREVISTO]]="N/A","0",UPPER(TEXT(tbRegistroEntradas[[#This Row],[DATA DO CAIXA PREVISTO]],"mmm")))</f>
        <v>MAI</v>
      </c>
      <c r="O618" s="58">
        <f>IF(tbRegistroEntradas[[#This Row],[DATA DO CAIXA PREVISTO]]="N/A",0,YEAR(tbRegistroEntradas[[#This Row],[DATA DO CAIXA PREVISTO]]))</f>
        <v>2023</v>
      </c>
      <c r="P618" s="58" t="str">
        <f ca="1">IF(AND(tbRegistroEntradas[[#This Row],[DATA DE CAIXA REALIZADO]]="N/A",tbRegistroEntradas[[#This Row],[DATA DO CAIXA PREVISTO]]&lt;TODAY()),"Vencida","Não Vencida")</f>
        <v>Não Vencida</v>
      </c>
      <c r="Q618" s="58" t="str">
        <f>IF(tbRegistroEntradas[[#This Row],[DATA DA COMPETÊNCIA]]=tbRegistroEntradas[[#This Row],[DATA DO CAIXA PREVISTO]],"Vista","Prazo")</f>
        <v>Prazo</v>
      </c>
      <c r="R618" s="58" t="str">
        <f>IF(tbRegistroEntradas[[#This Row],[DATA DE CAIXA REALIZADO]]&lt;&gt;"N/A","Em Dia","Com atraso")</f>
        <v>Em Dia</v>
      </c>
    </row>
    <row r="619" spans="1:18" ht="14.4" customHeight="1" x14ac:dyDescent="0.3">
      <c r="A619" s="111">
        <v>45086</v>
      </c>
      <c r="B619" s="111">
        <f>A619-31</f>
        <v>45055</v>
      </c>
      <c r="C619" s="111">
        <f>(A619-B619)+B619-15</f>
        <v>45071</v>
      </c>
      <c r="D619" s="109" t="s">
        <v>138</v>
      </c>
      <c r="E619" s="109" t="s">
        <v>12</v>
      </c>
      <c r="F619" s="109" t="s">
        <v>16</v>
      </c>
      <c r="G619" s="109" t="s">
        <v>162</v>
      </c>
      <c r="H619" s="126" t="s">
        <v>135</v>
      </c>
      <c r="I619" s="118">
        <v>7143</v>
      </c>
      <c r="J619" s="110" t="str">
        <f>IF(tbRegistroEntradas[[#This Row],[DATA DE CAIXA REALIZADO]]="N/A","0",UPPER(TEXT(tbRegistroEntradas[[#This Row],[DATA DE CAIXA REALIZADO]],"mmm")))</f>
        <v>JUN</v>
      </c>
      <c r="K619" s="57">
        <f>IF(tbRegistroEntradas[[#This Row],[DATA DE CAIXA REALIZADO]]="N/A",0,YEAR(tbRegistroEntradas[[#This Row],[DATA DE CAIXA REALIZADO]]))</f>
        <v>2023</v>
      </c>
      <c r="L619" s="58" t="str">
        <f>IF(tbRegistroEntradas[[#This Row],[DATA DA COMPETÊNCIA]]="N/A","0",UPPER(TEXT(tbRegistroEntradas[[#This Row],[DATA DA COMPETÊNCIA]],"mmm")))</f>
        <v>MAI</v>
      </c>
      <c r="M619" s="58">
        <f>IF(tbRegistroEntradas[[#This Row],[DATA DA COMPETÊNCIA]]="N/A",0,YEAR(tbRegistroEntradas[[#This Row],[DATA DA COMPETÊNCIA]]))</f>
        <v>2023</v>
      </c>
      <c r="N619" s="58" t="str">
        <f>IF(tbRegistroEntradas[[#This Row],[DATA DO CAIXA PREVISTO]]="N/A","0",UPPER(TEXT(tbRegistroEntradas[[#This Row],[DATA DO CAIXA PREVISTO]],"mmm")))</f>
        <v>MAI</v>
      </c>
      <c r="O619" s="58">
        <f>IF(tbRegistroEntradas[[#This Row],[DATA DO CAIXA PREVISTO]]="N/A",0,YEAR(tbRegistroEntradas[[#This Row],[DATA DO CAIXA PREVISTO]]))</f>
        <v>2023</v>
      </c>
      <c r="P619" s="58" t="str">
        <f ca="1">IF(AND(tbRegistroEntradas[[#This Row],[DATA DE CAIXA REALIZADO]]="N/A",tbRegistroEntradas[[#This Row],[DATA DO CAIXA PREVISTO]]&lt;TODAY()),"Vencida","Não Vencida")</f>
        <v>Não Vencida</v>
      </c>
      <c r="Q619" s="58" t="str">
        <f>IF(tbRegistroEntradas[[#This Row],[DATA DA COMPETÊNCIA]]=tbRegistroEntradas[[#This Row],[DATA DO CAIXA PREVISTO]],"Vista","Prazo")</f>
        <v>Prazo</v>
      </c>
      <c r="R619" s="58" t="str">
        <f>IF(tbRegistroEntradas[[#This Row],[DATA DE CAIXA REALIZADO]]&lt;&gt;"N/A","Em Dia","Com atraso")</f>
        <v>Em Dia</v>
      </c>
    </row>
    <row r="620" spans="1:18" ht="14.4" customHeight="1" x14ac:dyDescent="0.3">
      <c r="A620" s="43" t="s">
        <v>141</v>
      </c>
      <c r="B620" s="44">
        <v>45058</v>
      </c>
      <c r="C620" s="44">
        <v>45066.396064814813</v>
      </c>
      <c r="D620" s="35" t="s">
        <v>137</v>
      </c>
      <c r="E620" s="35" t="s">
        <v>12</v>
      </c>
      <c r="F620" s="35" t="s">
        <v>19</v>
      </c>
      <c r="G620" s="35" t="s">
        <v>356</v>
      </c>
      <c r="H620" s="52" t="s">
        <v>107</v>
      </c>
      <c r="I620" s="122">
        <v>667</v>
      </c>
      <c r="J620" s="55" t="str">
        <f>IF(tbRegistroEntradas[[#This Row],[DATA DE CAIXA REALIZADO]]="N/A","0",UPPER(TEXT(tbRegistroEntradas[[#This Row],[DATA DE CAIXA REALIZADO]],"mmm")))</f>
        <v>0</v>
      </c>
      <c r="K620" s="58">
        <f>IF(tbRegistroEntradas[[#This Row],[DATA DE CAIXA REALIZADO]]="N/A",0,YEAR(tbRegistroEntradas[[#This Row],[DATA DE CAIXA REALIZADO]]))</f>
        <v>0</v>
      </c>
      <c r="L620" s="79" t="str">
        <f>IF(tbRegistroEntradas[[#This Row],[DATA DA COMPETÊNCIA]]="N/A","0",UPPER(TEXT(tbRegistroEntradas[[#This Row],[DATA DA COMPETÊNCIA]],"mmm")))</f>
        <v>MAI</v>
      </c>
      <c r="M620" s="79">
        <f>IF(tbRegistroEntradas[[#This Row],[DATA DA COMPETÊNCIA]]="N/A",0,YEAR(tbRegistroEntradas[[#This Row],[DATA DA COMPETÊNCIA]]))</f>
        <v>2023</v>
      </c>
      <c r="N620" s="84" t="str">
        <f>IF(tbRegistroEntradas[[#This Row],[DATA DO CAIXA PREVISTO]]="N/A","0",UPPER(TEXT(tbRegistroEntradas[[#This Row],[DATA DO CAIXA PREVISTO]],"mmm")))</f>
        <v>MAI</v>
      </c>
      <c r="O620" s="84">
        <f>IF(tbRegistroEntradas[[#This Row],[DATA DO CAIXA PREVISTO]]="N/A",0,YEAR(tbRegistroEntradas[[#This Row],[DATA DO CAIXA PREVISTO]]))</f>
        <v>2023</v>
      </c>
      <c r="P620" s="58" t="str">
        <f ca="1">IF(AND(tbRegistroEntradas[[#This Row],[DATA DE CAIXA REALIZADO]]="N/A",tbRegistroEntradas[[#This Row],[DATA DO CAIXA PREVISTO]]&lt;TODAY()),"Vencida","Não Vencida")</f>
        <v>Vencida</v>
      </c>
      <c r="Q620" s="58" t="str">
        <f>IF(tbRegistroEntradas[[#This Row],[DATA DA COMPETÊNCIA]]=tbRegistroEntradas[[#This Row],[DATA DO CAIXA PREVISTO]],"Vista","Prazo")</f>
        <v>Prazo</v>
      </c>
      <c r="R620" s="58" t="str">
        <f>IF(tbRegistroEntradas[[#This Row],[DATA DE CAIXA REALIZADO]]&lt;&gt;"N/A","Em Dia","Com atraso")</f>
        <v>Com atraso</v>
      </c>
    </row>
    <row r="621" spans="1:18" ht="14.4" customHeight="1" x14ac:dyDescent="0.3">
      <c r="A621" s="111">
        <v>45090</v>
      </c>
      <c r="B621" s="111">
        <f>A621-31</f>
        <v>45059</v>
      </c>
      <c r="C621" s="111">
        <f>(A621-B621)+B621-15</f>
        <v>45075</v>
      </c>
      <c r="D621" s="109" t="s">
        <v>138</v>
      </c>
      <c r="E621" s="109" t="s">
        <v>12</v>
      </c>
      <c r="F621" s="109" t="s">
        <v>16</v>
      </c>
      <c r="G621" s="109" t="s">
        <v>475</v>
      </c>
      <c r="H621" s="52" t="s">
        <v>136</v>
      </c>
      <c r="I621" s="118">
        <v>6871</v>
      </c>
      <c r="J621" s="110" t="str">
        <f>IF(tbRegistroEntradas[[#This Row],[DATA DE CAIXA REALIZADO]]="N/A","0",UPPER(TEXT(tbRegistroEntradas[[#This Row],[DATA DE CAIXA REALIZADO]],"mmm")))</f>
        <v>JUN</v>
      </c>
      <c r="K621" s="57">
        <f>IF(tbRegistroEntradas[[#This Row],[DATA DE CAIXA REALIZADO]]="N/A",0,YEAR(tbRegistroEntradas[[#This Row],[DATA DE CAIXA REALIZADO]]))</f>
        <v>2023</v>
      </c>
      <c r="L621" s="58" t="str">
        <f>IF(tbRegistroEntradas[[#This Row],[DATA DA COMPETÊNCIA]]="N/A","0",UPPER(TEXT(tbRegistroEntradas[[#This Row],[DATA DA COMPETÊNCIA]],"mmm")))</f>
        <v>MAI</v>
      </c>
      <c r="M621" s="58">
        <f>IF(tbRegistroEntradas[[#This Row],[DATA DA COMPETÊNCIA]]="N/A",0,YEAR(tbRegistroEntradas[[#This Row],[DATA DA COMPETÊNCIA]]))</f>
        <v>2023</v>
      </c>
      <c r="N621" s="58" t="str">
        <f>IF(tbRegistroEntradas[[#This Row],[DATA DO CAIXA PREVISTO]]="N/A","0",UPPER(TEXT(tbRegistroEntradas[[#This Row],[DATA DO CAIXA PREVISTO]],"mmm")))</f>
        <v>MAI</v>
      </c>
      <c r="O621" s="58">
        <f>IF(tbRegistroEntradas[[#This Row],[DATA DO CAIXA PREVISTO]]="N/A",0,YEAR(tbRegistroEntradas[[#This Row],[DATA DO CAIXA PREVISTO]]))</f>
        <v>2023</v>
      </c>
      <c r="P621" s="58" t="str">
        <f ca="1">IF(AND(tbRegistroEntradas[[#This Row],[DATA DE CAIXA REALIZADO]]="N/A",tbRegistroEntradas[[#This Row],[DATA DO CAIXA PREVISTO]]&lt;TODAY()),"Vencida","Não Vencida")</f>
        <v>Não Vencida</v>
      </c>
      <c r="Q621" s="58" t="str">
        <f>IF(tbRegistroEntradas[[#This Row],[DATA DA COMPETÊNCIA]]=tbRegistroEntradas[[#This Row],[DATA DO CAIXA PREVISTO]],"Vista","Prazo")</f>
        <v>Prazo</v>
      </c>
      <c r="R621" s="58" t="str">
        <f>IF(tbRegistroEntradas[[#This Row],[DATA DE CAIXA REALIZADO]]&lt;&gt;"N/A","Em Dia","Com atraso")</f>
        <v>Em Dia</v>
      </c>
    </row>
    <row r="622" spans="1:18" ht="14.4" customHeight="1" x14ac:dyDescent="0.3">
      <c r="A622" s="111">
        <v>45091</v>
      </c>
      <c r="B622" s="111">
        <f>A622-31</f>
        <v>45060</v>
      </c>
      <c r="C622" s="111">
        <f>(A622-B622)+B622-15</f>
        <v>45076</v>
      </c>
      <c r="D622" s="109" t="s">
        <v>65</v>
      </c>
      <c r="E622" s="109" t="s">
        <v>12</v>
      </c>
      <c r="F622" s="109" t="s">
        <v>18</v>
      </c>
      <c r="G622" s="109" t="s">
        <v>902</v>
      </c>
      <c r="H622" s="52" t="s">
        <v>89</v>
      </c>
      <c r="I622" s="118">
        <v>6068</v>
      </c>
      <c r="J622" s="110" t="str">
        <f>IF(tbRegistroEntradas[[#This Row],[DATA DE CAIXA REALIZADO]]="N/A","0",UPPER(TEXT(tbRegistroEntradas[[#This Row],[DATA DE CAIXA REALIZADO]],"mmm")))</f>
        <v>JUN</v>
      </c>
      <c r="K622" s="57">
        <f>IF(tbRegistroEntradas[[#This Row],[DATA DE CAIXA REALIZADO]]="N/A",0,YEAR(tbRegistroEntradas[[#This Row],[DATA DE CAIXA REALIZADO]]))</f>
        <v>2023</v>
      </c>
      <c r="L622" s="58" t="str">
        <f>IF(tbRegistroEntradas[[#This Row],[DATA DA COMPETÊNCIA]]="N/A","0",UPPER(TEXT(tbRegistroEntradas[[#This Row],[DATA DA COMPETÊNCIA]],"mmm")))</f>
        <v>MAI</v>
      </c>
      <c r="M622" s="58">
        <f>IF(tbRegistroEntradas[[#This Row],[DATA DA COMPETÊNCIA]]="N/A",0,YEAR(tbRegistroEntradas[[#This Row],[DATA DA COMPETÊNCIA]]))</f>
        <v>2023</v>
      </c>
      <c r="N622" s="58" t="str">
        <f>IF(tbRegistroEntradas[[#This Row],[DATA DO CAIXA PREVISTO]]="N/A","0",UPPER(TEXT(tbRegistroEntradas[[#This Row],[DATA DO CAIXA PREVISTO]],"mmm")))</f>
        <v>MAI</v>
      </c>
      <c r="O622" s="58">
        <f>IF(tbRegistroEntradas[[#This Row],[DATA DO CAIXA PREVISTO]]="N/A",0,YEAR(tbRegistroEntradas[[#This Row],[DATA DO CAIXA PREVISTO]]))</f>
        <v>2023</v>
      </c>
      <c r="P622" s="58" t="str">
        <f ca="1">IF(AND(tbRegistroEntradas[[#This Row],[DATA DE CAIXA REALIZADO]]="N/A",tbRegistroEntradas[[#This Row],[DATA DO CAIXA PREVISTO]]&lt;TODAY()),"Vencida","Não Vencida")</f>
        <v>Não Vencida</v>
      </c>
      <c r="Q622" s="58" t="str">
        <f>IF(tbRegistroEntradas[[#This Row],[DATA DA COMPETÊNCIA]]=tbRegistroEntradas[[#This Row],[DATA DO CAIXA PREVISTO]],"Vista","Prazo")</f>
        <v>Prazo</v>
      </c>
      <c r="R622" s="58" t="str">
        <f>IF(tbRegistroEntradas[[#This Row],[DATA DE CAIXA REALIZADO]]&lt;&gt;"N/A","Em Dia","Com atraso")</f>
        <v>Em Dia</v>
      </c>
    </row>
    <row r="623" spans="1:18" ht="14.4" customHeight="1" x14ac:dyDescent="0.3">
      <c r="A623" s="111">
        <v>45092</v>
      </c>
      <c r="B623" s="111">
        <f>A623-31</f>
        <v>45061</v>
      </c>
      <c r="C623" s="111">
        <f>(A623-B623)+B623-15</f>
        <v>45077</v>
      </c>
      <c r="D623" s="109" t="s">
        <v>64</v>
      </c>
      <c r="E623" s="109" t="s">
        <v>12</v>
      </c>
      <c r="F623" s="109" t="s">
        <v>19</v>
      </c>
      <c r="G623" s="109" t="s">
        <v>744</v>
      </c>
      <c r="H623" s="126" t="s">
        <v>113</v>
      </c>
      <c r="I623" s="118">
        <v>3412</v>
      </c>
      <c r="J623" s="110" t="str">
        <f>IF(tbRegistroEntradas[[#This Row],[DATA DE CAIXA REALIZADO]]="N/A","0",UPPER(TEXT(tbRegistroEntradas[[#This Row],[DATA DE CAIXA REALIZADO]],"mmm")))</f>
        <v>JUN</v>
      </c>
      <c r="K623" s="57">
        <f>IF(tbRegistroEntradas[[#This Row],[DATA DE CAIXA REALIZADO]]="N/A",0,YEAR(tbRegistroEntradas[[#This Row],[DATA DE CAIXA REALIZADO]]))</f>
        <v>2023</v>
      </c>
      <c r="L623" s="58" t="str">
        <f>IF(tbRegistroEntradas[[#This Row],[DATA DA COMPETÊNCIA]]="N/A","0",UPPER(TEXT(tbRegistroEntradas[[#This Row],[DATA DA COMPETÊNCIA]],"mmm")))</f>
        <v>MAI</v>
      </c>
      <c r="M623" s="58">
        <f>IF(tbRegistroEntradas[[#This Row],[DATA DA COMPETÊNCIA]]="N/A",0,YEAR(tbRegistroEntradas[[#This Row],[DATA DA COMPETÊNCIA]]))</f>
        <v>2023</v>
      </c>
      <c r="N623" s="58" t="str">
        <f>IF(tbRegistroEntradas[[#This Row],[DATA DO CAIXA PREVISTO]]="N/A","0",UPPER(TEXT(tbRegistroEntradas[[#This Row],[DATA DO CAIXA PREVISTO]],"mmm")))</f>
        <v>MAI</v>
      </c>
      <c r="O623" s="58">
        <f>IF(tbRegistroEntradas[[#This Row],[DATA DO CAIXA PREVISTO]]="N/A",0,YEAR(tbRegistroEntradas[[#This Row],[DATA DO CAIXA PREVISTO]]))</f>
        <v>2023</v>
      </c>
      <c r="P623" s="58" t="str">
        <f ca="1">IF(AND(tbRegistroEntradas[[#This Row],[DATA DE CAIXA REALIZADO]]="N/A",tbRegistroEntradas[[#This Row],[DATA DO CAIXA PREVISTO]]&lt;TODAY()),"Vencida","Não Vencida")</f>
        <v>Não Vencida</v>
      </c>
      <c r="Q623" s="58" t="str">
        <f>IF(tbRegistroEntradas[[#This Row],[DATA DA COMPETÊNCIA]]=tbRegistroEntradas[[#This Row],[DATA DO CAIXA PREVISTO]],"Vista","Prazo")</f>
        <v>Prazo</v>
      </c>
      <c r="R623" s="58" t="str">
        <f>IF(tbRegistroEntradas[[#This Row],[DATA DE CAIXA REALIZADO]]&lt;&gt;"N/A","Em Dia","Com atraso")</f>
        <v>Em Dia</v>
      </c>
    </row>
    <row r="624" spans="1:18" ht="14.4" customHeight="1" x14ac:dyDescent="0.3">
      <c r="A624" s="40">
        <v>45092.169317129628</v>
      </c>
      <c r="B624" s="41">
        <v>45061</v>
      </c>
      <c r="C624" s="41">
        <v>45092.169317129628</v>
      </c>
      <c r="D624" s="42" t="s">
        <v>65</v>
      </c>
      <c r="E624" s="42" t="s">
        <v>12</v>
      </c>
      <c r="F624" s="42" t="s">
        <v>19</v>
      </c>
      <c r="G624" s="42" t="s">
        <v>357</v>
      </c>
      <c r="H624" s="110" t="s">
        <v>120</v>
      </c>
      <c r="I624" s="121">
        <v>1006</v>
      </c>
      <c r="J624" s="55" t="str">
        <f>IF(tbRegistroEntradas[[#This Row],[DATA DE CAIXA REALIZADO]]="N/A","0",UPPER(TEXT(tbRegistroEntradas[[#This Row],[DATA DE CAIXA REALIZADO]],"mmm")))</f>
        <v>JUN</v>
      </c>
      <c r="K624" s="58">
        <f>IF(tbRegistroEntradas[[#This Row],[DATA DE CAIXA REALIZADO]]="N/A",0,YEAR(tbRegistroEntradas[[#This Row],[DATA DE CAIXA REALIZADO]]))</f>
        <v>2023</v>
      </c>
      <c r="L624" s="79" t="str">
        <f>IF(tbRegistroEntradas[[#This Row],[DATA DA COMPETÊNCIA]]="N/A","0",UPPER(TEXT(tbRegistroEntradas[[#This Row],[DATA DA COMPETÊNCIA]],"mmm")))</f>
        <v>MAI</v>
      </c>
      <c r="M624" s="79">
        <f>IF(tbRegistroEntradas[[#This Row],[DATA DA COMPETÊNCIA]]="N/A",0,YEAR(tbRegistroEntradas[[#This Row],[DATA DA COMPETÊNCIA]]))</f>
        <v>2023</v>
      </c>
      <c r="N624" s="84" t="str">
        <f>IF(tbRegistroEntradas[[#This Row],[DATA DO CAIXA PREVISTO]]="N/A","0",UPPER(TEXT(tbRegistroEntradas[[#This Row],[DATA DO CAIXA PREVISTO]],"mmm")))</f>
        <v>JUN</v>
      </c>
      <c r="O624" s="84">
        <f>IF(tbRegistroEntradas[[#This Row],[DATA DO CAIXA PREVISTO]]="N/A",0,YEAR(tbRegistroEntradas[[#This Row],[DATA DO CAIXA PREVISTO]]))</f>
        <v>2023</v>
      </c>
      <c r="P624" s="58" t="str">
        <f ca="1">IF(AND(tbRegistroEntradas[[#This Row],[DATA DE CAIXA REALIZADO]]="N/A",tbRegistroEntradas[[#This Row],[DATA DO CAIXA PREVISTO]]&lt;TODAY()),"Vencida","Não Vencida")</f>
        <v>Não Vencida</v>
      </c>
      <c r="Q624" s="58" t="str">
        <f>IF(tbRegistroEntradas[[#This Row],[DATA DA COMPETÊNCIA]]=tbRegistroEntradas[[#This Row],[DATA DO CAIXA PREVISTO]],"Vista","Prazo")</f>
        <v>Prazo</v>
      </c>
      <c r="R624" s="58" t="str">
        <f>IF(tbRegistroEntradas[[#This Row],[DATA DE CAIXA REALIZADO]]&lt;&gt;"N/A","Em Dia","Com atraso")</f>
        <v>Em Dia</v>
      </c>
    </row>
    <row r="625" spans="1:18" ht="14.4" customHeight="1" x14ac:dyDescent="0.3">
      <c r="A625" s="111">
        <v>45092</v>
      </c>
      <c r="B625" s="111">
        <f>A625-31</f>
        <v>45061</v>
      </c>
      <c r="C625" s="111">
        <f>(A625-B625)+B625-15</f>
        <v>45077</v>
      </c>
      <c r="D625" s="109" t="s">
        <v>64</v>
      </c>
      <c r="E625" s="109" t="s">
        <v>12</v>
      </c>
      <c r="F625" s="109" t="s">
        <v>32</v>
      </c>
      <c r="G625" s="109" t="s">
        <v>903</v>
      </c>
      <c r="H625" s="52" t="s">
        <v>114</v>
      </c>
      <c r="I625" s="118">
        <v>319</v>
      </c>
      <c r="J625" s="110" t="str">
        <f>IF(tbRegistroEntradas[[#This Row],[DATA DE CAIXA REALIZADO]]="N/A","0",UPPER(TEXT(tbRegistroEntradas[[#This Row],[DATA DE CAIXA REALIZADO]],"mmm")))</f>
        <v>JUN</v>
      </c>
      <c r="K625" s="57">
        <f>IF(tbRegistroEntradas[[#This Row],[DATA DE CAIXA REALIZADO]]="N/A",0,YEAR(tbRegistroEntradas[[#This Row],[DATA DE CAIXA REALIZADO]]))</f>
        <v>2023</v>
      </c>
      <c r="L625" s="58" t="str">
        <f>IF(tbRegistroEntradas[[#This Row],[DATA DA COMPETÊNCIA]]="N/A","0",UPPER(TEXT(tbRegistroEntradas[[#This Row],[DATA DA COMPETÊNCIA]],"mmm")))</f>
        <v>MAI</v>
      </c>
      <c r="M625" s="58">
        <f>IF(tbRegistroEntradas[[#This Row],[DATA DA COMPETÊNCIA]]="N/A",0,YEAR(tbRegistroEntradas[[#This Row],[DATA DA COMPETÊNCIA]]))</f>
        <v>2023</v>
      </c>
      <c r="N625" s="58" t="str">
        <f>IF(tbRegistroEntradas[[#This Row],[DATA DO CAIXA PREVISTO]]="N/A","0",UPPER(TEXT(tbRegistroEntradas[[#This Row],[DATA DO CAIXA PREVISTO]],"mmm")))</f>
        <v>MAI</v>
      </c>
      <c r="O625" s="58">
        <f>IF(tbRegistroEntradas[[#This Row],[DATA DO CAIXA PREVISTO]]="N/A",0,YEAR(tbRegistroEntradas[[#This Row],[DATA DO CAIXA PREVISTO]]))</f>
        <v>2023</v>
      </c>
      <c r="P625" s="58" t="str">
        <f ca="1">IF(AND(tbRegistroEntradas[[#This Row],[DATA DE CAIXA REALIZADO]]="N/A",tbRegistroEntradas[[#This Row],[DATA DO CAIXA PREVISTO]]&lt;TODAY()),"Vencida","Não Vencida")</f>
        <v>Não Vencida</v>
      </c>
      <c r="Q625" s="58" t="str">
        <f>IF(tbRegistroEntradas[[#This Row],[DATA DA COMPETÊNCIA]]=tbRegistroEntradas[[#This Row],[DATA DO CAIXA PREVISTO]],"Vista","Prazo")</f>
        <v>Prazo</v>
      </c>
      <c r="R625" s="58" t="str">
        <f>IF(tbRegistroEntradas[[#This Row],[DATA DE CAIXA REALIZADO]]&lt;&gt;"N/A","Em Dia","Com atraso")</f>
        <v>Em Dia</v>
      </c>
    </row>
    <row r="626" spans="1:18" ht="14.4" customHeight="1" x14ac:dyDescent="0.3">
      <c r="A626" s="111">
        <v>45093</v>
      </c>
      <c r="B626" s="111">
        <f>A626-31</f>
        <v>45062</v>
      </c>
      <c r="C626" s="111">
        <f>(A626-B626)+B626-15</f>
        <v>45078</v>
      </c>
      <c r="D626" s="109" t="s">
        <v>138</v>
      </c>
      <c r="E626" s="109" t="s">
        <v>12</v>
      </c>
      <c r="F626" s="109" t="s">
        <v>16</v>
      </c>
      <c r="G626" s="109" t="s">
        <v>906</v>
      </c>
      <c r="H626" s="52" t="s">
        <v>68</v>
      </c>
      <c r="I626" s="118">
        <v>3795</v>
      </c>
      <c r="J626" s="110" t="str">
        <f>IF(tbRegistroEntradas[[#This Row],[DATA DE CAIXA REALIZADO]]="N/A","0",UPPER(TEXT(tbRegistroEntradas[[#This Row],[DATA DE CAIXA REALIZADO]],"mmm")))</f>
        <v>JUN</v>
      </c>
      <c r="K626" s="57">
        <f>IF(tbRegistroEntradas[[#This Row],[DATA DE CAIXA REALIZADO]]="N/A",0,YEAR(tbRegistroEntradas[[#This Row],[DATA DE CAIXA REALIZADO]]))</f>
        <v>2023</v>
      </c>
      <c r="L626" s="58" t="str">
        <f>IF(tbRegistroEntradas[[#This Row],[DATA DA COMPETÊNCIA]]="N/A","0",UPPER(TEXT(tbRegistroEntradas[[#This Row],[DATA DA COMPETÊNCIA]],"mmm")))</f>
        <v>MAI</v>
      </c>
      <c r="M626" s="58">
        <f>IF(tbRegistroEntradas[[#This Row],[DATA DA COMPETÊNCIA]]="N/A",0,YEAR(tbRegistroEntradas[[#This Row],[DATA DA COMPETÊNCIA]]))</f>
        <v>2023</v>
      </c>
      <c r="N626" s="58" t="str">
        <f>IF(tbRegistroEntradas[[#This Row],[DATA DO CAIXA PREVISTO]]="N/A","0",UPPER(TEXT(tbRegistroEntradas[[#This Row],[DATA DO CAIXA PREVISTO]],"mmm")))</f>
        <v>JUN</v>
      </c>
      <c r="O626" s="58">
        <f>IF(tbRegistroEntradas[[#This Row],[DATA DO CAIXA PREVISTO]]="N/A",0,YEAR(tbRegistroEntradas[[#This Row],[DATA DO CAIXA PREVISTO]]))</f>
        <v>2023</v>
      </c>
      <c r="P626" s="58" t="str">
        <f ca="1">IF(AND(tbRegistroEntradas[[#This Row],[DATA DE CAIXA REALIZADO]]="N/A",tbRegistroEntradas[[#This Row],[DATA DO CAIXA PREVISTO]]&lt;TODAY()),"Vencida","Não Vencida")</f>
        <v>Não Vencida</v>
      </c>
      <c r="Q626" s="58" t="str">
        <f>IF(tbRegistroEntradas[[#This Row],[DATA DA COMPETÊNCIA]]=tbRegistroEntradas[[#This Row],[DATA DO CAIXA PREVISTO]],"Vista","Prazo")</f>
        <v>Prazo</v>
      </c>
      <c r="R626" s="58" t="str">
        <f>IF(tbRegistroEntradas[[#This Row],[DATA DE CAIXA REALIZADO]]&lt;&gt;"N/A","Em Dia","Com atraso")</f>
        <v>Em Dia</v>
      </c>
    </row>
    <row r="627" spans="1:18" ht="14.4" customHeight="1" x14ac:dyDescent="0.3">
      <c r="A627" s="111">
        <v>45094</v>
      </c>
      <c r="B627" s="111">
        <f>A627-31</f>
        <v>45063</v>
      </c>
      <c r="C627" s="111">
        <f>tbRegistroEntradas[[#This Row],[DATA DA COMPETÊNCIA]]</f>
        <v>45063</v>
      </c>
      <c r="D627" s="109" t="s">
        <v>61</v>
      </c>
      <c r="E627" s="109" t="s">
        <v>12</v>
      </c>
      <c r="F627" s="109" t="s">
        <v>32</v>
      </c>
      <c r="G627" s="109" t="s">
        <v>764</v>
      </c>
      <c r="H627" s="52" t="s">
        <v>86</v>
      </c>
      <c r="I627" s="118">
        <v>1152</v>
      </c>
      <c r="J627" s="110" t="str">
        <f>IF(tbRegistroEntradas[[#This Row],[DATA DE CAIXA REALIZADO]]="N/A","0",UPPER(TEXT(tbRegistroEntradas[[#This Row],[DATA DE CAIXA REALIZADO]],"mmm")))</f>
        <v>JUN</v>
      </c>
      <c r="K627" s="57">
        <f>IF(tbRegistroEntradas[[#This Row],[DATA DE CAIXA REALIZADO]]="N/A",0,YEAR(tbRegistroEntradas[[#This Row],[DATA DE CAIXA REALIZADO]]))</f>
        <v>2023</v>
      </c>
      <c r="L627" s="58" t="str">
        <f>IF(tbRegistroEntradas[[#This Row],[DATA DA COMPETÊNCIA]]="N/A","0",UPPER(TEXT(tbRegistroEntradas[[#This Row],[DATA DA COMPETÊNCIA]],"mmm")))</f>
        <v>MAI</v>
      </c>
      <c r="M627" s="58">
        <f>IF(tbRegistroEntradas[[#This Row],[DATA DA COMPETÊNCIA]]="N/A",0,YEAR(tbRegistroEntradas[[#This Row],[DATA DA COMPETÊNCIA]]))</f>
        <v>2023</v>
      </c>
      <c r="N627" s="58" t="str">
        <f>IF(tbRegistroEntradas[[#This Row],[DATA DO CAIXA PREVISTO]]="N/A","0",UPPER(TEXT(tbRegistroEntradas[[#This Row],[DATA DO CAIXA PREVISTO]],"mmm")))</f>
        <v>MAI</v>
      </c>
      <c r="O627" s="58">
        <f>IF(tbRegistroEntradas[[#This Row],[DATA DO CAIXA PREVISTO]]="N/A",0,YEAR(tbRegistroEntradas[[#This Row],[DATA DO CAIXA PREVISTO]]))</f>
        <v>2023</v>
      </c>
      <c r="P627" s="58" t="str">
        <f ca="1">IF(AND(tbRegistroEntradas[[#This Row],[DATA DE CAIXA REALIZADO]]="N/A",tbRegistroEntradas[[#This Row],[DATA DO CAIXA PREVISTO]]&lt;TODAY()),"Vencida","Não Vencida")</f>
        <v>Não Vencida</v>
      </c>
      <c r="Q627" s="58" t="str">
        <f>IF(tbRegistroEntradas[[#This Row],[DATA DA COMPETÊNCIA]]=tbRegistroEntradas[[#This Row],[DATA DO CAIXA PREVISTO]],"Vista","Prazo")</f>
        <v>Vista</v>
      </c>
      <c r="R627" s="58" t="str">
        <f>IF(tbRegistroEntradas[[#This Row],[DATA DE CAIXA REALIZADO]]&lt;&gt;"N/A","Em Dia","Com atraso")</f>
        <v>Em Dia</v>
      </c>
    </row>
    <row r="628" spans="1:18" ht="14.4" customHeight="1" x14ac:dyDescent="0.3">
      <c r="A628" s="111">
        <v>45094</v>
      </c>
      <c r="B628" s="111">
        <f>A628-31</f>
        <v>45063</v>
      </c>
      <c r="C628" s="111">
        <f>(A628-B628)+B628-15</f>
        <v>45079</v>
      </c>
      <c r="D628" s="109" t="s">
        <v>65</v>
      </c>
      <c r="E628" s="109" t="s">
        <v>12</v>
      </c>
      <c r="F628" s="109" t="s">
        <v>19</v>
      </c>
      <c r="G628" s="109" t="s">
        <v>825</v>
      </c>
      <c r="H628" s="52" t="s">
        <v>119</v>
      </c>
      <c r="I628" s="118">
        <v>4152</v>
      </c>
      <c r="J628" s="110" t="str">
        <f>IF(tbRegistroEntradas[[#This Row],[DATA DE CAIXA REALIZADO]]="N/A","0",UPPER(TEXT(tbRegistroEntradas[[#This Row],[DATA DE CAIXA REALIZADO]],"mmm")))</f>
        <v>JUN</v>
      </c>
      <c r="K628" s="57">
        <f>IF(tbRegistroEntradas[[#This Row],[DATA DE CAIXA REALIZADO]]="N/A",0,YEAR(tbRegistroEntradas[[#This Row],[DATA DE CAIXA REALIZADO]]))</f>
        <v>2023</v>
      </c>
      <c r="L628" s="58" t="str">
        <f>IF(tbRegistroEntradas[[#This Row],[DATA DA COMPETÊNCIA]]="N/A","0",UPPER(TEXT(tbRegistroEntradas[[#This Row],[DATA DA COMPETÊNCIA]],"mmm")))</f>
        <v>MAI</v>
      </c>
      <c r="M628" s="58">
        <f>IF(tbRegistroEntradas[[#This Row],[DATA DA COMPETÊNCIA]]="N/A",0,YEAR(tbRegistroEntradas[[#This Row],[DATA DA COMPETÊNCIA]]))</f>
        <v>2023</v>
      </c>
      <c r="N628" s="58" t="str">
        <f>IF(tbRegistroEntradas[[#This Row],[DATA DO CAIXA PREVISTO]]="N/A","0",UPPER(TEXT(tbRegistroEntradas[[#This Row],[DATA DO CAIXA PREVISTO]],"mmm")))</f>
        <v>JUN</v>
      </c>
      <c r="O628" s="58">
        <f>IF(tbRegistroEntradas[[#This Row],[DATA DO CAIXA PREVISTO]]="N/A",0,YEAR(tbRegistroEntradas[[#This Row],[DATA DO CAIXA PREVISTO]]))</f>
        <v>2023</v>
      </c>
      <c r="P628" s="58" t="str">
        <f ca="1">IF(AND(tbRegistroEntradas[[#This Row],[DATA DE CAIXA REALIZADO]]="N/A",tbRegistroEntradas[[#This Row],[DATA DO CAIXA PREVISTO]]&lt;TODAY()),"Vencida","Não Vencida")</f>
        <v>Não Vencida</v>
      </c>
      <c r="Q628" s="58" t="str">
        <f>IF(tbRegistroEntradas[[#This Row],[DATA DA COMPETÊNCIA]]=tbRegistroEntradas[[#This Row],[DATA DO CAIXA PREVISTO]],"Vista","Prazo")</f>
        <v>Prazo</v>
      </c>
      <c r="R628" s="58" t="str">
        <f>IF(tbRegistroEntradas[[#This Row],[DATA DE CAIXA REALIZADO]]&lt;&gt;"N/A","Em Dia","Com atraso")</f>
        <v>Em Dia</v>
      </c>
    </row>
    <row r="629" spans="1:18" ht="14.4" customHeight="1" x14ac:dyDescent="0.3">
      <c r="A629" s="43">
        <v>45147.64267361111</v>
      </c>
      <c r="B629" s="44">
        <v>45065</v>
      </c>
      <c r="C629" s="44">
        <v>45096.878101851849</v>
      </c>
      <c r="D629" s="35" t="s">
        <v>64</v>
      </c>
      <c r="E629" s="35" t="s">
        <v>12</v>
      </c>
      <c r="F629" s="35" t="s">
        <v>32</v>
      </c>
      <c r="G629" s="35" t="s">
        <v>358</v>
      </c>
      <c r="H629" s="52" t="s">
        <v>115</v>
      </c>
      <c r="I629" s="122">
        <v>1071</v>
      </c>
      <c r="J629" s="55" t="str">
        <f>IF(tbRegistroEntradas[[#This Row],[DATA DE CAIXA REALIZADO]]="N/A","0",UPPER(TEXT(tbRegistroEntradas[[#This Row],[DATA DE CAIXA REALIZADO]],"mmm")))</f>
        <v>AGO</v>
      </c>
      <c r="K629" s="58">
        <f>IF(tbRegistroEntradas[[#This Row],[DATA DE CAIXA REALIZADO]]="N/A",0,YEAR(tbRegistroEntradas[[#This Row],[DATA DE CAIXA REALIZADO]]))</f>
        <v>2023</v>
      </c>
      <c r="L629" s="79" t="str">
        <f>IF(tbRegistroEntradas[[#This Row],[DATA DA COMPETÊNCIA]]="N/A","0",UPPER(TEXT(tbRegistroEntradas[[#This Row],[DATA DA COMPETÊNCIA]],"mmm")))</f>
        <v>MAI</v>
      </c>
      <c r="M629" s="79">
        <f>IF(tbRegistroEntradas[[#This Row],[DATA DA COMPETÊNCIA]]="N/A",0,YEAR(tbRegistroEntradas[[#This Row],[DATA DA COMPETÊNCIA]]))</f>
        <v>2023</v>
      </c>
      <c r="N629" s="84" t="str">
        <f>IF(tbRegistroEntradas[[#This Row],[DATA DO CAIXA PREVISTO]]="N/A","0",UPPER(TEXT(tbRegistroEntradas[[#This Row],[DATA DO CAIXA PREVISTO]],"mmm")))</f>
        <v>JUN</v>
      </c>
      <c r="O629" s="84">
        <f>IF(tbRegistroEntradas[[#This Row],[DATA DO CAIXA PREVISTO]]="N/A",0,YEAR(tbRegistroEntradas[[#This Row],[DATA DO CAIXA PREVISTO]]))</f>
        <v>2023</v>
      </c>
      <c r="P629" s="58" t="str">
        <f ca="1">IF(AND(tbRegistroEntradas[[#This Row],[DATA DE CAIXA REALIZADO]]="N/A",tbRegistroEntradas[[#This Row],[DATA DO CAIXA PREVISTO]]&lt;TODAY()),"Vencida","Não Vencida")</f>
        <v>Não Vencida</v>
      </c>
      <c r="Q629" s="58" t="str">
        <f>IF(tbRegistroEntradas[[#This Row],[DATA DA COMPETÊNCIA]]=tbRegistroEntradas[[#This Row],[DATA DO CAIXA PREVISTO]],"Vista","Prazo")</f>
        <v>Prazo</v>
      </c>
      <c r="R629" s="58" t="str">
        <f>IF(tbRegistroEntradas[[#This Row],[DATA DE CAIXA REALIZADO]]&lt;&gt;"N/A","Em Dia","Com atraso")</f>
        <v>Em Dia</v>
      </c>
    </row>
    <row r="630" spans="1:18" ht="14.4" customHeight="1" x14ac:dyDescent="0.3">
      <c r="A630" s="111">
        <v>45096</v>
      </c>
      <c r="B630" s="111">
        <f>A630-31</f>
        <v>45065</v>
      </c>
      <c r="C630" s="111">
        <f>(A630-B630)+B630-15</f>
        <v>45081</v>
      </c>
      <c r="D630" s="109" t="s">
        <v>65</v>
      </c>
      <c r="E630" s="109" t="s">
        <v>12</v>
      </c>
      <c r="F630" s="109" t="s">
        <v>17</v>
      </c>
      <c r="G630" s="109" t="s">
        <v>941</v>
      </c>
      <c r="H630" s="52" t="s">
        <v>120</v>
      </c>
      <c r="I630" s="118">
        <v>7255</v>
      </c>
      <c r="J630" s="110" t="str">
        <f>IF(tbRegistroEntradas[[#This Row],[DATA DE CAIXA REALIZADO]]="N/A","0",UPPER(TEXT(tbRegistroEntradas[[#This Row],[DATA DE CAIXA REALIZADO]],"mmm")))</f>
        <v>JUN</v>
      </c>
      <c r="K630" s="57">
        <f>IF(tbRegistroEntradas[[#This Row],[DATA DE CAIXA REALIZADO]]="N/A",0,YEAR(tbRegistroEntradas[[#This Row],[DATA DE CAIXA REALIZADO]]))</f>
        <v>2023</v>
      </c>
      <c r="L630" s="58" t="str">
        <f>IF(tbRegistroEntradas[[#This Row],[DATA DA COMPETÊNCIA]]="N/A","0",UPPER(TEXT(tbRegistroEntradas[[#This Row],[DATA DA COMPETÊNCIA]],"mmm")))</f>
        <v>MAI</v>
      </c>
      <c r="M630" s="58">
        <f>IF(tbRegistroEntradas[[#This Row],[DATA DA COMPETÊNCIA]]="N/A",0,YEAR(tbRegistroEntradas[[#This Row],[DATA DA COMPETÊNCIA]]))</f>
        <v>2023</v>
      </c>
      <c r="N630" s="58" t="str">
        <f>IF(tbRegistroEntradas[[#This Row],[DATA DO CAIXA PREVISTO]]="N/A","0",UPPER(TEXT(tbRegistroEntradas[[#This Row],[DATA DO CAIXA PREVISTO]],"mmm")))</f>
        <v>JUN</v>
      </c>
      <c r="O630" s="58">
        <f>IF(tbRegistroEntradas[[#This Row],[DATA DO CAIXA PREVISTO]]="N/A",0,YEAR(tbRegistroEntradas[[#This Row],[DATA DO CAIXA PREVISTO]]))</f>
        <v>2023</v>
      </c>
      <c r="P630" s="58" t="str">
        <f ca="1">IF(AND(tbRegistroEntradas[[#This Row],[DATA DE CAIXA REALIZADO]]="N/A",tbRegistroEntradas[[#This Row],[DATA DO CAIXA PREVISTO]]&lt;TODAY()),"Vencida","Não Vencida")</f>
        <v>Não Vencida</v>
      </c>
      <c r="Q630" s="58" t="str">
        <f>IF(tbRegistroEntradas[[#This Row],[DATA DA COMPETÊNCIA]]=tbRegistroEntradas[[#This Row],[DATA DO CAIXA PREVISTO]],"Vista","Prazo")</f>
        <v>Prazo</v>
      </c>
      <c r="R630" s="58" t="str">
        <f>IF(tbRegistroEntradas[[#This Row],[DATA DE CAIXA REALIZADO]]&lt;&gt;"N/A","Em Dia","Com atraso")</f>
        <v>Em Dia</v>
      </c>
    </row>
    <row r="631" spans="1:18" ht="14.4" customHeight="1" x14ac:dyDescent="0.3">
      <c r="A631" s="111">
        <v>45097</v>
      </c>
      <c r="B631" s="111">
        <f>A631-31</f>
        <v>45066</v>
      </c>
      <c r="C631" s="111">
        <f>tbRegistroEntradas[[#This Row],[DATA DA COMPETÊNCIA]]</f>
        <v>45066</v>
      </c>
      <c r="D631" s="109" t="s">
        <v>66</v>
      </c>
      <c r="E631" s="109" t="s">
        <v>12</v>
      </c>
      <c r="F631" s="109" t="s">
        <v>19</v>
      </c>
      <c r="G631" s="109" t="s">
        <v>973</v>
      </c>
      <c r="H631" s="5" t="s">
        <v>127</v>
      </c>
      <c r="I631" s="118">
        <v>2299</v>
      </c>
      <c r="J631" s="110" t="str">
        <f>IF(tbRegistroEntradas[[#This Row],[DATA DE CAIXA REALIZADO]]="N/A","0",UPPER(TEXT(tbRegistroEntradas[[#This Row],[DATA DE CAIXA REALIZADO]],"mmm")))</f>
        <v>JUN</v>
      </c>
      <c r="K631" s="57">
        <f>IF(tbRegistroEntradas[[#This Row],[DATA DE CAIXA REALIZADO]]="N/A",0,YEAR(tbRegistroEntradas[[#This Row],[DATA DE CAIXA REALIZADO]]))</f>
        <v>2023</v>
      </c>
      <c r="L631" s="58" t="str">
        <f>IF(tbRegistroEntradas[[#This Row],[DATA DA COMPETÊNCIA]]="N/A","0",UPPER(TEXT(tbRegistroEntradas[[#This Row],[DATA DA COMPETÊNCIA]],"mmm")))</f>
        <v>MAI</v>
      </c>
      <c r="M631" s="58">
        <f>IF(tbRegistroEntradas[[#This Row],[DATA DA COMPETÊNCIA]]="N/A",0,YEAR(tbRegistroEntradas[[#This Row],[DATA DA COMPETÊNCIA]]))</f>
        <v>2023</v>
      </c>
      <c r="N631" s="58" t="str">
        <f>IF(tbRegistroEntradas[[#This Row],[DATA DO CAIXA PREVISTO]]="N/A","0",UPPER(TEXT(tbRegistroEntradas[[#This Row],[DATA DO CAIXA PREVISTO]],"mmm")))</f>
        <v>MAI</v>
      </c>
      <c r="O631" s="58">
        <f>IF(tbRegistroEntradas[[#This Row],[DATA DO CAIXA PREVISTO]]="N/A",0,YEAR(tbRegistroEntradas[[#This Row],[DATA DO CAIXA PREVISTO]]))</f>
        <v>2023</v>
      </c>
      <c r="P631" s="58" t="str">
        <f ca="1">IF(AND(tbRegistroEntradas[[#This Row],[DATA DE CAIXA REALIZADO]]="N/A",tbRegistroEntradas[[#This Row],[DATA DO CAIXA PREVISTO]]&lt;TODAY()),"Vencida","Não Vencida")</f>
        <v>Não Vencida</v>
      </c>
      <c r="Q631" s="58" t="str">
        <f>IF(tbRegistroEntradas[[#This Row],[DATA DA COMPETÊNCIA]]=tbRegistroEntradas[[#This Row],[DATA DO CAIXA PREVISTO]],"Vista","Prazo")</f>
        <v>Vista</v>
      </c>
      <c r="R631" s="58" t="str">
        <f>IF(tbRegistroEntradas[[#This Row],[DATA DE CAIXA REALIZADO]]&lt;&gt;"N/A","Em Dia","Com atraso")</f>
        <v>Em Dia</v>
      </c>
    </row>
    <row r="632" spans="1:18" ht="14.4" customHeight="1" x14ac:dyDescent="0.3">
      <c r="A632" s="111">
        <v>45098</v>
      </c>
      <c r="B632" s="111">
        <f>A632-31</f>
        <v>45067</v>
      </c>
      <c r="C632" s="111">
        <f>(A632-B632)+B632-15</f>
        <v>45083</v>
      </c>
      <c r="D632" s="109" t="s">
        <v>138</v>
      </c>
      <c r="E632" s="109" t="s">
        <v>12</v>
      </c>
      <c r="F632" s="109" t="s">
        <v>16</v>
      </c>
      <c r="G632" s="109" t="s">
        <v>791</v>
      </c>
      <c r="H632" s="52" t="s">
        <v>75</v>
      </c>
      <c r="I632" s="118">
        <v>3216</v>
      </c>
      <c r="J632" s="110" t="str">
        <f>IF(tbRegistroEntradas[[#This Row],[DATA DE CAIXA REALIZADO]]="N/A","0",UPPER(TEXT(tbRegistroEntradas[[#This Row],[DATA DE CAIXA REALIZADO]],"mmm")))</f>
        <v>JUN</v>
      </c>
      <c r="K632" s="57">
        <f>IF(tbRegistroEntradas[[#This Row],[DATA DE CAIXA REALIZADO]]="N/A",0,YEAR(tbRegistroEntradas[[#This Row],[DATA DE CAIXA REALIZADO]]))</f>
        <v>2023</v>
      </c>
      <c r="L632" s="58" t="str">
        <f>IF(tbRegistroEntradas[[#This Row],[DATA DA COMPETÊNCIA]]="N/A","0",UPPER(TEXT(tbRegistroEntradas[[#This Row],[DATA DA COMPETÊNCIA]],"mmm")))</f>
        <v>MAI</v>
      </c>
      <c r="M632" s="58">
        <f>IF(tbRegistroEntradas[[#This Row],[DATA DA COMPETÊNCIA]]="N/A",0,YEAR(tbRegistroEntradas[[#This Row],[DATA DA COMPETÊNCIA]]))</f>
        <v>2023</v>
      </c>
      <c r="N632" s="58" t="str">
        <f>IF(tbRegistroEntradas[[#This Row],[DATA DO CAIXA PREVISTO]]="N/A","0",UPPER(TEXT(tbRegistroEntradas[[#This Row],[DATA DO CAIXA PREVISTO]],"mmm")))</f>
        <v>JUN</v>
      </c>
      <c r="O632" s="58">
        <f>IF(tbRegistroEntradas[[#This Row],[DATA DO CAIXA PREVISTO]]="N/A",0,YEAR(tbRegistroEntradas[[#This Row],[DATA DO CAIXA PREVISTO]]))</f>
        <v>2023</v>
      </c>
      <c r="P632" s="58" t="str">
        <f ca="1">IF(AND(tbRegistroEntradas[[#This Row],[DATA DE CAIXA REALIZADO]]="N/A",tbRegistroEntradas[[#This Row],[DATA DO CAIXA PREVISTO]]&lt;TODAY()),"Vencida","Não Vencida")</f>
        <v>Não Vencida</v>
      </c>
      <c r="Q632" s="58" t="str">
        <f>IF(tbRegistroEntradas[[#This Row],[DATA DA COMPETÊNCIA]]=tbRegistroEntradas[[#This Row],[DATA DO CAIXA PREVISTO]],"Vista","Prazo")</f>
        <v>Prazo</v>
      </c>
      <c r="R632" s="58" t="str">
        <f>IF(tbRegistroEntradas[[#This Row],[DATA DE CAIXA REALIZADO]]&lt;&gt;"N/A","Em Dia","Com atraso")</f>
        <v>Em Dia</v>
      </c>
    </row>
    <row r="633" spans="1:18" ht="14.4" customHeight="1" x14ac:dyDescent="0.3">
      <c r="A633" s="111">
        <v>45099</v>
      </c>
      <c r="B633" s="111">
        <f>A633-31</f>
        <v>45068</v>
      </c>
      <c r="C633" s="111">
        <f>tbRegistroEntradas[[#This Row],[DATA DA COMPETÊNCIA]]</f>
        <v>45068</v>
      </c>
      <c r="D633" s="109" t="s">
        <v>138</v>
      </c>
      <c r="E633" s="109" t="s">
        <v>12</v>
      </c>
      <c r="F633" s="109" t="s">
        <v>17</v>
      </c>
      <c r="G633" s="109" t="s">
        <v>1092</v>
      </c>
      <c r="H633" s="52" t="s">
        <v>76</v>
      </c>
      <c r="I633" s="118">
        <v>3425</v>
      </c>
      <c r="J633" s="110" t="str">
        <f>IF(tbRegistroEntradas[[#This Row],[DATA DE CAIXA REALIZADO]]="N/A","0",UPPER(TEXT(tbRegistroEntradas[[#This Row],[DATA DE CAIXA REALIZADO]],"mmm")))</f>
        <v>JUN</v>
      </c>
      <c r="K633" s="57">
        <f>IF(tbRegistroEntradas[[#This Row],[DATA DE CAIXA REALIZADO]]="N/A",0,YEAR(tbRegistroEntradas[[#This Row],[DATA DE CAIXA REALIZADO]]))</f>
        <v>2023</v>
      </c>
      <c r="L633" s="58" t="str">
        <f>IF(tbRegistroEntradas[[#This Row],[DATA DA COMPETÊNCIA]]="N/A","0",UPPER(TEXT(tbRegistroEntradas[[#This Row],[DATA DA COMPETÊNCIA]],"mmm")))</f>
        <v>MAI</v>
      </c>
      <c r="M633" s="58">
        <f>IF(tbRegistroEntradas[[#This Row],[DATA DA COMPETÊNCIA]]="N/A",0,YEAR(tbRegistroEntradas[[#This Row],[DATA DA COMPETÊNCIA]]))</f>
        <v>2023</v>
      </c>
      <c r="N633" s="58" t="str">
        <f>IF(tbRegistroEntradas[[#This Row],[DATA DO CAIXA PREVISTO]]="N/A","0",UPPER(TEXT(tbRegistroEntradas[[#This Row],[DATA DO CAIXA PREVISTO]],"mmm")))</f>
        <v>MAI</v>
      </c>
      <c r="O633" s="58">
        <f>IF(tbRegistroEntradas[[#This Row],[DATA DO CAIXA PREVISTO]]="N/A",0,YEAR(tbRegistroEntradas[[#This Row],[DATA DO CAIXA PREVISTO]]))</f>
        <v>2023</v>
      </c>
      <c r="P633" s="58" t="str">
        <f ca="1">IF(AND(tbRegistroEntradas[[#This Row],[DATA DE CAIXA REALIZADO]]="N/A",tbRegistroEntradas[[#This Row],[DATA DO CAIXA PREVISTO]]&lt;TODAY()),"Vencida","Não Vencida")</f>
        <v>Não Vencida</v>
      </c>
      <c r="Q633" s="58" t="str">
        <f>IF(tbRegistroEntradas[[#This Row],[DATA DA COMPETÊNCIA]]=tbRegistroEntradas[[#This Row],[DATA DO CAIXA PREVISTO]],"Vista","Prazo")</f>
        <v>Vista</v>
      </c>
      <c r="R633" s="58" t="str">
        <f>IF(tbRegistroEntradas[[#This Row],[DATA DE CAIXA REALIZADO]]&lt;&gt;"N/A","Em Dia","Com atraso")</f>
        <v>Em Dia</v>
      </c>
    </row>
    <row r="634" spans="1:18" ht="14.4" customHeight="1" x14ac:dyDescent="0.3">
      <c r="A634" s="40">
        <v>45091.288414351853</v>
      </c>
      <c r="B634" s="41">
        <v>45070</v>
      </c>
      <c r="C634" s="41">
        <v>45091.288414351853</v>
      </c>
      <c r="D634" s="42" t="s">
        <v>138</v>
      </c>
      <c r="E634" s="42" t="s">
        <v>12</v>
      </c>
      <c r="F634" s="42" t="s">
        <v>18</v>
      </c>
      <c r="G634" s="42" t="s">
        <v>359</v>
      </c>
      <c r="H634" s="52" t="s">
        <v>77</v>
      </c>
      <c r="I634" s="121">
        <v>2194</v>
      </c>
      <c r="J634" s="55" t="str">
        <f>IF(tbRegistroEntradas[[#This Row],[DATA DE CAIXA REALIZADO]]="N/A","0",UPPER(TEXT(tbRegistroEntradas[[#This Row],[DATA DE CAIXA REALIZADO]],"mmm")))</f>
        <v>JUN</v>
      </c>
      <c r="K634" s="58">
        <f>IF(tbRegistroEntradas[[#This Row],[DATA DE CAIXA REALIZADO]]="N/A",0,YEAR(tbRegistroEntradas[[#This Row],[DATA DE CAIXA REALIZADO]]))</f>
        <v>2023</v>
      </c>
      <c r="L634" s="79" t="str">
        <f>IF(tbRegistroEntradas[[#This Row],[DATA DA COMPETÊNCIA]]="N/A","0",UPPER(TEXT(tbRegistroEntradas[[#This Row],[DATA DA COMPETÊNCIA]],"mmm")))</f>
        <v>MAI</v>
      </c>
      <c r="M634" s="79">
        <f>IF(tbRegistroEntradas[[#This Row],[DATA DA COMPETÊNCIA]]="N/A",0,YEAR(tbRegistroEntradas[[#This Row],[DATA DA COMPETÊNCIA]]))</f>
        <v>2023</v>
      </c>
      <c r="N634" s="84" t="str">
        <f>IF(tbRegistroEntradas[[#This Row],[DATA DO CAIXA PREVISTO]]="N/A","0",UPPER(TEXT(tbRegistroEntradas[[#This Row],[DATA DO CAIXA PREVISTO]],"mmm")))</f>
        <v>JUN</v>
      </c>
      <c r="O634" s="84">
        <f>IF(tbRegistroEntradas[[#This Row],[DATA DO CAIXA PREVISTO]]="N/A",0,YEAR(tbRegistroEntradas[[#This Row],[DATA DO CAIXA PREVISTO]]))</f>
        <v>2023</v>
      </c>
      <c r="P634" s="58" t="str">
        <f ca="1">IF(AND(tbRegistroEntradas[[#This Row],[DATA DE CAIXA REALIZADO]]="N/A",tbRegistroEntradas[[#This Row],[DATA DO CAIXA PREVISTO]]&lt;TODAY()),"Vencida","Não Vencida")</f>
        <v>Não Vencida</v>
      </c>
      <c r="Q634" s="58" t="str">
        <f>IF(tbRegistroEntradas[[#This Row],[DATA DA COMPETÊNCIA]]=tbRegistroEntradas[[#This Row],[DATA DO CAIXA PREVISTO]],"Vista","Prazo")</f>
        <v>Prazo</v>
      </c>
      <c r="R634" s="58" t="str">
        <f>IF(tbRegistroEntradas[[#This Row],[DATA DE CAIXA REALIZADO]]&lt;&gt;"N/A","Em Dia","Com atraso")</f>
        <v>Em Dia</v>
      </c>
    </row>
    <row r="635" spans="1:18" ht="14.4" customHeight="1" x14ac:dyDescent="0.3">
      <c r="A635" s="111">
        <v>45102</v>
      </c>
      <c r="B635" s="111">
        <f>A635-31</f>
        <v>45071</v>
      </c>
      <c r="C635" s="111">
        <f>tbRegistroEntradas[[#This Row],[DATA DA COMPETÊNCIA]]</f>
        <v>45071</v>
      </c>
      <c r="D635" s="109" t="s">
        <v>65</v>
      </c>
      <c r="E635" s="109" t="s">
        <v>12</v>
      </c>
      <c r="F635" s="109" t="s">
        <v>18</v>
      </c>
      <c r="G635" s="109" t="s">
        <v>1081</v>
      </c>
      <c r="H635" s="126" t="s">
        <v>121</v>
      </c>
      <c r="I635" s="118">
        <v>7778</v>
      </c>
      <c r="J635" s="110" t="str">
        <f>IF(tbRegistroEntradas[[#This Row],[DATA DE CAIXA REALIZADO]]="N/A","0",UPPER(TEXT(tbRegistroEntradas[[#This Row],[DATA DE CAIXA REALIZADO]],"mmm")))</f>
        <v>JUN</v>
      </c>
      <c r="K635" s="57">
        <f>IF(tbRegistroEntradas[[#This Row],[DATA DE CAIXA REALIZADO]]="N/A",0,YEAR(tbRegistroEntradas[[#This Row],[DATA DE CAIXA REALIZADO]]))</f>
        <v>2023</v>
      </c>
      <c r="L635" s="58" t="str">
        <f>IF(tbRegistroEntradas[[#This Row],[DATA DA COMPETÊNCIA]]="N/A","0",UPPER(TEXT(tbRegistroEntradas[[#This Row],[DATA DA COMPETÊNCIA]],"mmm")))</f>
        <v>MAI</v>
      </c>
      <c r="M635" s="58">
        <f>IF(tbRegistroEntradas[[#This Row],[DATA DA COMPETÊNCIA]]="N/A",0,YEAR(tbRegistroEntradas[[#This Row],[DATA DA COMPETÊNCIA]]))</f>
        <v>2023</v>
      </c>
      <c r="N635" s="58" t="str">
        <f>IF(tbRegistroEntradas[[#This Row],[DATA DO CAIXA PREVISTO]]="N/A","0",UPPER(TEXT(tbRegistroEntradas[[#This Row],[DATA DO CAIXA PREVISTO]],"mmm")))</f>
        <v>MAI</v>
      </c>
      <c r="O635" s="58">
        <f>IF(tbRegistroEntradas[[#This Row],[DATA DO CAIXA PREVISTO]]="N/A",0,YEAR(tbRegistroEntradas[[#This Row],[DATA DO CAIXA PREVISTO]]))</f>
        <v>2023</v>
      </c>
      <c r="P635" s="58" t="str">
        <f ca="1">IF(AND(tbRegistroEntradas[[#This Row],[DATA DE CAIXA REALIZADO]]="N/A",tbRegistroEntradas[[#This Row],[DATA DO CAIXA PREVISTO]]&lt;TODAY()),"Vencida","Não Vencida")</f>
        <v>Não Vencida</v>
      </c>
      <c r="Q635" s="58" t="str">
        <f>IF(tbRegistroEntradas[[#This Row],[DATA DA COMPETÊNCIA]]=tbRegistroEntradas[[#This Row],[DATA DO CAIXA PREVISTO]],"Vista","Prazo")</f>
        <v>Vista</v>
      </c>
      <c r="R635" s="58" t="str">
        <f>IF(tbRegistroEntradas[[#This Row],[DATA DE CAIXA REALIZADO]]&lt;&gt;"N/A","Em Dia","Com atraso")</f>
        <v>Em Dia</v>
      </c>
    </row>
    <row r="636" spans="1:18" ht="14.4" customHeight="1" x14ac:dyDescent="0.3">
      <c r="A636" s="43">
        <v>45072.846712962964</v>
      </c>
      <c r="B636" s="44">
        <v>45072</v>
      </c>
      <c r="C636" s="111">
        <f>tbRegistroEntradas[[#This Row],[DATA DA COMPETÊNCIA]]</f>
        <v>45072</v>
      </c>
      <c r="D636" s="35" t="s">
        <v>67</v>
      </c>
      <c r="E636" s="35" t="s">
        <v>12</v>
      </c>
      <c r="F636" s="35" t="s">
        <v>19</v>
      </c>
      <c r="G636" s="35" t="s">
        <v>360</v>
      </c>
      <c r="H636" s="52" t="s">
        <v>133</v>
      </c>
      <c r="I636" s="122">
        <v>2531</v>
      </c>
      <c r="J636" s="55" t="str">
        <f>IF(tbRegistroEntradas[[#This Row],[DATA DE CAIXA REALIZADO]]="N/A","0",UPPER(TEXT(tbRegistroEntradas[[#This Row],[DATA DE CAIXA REALIZADO]],"mmm")))</f>
        <v>MAI</v>
      </c>
      <c r="K636" s="58">
        <f>IF(tbRegistroEntradas[[#This Row],[DATA DE CAIXA REALIZADO]]="N/A",0,YEAR(tbRegistroEntradas[[#This Row],[DATA DE CAIXA REALIZADO]]))</f>
        <v>2023</v>
      </c>
      <c r="L636" s="79" t="str">
        <f>IF(tbRegistroEntradas[[#This Row],[DATA DA COMPETÊNCIA]]="N/A","0",UPPER(TEXT(tbRegistroEntradas[[#This Row],[DATA DA COMPETÊNCIA]],"mmm")))</f>
        <v>MAI</v>
      </c>
      <c r="M636" s="79">
        <f>IF(tbRegistroEntradas[[#This Row],[DATA DA COMPETÊNCIA]]="N/A",0,YEAR(tbRegistroEntradas[[#This Row],[DATA DA COMPETÊNCIA]]))</f>
        <v>2023</v>
      </c>
      <c r="N636" s="84" t="str">
        <f>IF(tbRegistroEntradas[[#This Row],[DATA DO CAIXA PREVISTO]]="N/A","0",UPPER(TEXT(tbRegistroEntradas[[#This Row],[DATA DO CAIXA PREVISTO]],"mmm")))</f>
        <v>MAI</v>
      </c>
      <c r="O636" s="84">
        <f>IF(tbRegistroEntradas[[#This Row],[DATA DO CAIXA PREVISTO]]="N/A",0,YEAR(tbRegistroEntradas[[#This Row],[DATA DO CAIXA PREVISTO]]))</f>
        <v>2023</v>
      </c>
      <c r="P636" s="58" t="str">
        <f ca="1">IF(AND(tbRegistroEntradas[[#This Row],[DATA DE CAIXA REALIZADO]]="N/A",tbRegistroEntradas[[#This Row],[DATA DO CAIXA PREVISTO]]&lt;TODAY()),"Vencida","Não Vencida")</f>
        <v>Não Vencida</v>
      </c>
      <c r="Q636" s="58" t="str">
        <f>IF(tbRegistroEntradas[[#This Row],[DATA DA COMPETÊNCIA]]=tbRegistroEntradas[[#This Row],[DATA DO CAIXA PREVISTO]],"Vista","Prazo")</f>
        <v>Vista</v>
      </c>
      <c r="R636" s="58" t="str">
        <f>IF(tbRegistroEntradas[[#This Row],[DATA DE CAIXA REALIZADO]]&lt;&gt;"N/A","Em Dia","Com atraso")</f>
        <v>Em Dia</v>
      </c>
    </row>
    <row r="637" spans="1:18" ht="14.4" customHeight="1" x14ac:dyDescent="0.3">
      <c r="A637" s="111">
        <v>45103</v>
      </c>
      <c r="B637" s="111">
        <f>A637-31</f>
        <v>45072</v>
      </c>
      <c r="C637" s="111">
        <f>tbRegistroEntradas[[#This Row],[DATA DA COMPETÊNCIA]]</f>
        <v>45072</v>
      </c>
      <c r="D637" s="109" t="s">
        <v>137</v>
      </c>
      <c r="E637" s="109" t="s">
        <v>12</v>
      </c>
      <c r="F637" s="109" t="s">
        <v>32</v>
      </c>
      <c r="G637" s="109" t="s">
        <v>149</v>
      </c>
      <c r="H637" s="126" t="s">
        <v>73</v>
      </c>
      <c r="I637" s="118">
        <v>3946</v>
      </c>
      <c r="J637" s="110" t="str">
        <f>IF(tbRegistroEntradas[[#This Row],[DATA DE CAIXA REALIZADO]]="N/A","0",UPPER(TEXT(tbRegistroEntradas[[#This Row],[DATA DE CAIXA REALIZADO]],"mmm")))</f>
        <v>JUN</v>
      </c>
      <c r="K637" s="57">
        <f>IF(tbRegistroEntradas[[#This Row],[DATA DE CAIXA REALIZADO]]="N/A",0,YEAR(tbRegistroEntradas[[#This Row],[DATA DE CAIXA REALIZADO]]))</f>
        <v>2023</v>
      </c>
      <c r="L637" s="58" t="str">
        <f>IF(tbRegistroEntradas[[#This Row],[DATA DA COMPETÊNCIA]]="N/A","0",UPPER(TEXT(tbRegistroEntradas[[#This Row],[DATA DA COMPETÊNCIA]],"mmm")))</f>
        <v>MAI</v>
      </c>
      <c r="M637" s="58">
        <f>IF(tbRegistroEntradas[[#This Row],[DATA DA COMPETÊNCIA]]="N/A",0,YEAR(tbRegistroEntradas[[#This Row],[DATA DA COMPETÊNCIA]]))</f>
        <v>2023</v>
      </c>
      <c r="N637" s="58" t="str">
        <f>IF(tbRegistroEntradas[[#This Row],[DATA DO CAIXA PREVISTO]]="N/A","0",UPPER(TEXT(tbRegistroEntradas[[#This Row],[DATA DO CAIXA PREVISTO]],"mmm")))</f>
        <v>MAI</v>
      </c>
      <c r="O637" s="58">
        <f>IF(tbRegistroEntradas[[#This Row],[DATA DO CAIXA PREVISTO]]="N/A",0,YEAR(tbRegistroEntradas[[#This Row],[DATA DO CAIXA PREVISTO]]))</f>
        <v>2023</v>
      </c>
      <c r="P637" s="58" t="str">
        <f ca="1">IF(AND(tbRegistroEntradas[[#This Row],[DATA DE CAIXA REALIZADO]]="N/A",tbRegistroEntradas[[#This Row],[DATA DO CAIXA PREVISTO]]&lt;TODAY()),"Vencida","Não Vencida")</f>
        <v>Não Vencida</v>
      </c>
      <c r="Q637" s="58" t="str">
        <f>IF(tbRegistroEntradas[[#This Row],[DATA DA COMPETÊNCIA]]=tbRegistroEntradas[[#This Row],[DATA DO CAIXA PREVISTO]],"Vista","Prazo")</f>
        <v>Vista</v>
      </c>
      <c r="R637" s="58" t="str">
        <f>IF(tbRegistroEntradas[[#This Row],[DATA DE CAIXA REALIZADO]]&lt;&gt;"N/A","Em Dia","Com atraso")</f>
        <v>Em Dia</v>
      </c>
    </row>
    <row r="638" spans="1:18" ht="14.4" customHeight="1" x14ac:dyDescent="0.3">
      <c r="A638" s="111">
        <v>45105</v>
      </c>
      <c r="B638" s="111">
        <f>A638-31</f>
        <v>45074</v>
      </c>
      <c r="C638" s="111">
        <f>tbRegistroEntradas[[#This Row],[DATA DA COMPETÊNCIA]]</f>
        <v>45074</v>
      </c>
      <c r="D638" s="109" t="s">
        <v>63</v>
      </c>
      <c r="E638" s="109" t="s">
        <v>12</v>
      </c>
      <c r="F638" s="109" t="s">
        <v>18</v>
      </c>
      <c r="G638" s="109" t="s">
        <v>1019</v>
      </c>
      <c r="H638" s="52" t="s">
        <v>100</v>
      </c>
      <c r="I638" s="118">
        <v>5371</v>
      </c>
      <c r="J638" s="110" t="str">
        <f>IF(tbRegistroEntradas[[#This Row],[DATA DE CAIXA REALIZADO]]="N/A","0",UPPER(TEXT(tbRegistroEntradas[[#This Row],[DATA DE CAIXA REALIZADO]],"mmm")))</f>
        <v>JUN</v>
      </c>
      <c r="K638" s="57">
        <f>IF(tbRegistroEntradas[[#This Row],[DATA DE CAIXA REALIZADO]]="N/A",0,YEAR(tbRegistroEntradas[[#This Row],[DATA DE CAIXA REALIZADO]]))</f>
        <v>2023</v>
      </c>
      <c r="L638" s="58" t="str">
        <f>IF(tbRegistroEntradas[[#This Row],[DATA DA COMPETÊNCIA]]="N/A","0",UPPER(TEXT(tbRegistroEntradas[[#This Row],[DATA DA COMPETÊNCIA]],"mmm")))</f>
        <v>MAI</v>
      </c>
      <c r="M638" s="58">
        <f>IF(tbRegistroEntradas[[#This Row],[DATA DA COMPETÊNCIA]]="N/A",0,YEAR(tbRegistroEntradas[[#This Row],[DATA DA COMPETÊNCIA]]))</f>
        <v>2023</v>
      </c>
      <c r="N638" s="58" t="str">
        <f>IF(tbRegistroEntradas[[#This Row],[DATA DO CAIXA PREVISTO]]="N/A","0",UPPER(TEXT(tbRegistroEntradas[[#This Row],[DATA DO CAIXA PREVISTO]],"mmm")))</f>
        <v>MAI</v>
      </c>
      <c r="O638" s="58">
        <f>IF(tbRegistroEntradas[[#This Row],[DATA DO CAIXA PREVISTO]]="N/A",0,YEAR(tbRegistroEntradas[[#This Row],[DATA DO CAIXA PREVISTO]]))</f>
        <v>2023</v>
      </c>
      <c r="P638" s="58" t="str">
        <f ca="1">IF(AND(tbRegistroEntradas[[#This Row],[DATA DE CAIXA REALIZADO]]="N/A",tbRegistroEntradas[[#This Row],[DATA DO CAIXA PREVISTO]]&lt;TODAY()),"Vencida","Não Vencida")</f>
        <v>Não Vencida</v>
      </c>
      <c r="Q638" s="58" t="str">
        <f>IF(tbRegistroEntradas[[#This Row],[DATA DA COMPETÊNCIA]]=tbRegistroEntradas[[#This Row],[DATA DO CAIXA PREVISTO]],"Vista","Prazo")</f>
        <v>Vista</v>
      </c>
      <c r="R638" s="58" t="str">
        <f>IF(tbRegistroEntradas[[#This Row],[DATA DE CAIXA REALIZADO]]&lt;&gt;"N/A","Em Dia","Com atraso")</f>
        <v>Em Dia</v>
      </c>
    </row>
    <row r="639" spans="1:18" ht="14.4" customHeight="1" x14ac:dyDescent="0.3">
      <c r="A639" s="40">
        <v>45169.684675925928</v>
      </c>
      <c r="B639" s="41">
        <v>45075</v>
      </c>
      <c r="C639" s="111">
        <f>tbRegistroEntradas[[#This Row],[DATA DA COMPETÊNCIA]]</f>
        <v>45075</v>
      </c>
      <c r="D639" s="42" t="s">
        <v>66</v>
      </c>
      <c r="E639" s="42" t="s">
        <v>12</v>
      </c>
      <c r="F639" s="42" t="s">
        <v>17</v>
      </c>
      <c r="G639" s="42" t="s">
        <v>361</v>
      </c>
      <c r="H639" s="52" t="s">
        <v>128</v>
      </c>
      <c r="I639" s="121">
        <v>657</v>
      </c>
      <c r="J639" s="55" t="str">
        <f>IF(tbRegistroEntradas[[#This Row],[DATA DE CAIXA REALIZADO]]="N/A","0",UPPER(TEXT(tbRegistroEntradas[[#This Row],[DATA DE CAIXA REALIZADO]],"mmm")))</f>
        <v>AGO</v>
      </c>
      <c r="K639" s="58">
        <f>IF(tbRegistroEntradas[[#This Row],[DATA DE CAIXA REALIZADO]]="N/A",0,YEAR(tbRegistroEntradas[[#This Row],[DATA DE CAIXA REALIZADO]]))</f>
        <v>2023</v>
      </c>
      <c r="L639" s="79" t="str">
        <f>IF(tbRegistroEntradas[[#This Row],[DATA DA COMPETÊNCIA]]="N/A","0",UPPER(TEXT(tbRegistroEntradas[[#This Row],[DATA DA COMPETÊNCIA]],"mmm")))</f>
        <v>MAI</v>
      </c>
      <c r="M639" s="79">
        <f>IF(tbRegistroEntradas[[#This Row],[DATA DA COMPETÊNCIA]]="N/A",0,YEAR(tbRegistroEntradas[[#This Row],[DATA DA COMPETÊNCIA]]))</f>
        <v>2023</v>
      </c>
      <c r="N639" s="84" t="str">
        <f>IF(tbRegistroEntradas[[#This Row],[DATA DO CAIXA PREVISTO]]="N/A","0",UPPER(TEXT(tbRegistroEntradas[[#This Row],[DATA DO CAIXA PREVISTO]],"mmm")))</f>
        <v>MAI</v>
      </c>
      <c r="O639" s="84">
        <f>IF(tbRegistroEntradas[[#This Row],[DATA DO CAIXA PREVISTO]]="N/A",0,YEAR(tbRegistroEntradas[[#This Row],[DATA DO CAIXA PREVISTO]]))</f>
        <v>2023</v>
      </c>
      <c r="P639" s="58" t="str">
        <f ca="1">IF(AND(tbRegistroEntradas[[#This Row],[DATA DE CAIXA REALIZADO]]="N/A",tbRegistroEntradas[[#This Row],[DATA DO CAIXA PREVISTO]]&lt;TODAY()),"Vencida","Não Vencida")</f>
        <v>Não Vencida</v>
      </c>
      <c r="Q639" s="58" t="str">
        <f>IF(tbRegistroEntradas[[#This Row],[DATA DA COMPETÊNCIA]]=tbRegistroEntradas[[#This Row],[DATA DO CAIXA PREVISTO]],"Vista","Prazo")</f>
        <v>Vista</v>
      </c>
      <c r="R639" s="58" t="str">
        <f>IF(tbRegistroEntradas[[#This Row],[DATA DE CAIXA REALIZADO]]&lt;&gt;"N/A","Em Dia","Com atraso")</f>
        <v>Em Dia</v>
      </c>
    </row>
    <row r="640" spans="1:18" ht="14.4" customHeight="1" x14ac:dyDescent="0.3">
      <c r="A640" s="111">
        <v>45107</v>
      </c>
      <c r="B640" s="111">
        <f>A640-31</f>
        <v>45076</v>
      </c>
      <c r="C640" s="111">
        <f>(A640-B640)+B640-15</f>
        <v>45092</v>
      </c>
      <c r="D640" s="109" t="s">
        <v>63</v>
      </c>
      <c r="E640" s="109" t="s">
        <v>12</v>
      </c>
      <c r="F640" s="109" t="s">
        <v>32</v>
      </c>
      <c r="G640" s="109" t="s">
        <v>715</v>
      </c>
      <c r="H640" s="145" t="s">
        <v>101</v>
      </c>
      <c r="I640" s="118">
        <v>1890</v>
      </c>
      <c r="J640" s="110" t="str">
        <f>IF(tbRegistroEntradas[[#This Row],[DATA DE CAIXA REALIZADO]]="N/A","0",UPPER(TEXT(tbRegistroEntradas[[#This Row],[DATA DE CAIXA REALIZADO]],"mmm")))</f>
        <v>JUN</v>
      </c>
      <c r="K640" s="57">
        <f>IF(tbRegistroEntradas[[#This Row],[DATA DE CAIXA REALIZADO]]="N/A",0,YEAR(tbRegistroEntradas[[#This Row],[DATA DE CAIXA REALIZADO]]))</f>
        <v>2023</v>
      </c>
      <c r="L640" s="58" t="str">
        <f>IF(tbRegistroEntradas[[#This Row],[DATA DA COMPETÊNCIA]]="N/A","0",UPPER(TEXT(tbRegistroEntradas[[#This Row],[DATA DA COMPETÊNCIA]],"mmm")))</f>
        <v>MAI</v>
      </c>
      <c r="M640" s="58">
        <f>IF(tbRegistroEntradas[[#This Row],[DATA DA COMPETÊNCIA]]="N/A",0,YEAR(tbRegistroEntradas[[#This Row],[DATA DA COMPETÊNCIA]]))</f>
        <v>2023</v>
      </c>
      <c r="N640" s="58" t="str">
        <f>IF(tbRegistroEntradas[[#This Row],[DATA DO CAIXA PREVISTO]]="N/A","0",UPPER(TEXT(tbRegistroEntradas[[#This Row],[DATA DO CAIXA PREVISTO]],"mmm")))</f>
        <v>JUN</v>
      </c>
      <c r="O640" s="58">
        <f>IF(tbRegistroEntradas[[#This Row],[DATA DO CAIXA PREVISTO]]="N/A",0,YEAR(tbRegistroEntradas[[#This Row],[DATA DO CAIXA PREVISTO]]))</f>
        <v>2023</v>
      </c>
      <c r="P640" s="58" t="str">
        <f ca="1">IF(AND(tbRegistroEntradas[[#This Row],[DATA DE CAIXA REALIZADO]]="N/A",tbRegistroEntradas[[#This Row],[DATA DO CAIXA PREVISTO]]&lt;TODAY()),"Vencida","Não Vencida")</f>
        <v>Não Vencida</v>
      </c>
      <c r="Q640" s="58" t="str">
        <f>IF(tbRegistroEntradas[[#This Row],[DATA DA COMPETÊNCIA]]=tbRegistroEntradas[[#This Row],[DATA DO CAIXA PREVISTO]],"Vista","Prazo")</f>
        <v>Prazo</v>
      </c>
      <c r="R640" s="58" t="str">
        <f>IF(tbRegistroEntradas[[#This Row],[DATA DE CAIXA REALIZADO]]&lt;&gt;"N/A","Em Dia","Com atraso")</f>
        <v>Em Dia</v>
      </c>
    </row>
    <row r="641" spans="1:18" ht="14.4" customHeight="1" x14ac:dyDescent="0.3">
      <c r="A641" s="43">
        <v>45109.175451388888</v>
      </c>
      <c r="B641" s="44">
        <v>45076</v>
      </c>
      <c r="C641" s="44">
        <v>45109.175451388888</v>
      </c>
      <c r="D641" s="35" t="s">
        <v>63</v>
      </c>
      <c r="E641" s="35" t="s">
        <v>12</v>
      </c>
      <c r="F641" s="35" t="s">
        <v>16</v>
      </c>
      <c r="G641" s="35" t="s">
        <v>362</v>
      </c>
      <c r="H641" s="52" t="s">
        <v>98</v>
      </c>
      <c r="I641" s="122">
        <v>4535</v>
      </c>
      <c r="J641" s="55" t="str">
        <f>IF(tbRegistroEntradas[[#This Row],[DATA DE CAIXA REALIZADO]]="N/A","0",UPPER(TEXT(tbRegistroEntradas[[#This Row],[DATA DE CAIXA REALIZADO]],"mmm")))</f>
        <v>JUL</v>
      </c>
      <c r="K641" s="58">
        <f>IF(tbRegistroEntradas[[#This Row],[DATA DE CAIXA REALIZADO]]="N/A",0,YEAR(tbRegistroEntradas[[#This Row],[DATA DE CAIXA REALIZADO]]))</f>
        <v>2023</v>
      </c>
      <c r="L641" s="79" t="str">
        <f>IF(tbRegistroEntradas[[#This Row],[DATA DA COMPETÊNCIA]]="N/A","0",UPPER(TEXT(tbRegistroEntradas[[#This Row],[DATA DA COMPETÊNCIA]],"mmm")))</f>
        <v>MAI</v>
      </c>
      <c r="M641" s="79">
        <f>IF(tbRegistroEntradas[[#This Row],[DATA DA COMPETÊNCIA]]="N/A",0,YEAR(tbRegistroEntradas[[#This Row],[DATA DA COMPETÊNCIA]]))</f>
        <v>2023</v>
      </c>
      <c r="N641" s="84" t="str">
        <f>IF(tbRegistroEntradas[[#This Row],[DATA DO CAIXA PREVISTO]]="N/A","0",UPPER(TEXT(tbRegistroEntradas[[#This Row],[DATA DO CAIXA PREVISTO]],"mmm")))</f>
        <v>JUL</v>
      </c>
      <c r="O641" s="84">
        <f>IF(tbRegistroEntradas[[#This Row],[DATA DO CAIXA PREVISTO]]="N/A",0,YEAR(tbRegistroEntradas[[#This Row],[DATA DO CAIXA PREVISTO]]))</f>
        <v>2023</v>
      </c>
      <c r="P641" s="58" t="str">
        <f ca="1">IF(AND(tbRegistroEntradas[[#This Row],[DATA DE CAIXA REALIZADO]]="N/A",tbRegistroEntradas[[#This Row],[DATA DO CAIXA PREVISTO]]&lt;TODAY()),"Vencida","Não Vencida")</f>
        <v>Não Vencida</v>
      </c>
      <c r="Q641" s="58" t="str">
        <f>IF(tbRegistroEntradas[[#This Row],[DATA DA COMPETÊNCIA]]=tbRegistroEntradas[[#This Row],[DATA DO CAIXA PREVISTO]],"Vista","Prazo")</f>
        <v>Prazo</v>
      </c>
      <c r="R641" s="58" t="str">
        <f>IF(tbRegistroEntradas[[#This Row],[DATA DE CAIXA REALIZADO]]&lt;&gt;"N/A","Em Dia","Com atraso")</f>
        <v>Em Dia</v>
      </c>
    </row>
    <row r="642" spans="1:18" ht="14.4" customHeight="1" x14ac:dyDescent="0.3">
      <c r="A642" s="111">
        <v>45109</v>
      </c>
      <c r="B642" s="111">
        <f>A642-31</f>
        <v>45078</v>
      </c>
      <c r="C642" s="111">
        <f>(A642-B642)+B642-15</f>
        <v>45094</v>
      </c>
      <c r="D642" s="109" t="s">
        <v>63</v>
      </c>
      <c r="E642" s="109" t="s">
        <v>12</v>
      </c>
      <c r="F642" s="109" t="s">
        <v>32</v>
      </c>
      <c r="G642" s="109" t="s">
        <v>374</v>
      </c>
      <c r="H642" s="52" t="s">
        <v>102</v>
      </c>
      <c r="I642" s="118">
        <v>2301</v>
      </c>
      <c r="J642" s="110" t="str">
        <f>IF(tbRegistroEntradas[[#This Row],[DATA DE CAIXA REALIZADO]]="N/A","0",UPPER(TEXT(tbRegistroEntradas[[#This Row],[DATA DE CAIXA REALIZADO]],"mmm")))</f>
        <v>JUL</v>
      </c>
      <c r="K642" s="57">
        <f>IF(tbRegistroEntradas[[#This Row],[DATA DE CAIXA REALIZADO]]="N/A",0,YEAR(tbRegistroEntradas[[#This Row],[DATA DE CAIXA REALIZADO]]))</f>
        <v>2023</v>
      </c>
      <c r="L642" s="58" t="str">
        <f>IF(tbRegistroEntradas[[#This Row],[DATA DA COMPETÊNCIA]]="N/A","0",UPPER(TEXT(tbRegistroEntradas[[#This Row],[DATA DA COMPETÊNCIA]],"mmm")))</f>
        <v>JUN</v>
      </c>
      <c r="M642" s="58">
        <f>IF(tbRegistroEntradas[[#This Row],[DATA DA COMPETÊNCIA]]="N/A",0,YEAR(tbRegistroEntradas[[#This Row],[DATA DA COMPETÊNCIA]]))</f>
        <v>2023</v>
      </c>
      <c r="N642" s="58" t="str">
        <f>IF(tbRegistroEntradas[[#This Row],[DATA DO CAIXA PREVISTO]]="N/A","0",UPPER(TEXT(tbRegistroEntradas[[#This Row],[DATA DO CAIXA PREVISTO]],"mmm")))</f>
        <v>JUN</v>
      </c>
      <c r="O642" s="58">
        <f>IF(tbRegistroEntradas[[#This Row],[DATA DO CAIXA PREVISTO]]="N/A",0,YEAR(tbRegistroEntradas[[#This Row],[DATA DO CAIXA PREVISTO]]))</f>
        <v>2023</v>
      </c>
      <c r="P642" s="58" t="str">
        <f ca="1">IF(AND(tbRegistroEntradas[[#This Row],[DATA DE CAIXA REALIZADO]]="N/A",tbRegistroEntradas[[#This Row],[DATA DO CAIXA PREVISTO]]&lt;TODAY()),"Vencida","Não Vencida")</f>
        <v>Não Vencida</v>
      </c>
      <c r="Q642" s="58" t="str">
        <f>IF(tbRegistroEntradas[[#This Row],[DATA DA COMPETÊNCIA]]=tbRegistroEntradas[[#This Row],[DATA DO CAIXA PREVISTO]],"Vista","Prazo")</f>
        <v>Prazo</v>
      </c>
      <c r="R642" s="58" t="str">
        <f>IF(tbRegistroEntradas[[#This Row],[DATA DE CAIXA REALIZADO]]&lt;&gt;"N/A","Em Dia","Com atraso")</f>
        <v>Em Dia</v>
      </c>
    </row>
    <row r="643" spans="1:18" ht="14.4" customHeight="1" x14ac:dyDescent="0.3">
      <c r="A643" s="111">
        <v>45112</v>
      </c>
      <c r="B643" s="111">
        <f>A643-31</f>
        <v>45081</v>
      </c>
      <c r="C643" s="111">
        <f>(A643-B643)+B643-15</f>
        <v>45097</v>
      </c>
      <c r="D643" s="109" t="s">
        <v>138</v>
      </c>
      <c r="E643" s="109" t="s">
        <v>12</v>
      </c>
      <c r="F643" s="109" t="s">
        <v>18</v>
      </c>
      <c r="G643" s="109" t="s">
        <v>974</v>
      </c>
      <c r="H643" s="52" t="s">
        <v>78</v>
      </c>
      <c r="I643" s="118">
        <v>1425</v>
      </c>
      <c r="J643" s="110" t="str">
        <f>IF(tbRegistroEntradas[[#This Row],[DATA DE CAIXA REALIZADO]]="N/A","0",UPPER(TEXT(tbRegistroEntradas[[#This Row],[DATA DE CAIXA REALIZADO]],"mmm")))</f>
        <v>JUL</v>
      </c>
      <c r="K643" s="57">
        <f>IF(tbRegistroEntradas[[#This Row],[DATA DE CAIXA REALIZADO]]="N/A",0,YEAR(tbRegistroEntradas[[#This Row],[DATA DE CAIXA REALIZADO]]))</f>
        <v>2023</v>
      </c>
      <c r="L643" s="58" t="str">
        <f>IF(tbRegistroEntradas[[#This Row],[DATA DA COMPETÊNCIA]]="N/A","0",UPPER(TEXT(tbRegistroEntradas[[#This Row],[DATA DA COMPETÊNCIA]],"mmm")))</f>
        <v>JUN</v>
      </c>
      <c r="M643" s="58">
        <f>IF(tbRegistroEntradas[[#This Row],[DATA DA COMPETÊNCIA]]="N/A",0,YEAR(tbRegistroEntradas[[#This Row],[DATA DA COMPETÊNCIA]]))</f>
        <v>2023</v>
      </c>
      <c r="N643" s="58" t="str">
        <f>IF(tbRegistroEntradas[[#This Row],[DATA DO CAIXA PREVISTO]]="N/A","0",UPPER(TEXT(tbRegistroEntradas[[#This Row],[DATA DO CAIXA PREVISTO]],"mmm")))</f>
        <v>JUN</v>
      </c>
      <c r="O643" s="58">
        <f>IF(tbRegistroEntradas[[#This Row],[DATA DO CAIXA PREVISTO]]="N/A",0,YEAR(tbRegistroEntradas[[#This Row],[DATA DO CAIXA PREVISTO]]))</f>
        <v>2023</v>
      </c>
      <c r="P643" s="58" t="str">
        <f ca="1">IF(AND(tbRegistroEntradas[[#This Row],[DATA DE CAIXA REALIZADO]]="N/A",tbRegistroEntradas[[#This Row],[DATA DO CAIXA PREVISTO]]&lt;TODAY()),"Vencida","Não Vencida")</f>
        <v>Não Vencida</v>
      </c>
      <c r="Q643" s="58" t="str">
        <f>IF(tbRegistroEntradas[[#This Row],[DATA DA COMPETÊNCIA]]=tbRegistroEntradas[[#This Row],[DATA DO CAIXA PREVISTO]],"Vista","Prazo")</f>
        <v>Prazo</v>
      </c>
      <c r="R643" s="58" t="str">
        <f>IF(tbRegistroEntradas[[#This Row],[DATA DE CAIXA REALIZADO]]&lt;&gt;"N/A","Em Dia","Com atraso")</f>
        <v>Em Dia</v>
      </c>
    </row>
    <row r="644" spans="1:18" ht="14.4" customHeight="1" x14ac:dyDescent="0.3">
      <c r="A644" s="40">
        <v>45128.504861111112</v>
      </c>
      <c r="B644" s="41">
        <v>45081</v>
      </c>
      <c r="C644" s="41">
        <v>45102.616863425923</v>
      </c>
      <c r="D644" s="42" t="s">
        <v>137</v>
      </c>
      <c r="E644" s="42" t="s">
        <v>12</v>
      </c>
      <c r="F644" s="42" t="s">
        <v>19</v>
      </c>
      <c r="G644" s="42" t="s">
        <v>363</v>
      </c>
      <c r="H644" s="52" t="s">
        <v>105</v>
      </c>
      <c r="I644" s="121">
        <v>1848</v>
      </c>
      <c r="J644" s="55" t="str">
        <f>IF(tbRegistroEntradas[[#This Row],[DATA DE CAIXA REALIZADO]]="N/A","0",UPPER(TEXT(tbRegistroEntradas[[#This Row],[DATA DE CAIXA REALIZADO]],"mmm")))</f>
        <v>JUL</v>
      </c>
      <c r="K644" s="58">
        <f>IF(tbRegistroEntradas[[#This Row],[DATA DE CAIXA REALIZADO]]="N/A",0,YEAR(tbRegistroEntradas[[#This Row],[DATA DE CAIXA REALIZADO]]))</f>
        <v>2023</v>
      </c>
      <c r="L644" s="79" t="str">
        <f>IF(tbRegistroEntradas[[#This Row],[DATA DA COMPETÊNCIA]]="N/A","0",UPPER(TEXT(tbRegistroEntradas[[#This Row],[DATA DA COMPETÊNCIA]],"mmm")))</f>
        <v>JUN</v>
      </c>
      <c r="M644" s="79">
        <f>IF(tbRegistroEntradas[[#This Row],[DATA DA COMPETÊNCIA]]="N/A",0,YEAR(tbRegistroEntradas[[#This Row],[DATA DA COMPETÊNCIA]]))</f>
        <v>2023</v>
      </c>
      <c r="N644" s="84" t="str">
        <f>IF(tbRegistroEntradas[[#This Row],[DATA DO CAIXA PREVISTO]]="N/A","0",UPPER(TEXT(tbRegistroEntradas[[#This Row],[DATA DO CAIXA PREVISTO]],"mmm")))</f>
        <v>JUN</v>
      </c>
      <c r="O644" s="84">
        <f>IF(tbRegistroEntradas[[#This Row],[DATA DO CAIXA PREVISTO]]="N/A",0,YEAR(tbRegistroEntradas[[#This Row],[DATA DO CAIXA PREVISTO]]))</f>
        <v>2023</v>
      </c>
      <c r="P644" s="58" t="str">
        <f ca="1">IF(AND(tbRegistroEntradas[[#This Row],[DATA DE CAIXA REALIZADO]]="N/A",tbRegistroEntradas[[#This Row],[DATA DO CAIXA PREVISTO]]&lt;TODAY()),"Vencida","Não Vencida")</f>
        <v>Não Vencida</v>
      </c>
      <c r="Q644" s="58" t="str">
        <f>IF(tbRegistroEntradas[[#This Row],[DATA DA COMPETÊNCIA]]=tbRegistroEntradas[[#This Row],[DATA DO CAIXA PREVISTO]],"Vista","Prazo")</f>
        <v>Prazo</v>
      </c>
      <c r="R644" s="58" t="str">
        <f>IF(tbRegistroEntradas[[#This Row],[DATA DE CAIXA REALIZADO]]&lt;&gt;"N/A","Em Dia","Com atraso")</f>
        <v>Em Dia</v>
      </c>
    </row>
    <row r="645" spans="1:18" ht="14.4" customHeight="1" x14ac:dyDescent="0.3">
      <c r="A645" s="111">
        <v>45114</v>
      </c>
      <c r="B645" s="111">
        <f>A645-31</f>
        <v>45083</v>
      </c>
      <c r="C645" s="111">
        <f>(A645-B645)+B645-15</f>
        <v>45099</v>
      </c>
      <c r="D645" s="109" t="s">
        <v>137</v>
      </c>
      <c r="E645" s="109" t="s">
        <v>12</v>
      </c>
      <c r="F645" s="109" t="s">
        <v>18</v>
      </c>
      <c r="G645" s="109" t="s">
        <v>831</v>
      </c>
      <c r="H645" s="52" t="s">
        <v>104</v>
      </c>
      <c r="I645" s="118">
        <v>416</v>
      </c>
      <c r="J645" s="110" t="str">
        <f>IF(tbRegistroEntradas[[#This Row],[DATA DE CAIXA REALIZADO]]="N/A","0",UPPER(TEXT(tbRegistroEntradas[[#This Row],[DATA DE CAIXA REALIZADO]],"mmm")))</f>
        <v>JUL</v>
      </c>
      <c r="K645" s="57">
        <f>IF(tbRegistroEntradas[[#This Row],[DATA DE CAIXA REALIZADO]]="N/A",0,YEAR(tbRegistroEntradas[[#This Row],[DATA DE CAIXA REALIZADO]]))</f>
        <v>2023</v>
      </c>
      <c r="L645" s="58" t="str">
        <f>IF(tbRegistroEntradas[[#This Row],[DATA DA COMPETÊNCIA]]="N/A","0",UPPER(TEXT(tbRegistroEntradas[[#This Row],[DATA DA COMPETÊNCIA]],"mmm")))</f>
        <v>JUN</v>
      </c>
      <c r="M645" s="58">
        <f>IF(tbRegistroEntradas[[#This Row],[DATA DA COMPETÊNCIA]]="N/A",0,YEAR(tbRegistroEntradas[[#This Row],[DATA DA COMPETÊNCIA]]))</f>
        <v>2023</v>
      </c>
      <c r="N645" s="58" t="str">
        <f>IF(tbRegistroEntradas[[#This Row],[DATA DO CAIXA PREVISTO]]="N/A","0",UPPER(TEXT(tbRegistroEntradas[[#This Row],[DATA DO CAIXA PREVISTO]],"mmm")))</f>
        <v>JUN</v>
      </c>
      <c r="O645" s="58">
        <f>IF(tbRegistroEntradas[[#This Row],[DATA DO CAIXA PREVISTO]]="N/A",0,YEAR(tbRegistroEntradas[[#This Row],[DATA DO CAIXA PREVISTO]]))</f>
        <v>2023</v>
      </c>
      <c r="P645" s="58" t="str">
        <f ca="1">IF(AND(tbRegistroEntradas[[#This Row],[DATA DE CAIXA REALIZADO]]="N/A",tbRegistroEntradas[[#This Row],[DATA DO CAIXA PREVISTO]]&lt;TODAY()),"Vencida","Não Vencida")</f>
        <v>Não Vencida</v>
      </c>
      <c r="Q645" s="58" t="str">
        <f>IF(tbRegistroEntradas[[#This Row],[DATA DA COMPETÊNCIA]]=tbRegistroEntradas[[#This Row],[DATA DO CAIXA PREVISTO]],"Vista","Prazo")</f>
        <v>Prazo</v>
      </c>
      <c r="R645" s="58" t="str">
        <f>IF(tbRegistroEntradas[[#This Row],[DATA DE CAIXA REALIZADO]]&lt;&gt;"N/A","Em Dia","Com atraso")</f>
        <v>Em Dia</v>
      </c>
    </row>
    <row r="646" spans="1:18" ht="14.4" customHeight="1" x14ac:dyDescent="0.3">
      <c r="A646" s="111">
        <v>45115</v>
      </c>
      <c r="B646" s="111">
        <f>A646-31</f>
        <v>45084</v>
      </c>
      <c r="C646" s="111">
        <f>(A646-B646)+B646-15</f>
        <v>45100</v>
      </c>
      <c r="D646" s="109" t="s">
        <v>138</v>
      </c>
      <c r="E646" s="109" t="s">
        <v>12</v>
      </c>
      <c r="F646" s="109" t="s">
        <v>16</v>
      </c>
      <c r="G646" s="109" t="s">
        <v>717</v>
      </c>
      <c r="H646" s="52" t="s">
        <v>136</v>
      </c>
      <c r="I646" s="118">
        <v>4987</v>
      </c>
      <c r="J646" s="110" t="str">
        <f>IF(tbRegistroEntradas[[#This Row],[DATA DE CAIXA REALIZADO]]="N/A","0",UPPER(TEXT(tbRegistroEntradas[[#This Row],[DATA DE CAIXA REALIZADO]],"mmm")))</f>
        <v>JUL</v>
      </c>
      <c r="K646" s="57">
        <f>IF(tbRegistroEntradas[[#This Row],[DATA DE CAIXA REALIZADO]]="N/A",0,YEAR(tbRegistroEntradas[[#This Row],[DATA DE CAIXA REALIZADO]]))</f>
        <v>2023</v>
      </c>
      <c r="L646" s="58" t="str">
        <f>IF(tbRegistroEntradas[[#This Row],[DATA DA COMPETÊNCIA]]="N/A","0",UPPER(TEXT(tbRegistroEntradas[[#This Row],[DATA DA COMPETÊNCIA]],"mmm")))</f>
        <v>JUN</v>
      </c>
      <c r="M646" s="58">
        <f>IF(tbRegistroEntradas[[#This Row],[DATA DA COMPETÊNCIA]]="N/A",0,YEAR(tbRegistroEntradas[[#This Row],[DATA DA COMPETÊNCIA]]))</f>
        <v>2023</v>
      </c>
      <c r="N646" s="58" t="str">
        <f>IF(tbRegistroEntradas[[#This Row],[DATA DO CAIXA PREVISTO]]="N/A","0",UPPER(TEXT(tbRegistroEntradas[[#This Row],[DATA DO CAIXA PREVISTO]],"mmm")))</f>
        <v>JUN</v>
      </c>
      <c r="O646" s="58">
        <f>IF(tbRegistroEntradas[[#This Row],[DATA DO CAIXA PREVISTO]]="N/A",0,YEAR(tbRegistroEntradas[[#This Row],[DATA DO CAIXA PREVISTO]]))</f>
        <v>2023</v>
      </c>
      <c r="P646" s="58" t="str">
        <f ca="1">IF(AND(tbRegistroEntradas[[#This Row],[DATA DE CAIXA REALIZADO]]="N/A",tbRegistroEntradas[[#This Row],[DATA DO CAIXA PREVISTO]]&lt;TODAY()),"Vencida","Não Vencida")</f>
        <v>Não Vencida</v>
      </c>
      <c r="Q646" s="58" t="str">
        <f>IF(tbRegistroEntradas[[#This Row],[DATA DA COMPETÊNCIA]]=tbRegistroEntradas[[#This Row],[DATA DO CAIXA PREVISTO]],"Vista","Prazo")</f>
        <v>Prazo</v>
      </c>
      <c r="R646" s="58" t="str">
        <f>IF(tbRegistroEntradas[[#This Row],[DATA DE CAIXA REALIZADO]]&lt;&gt;"N/A","Em Dia","Com atraso")</f>
        <v>Em Dia</v>
      </c>
    </row>
    <row r="647" spans="1:18" ht="14.4" customHeight="1" x14ac:dyDescent="0.3">
      <c r="A647" s="111">
        <v>45115</v>
      </c>
      <c r="B647" s="111">
        <f>A647-31</f>
        <v>45084</v>
      </c>
      <c r="C647" s="111">
        <f>(A647-B647)+B647-15</f>
        <v>45100</v>
      </c>
      <c r="D647" s="109" t="s">
        <v>138</v>
      </c>
      <c r="E647" s="109" t="s">
        <v>12</v>
      </c>
      <c r="F647" s="109" t="s">
        <v>17</v>
      </c>
      <c r="G647" s="109" t="s">
        <v>709</v>
      </c>
      <c r="H647" s="52" t="s">
        <v>135</v>
      </c>
      <c r="I647" s="118">
        <v>1100</v>
      </c>
      <c r="J647" s="110" t="str">
        <f>IF(tbRegistroEntradas[[#This Row],[DATA DE CAIXA REALIZADO]]="N/A","0",UPPER(TEXT(tbRegistroEntradas[[#This Row],[DATA DE CAIXA REALIZADO]],"mmm")))</f>
        <v>JUL</v>
      </c>
      <c r="K647" s="57">
        <f>IF(tbRegistroEntradas[[#This Row],[DATA DE CAIXA REALIZADO]]="N/A",0,YEAR(tbRegistroEntradas[[#This Row],[DATA DE CAIXA REALIZADO]]))</f>
        <v>2023</v>
      </c>
      <c r="L647" s="58" t="str">
        <f>IF(tbRegistroEntradas[[#This Row],[DATA DA COMPETÊNCIA]]="N/A","0",UPPER(TEXT(tbRegistroEntradas[[#This Row],[DATA DA COMPETÊNCIA]],"mmm")))</f>
        <v>JUN</v>
      </c>
      <c r="M647" s="58">
        <f>IF(tbRegistroEntradas[[#This Row],[DATA DA COMPETÊNCIA]]="N/A",0,YEAR(tbRegistroEntradas[[#This Row],[DATA DA COMPETÊNCIA]]))</f>
        <v>2023</v>
      </c>
      <c r="N647" s="58" t="str">
        <f>IF(tbRegistroEntradas[[#This Row],[DATA DO CAIXA PREVISTO]]="N/A","0",UPPER(TEXT(tbRegistroEntradas[[#This Row],[DATA DO CAIXA PREVISTO]],"mmm")))</f>
        <v>JUN</v>
      </c>
      <c r="O647" s="58">
        <f>IF(tbRegistroEntradas[[#This Row],[DATA DO CAIXA PREVISTO]]="N/A",0,YEAR(tbRegistroEntradas[[#This Row],[DATA DO CAIXA PREVISTO]]))</f>
        <v>2023</v>
      </c>
      <c r="P647" s="58" t="str">
        <f ca="1">IF(AND(tbRegistroEntradas[[#This Row],[DATA DE CAIXA REALIZADO]]="N/A",tbRegistroEntradas[[#This Row],[DATA DO CAIXA PREVISTO]]&lt;TODAY()),"Vencida","Não Vencida")</f>
        <v>Não Vencida</v>
      </c>
      <c r="Q647" s="58" t="str">
        <f>IF(tbRegistroEntradas[[#This Row],[DATA DA COMPETÊNCIA]]=tbRegistroEntradas[[#This Row],[DATA DO CAIXA PREVISTO]],"Vista","Prazo")</f>
        <v>Prazo</v>
      </c>
      <c r="R647" s="58" t="str">
        <f>IF(tbRegistroEntradas[[#This Row],[DATA DE CAIXA REALIZADO]]&lt;&gt;"N/A","Em Dia","Com atraso")</f>
        <v>Em Dia</v>
      </c>
    </row>
    <row r="648" spans="1:18" ht="14.4" customHeight="1" x14ac:dyDescent="0.3">
      <c r="A648" s="43">
        <v>45094.202766203707</v>
      </c>
      <c r="B648" s="44">
        <v>45086</v>
      </c>
      <c r="C648" s="44">
        <v>45093.847418981481</v>
      </c>
      <c r="D648" s="35" t="s">
        <v>137</v>
      </c>
      <c r="E648" s="35" t="s">
        <v>12</v>
      </c>
      <c r="F648" s="35" t="s">
        <v>19</v>
      </c>
      <c r="G648" s="35" t="s">
        <v>364</v>
      </c>
      <c r="H648" s="109" t="s">
        <v>106</v>
      </c>
      <c r="I648" s="122">
        <v>191</v>
      </c>
      <c r="J648" s="55" t="str">
        <f>IF(tbRegistroEntradas[[#This Row],[DATA DE CAIXA REALIZADO]]="N/A","0",UPPER(TEXT(tbRegistroEntradas[[#This Row],[DATA DE CAIXA REALIZADO]],"mmm")))</f>
        <v>JUN</v>
      </c>
      <c r="K648" s="58">
        <f>IF(tbRegistroEntradas[[#This Row],[DATA DE CAIXA REALIZADO]]="N/A",0,YEAR(tbRegistroEntradas[[#This Row],[DATA DE CAIXA REALIZADO]]))</f>
        <v>2023</v>
      </c>
      <c r="L648" s="79" t="str">
        <f>IF(tbRegistroEntradas[[#This Row],[DATA DA COMPETÊNCIA]]="N/A","0",UPPER(TEXT(tbRegistroEntradas[[#This Row],[DATA DA COMPETÊNCIA]],"mmm")))</f>
        <v>JUN</v>
      </c>
      <c r="M648" s="79">
        <f>IF(tbRegistroEntradas[[#This Row],[DATA DA COMPETÊNCIA]]="N/A",0,YEAR(tbRegistroEntradas[[#This Row],[DATA DA COMPETÊNCIA]]))</f>
        <v>2023</v>
      </c>
      <c r="N648" s="84" t="str">
        <f>IF(tbRegistroEntradas[[#This Row],[DATA DO CAIXA PREVISTO]]="N/A","0",UPPER(TEXT(tbRegistroEntradas[[#This Row],[DATA DO CAIXA PREVISTO]],"mmm")))</f>
        <v>JUN</v>
      </c>
      <c r="O648" s="84">
        <f>IF(tbRegistroEntradas[[#This Row],[DATA DO CAIXA PREVISTO]]="N/A",0,YEAR(tbRegistroEntradas[[#This Row],[DATA DO CAIXA PREVISTO]]))</f>
        <v>2023</v>
      </c>
      <c r="P648" s="58" t="str">
        <f ca="1">IF(AND(tbRegistroEntradas[[#This Row],[DATA DE CAIXA REALIZADO]]="N/A",tbRegistroEntradas[[#This Row],[DATA DO CAIXA PREVISTO]]&lt;TODAY()),"Vencida","Não Vencida")</f>
        <v>Não Vencida</v>
      </c>
      <c r="Q648" s="58" t="str">
        <f>IF(tbRegistroEntradas[[#This Row],[DATA DA COMPETÊNCIA]]=tbRegistroEntradas[[#This Row],[DATA DO CAIXA PREVISTO]],"Vista","Prazo")</f>
        <v>Prazo</v>
      </c>
      <c r="R648" s="58" t="str">
        <f>IF(tbRegistroEntradas[[#This Row],[DATA DE CAIXA REALIZADO]]&lt;&gt;"N/A","Em Dia","Com atraso")</f>
        <v>Em Dia</v>
      </c>
    </row>
    <row r="649" spans="1:18" ht="14.4" customHeight="1" x14ac:dyDescent="0.3">
      <c r="A649" s="111">
        <v>45120</v>
      </c>
      <c r="B649" s="111">
        <f>A649-31</f>
        <v>45089</v>
      </c>
      <c r="C649" s="111">
        <f>tbRegistroEntradas[[#This Row],[DATA DA COMPETÊNCIA]]</f>
        <v>45089</v>
      </c>
      <c r="D649" s="109" t="s">
        <v>64</v>
      </c>
      <c r="E649" s="109" t="s">
        <v>12</v>
      </c>
      <c r="F649" s="109" t="s">
        <v>17</v>
      </c>
      <c r="G649" s="109" t="s">
        <v>701</v>
      </c>
      <c r="H649" s="109" t="s">
        <v>74</v>
      </c>
      <c r="I649" s="118">
        <v>6802</v>
      </c>
      <c r="J649" s="110" t="str">
        <f>IF(tbRegistroEntradas[[#This Row],[DATA DE CAIXA REALIZADO]]="N/A","0",UPPER(TEXT(tbRegistroEntradas[[#This Row],[DATA DE CAIXA REALIZADO]],"mmm")))</f>
        <v>JUL</v>
      </c>
      <c r="K649" s="57">
        <f>IF(tbRegistroEntradas[[#This Row],[DATA DE CAIXA REALIZADO]]="N/A",0,YEAR(tbRegistroEntradas[[#This Row],[DATA DE CAIXA REALIZADO]]))</f>
        <v>2023</v>
      </c>
      <c r="L649" s="58" t="str">
        <f>IF(tbRegistroEntradas[[#This Row],[DATA DA COMPETÊNCIA]]="N/A","0",UPPER(TEXT(tbRegistroEntradas[[#This Row],[DATA DA COMPETÊNCIA]],"mmm")))</f>
        <v>JUN</v>
      </c>
      <c r="M649" s="58">
        <f>IF(tbRegistroEntradas[[#This Row],[DATA DA COMPETÊNCIA]]="N/A",0,YEAR(tbRegistroEntradas[[#This Row],[DATA DA COMPETÊNCIA]]))</f>
        <v>2023</v>
      </c>
      <c r="N649" s="58" t="str">
        <f>IF(tbRegistroEntradas[[#This Row],[DATA DO CAIXA PREVISTO]]="N/A","0",UPPER(TEXT(tbRegistroEntradas[[#This Row],[DATA DO CAIXA PREVISTO]],"mmm")))</f>
        <v>JUN</v>
      </c>
      <c r="O649" s="58">
        <f>IF(tbRegistroEntradas[[#This Row],[DATA DO CAIXA PREVISTO]]="N/A",0,YEAR(tbRegistroEntradas[[#This Row],[DATA DO CAIXA PREVISTO]]))</f>
        <v>2023</v>
      </c>
      <c r="P649" s="58" t="str">
        <f ca="1">IF(AND(tbRegistroEntradas[[#This Row],[DATA DE CAIXA REALIZADO]]="N/A",tbRegistroEntradas[[#This Row],[DATA DO CAIXA PREVISTO]]&lt;TODAY()),"Vencida","Não Vencida")</f>
        <v>Não Vencida</v>
      </c>
      <c r="Q649" s="58" t="str">
        <f>IF(tbRegistroEntradas[[#This Row],[DATA DA COMPETÊNCIA]]=tbRegistroEntradas[[#This Row],[DATA DO CAIXA PREVISTO]],"Vista","Prazo")</f>
        <v>Vista</v>
      </c>
      <c r="R649" s="58" t="str">
        <f>IF(tbRegistroEntradas[[#This Row],[DATA DE CAIXA REALIZADO]]&lt;&gt;"N/A","Em Dia","Com atraso")</f>
        <v>Em Dia</v>
      </c>
    </row>
    <row r="650" spans="1:18" ht="14.4" customHeight="1" x14ac:dyDescent="0.3">
      <c r="A650" s="111">
        <v>45121</v>
      </c>
      <c r="B650" s="111">
        <f>A650-31</f>
        <v>45090</v>
      </c>
      <c r="C650" s="111">
        <f>tbRegistroEntradas[[#This Row],[DATA DA COMPETÊNCIA]]</f>
        <v>45090</v>
      </c>
      <c r="D650" s="109" t="s">
        <v>137</v>
      </c>
      <c r="E650" s="109" t="s">
        <v>12</v>
      </c>
      <c r="F650" s="109" t="s">
        <v>16</v>
      </c>
      <c r="G650" s="109" t="s">
        <v>798</v>
      </c>
      <c r="H650" s="126" t="s">
        <v>107</v>
      </c>
      <c r="I650" s="118">
        <v>7025</v>
      </c>
      <c r="J650" s="110" t="str">
        <f>IF(tbRegistroEntradas[[#This Row],[DATA DE CAIXA REALIZADO]]="N/A","0",UPPER(TEXT(tbRegistroEntradas[[#This Row],[DATA DE CAIXA REALIZADO]],"mmm")))</f>
        <v>JUL</v>
      </c>
      <c r="K650" s="57">
        <f>IF(tbRegistroEntradas[[#This Row],[DATA DE CAIXA REALIZADO]]="N/A",0,YEAR(tbRegistroEntradas[[#This Row],[DATA DE CAIXA REALIZADO]]))</f>
        <v>2023</v>
      </c>
      <c r="L650" s="58" t="str">
        <f>IF(tbRegistroEntradas[[#This Row],[DATA DA COMPETÊNCIA]]="N/A","0",UPPER(TEXT(tbRegistroEntradas[[#This Row],[DATA DA COMPETÊNCIA]],"mmm")))</f>
        <v>JUN</v>
      </c>
      <c r="M650" s="58">
        <f>IF(tbRegistroEntradas[[#This Row],[DATA DA COMPETÊNCIA]]="N/A",0,YEAR(tbRegistroEntradas[[#This Row],[DATA DA COMPETÊNCIA]]))</f>
        <v>2023</v>
      </c>
      <c r="N650" s="58" t="str">
        <f>IF(tbRegistroEntradas[[#This Row],[DATA DO CAIXA PREVISTO]]="N/A","0",UPPER(TEXT(tbRegistroEntradas[[#This Row],[DATA DO CAIXA PREVISTO]],"mmm")))</f>
        <v>JUN</v>
      </c>
      <c r="O650" s="58">
        <f>IF(tbRegistroEntradas[[#This Row],[DATA DO CAIXA PREVISTO]]="N/A",0,YEAR(tbRegistroEntradas[[#This Row],[DATA DO CAIXA PREVISTO]]))</f>
        <v>2023</v>
      </c>
      <c r="P650" s="58" t="str">
        <f ca="1">IF(AND(tbRegistroEntradas[[#This Row],[DATA DE CAIXA REALIZADO]]="N/A",tbRegistroEntradas[[#This Row],[DATA DO CAIXA PREVISTO]]&lt;TODAY()),"Vencida","Não Vencida")</f>
        <v>Não Vencida</v>
      </c>
      <c r="Q650" s="58" t="str">
        <f>IF(tbRegistroEntradas[[#This Row],[DATA DA COMPETÊNCIA]]=tbRegistroEntradas[[#This Row],[DATA DO CAIXA PREVISTO]],"Vista","Prazo")</f>
        <v>Vista</v>
      </c>
      <c r="R650" s="58" t="str">
        <f>IF(tbRegistroEntradas[[#This Row],[DATA DE CAIXA REALIZADO]]&lt;&gt;"N/A","Em Dia","Com atraso")</f>
        <v>Em Dia</v>
      </c>
    </row>
    <row r="651" spans="1:18" ht="14.4" customHeight="1" x14ac:dyDescent="0.3">
      <c r="A651" s="40" t="s">
        <v>141</v>
      </c>
      <c r="B651" s="41">
        <v>45090</v>
      </c>
      <c r="C651" s="41">
        <v>45129.924872685187</v>
      </c>
      <c r="D651" s="42" t="s">
        <v>62</v>
      </c>
      <c r="E651" s="42" t="s">
        <v>12</v>
      </c>
      <c r="F651" s="42" t="s">
        <v>16</v>
      </c>
      <c r="G651" s="42" t="s">
        <v>365</v>
      </c>
      <c r="H651" s="110" t="s">
        <v>97</v>
      </c>
      <c r="I651" s="121">
        <v>508</v>
      </c>
      <c r="J651" s="55" t="str">
        <f>IF(tbRegistroEntradas[[#This Row],[DATA DE CAIXA REALIZADO]]="N/A","0",UPPER(TEXT(tbRegistroEntradas[[#This Row],[DATA DE CAIXA REALIZADO]],"mmm")))</f>
        <v>0</v>
      </c>
      <c r="K651" s="58">
        <f>IF(tbRegistroEntradas[[#This Row],[DATA DE CAIXA REALIZADO]]="N/A",0,YEAR(tbRegistroEntradas[[#This Row],[DATA DE CAIXA REALIZADO]]))</f>
        <v>0</v>
      </c>
      <c r="L651" s="79" t="str">
        <f>IF(tbRegistroEntradas[[#This Row],[DATA DA COMPETÊNCIA]]="N/A","0",UPPER(TEXT(tbRegistroEntradas[[#This Row],[DATA DA COMPETÊNCIA]],"mmm")))</f>
        <v>JUN</v>
      </c>
      <c r="M651" s="79">
        <f>IF(tbRegistroEntradas[[#This Row],[DATA DA COMPETÊNCIA]]="N/A",0,YEAR(tbRegistroEntradas[[#This Row],[DATA DA COMPETÊNCIA]]))</f>
        <v>2023</v>
      </c>
      <c r="N651" s="84" t="str">
        <f>IF(tbRegistroEntradas[[#This Row],[DATA DO CAIXA PREVISTO]]="N/A","0",UPPER(TEXT(tbRegistroEntradas[[#This Row],[DATA DO CAIXA PREVISTO]],"mmm")))</f>
        <v>JUL</v>
      </c>
      <c r="O651" s="84">
        <f>IF(tbRegistroEntradas[[#This Row],[DATA DO CAIXA PREVISTO]]="N/A",0,YEAR(tbRegistroEntradas[[#This Row],[DATA DO CAIXA PREVISTO]]))</f>
        <v>2023</v>
      </c>
      <c r="P651" s="58" t="str">
        <f ca="1">IF(AND(tbRegistroEntradas[[#This Row],[DATA DE CAIXA REALIZADO]]="N/A",tbRegistroEntradas[[#This Row],[DATA DO CAIXA PREVISTO]]&lt;TODAY()),"Vencida","Não Vencida")</f>
        <v>Vencida</v>
      </c>
      <c r="Q651" s="58" t="str">
        <f>IF(tbRegistroEntradas[[#This Row],[DATA DA COMPETÊNCIA]]=tbRegistroEntradas[[#This Row],[DATA DO CAIXA PREVISTO]],"Vista","Prazo")</f>
        <v>Prazo</v>
      </c>
      <c r="R651" s="58" t="str">
        <f>IF(tbRegistroEntradas[[#This Row],[DATA DE CAIXA REALIZADO]]&lt;&gt;"N/A","Em Dia","Com atraso")</f>
        <v>Com atraso</v>
      </c>
    </row>
    <row r="652" spans="1:18" ht="14.4" customHeight="1" x14ac:dyDescent="0.3">
      <c r="A652" s="111">
        <v>45122</v>
      </c>
      <c r="B652" s="111">
        <f>A652-31</f>
        <v>45091</v>
      </c>
      <c r="C652" s="111">
        <f>tbRegistroEntradas[[#This Row],[DATA DA COMPETÊNCIA]]</f>
        <v>45091</v>
      </c>
      <c r="D652" s="109" t="s">
        <v>61</v>
      </c>
      <c r="E652" s="109" t="s">
        <v>12</v>
      </c>
      <c r="F652" s="109" t="s">
        <v>32</v>
      </c>
      <c r="G652" s="109" t="s">
        <v>674</v>
      </c>
      <c r="H652" s="52" t="s">
        <v>87</v>
      </c>
      <c r="I652" s="118">
        <v>4817</v>
      </c>
      <c r="J652" s="110" t="str">
        <f>IF(tbRegistroEntradas[[#This Row],[DATA DE CAIXA REALIZADO]]="N/A","0",UPPER(TEXT(tbRegistroEntradas[[#This Row],[DATA DE CAIXA REALIZADO]],"mmm")))</f>
        <v>JUL</v>
      </c>
      <c r="K652" s="57">
        <f>IF(tbRegistroEntradas[[#This Row],[DATA DE CAIXA REALIZADO]]="N/A",0,YEAR(tbRegistroEntradas[[#This Row],[DATA DE CAIXA REALIZADO]]))</f>
        <v>2023</v>
      </c>
      <c r="L652" s="58" t="str">
        <f>IF(tbRegistroEntradas[[#This Row],[DATA DA COMPETÊNCIA]]="N/A","0",UPPER(TEXT(tbRegistroEntradas[[#This Row],[DATA DA COMPETÊNCIA]],"mmm")))</f>
        <v>JUN</v>
      </c>
      <c r="M652" s="58">
        <f>IF(tbRegistroEntradas[[#This Row],[DATA DA COMPETÊNCIA]]="N/A",0,YEAR(tbRegistroEntradas[[#This Row],[DATA DA COMPETÊNCIA]]))</f>
        <v>2023</v>
      </c>
      <c r="N652" s="58" t="str">
        <f>IF(tbRegistroEntradas[[#This Row],[DATA DO CAIXA PREVISTO]]="N/A","0",UPPER(TEXT(tbRegistroEntradas[[#This Row],[DATA DO CAIXA PREVISTO]],"mmm")))</f>
        <v>JUN</v>
      </c>
      <c r="O652" s="58">
        <f>IF(tbRegistroEntradas[[#This Row],[DATA DO CAIXA PREVISTO]]="N/A",0,YEAR(tbRegistroEntradas[[#This Row],[DATA DO CAIXA PREVISTO]]))</f>
        <v>2023</v>
      </c>
      <c r="P652" s="58" t="str">
        <f ca="1">IF(AND(tbRegistroEntradas[[#This Row],[DATA DE CAIXA REALIZADO]]="N/A",tbRegistroEntradas[[#This Row],[DATA DO CAIXA PREVISTO]]&lt;TODAY()),"Vencida","Não Vencida")</f>
        <v>Não Vencida</v>
      </c>
      <c r="Q652" s="58" t="str">
        <f>IF(tbRegistroEntradas[[#This Row],[DATA DA COMPETÊNCIA]]=tbRegistroEntradas[[#This Row],[DATA DO CAIXA PREVISTO]],"Vista","Prazo")</f>
        <v>Vista</v>
      </c>
      <c r="R652" s="58" t="str">
        <f>IF(tbRegistroEntradas[[#This Row],[DATA DE CAIXA REALIZADO]]&lt;&gt;"N/A","Em Dia","Com atraso")</f>
        <v>Em Dia</v>
      </c>
    </row>
    <row r="653" spans="1:18" ht="14.4" customHeight="1" x14ac:dyDescent="0.3">
      <c r="A653" s="43">
        <v>45124.604641203703</v>
      </c>
      <c r="B653" s="44">
        <v>45092</v>
      </c>
      <c r="C653" s="44">
        <v>45124.604641203703</v>
      </c>
      <c r="D653" s="35" t="s">
        <v>64</v>
      </c>
      <c r="E653" s="35" t="s">
        <v>12</v>
      </c>
      <c r="F653" s="35" t="s">
        <v>18</v>
      </c>
      <c r="G653" s="35" t="s">
        <v>366</v>
      </c>
      <c r="H653" s="52" t="s">
        <v>108</v>
      </c>
      <c r="I653" s="122">
        <v>1482</v>
      </c>
      <c r="J653" s="55" t="str">
        <f>IF(tbRegistroEntradas[[#This Row],[DATA DE CAIXA REALIZADO]]="N/A","0",UPPER(TEXT(tbRegistroEntradas[[#This Row],[DATA DE CAIXA REALIZADO]],"mmm")))</f>
        <v>JUL</v>
      </c>
      <c r="K653" s="58">
        <f>IF(tbRegistroEntradas[[#This Row],[DATA DE CAIXA REALIZADO]]="N/A",0,YEAR(tbRegistroEntradas[[#This Row],[DATA DE CAIXA REALIZADO]]))</f>
        <v>2023</v>
      </c>
      <c r="L653" s="79" t="str">
        <f>IF(tbRegistroEntradas[[#This Row],[DATA DA COMPETÊNCIA]]="N/A","0",UPPER(TEXT(tbRegistroEntradas[[#This Row],[DATA DA COMPETÊNCIA]],"mmm")))</f>
        <v>JUN</v>
      </c>
      <c r="M653" s="79">
        <f>IF(tbRegistroEntradas[[#This Row],[DATA DA COMPETÊNCIA]]="N/A",0,YEAR(tbRegistroEntradas[[#This Row],[DATA DA COMPETÊNCIA]]))</f>
        <v>2023</v>
      </c>
      <c r="N653" s="84" t="str">
        <f>IF(tbRegistroEntradas[[#This Row],[DATA DO CAIXA PREVISTO]]="N/A","0",UPPER(TEXT(tbRegistroEntradas[[#This Row],[DATA DO CAIXA PREVISTO]],"mmm")))</f>
        <v>JUL</v>
      </c>
      <c r="O653" s="84">
        <f>IF(tbRegistroEntradas[[#This Row],[DATA DO CAIXA PREVISTO]]="N/A",0,YEAR(tbRegistroEntradas[[#This Row],[DATA DO CAIXA PREVISTO]]))</f>
        <v>2023</v>
      </c>
      <c r="P653" s="58" t="str">
        <f ca="1">IF(AND(tbRegistroEntradas[[#This Row],[DATA DE CAIXA REALIZADO]]="N/A",tbRegistroEntradas[[#This Row],[DATA DO CAIXA PREVISTO]]&lt;TODAY()),"Vencida","Não Vencida")</f>
        <v>Não Vencida</v>
      </c>
      <c r="Q653" s="58" t="str">
        <f>IF(tbRegistroEntradas[[#This Row],[DATA DA COMPETÊNCIA]]=tbRegistroEntradas[[#This Row],[DATA DO CAIXA PREVISTO]],"Vista","Prazo")</f>
        <v>Prazo</v>
      </c>
      <c r="R653" s="58" t="str">
        <f>IF(tbRegistroEntradas[[#This Row],[DATA DE CAIXA REALIZADO]]&lt;&gt;"N/A","Em Dia","Com atraso")</f>
        <v>Em Dia</v>
      </c>
    </row>
    <row r="654" spans="1:18" ht="14.4" customHeight="1" x14ac:dyDescent="0.3">
      <c r="A654" s="40">
        <v>45108.60324074074</v>
      </c>
      <c r="B654" s="41">
        <v>45093</v>
      </c>
      <c r="C654" s="41">
        <v>45108.60324074074</v>
      </c>
      <c r="D654" s="42" t="s">
        <v>64</v>
      </c>
      <c r="E654" s="42" t="s">
        <v>12</v>
      </c>
      <c r="F654" s="42" t="s">
        <v>32</v>
      </c>
      <c r="G654" s="42" t="s">
        <v>367</v>
      </c>
      <c r="H654" s="52" t="s">
        <v>109</v>
      </c>
      <c r="I654" s="121">
        <v>555</v>
      </c>
      <c r="J654" s="55" t="str">
        <f>IF(tbRegistroEntradas[[#This Row],[DATA DE CAIXA REALIZADO]]="N/A","0",UPPER(TEXT(tbRegistroEntradas[[#This Row],[DATA DE CAIXA REALIZADO]],"mmm")))</f>
        <v>JUL</v>
      </c>
      <c r="K654" s="58">
        <f>IF(tbRegistroEntradas[[#This Row],[DATA DE CAIXA REALIZADO]]="N/A",0,YEAR(tbRegistroEntradas[[#This Row],[DATA DE CAIXA REALIZADO]]))</f>
        <v>2023</v>
      </c>
      <c r="L654" s="79" t="str">
        <f>IF(tbRegistroEntradas[[#This Row],[DATA DA COMPETÊNCIA]]="N/A","0",UPPER(TEXT(tbRegistroEntradas[[#This Row],[DATA DA COMPETÊNCIA]],"mmm")))</f>
        <v>JUN</v>
      </c>
      <c r="M654" s="79">
        <f>IF(tbRegistroEntradas[[#This Row],[DATA DA COMPETÊNCIA]]="N/A",0,YEAR(tbRegistroEntradas[[#This Row],[DATA DA COMPETÊNCIA]]))</f>
        <v>2023</v>
      </c>
      <c r="N654" s="84" t="str">
        <f>IF(tbRegistroEntradas[[#This Row],[DATA DO CAIXA PREVISTO]]="N/A","0",UPPER(TEXT(tbRegistroEntradas[[#This Row],[DATA DO CAIXA PREVISTO]],"mmm")))</f>
        <v>JUL</v>
      </c>
      <c r="O654" s="84">
        <f>IF(tbRegistroEntradas[[#This Row],[DATA DO CAIXA PREVISTO]]="N/A",0,YEAR(tbRegistroEntradas[[#This Row],[DATA DO CAIXA PREVISTO]]))</f>
        <v>2023</v>
      </c>
      <c r="P654" s="58" t="str">
        <f ca="1">IF(AND(tbRegistroEntradas[[#This Row],[DATA DE CAIXA REALIZADO]]="N/A",tbRegistroEntradas[[#This Row],[DATA DO CAIXA PREVISTO]]&lt;TODAY()),"Vencida","Não Vencida")</f>
        <v>Não Vencida</v>
      </c>
      <c r="Q654" s="58" t="str">
        <f>IF(tbRegistroEntradas[[#This Row],[DATA DA COMPETÊNCIA]]=tbRegistroEntradas[[#This Row],[DATA DO CAIXA PREVISTO]],"Vista","Prazo")</f>
        <v>Prazo</v>
      </c>
      <c r="R654" s="58" t="str">
        <f>IF(tbRegistroEntradas[[#This Row],[DATA DE CAIXA REALIZADO]]&lt;&gt;"N/A","Em Dia","Com atraso")</f>
        <v>Em Dia</v>
      </c>
    </row>
    <row r="655" spans="1:18" ht="14.4" customHeight="1" x14ac:dyDescent="0.3">
      <c r="A655" s="111">
        <v>45125</v>
      </c>
      <c r="B655" s="111">
        <f>A655-31</f>
        <v>45094</v>
      </c>
      <c r="C655" s="111">
        <f>tbRegistroEntradas[[#This Row],[DATA DA COMPETÊNCIA]]</f>
        <v>45094</v>
      </c>
      <c r="D655" s="109" t="s">
        <v>65</v>
      </c>
      <c r="E655" s="109" t="s">
        <v>12</v>
      </c>
      <c r="F655" s="109" t="s">
        <v>32</v>
      </c>
      <c r="G655" s="109" t="s">
        <v>817</v>
      </c>
      <c r="H655" s="52" t="s">
        <v>122</v>
      </c>
      <c r="I655" s="118">
        <v>6241</v>
      </c>
      <c r="J655" s="110" t="str">
        <f>IF(tbRegistroEntradas[[#This Row],[DATA DE CAIXA REALIZADO]]="N/A","0",UPPER(TEXT(tbRegistroEntradas[[#This Row],[DATA DE CAIXA REALIZADO]],"mmm")))</f>
        <v>JUL</v>
      </c>
      <c r="K655" s="57">
        <f>IF(tbRegistroEntradas[[#This Row],[DATA DE CAIXA REALIZADO]]="N/A",0,YEAR(tbRegistroEntradas[[#This Row],[DATA DE CAIXA REALIZADO]]))</f>
        <v>2023</v>
      </c>
      <c r="L655" s="58" t="str">
        <f>IF(tbRegistroEntradas[[#This Row],[DATA DA COMPETÊNCIA]]="N/A","0",UPPER(TEXT(tbRegistroEntradas[[#This Row],[DATA DA COMPETÊNCIA]],"mmm")))</f>
        <v>JUN</v>
      </c>
      <c r="M655" s="58">
        <f>IF(tbRegistroEntradas[[#This Row],[DATA DA COMPETÊNCIA]]="N/A",0,YEAR(tbRegistroEntradas[[#This Row],[DATA DA COMPETÊNCIA]]))</f>
        <v>2023</v>
      </c>
      <c r="N655" s="58" t="str">
        <f>IF(tbRegistroEntradas[[#This Row],[DATA DO CAIXA PREVISTO]]="N/A","0",UPPER(TEXT(tbRegistroEntradas[[#This Row],[DATA DO CAIXA PREVISTO]],"mmm")))</f>
        <v>JUN</v>
      </c>
      <c r="O655" s="58">
        <f>IF(tbRegistroEntradas[[#This Row],[DATA DO CAIXA PREVISTO]]="N/A",0,YEAR(tbRegistroEntradas[[#This Row],[DATA DO CAIXA PREVISTO]]))</f>
        <v>2023</v>
      </c>
      <c r="P655" s="58" t="str">
        <f ca="1">IF(AND(tbRegistroEntradas[[#This Row],[DATA DE CAIXA REALIZADO]]="N/A",tbRegistroEntradas[[#This Row],[DATA DO CAIXA PREVISTO]]&lt;TODAY()),"Vencida","Não Vencida")</f>
        <v>Não Vencida</v>
      </c>
      <c r="Q655" s="58" t="str">
        <f>IF(tbRegistroEntradas[[#This Row],[DATA DA COMPETÊNCIA]]=tbRegistroEntradas[[#This Row],[DATA DO CAIXA PREVISTO]],"Vista","Prazo")</f>
        <v>Vista</v>
      </c>
      <c r="R655" s="58" t="str">
        <f>IF(tbRegistroEntradas[[#This Row],[DATA DE CAIXA REALIZADO]]&lt;&gt;"N/A","Em Dia","Com atraso")</f>
        <v>Em Dia</v>
      </c>
    </row>
    <row r="656" spans="1:18" ht="14.4" customHeight="1" x14ac:dyDescent="0.3">
      <c r="A656" s="111">
        <v>45125</v>
      </c>
      <c r="B656" s="111">
        <f>A656-31</f>
        <v>45094</v>
      </c>
      <c r="C656" s="111">
        <f>(A656-B656)+B656-15</f>
        <v>45110</v>
      </c>
      <c r="D656" s="109" t="s">
        <v>67</v>
      </c>
      <c r="E656" s="109" t="s">
        <v>12</v>
      </c>
      <c r="F656" s="109" t="s">
        <v>19</v>
      </c>
      <c r="G656" s="109" t="s">
        <v>866</v>
      </c>
      <c r="H656" s="52" t="s">
        <v>131</v>
      </c>
      <c r="I656" s="118">
        <v>1117</v>
      </c>
      <c r="J656" s="110" t="str">
        <f>IF(tbRegistroEntradas[[#This Row],[DATA DE CAIXA REALIZADO]]="N/A","0",UPPER(TEXT(tbRegistroEntradas[[#This Row],[DATA DE CAIXA REALIZADO]],"mmm")))</f>
        <v>JUL</v>
      </c>
      <c r="K656" s="57">
        <f>IF(tbRegistroEntradas[[#This Row],[DATA DE CAIXA REALIZADO]]="N/A",0,YEAR(tbRegistroEntradas[[#This Row],[DATA DE CAIXA REALIZADO]]))</f>
        <v>2023</v>
      </c>
      <c r="L656" s="58" t="str">
        <f>IF(tbRegistroEntradas[[#This Row],[DATA DA COMPETÊNCIA]]="N/A","0",UPPER(TEXT(tbRegistroEntradas[[#This Row],[DATA DA COMPETÊNCIA]],"mmm")))</f>
        <v>JUN</v>
      </c>
      <c r="M656" s="58">
        <f>IF(tbRegistroEntradas[[#This Row],[DATA DA COMPETÊNCIA]]="N/A",0,YEAR(tbRegistroEntradas[[#This Row],[DATA DA COMPETÊNCIA]]))</f>
        <v>2023</v>
      </c>
      <c r="N656" s="58" t="str">
        <f>IF(tbRegistroEntradas[[#This Row],[DATA DO CAIXA PREVISTO]]="N/A","0",UPPER(TEXT(tbRegistroEntradas[[#This Row],[DATA DO CAIXA PREVISTO]],"mmm")))</f>
        <v>JUL</v>
      </c>
      <c r="O656" s="58">
        <f>IF(tbRegistroEntradas[[#This Row],[DATA DO CAIXA PREVISTO]]="N/A",0,YEAR(tbRegistroEntradas[[#This Row],[DATA DO CAIXA PREVISTO]]))</f>
        <v>2023</v>
      </c>
      <c r="P656" s="58" t="str">
        <f ca="1">IF(AND(tbRegistroEntradas[[#This Row],[DATA DE CAIXA REALIZADO]]="N/A",tbRegistroEntradas[[#This Row],[DATA DO CAIXA PREVISTO]]&lt;TODAY()),"Vencida","Não Vencida")</f>
        <v>Não Vencida</v>
      </c>
      <c r="Q656" s="58" t="str">
        <f>IF(tbRegistroEntradas[[#This Row],[DATA DA COMPETÊNCIA]]=tbRegistroEntradas[[#This Row],[DATA DO CAIXA PREVISTO]],"Vista","Prazo")</f>
        <v>Prazo</v>
      </c>
      <c r="R656" s="58" t="str">
        <f>IF(tbRegistroEntradas[[#This Row],[DATA DE CAIXA REALIZADO]]&lt;&gt;"N/A","Em Dia","Com atraso")</f>
        <v>Em Dia</v>
      </c>
    </row>
    <row r="657" spans="1:18" ht="14.4" customHeight="1" x14ac:dyDescent="0.3">
      <c r="A657" s="111">
        <v>45127</v>
      </c>
      <c r="B657" s="111">
        <f>A657-31</f>
        <v>45096</v>
      </c>
      <c r="C657" s="111">
        <f>(A657-B657)+B657-15</f>
        <v>45112</v>
      </c>
      <c r="D657" s="109" t="s">
        <v>67</v>
      </c>
      <c r="E657" s="109" t="s">
        <v>12</v>
      </c>
      <c r="F657" s="109" t="s">
        <v>19</v>
      </c>
      <c r="G657" s="109" t="s">
        <v>661</v>
      </c>
      <c r="H657" s="52" t="s">
        <v>134</v>
      </c>
      <c r="I657" s="118">
        <v>4123</v>
      </c>
      <c r="J657" s="110" t="str">
        <f>IF(tbRegistroEntradas[[#This Row],[DATA DE CAIXA REALIZADO]]="N/A","0",UPPER(TEXT(tbRegistroEntradas[[#This Row],[DATA DE CAIXA REALIZADO]],"mmm")))</f>
        <v>JUL</v>
      </c>
      <c r="K657" s="57">
        <f>IF(tbRegistroEntradas[[#This Row],[DATA DE CAIXA REALIZADO]]="N/A",0,YEAR(tbRegistroEntradas[[#This Row],[DATA DE CAIXA REALIZADO]]))</f>
        <v>2023</v>
      </c>
      <c r="L657" s="58" t="str">
        <f>IF(tbRegistroEntradas[[#This Row],[DATA DA COMPETÊNCIA]]="N/A","0",UPPER(TEXT(tbRegistroEntradas[[#This Row],[DATA DA COMPETÊNCIA]],"mmm")))</f>
        <v>JUN</v>
      </c>
      <c r="M657" s="58">
        <f>IF(tbRegistroEntradas[[#This Row],[DATA DA COMPETÊNCIA]]="N/A",0,YEAR(tbRegistroEntradas[[#This Row],[DATA DA COMPETÊNCIA]]))</f>
        <v>2023</v>
      </c>
      <c r="N657" s="58" t="str">
        <f>IF(tbRegistroEntradas[[#This Row],[DATA DO CAIXA PREVISTO]]="N/A","0",UPPER(TEXT(tbRegistroEntradas[[#This Row],[DATA DO CAIXA PREVISTO]],"mmm")))</f>
        <v>JUL</v>
      </c>
      <c r="O657" s="58">
        <f>IF(tbRegistroEntradas[[#This Row],[DATA DO CAIXA PREVISTO]]="N/A",0,YEAR(tbRegistroEntradas[[#This Row],[DATA DO CAIXA PREVISTO]]))</f>
        <v>2023</v>
      </c>
      <c r="P657" s="58" t="str">
        <f ca="1">IF(AND(tbRegistroEntradas[[#This Row],[DATA DE CAIXA REALIZADO]]="N/A",tbRegistroEntradas[[#This Row],[DATA DO CAIXA PREVISTO]]&lt;TODAY()),"Vencida","Não Vencida")</f>
        <v>Não Vencida</v>
      </c>
      <c r="Q657" s="58" t="str">
        <f>IF(tbRegistroEntradas[[#This Row],[DATA DA COMPETÊNCIA]]=tbRegistroEntradas[[#This Row],[DATA DO CAIXA PREVISTO]],"Vista","Prazo")</f>
        <v>Prazo</v>
      </c>
      <c r="R657" s="58" t="str">
        <f>IF(tbRegistroEntradas[[#This Row],[DATA DE CAIXA REALIZADO]]&lt;&gt;"N/A","Em Dia","Com atraso")</f>
        <v>Em Dia</v>
      </c>
    </row>
    <row r="658" spans="1:18" ht="14.4" customHeight="1" x14ac:dyDescent="0.3">
      <c r="A658" s="111">
        <v>45128</v>
      </c>
      <c r="B658" s="111">
        <f>A658-31</f>
        <v>45097</v>
      </c>
      <c r="C658" s="111">
        <f>(A658-B658)+B658-15</f>
        <v>45113</v>
      </c>
      <c r="D658" s="109" t="s">
        <v>64</v>
      </c>
      <c r="E658" s="109" t="s">
        <v>12</v>
      </c>
      <c r="F658" s="109" t="s">
        <v>17</v>
      </c>
      <c r="G658" s="109" t="s">
        <v>783</v>
      </c>
      <c r="H658" s="52" t="s">
        <v>110</v>
      </c>
      <c r="I658" s="118">
        <v>1599</v>
      </c>
      <c r="J658" s="110" t="str">
        <f>IF(tbRegistroEntradas[[#This Row],[DATA DE CAIXA REALIZADO]]="N/A","0",UPPER(TEXT(tbRegistroEntradas[[#This Row],[DATA DE CAIXA REALIZADO]],"mmm")))</f>
        <v>JUL</v>
      </c>
      <c r="K658" s="57">
        <f>IF(tbRegistroEntradas[[#This Row],[DATA DE CAIXA REALIZADO]]="N/A",0,YEAR(tbRegistroEntradas[[#This Row],[DATA DE CAIXA REALIZADO]]))</f>
        <v>2023</v>
      </c>
      <c r="L658" s="58" t="str">
        <f>IF(tbRegistroEntradas[[#This Row],[DATA DA COMPETÊNCIA]]="N/A","0",UPPER(TEXT(tbRegistroEntradas[[#This Row],[DATA DA COMPETÊNCIA]],"mmm")))</f>
        <v>JUN</v>
      </c>
      <c r="M658" s="58">
        <f>IF(tbRegistroEntradas[[#This Row],[DATA DA COMPETÊNCIA]]="N/A",0,YEAR(tbRegistroEntradas[[#This Row],[DATA DA COMPETÊNCIA]]))</f>
        <v>2023</v>
      </c>
      <c r="N658" s="58" t="str">
        <f>IF(tbRegistroEntradas[[#This Row],[DATA DO CAIXA PREVISTO]]="N/A","0",UPPER(TEXT(tbRegistroEntradas[[#This Row],[DATA DO CAIXA PREVISTO]],"mmm")))</f>
        <v>JUL</v>
      </c>
      <c r="O658" s="58">
        <f>IF(tbRegistroEntradas[[#This Row],[DATA DO CAIXA PREVISTO]]="N/A",0,YEAR(tbRegistroEntradas[[#This Row],[DATA DO CAIXA PREVISTO]]))</f>
        <v>2023</v>
      </c>
      <c r="P658" s="58" t="str">
        <f ca="1">IF(AND(tbRegistroEntradas[[#This Row],[DATA DE CAIXA REALIZADO]]="N/A",tbRegistroEntradas[[#This Row],[DATA DO CAIXA PREVISTO]]&lt;TODAY()),"Vencida","Não Vencida")</f>
        <v>Não Vencida</v>
      </c>
      <c r="Q658" s="58" t="str">
        <f>IF(tbRegistroEntradas[[#This Row],[DATA DA COMPETÊNCIA]]=tbRegistroEntradas[[#This Row],[DATA DO CAIXA PREVISTO]],"Vista","Prazo")</f>
        <v>Prazo</v>
      </c>
      <c r="R658" s="58" t="str">
        <f>IF(tbRegistroEntradas[[#This Row],[DATA DE CAIXA REALIZADO]]&lt;&gt;"N/A","Em Dia","Com atraso")</f>
        <v>Em Dia</v>
      </c>
    </row>
    <row r="659" spans="1:18" ht="14.4" customHeight="1" x14ac:dyDescent="0.3">
      <c r="A659" s="43">
        <v>45202.143738425926</v>
      </c>
      <c r="B659" s="44">
        <v>45097</v>
      </c>
      <c r="C659" s="44">
        <v>45148.570972222224</v>
      </c>
      <c r="D659" s="35" t="s">
        <v>64</v>
      </c>
      <c r="E659" s="35" t="s">
        <v>12</v>
      </c>
      <c r="F659" s="35" t="s">
        <v>16</v>
      </c>
      <c r="G659" s="35" t="s">
        <v>368</v>
      </c>
      <c r="H659" s="52" t="s">
        <v>111</v>
      </c>
      <c r="I659" s="122">
        <v>1906</v>
      </c>
      <c r="J659" s="55" t="str">
        <f>IF(tbRegistroEntradas[[#This Row],[DATA DE CAIXA REALIZADO]]="N/A","0",UPPER(TEXT(tbRegistroEntradas[[#This Row],[DATA DE CAIXA REALIZADO]],"mmm")))</f>
        <v>OUT</v>
      </c>
      <c r="K659" s="58">
        <f>IF(tbRegistroEntradas[[#This Row],[DATA DE CAIXA REALIZADO]]="N/A",0,YEAR(tbRegistroEntradas[[#This Row],[DATA DE CAIXA REALIZADO]]))</f>
        <v>2023</v>
      </c>
      <c r="L659" s="79" t="str">
        <f>IF(tbRegistroEntradas[[#This Row],[DATA DA COMPETÊNCIA]]="N/A","0",UPPER(TEXT(tbRegistroEntradas[[#This Row],[DATA DA COMPETÊNCIA]],"mmm")))</f>
        <v>JUN</v>
      </c>
      <c r="M659" s="79">
        <f>IF(tbRegistroEntradas[[#This Row],[DATA DA COMPETÊNCIA]]="N/A",0,YEAR(tbRegistroEntradas[[#This Row],[DATA DA COMPETÊNCIA]]))</f>
        <v>2023</v>
      </c>
      <c r="N659" s="84" t="str">
        <f>IF(tbRegistroEntradas[[#This Row],[DATA DO CAIXA PREVISTO]]="N/A","0",UPPER(TEXT(tbRegistroEntradas[[#This Row],[DATA DO CAIXA PREVISTO]],"mmm")))</f>
        <v>AGO</v>
      </c>
      <c r="O659" s="84">
        <f>IF(tbRegistroEntradas[[#This Row],[DATA DO CAIXA PREVISTO]]="N/A",0,YEAR(tbRegistroEntradas[[#This Row],[DATA DO CAIXA PREVISTO]]))</f>
        <v>2023</v>
      </c>
      <c r="P659" s="58" t="str">
        <f ca="1">IF(AND(tbRegistroEntradas[[#This Row],[DATA DE CAIXA REALIZADO]]="N/A",tbRegistroEntradas[[#This Row],[DATA DO CAIXA PREVISTO]]&lt;TODAY()),"Vencida","Não Vencida")</f>
        <v>Não Vencida</v>
      </c>
      <c r="Q659" s="58" t="str">
        <f>IF(tbRegistroEntradas[[#This Row],[DATA DA COMPETÊNCIA]]=tbRegistroEntradas[[#This Row],[DATA DO CAIXA PREVISTO]],"Vista","Prazo")</f>
        <v>Prazo</v>
      </c>
      <c r="R659" s="58" t="str">
        <f>IF(tbRegistroEntradas[[#This Row],[DATA DE CAIXA REALIZADO]]&lt;&gt;"N/A","Em Dia","Com atraso")</f>
        <v>Em Dia</v>
      </c>
    </row>
    <row r="660" spans="1:18" ht="14.4" customHeight="1" x14ac:dyDescent="0.3">
      <c r="A660" s="111">
        <v>45132</v>
      </c>
      <c r="B660" s="111">
        <f>A660-31</f>
        <v>45101</v>
      </c>
      <c r="C660" s="111">
        <f>(A660-B660)+B660-15</f>
        <v>45117</v>
      </c>
      <c r="D660" s="109" t="s">
        <v>64</v>
      </c>
      <c r="E660" s="109" t="s">
        <v>12</v>
      </c>
      <c r="F660" s="109" t="s">
        <v>18</v>
      </c>
      <c r="G660" s="109" t="s">
        <v>708</v>
      </c>
      <c r="H660" s="52" t="s">
        <v>112</v>
      </c>
      <c r="I660" s="118">
        <v>1302</v>
      </c>
      <c r="J660" s="110" t="str">
        <f>IF(tbRegistroEntradas[[#This Row],[DATA DE CAIXA REALIZADO]]="N/A","0",UPPER(TEXT(tbRegistroEntradas[[#This Row],[DATA DE CAIXA REALIZADO]],"mmm")))</f>
        <v>JUL</v>
      </c>
      <c r="K660" s="57">
        <f>IF(tbRegistroEntradas[[#This Row],[DATA DE CAIXA REALIZADO]]="N/A",0,YEAR(tbRegistroEntradas[[#This Row],[DATA DE CAIXA REALIZADO]]))</f>
        <v>2023</v>
      </c>
      <c r="L660" s="58" t="str">
        <f>IF(tbRegistroEntradas[[#This Row],[DATA DA COMPETÊNCIA]]="N/A","0",UPPER(TEXT(tbRegistroEntradas[[#This Row],[DATA DA COMPETÊNCIA]],"mmm")))</f>
        <v>JUN</v>
      </c>
      <c r="M660" s="58">
        <f>IF(tbRegistroEntradas[[#This Row],[DATA DA COMPETÊNCIA]]="N/A",0,YEAR(tbRegistroEntradas[[#This Row],[DATA DA COMPETÊNCIA]]))</f>
        <v>2023</v>
      </c>
      <c r="N660" s="58" t="str">
        <f>IF(tbRegistroEntradas[[#This Row],[DATA DO CAIXA PREVISTO]]="N/A","0",UPPER(TEXT(tbRegistroEntradas[[#This Row],[DATA DO CAIXA PREVISTO]],"mmm")))</f>
        <v>JUL</v>
      </c>
      <c r="O660" s="58">
        <f>IF(tbRegistroEntradas[[#This Row],[DATA DO CAIXA PREVISTO]]="N/A",0,YEAR(tbRegistroEntradas[[#This Row],[DATA DO CAIXA PREVISTO]]))</f>
        <v>2023</v>
      </c>
      <c r="P660" s="58" t="str">
        <f ca="1">IF(AND(tbRegistroEntradas[[#This Row],[DATA DE CAIXA REALIZADO]]="N/A",tbRegistroEntradas[[#This Row],[DATA DO CAIXA PREVISTO]]&lt;TODAY()),"Vencida","Não Vencida")</f>
        <v>Não Vencida</v>
      </c>
      <c r="Q660" s="58" t="str">
        <f>IF(tbRegistroEntradas[[#This Row],[DATA DA COMPETÊNCIA]]=tbRegistroEntradas[[#This Row],[DATA DO CAIXA PREVISTO]],"Vista","Prazo")</f>
        <v>Prazo</v>
      </c>
      <c r="R660" s="58" t="str">
        <f>IF(tbRegistroEntradas[[#This Row],[DATA DE CAIXA REALIZADO]]&lt;&gt;"N/A","Em Dia","Com atraso")</f>
        <v>Em Dia</v>
      </c>
    </row>
    <row r="661" spans="1:18" ht="14.4" customHeight="1" x14ac:dyDescent="0.3">
      <c r="A661" s="111">
        <v>45133</v>
      </c>
      <c r="B661" s="111">
        <f>A661-31</f>
        <v>45102</v>
      </c>
      <c r="C661" s="111">
        <f>tbRegistroEntradas[[#This Row],[DATA DA COMPETÊNCIA]]</f>
        <v>45102</v>
      </c>
      <c r="D661" s="109" t="s">
        <v>138</v>
      </c>
      <c r="E661" s="109" t="s">
        <v>12</v>
      </c>
      <c r="F661" s="109" t="s">
        <v>19</v>
      </c>
      <c r="G661" s="109" t="s">
        <v>458</v>
      </c>
      <c r="H661" s="52" t="s">
        <v>68</v>
      </c>
      <c r="I661" s="118">
        <v>7119</v>
      </c>
      <c r="J661" s="110" t="str">
        <f>IF(tbRegistroEntradas[[#This Row],[DATA DE CAIXA REALIZADO]]="N/A","0",UPPER(TEXT(tbRegistroEntradas[[#This Row],[DATA DE CAIXA REALIZADO]],"mmm")))</f>
        <v>JUL</v>
      </c>
      <c r="K661" s="57">
        <f>IF(tbRegistroEntradas[[#This Row],[DATA DE CAIXA REALIZADO]]="N/A",0,YEAR(tbRegistroEntradas[[#This Row],[DATA DE CAIXA REALIZADO]]))</f>
        <v>2023</v>
      </c>
      <c r="L661" s="58" t="str">
        <f>IF(tbRegistroEntradas[[#This Row],[DATA DA COMPETÊNCIA]]="N/A","0",UPPER(TEXT(tbRegistroEntradas[[#This Row],[DATA DA COMPETÊNCIA]],"mmm")))</f>
        <v>JUN</v>
      </c>
      <c r="M661" s="58">
        <f>IF(tbRegistroEntradas[[#This Row],[DATA DA COMPETÊNCIA]]="N/A",0,YEAR(tbRegistroEntradas[[#This Row],[DATA DA COMPETÊNCIA]]))</f>
        <v>2023</v>
      </c>
      <c r="N661" s="58" t="str">
        <f>IF(tbRegistroEntradas[[#This Row],[DATA DO CAIXA PREVISTO]]="N/A","0",UPPER(TEXT(tbRegistroEntradas[[#This Row],[DATA DO CAIXA PREVISTO]],"mmm")))</f>
        <v>JUN</v>
      </c>
      <c r="O661" s="58">
        <f>IF(tbRegistroEntradas[[#This Row],[DATA DO CAIXA PREVISTO]]="N/A",0,YEAR(tbRegistroEntradas[[#This Row],[DATA DO CAIXA PREVISTO]]))</f>
        <v>2023</v>
      </c>
      <c r="P661" s="58" t="str">
        <f ca="1">IF(AND(tbRegistroEntradas[[#This Row],[DATA DE CAIXA REALIZADO]]="N/A",tbRegistroEntradas[[#This Row],[DATA DO CAIXA PREVISTO]]&lt;TODAY()),"Vencida","Não Vencida")</f>
        <v>Não Vencida</v>
      </c>
      <c r="Q661" s="58" t="str">
        <f>IF(tbRegistroEntradas[[#This Row],[DATA DA COMPETÊNCIA]]=tbRegistroEntradas[[#This Row],[DATA DO CAIXA PREVISTO]],"Vista","Prazo")</f>
        <v>Vista</v>
      </c>
      <c r="R661" s="58" t="str">
        <f>IF(tbRegistroEntradas[[#This Row],[DATA DE CAIXA REALIZADO]]&lt;&gt;"N/A","Em Dia","Com atraso")</f>
        <v>Em Dia</v>
      </c>
    </row>
    <row r="662" spans="1:18" ht="14.4" customHeight="1" x14ac:dyDescent="0.3">
      <c r="A662" s="40">
        <v>45106.269687499997</v>
      </c>
      <c r="B662" s="41">
        <v>45102</v>
      </c>
      <c r="C662" s="41">
        <v>45106.269687499997</v>
      </c>
      <c r="D662" s="42" t="s">
        <v>61</v>
      </c>
      <c r="E662" s="42" t="s">
        <v>12</v>
      </c>
      <c r="F662" s="42" t="s">
        <v>16</v>
      </c>
      <c r="G662" s="42" t="s">
        <v>369</v>
      </c>
      <c r="H662" s="52" t="s">
        <v>88</v>
      </c>
      <c r="I662" s="121">
        <v>450</v>
      </c>
      <c r="J662" s="55" t="str">
        <f>IF(tbRegistroEntradas[[#This Row],[DATA DE CAIXA REALIZADO]]="N/A","0",UPPER(TEXT(tbRegistroEntradas[[#This Row],[DATA DE CAIXA REALIZADO]],"mmm")))</f>
        <v>JUN</v>
      </c>
      <c r="K662" s="58">
        <f>IF(tbRegistroEntradas[[#This Row],[DATA DE CAIXA REALIZADO]]="N/A",0,YEAR(tbRegistroEntradas[[#This Row],[DATA DE CAIXA REALIZADO]]))</f>
        <v>2023</v>
      </c>
      <c r="L662" s="79" t="str">
        <f>IF(tbRegistroEntradas[[#This Row],[DATA DA COMPETÊNCIA]]="N/A","0",UPPER(TEXT(tbRegistroEntradas[[#This Row],[DATA DA COMPETÊNCIA]],"mmm")))</f>
        <v>JUN</v>
      </c>
      <c r="M662" s="79">
        <f>IF(tbRegistroEntradas[[#This Row],[DATA DA COMPETÊNCIA]]="N/A",0,YEAR(tbRegistroEntradas[[#This Row],[DATA DA COMPETÊNCIA]]))</f>
        <v>2023</v>
      </c>
      <c r="N662" s="84" t="str">
        <f>IF(tbRegistroEntradas[[#This Row],[DATA DO CAIXA PREVISTO]]="N/A","0",UPPER(TEXT(tbRegistroEntradas[[#This Row],[DATA DO CAIXA PREVISTO]],"mmm")))</f>
        <v>JUN</v>
      </c>
      <c r="O662" s="84">
        <f>IF(tbRegistroEntradas[[#This Row],[DATA DO CAIXA PREVISTO]]="N/A",0,YEAR(tbRegistroEntradas[[#This Row],[DATA DO CAIXA PREVISTO]]))</f>
        <v>2023</v>
      </c>
      <c r="P662" s="58" t="str">
        <f ca="1">IF(AND(tbRegistroEntradas[[#This Row],[DATA DE CAIXA REALIZADO]]="N/A",tbRegistroEntradas[[#This Row],[DATA DO CAIXA PREVISTO]]&lt;TODAY()),"Vencida","Não Vencida")</f>
        <v>Não Vencida</v>
      </c>
      <c r="Q662" s="58" t="str">
        <f>IF(tbRegistroEntradas[[#This Row],[DATA DA COMPETÊNCIA]]=tbRegistroEntradas[[#This Row],[DATA DO CAIXA PREVISTO]],"Vista","Prazo")</f>
        <v>Prazo</v>
      </c>
      <c r="R662" s="58" t="str">
        <f>IF(tbRegistroEntradas[[#This Row],[DATA DE CAIXA REALIZADO]]&lt;&gt;"N/A","Em Dia","Com atraso")</f>
        <v>Em Dia</v>
      </c>
    </row>
    <row r="663" spans="1:18" ht="14.4" customHeight="1" x14ac:dyDescent="0.3">
      <c r="A663" s="111">
        <v>45136</v>
      </c>
      <c r="B663" s="111">
        <f>A663-31</f>
        <v>45105</v>
      </c>
      <c r="C663" s="111">
        <f>(A663-B663)+B663-15</f>
        <v>45121</v>
      </c>
      <c r="D663" s="109" t="s">
        <v>67</v>
      </c>
      <c r="E663" s="109" t="s">
        <v>12</v>
      </c>
      <c r="F663" s="109" t="s">
        <v>18</v>
      </c>
      <c r="G663" s="109" t="s">
        <v>739</v>
      </c>
      <c r="H663" s="52" t="s">
        <v>70</v>
      </c>
      <c r="I663" s="118">
        <v>6934</v>
      </c>
      <c r="J663" s="110" t="str">
        <f>IF(tbRegistroEntradas[[#This Row],[DATA DE CAIXA REALIZADO]]="N/A","0",UPPER(TEXT(tbRegistroEntradas[[#This Row],[DATA DE CAIXA REALIZADO]],"mmm")))</f>
        <v>JUL</v>
      </c>
      <c r="K663" s="57">
        <f>IF(tbRegistroEntradas[[#This Row],[DATA DE CAIXA REALIZADO]]="N/A",0,YEAR(tbRegistroEntradas[[#This Row],[DATA DE CAIXA REALIZADO]]))</f>
        <v>2023</v>
      </c>
      <c r="L663" s="58" t="str">
        <f>IF(tbRegistroEntradas[[#This Row],[DATA DA COMPETÊNCIA]]="N/A","0",UPPER(TEXT(tbRegistroEntradas[[#This Row],[DATA DA COMPETÊNCIA]],"mmm")))</f>
        <v>JUN</v>
      </c>
      <c r="M663" s="58">
        <f>IF(tbRegistroEntradas[[#This Row],[DATA DA COMPETÊNCIA]]="N/A",0,YEAR(tbRegistroEntradas[[#This Row],[DATA DA COMPETÊNCIA]]))</f>
        <v>2023</v>
      </c>
      <c r="N663" s="58" t="str">
        <f>IF(tbRegistroEntradas[[#This Row],[DATA DO CAIXA PREVISTO]]="N/A","0",UPPER(TEXT(tbRegistroEntradas[[#This Row],[DATA DO CAIXA PREVISTO]],"mmm")))</f>
        <v>JUL</v>
      </c>
      <c r="O663" s="58">
        <f>IF(tbRegistroEntradas[[#This Row],[DATA DO CAIXA PREVISTO]]="N/A",0,YEAR(tbRegistroEntradas[[#This Row],[DATA DO CAIXA PREVISTO]]))</f>
        <v>2023</v>
      </c>
      <c r="P663" s="58" t="str">
        <f ca="1">IF(AND(tbRegistroEntradas[[#This Row],[DATA DE CAIXA REALIZADO]]="N/A",tbRegistroEntradas[[#This Row],[DATA DO CAIXA PREVISTO]]&lt;TODAY()),"Vencida","Não Vencida")</f>
        <v>Não Vencida</v>
      </c>
      <c r="Q663" s="58" t="str">
        <f>IF(tbRegistroEntradas[[#This Row],[DATA DA COMPETÊNCIA]]=tbRegistroEntradas[[#This Row],[DATA DO CAIXA PREVISTO]],"Vista","Prazo")</f>
        <v>Prazo</v>
      </c>
      <c r="R663" s="58" t="str">
        <f>IF(tbRegistroEntradas[[#This Row],[DATA DE CAIXA REALIZADO]]&lt;&gt;"N/A","Em Dia","Com atraso")</f>
        <v>Em Dia</v>
      </c>
    </row>
    <row r="664" spans="1:18" ht="14.4" customHeight="1" x14ac:dyDescent="0.3">
      <c r="A664" s="43" t="s">
        <v>141</v>
      </c>
      <c r="B664" s="44">
        <v>45105</v>
      </c>
      <c r="C664" s="44">
        <v>45123.268599537034</v>
      </c>
      <c r="D664" s="35" t="s">
        <v>61</v>
      </c>
      <c r="E664" s="35" t="s">
        <v>12</v>
      </c>
      <c r="F664" s="35" t="s">
        <v>19</v>
      </c>
      <c r="G664" s="35" t="s">
        <v>370</v>
      </c>
      <c r="H664" s="143" t="s">
        <v>85</v>
      </c>
      <c r="I664" s="122">
        <v>1479</v>
      </c>
      <c r="J664" s="55" t="str">
        <f>IF(tbRegistroEntradas[[#This Row],[DATA DE CAIXA REALIZADO]]="N/A","0",UPPER(TEXT(tbRegistroEntradas[[#This Row],[DATA DE CAIXA REALIZADO]],"mmm")))</f>
        <v>0</v>
      </c>
      <c r="K664" s="58">
        <f>IF(tbRegistroEntradas[[#This Row],[DATA DE CAIXA REALIZADO]]="N/A",0,YEAR(tbRegistroEntradas[[#This Row],[DATA DE CAIXA REALIZADO]]))</f>
        <v>0</v>
      </c>
      <c r="L664" s="79" t="str">
        <f>IF(tbRegistroEntradas[[#This Row],[DATA DA COMPETÊNCIA]]="N/A","0",UPPER(TEXT(tbRegistroEntradas[[#This Row],[DATA DA COMPETÊNCIA]],"mmm")))</f>
        <v>JUN</v>
      </c>
      <c r="M664" s="79">
        <f>IF(tbRegistroEntradas[[#This Row],[DATA DA COMPETÊNCIA]]="N/A",0,YEAR(tbRegistroEntradas[[#This Row],[DATA DA COMPETÊNCIA]]))</f>
        <v>2023</v>
      </c>
      <c r="N664" s="84" t="str">
        <f>IF(tbRegistroEntradas[[#This Row],[DATA DO CAIXA PREVISTO]]="N/A","0",UPPER(TEXT(tbRegistroEntradas[[#This Row],[DATA DO CAIXA PREVISTO]],"mmm")))</f>
        <v>JUL</v>
      </c>
      <c r="O664" s="84">
        <f>IF(tbRegistroEntradas[[#This Row],[DATA DO CAIXA PREVISTO]]="N/A",0,YEAR(tbRegistroEntradas[[#This Row],[DATA DO CAIXA PREVISTO]]))</f>
        <v>2023</v>
      </c>
      <c r="P664" s="58" t="str">
        <f ca="1">IF(AND(tbRegistroEntradas[[#This Row],[DATA DE CAIXA REALIZADO]]="N/A",tbRegistroEntradas[[#This Row],[DATA DO CAIXA PREVISTO]]&lt;TODAY()),"Vencida","Não Vencida")</f>
        <v>Vencida</v>
      </c>
      <c r="Q664" s="58" t="str">
        <f>IF(tbRegistroEntradas[[#This Row],[DATA DA COMPETÊNCIA]]=tbRegistroEntradas[[#This Row],[DATA DO CAIXA PREVISTO]],"Vista","Prazo")</f>
        <v>Prazo</v>
      </c>
      <c r="R664" s="58" t="str">
        <f>IF(tbRegistroEntradas[[#This Row],[DATA DE CAIXA REALIZADO]]&lt;&gt;"N/A","Em Dia","Com atraso")</f>
        <v>Com atraso</v>
      </c>
    </row>
    <row r="665" spans="1:18" ht="14.4" customHeight="1" x14ac:dyDescent="0.3">
      <c r="A665" s="40">
        <v>45188.356747685182</v>
      </c>
      <c r="B665" s="41">
        <v>45106</v>
      </c>
      <c r="C665" s="41">
        <v>45108.814513888887</v>
      </c>
      <c r="D665" s="42" t="s">
        <v>67</v>
      </c>
      <c r="E665" s="42" t="s">
        <v>12</v>
      </c>
      <c r="F665" s="42" t="s">
        <v>19</v>
      </c>
      <c r="G665" s="42" t="s">
        <v>371</v>
      </c>
      <c r="H665" s="52" t="s">
        <v>129</v>
      </c>
      <c r="I665" s="121">
        <v>3446</v>
      </c>
      <c r="J665" s="55" t="str">
        <f>IF(tbRegistroEntradas[[#This Row],[DATA DE CAIXA REALIZADO]]="N/A","0",UPPER(TEXT(tbRegistroEntradas[[#This Row],[DATA DE CAIXA REALIZADO]],"mmm")))</f>
        <v>SET</v>
      </c>
      <c r="K665" s="58">
        <f>IF(tbRegistroEntradas[[#This Row],[DATA DE CAIXA REALIZADO]]="N/A",0,YEAR(tbRegistroEntradas[[#This Row],[DATA DE CAIXA REALIZADO]]))</f>
        <v>2023</v>
      </c>
      <c r="L665" s="79" t="str">
        <f>IF(tbRegistroEntradas[[#This Row],[DATA DA COMPETÊNCIA]]="N/A","0",UPPER(TEXT(tbRegistroEntradas[[#This Row],[DATA DA COMPETÊNCIA]],"mmm")))</f>
        <v>JUN</v>
      </c>
      <c r="M665" s="79">
        <f>IF(tbRegistroEntradas[[#This Row],[DATA DA COMPETÊNCIA]]="N/A",0,YEAR(tbRegistroEntradas[[#This Row],[DATA DA COMPETÊNCIA]]))</f>
        <v>2023</v>
      </c>
      <c r="N665" s="84" t="str">
        <f>IF(tbRegistroEntradas[[#This Row],[DATA DO CAIXA PREVISTO]]="N/A","0",UPPER(TEXT(tbRegistroEntradas[[#This Row],[DATA DO CAIXA PREVISTO]],"mmm")))</f>
        <v>JUL</v>
      </c>
      <c r="O665" s="84">
        <f>IF(tbRegistroEntradas[[#This Row],[DATA DO CAIXA PREVISTO]]="N/A",0,YEAR(tbRegistroEntradas[[#This Row],[DATA DO CAIXA PREVISTO]]))</f>
        <v>2023</v>
      </c>
      <c r="P665" s="58" t="str">
        <f ca="1">IF(AND(tbRegistroEntradas[[#This Row],[DATA DE CAIXA REALIZADO]]="N/A",tbRegistroEntradas[[#This Row],[DATA DO CAIXA PREVISTO]]&lt;TODAY()),"Vencida","Não Vencida")</f>
        <v>Não Vencida</v>
      </c>
      <c r="Q665" s="58" t="str">
        <f>IF(tbRegistroEntradas[[#This Row],[DATA DA COMPETÊNCIA]]=tbRegistroEntradas[[#This Row],[DATA DO CAIXA PREVISTO]],"Vista","Prazo")</f>
        <v>Prazo</v>
      </c>
      <c r="R665" s="58" t="str">
        <f>IF(tbRegistroEntradas[[#This Row],[DATA DE CAIXA REALIZADO]]&lt;&gt;"N/A","Em Dia","Com atraso")</f>
        <v>Em Dia</v>
      </c>
    </row>
    <row r="666" spans="1:18" ht="14.4" customHeight="1" x14ac:dyDescent="0.3">
      <c r="A666" s="111">
        <v>45137</v>
      </c>
      <c r="B666" s="111">
        <f>A666-31</f>
        <v>45106</v>
      </c>
      <c r="C666" s="111">
        <f>(A666-B666)+B666-15</f>
        <v>45122</v>
      </c>
      <c r="D666" s="109" t="s">
        <v>66</v>
      </c>
      <c r="E666" s="109" t="s">
        <v>12</v>
      </c>
      <c r="F666" s="109" t="s">
        <v>17</v>
      </c>
      <c r="G666" s="109" t="s">
        <v>190</v>
      </c>
      <c r="H666" s="52" t="s">
        <v>90</v>
      </c>
      <c r="I666" s="118">
        <v>6194</v>
      </c>
      <c r="J666" s="110" t="str">
        <f>IF(tbRegistroEntradas[[#This Row],[DATA DE CAIXA REALIZADO]]="N/A","0",UPPER(TEXT(tbRegistroEntradas[[#This Row],[DATA DE CAIXA REALIZADO]],"mmm")))</f>
        <v>JUL</v>
      </c>
      <c r="K666" s="57">
        <f>IF(tbRegistroEntradas[[#This Row],[DATA DE CAIXA REALIZADO]]="N/A",0,YEAR(tbRegistroEntradas[[#This Row],[DATA DE CAIXA REALIZADO]]))</f>
        <v>2023</v>
      </c>
      <c r="L666" s="58" t="str">
        <f>IF(tbRegistroEntradas[[#This Row],[DATA DA COMPETÊNCIA]]="N/A","0",UPPER(TEXT(tbRegistroEntradas[[#This Row],[DATA DA COMPETÊNCIA]],"mmm")))</f>
        <v>JUN</v>
      </c>
      <c r="M666" s="58">
        <f>IF(tbRegistroEntradas[[#This Row],[DATA DA COMPETÊNCIA]]="N/A",0,YEAR(tbRegistroEntradas[[#This Row],[DATA DA COMPETÊNCIA]]))</f>
        <v>2023</v>
      </c>
      <c r="N666" s="58" t="str">
        <f>IF(tbRegistroEntradas[[#This Row],[DATA DO CAIXA PREVISTO]]="N/A","0",UPPER(TEXT(tbRegistroEntradas[[#This Row],[DATA DO CAIXA PREVISTO]],"mmm")))</f>
        <v>JUL</v>
      </c>
      <c r="O666" s="58">
        <f>IF(tbRegistroEntradas[[#This Row],[DATA DO CAIXA PREVISTO]]="N/A",0,YEAR(tbRegistroEntradas[[#This Row],[DATA DO CAIXA PREVISTO]]))</f>
        <v>2023</v>
      </c>
      <c r="P666" s="58" t="str">
        <f ca="1">IF(AND(tbRegistroEntradas[[#This Row],[DATA DE CAIXA REALIZADO]]="N/A",tbRegistroEntradas[[#This Row],[DATA DO CAIXA PREVISTO]]&lt;TODAY()),"Vencida","Não Vencida")</f>
        <v>Não Vencida</v>
      </c>
      <c r="Q666" s="58" t="str">
        <f>IF(tbRegistroEntradas[[#This Row],[DATA DA COMPETÊNCIA]]=tbRegistroEntradas[[#This Row],[DATA DO CAIXA PREVISTO]],"Vista","Prazo")</f>
        <v>Prazo</v>
      </c>
      <c r="R666" s="58" t="str">
        <f>IF(tbRegistroEntradas[[#This Row],[DATA DE CAIXA REALIZADO]]&lt;&gt;"N/A","Em Dia","Com atraso")</f>
        <v>Em Dia</v>
      </c>
    </row>
    <row r="667" spans="1:18" ht="14.4" customHeight="1" x14ac:dyDescent="0.3">
      <c r="A667" s="111">
        <v>45138</v>
      </c>
      <c r="B667" s="111">
        <f>A667-31</f>
        <v>45107</v>
      </c>
      <c r="C667" s="111">
        <f>tbRegistroEntradas[[#This Row],[DATA DA COMPETÊNCIA]]</f>
        <v>45107</v>
      </c>
      <c r="D667" s="109" t="s">
        <v>65</v>
      </c>
      <c r="E667" s="109" t="s">
        <v>12</v>
      </c>
      <c r="F667" s="109" t="s">
        <v>32</v>
      </c>
      <c r="G667" s="109" t="s">
        <v>780</v>
      </c>
      <c r="H667" s="52" t="s">
        <v>117</v>
      </c>
      <c r="I667" s="118">
        <v>6142</v>
      </c>
      <c r="J667" s="110" t="str">
        <f>IF(tbRegistroEntradas[[#This Row],[DATA DE CAIXA REALIZADO]]="N/A","0",UPPER(TEXT(tbRegistroEntradas[[#This Row],[DATA DE CAIXA REALIZADO]],"mmm")))</f>
        <v>JUL</v>
      </c>
      <c r="K667" s="57">
        <f>IF(tbRegistroEntradas[[#This Row],[DATA DE CAIXA REALIZADO]]="N/A",0,YEAR(tbRegistroEntradas[[#This Row],[DATA DE CAIXA REALIZADO]]))</f>
        <v>2023</v>
      </c>
      <c r="L667" s="58" t="str">
        <f>IF(tbRegistroEntradas[[#This Row],[DATA DA COMPETÊNCIA]]="N/A","0",UPPER(TEXT(tbRegistroEntradas[[#This Row],[DATA DA COMPETÊNCIA]],"mmm")))</f>
        <v>JUN</v>
      </c>
      <c r="M667" s="58">
        <f>IF(tbRegistroEntradas[[#This Row],[DATA DA COMPETÊNCIA]]="N/A",0,YEAR(tbRegistroEntradas[[#This Row],[DATA DA COMPETÊNCIA]]))</f>
        <v>2023</v>
      </c>
      <c r="N667" s="58" t="str">
        <f>IF(tbRegistroEntradas[[#This Row],[DATA DO CAIXA PREVISTO]]="N/A","0",UPPER(TEXT(tbRegistroEntradas[[#This Row],[DATA DO CAIXA PREVISTO]],"mmm")))</f>
        <v>JUN</v>
      </c>
      <c r="O667" s="58">
        <f>IF(tbRegistroEntradas[[#This Row],[DATA DO CAIXA PREVISTO]]="N/A",0,YEAR(tbRegistroEntradas[[#This Row],[DATA DO CAIXA PREVISTO]]))</f>
        <v>2023</v>
      </c>
      <c r="P667" s="58" t="str">
        <f ca="1">IF(AND(tbRegistroEntradas[[#This Row],[DATA DE CAIXA REALIZADO]]="N/A",tbRegistroEntradas[[#This Row],[DATA DO CAIXA PREVISTO]]&lt;TODAY()),"Vencida","Não Vencida")</f>
        <v>Não Vencida</v>
      </c>
      <c r="Q667" s="58" t="str">
        <f>IF(tbRegistroEntradas[[#This Row],[DATA DA COMPETÊNCIA]]=tbRegistroEntradas[[#This Row],[DATA DO CAIXA PREVISTO]],"Vista","Prazo")</f>
        <v>Vista</v>
      </c>
      <c r="R667" s="58" t="str">
        <f>IF(tbRegistroEntradas[[#This Row],[DATA DE CAIXA REALIZADO]]&lt;&gt;"N/A","Em Dia","Com atraso")</f>
        <v>Em Dia</v>
      </c>
    </row>
    <row r="668" spans="1:18" ht="14.4" customHeight="1" x14ac:dyDescent="0.3">
      <c r="A668" s="111">
        <v>45138</v>
      </c>
      <c r="B668" s="111">
        <f>A668-31</f>
        <v>45107</v>
      </c>
      <c r="C668" s="111">
        <f>tbRegistroEntradas[[#This Row],[DATA DA COMPETÊNCIA]]</f>
        <v>45107</v>
      </c>
      <c r="D668" s="109" t="s">
        <v>65</v>
      </c>
      <c r="E668" s="109" t="s">
        <v>12</v>
      </c>
      <c r="F668" s="109" t="s">
        <v>17</v>
      </c>
      <c r="G668" s="109" t="s">
        <v>806</v>
      </c>
      <c r="H668" s="52" t="s">
        <v>116</v>
      </c>
      <c r="I668" s="118">
        <v>827</v>
      </c>
      <c r="J668" s="110" t="str">
        <f>IF(tbRegistroEntradas[[#This Row],[DATA DE CAIXA REALIZADO]]="N/A","0",UPPER(TEXT(tbRegistroEntradas[[#This Row],[DATA DE CAIXA REALIZADO]],"mmm")))</f>
        <v>JUL</v>
      </c>
      <c r="K668" s="57">
        <f>IF(tbRegistroEntradas[[#This Row],[DATA DE CAIXA REALIZADO]]="N/A",0,YEAR(tbRegistroEntradas[[#This Row],[DATA DE CAIXA REALIZADO]]))</f>
        <v>2023</v>
      </c>
      <c r="L668" s="58" t="str">
        <f>IF(tbRegistroEntradas[[#This Row],[DATA DA COMPETÊNCIA]]="N/A","0",UPPER(TEXT(tbRegistroEntradas[[#This Row],[DATA DA COMPETÊNCIA]],"mmm")))</f>
        <v>JUN</v>
      </c>
      <c r="M668" s="58">
        <f>IF(tbRegistroEntradas[[#This Row],[DATA DA COMPETÊNCIA]]="N/A",0,YEAR(tbRegistroEntradas[[#This Row],[DATA DA COMPETÊNCIA]]))</f>
        <v>2023</v>
      </c>
      <c r="N668" s="58" t="str">
        <f>IF(tbRegistroEntradas[[#This Row],[DATA DO CAIXA PREVISTO]]="N/A","0",UPPER(TEXT(tbRegistroEntradas[[#This Row],[DATA DO CAIXA PREVISTO]],"mmm")))</f>
        <v>JUN</v>
      </c>
      <c r="O668" s="58">
        <f>IF(tbRegistroEntradas[[#This Row],[DATA DO CAIXA PREVISTO]]="N/A",0,YEAR(tbRegistroEntradas[[#This Row],[DATA DO CAIXA PREVISTO]]))</f>
        <v>2023</v>
      </c>
      <c r="P668" s="58" t="str">
        <f ca="1">IF(AND(tbRegistroEntradas[[#This Row],[DATA DE CAIXA REALIZADO]]="N/A",tbRegistroEntradas[[#This Row],[DATA DO CAIXA PREVISTO]]&lt;TODAY()),"Vencida","Não Vencida")</f>
        <v>Não Vencida</v>
      </c>
      <c r="Q668" s="58" t="str">
        <f>IF(tbRegistroEntradas[[#This Row],[DATA DA COMPETÊNCIA]]=tbRegistroEntradas[[#This Row],[DATA DO CAIXA PREVISTO]],"Vista","Prazo")</f>
        <v>Vista</v>
      </c>
      <c r="R668" s="58" t="str">
        <f>IF(tbRegistroEntradas[[#This Row],[DATA DE CAIXA REALIZADO]]&lt;&gt;"N/A","Em Dia","Com atraso")</f>
        <v>Em Dia</v>
      </c>
    </row>
    <row r="669" spans="1:18" ht="14.4" customHeight="1" x14ac:dyDescent="0.3">
      <c r="A669" s="40">
        <v>45189</v>
      </c>
      <c r="B669" s="41">
        <v>45107</v>
      </c>
      <c r="C669" s="41">
        <v>45109</v>
      </c>
      <c r="D669" s="42" t="s">
        <v>61</v>
      </c>
      <c r="E669" s="42" t="s">
        <v>12</v>
      </c>
      <c r="F669" s="42" t="s">
        <v>20</v>
      </c>
      <c r="G669" s="42" t="s">
        <v>372</v>
      </c>
      <c r="H669" s="110" t="s">
        <v>82</v>
      </c>
      <c r="I669" s="121">
        <v>700</v>
      </c>
      <c r="J669" s="55" t="str">
        <f>IF(tbRegistroEntradas[[#This Row],[DATA DE CAIXA REALIZADO]]="N/A","0",UPPER(TEXT(tbRegistroEntradas[[#This Row],[DATA DE CAIXA REALIZADO]],"mmm")))</f>
        <v>SET</v>
      </c>
      <c r="K669" s="58">
        <f>IF(tbRegistroEntradas[[#This Row],[DATA DE CAIXA REALIZADO]]="N/A",0,YEAR(tbRegistroEntradas[[#This Row],[DATA DE CAIXA REALIZADO]]))</f>
        <v>2023</v>
      </c>
      <c r="L669" s="79" t="str">
        <f>IF(tbRegistroEntradas[[#This Row],[DATA DA COMPETÊNCIA]]="N/A","0",UPPER(TEXT(tbRegistroEntradas[[#This Row],[DATA DA COMPETÊNCIA]],"mmm")))</f>
        <v>JUN</v>
      </c>
      <c r="M669" s="79">
        <f>IF(tbRegistroEntradas[[#This Row],[DATA DA COMPETÊNCIA]]="N/A",0,YEAR(tbRegistroEntradas[[#This Row],[DATA DA COMPETÊNCIA]]))</f>
        <v>2023</v>
      </c>
      <c r="N669" s="84" t="str">
        <f>IF(tbRegistroEntradas[[#This Row],[DATA DO CAIXA PREVISTO]]="N/A","0",UPPER(TEXT(tbRegistroEntradas[[#This Row],[DATA DO CAIXA PREVISTO]],"mmm")))</f>
        <v>JUL</v>
      </c>
      <c r="O669" s="84">
        <f>IF(tbRegistroEntradas[[#This Row],[DATA DO CAIXA PREVISTO]]="N/A",0,YEAR(tbRegistroEntradas[[#This Row],[DATA DO CAIXA PREVISTO]]))</f>
        <v>2023</v>
      </c>
      <c r="P669" s="58" t="str">
        <f ca="1">IF(AND(tbRegistroEntradas[[#This Row],[DATA DE CAIXA REALIZADO]]="N/A",tbRegistroEntradas[[#This Row],[DATA DO CAIXA PREVISTO]]&lt;TODAY()),"Vencida","Não Vencida")</f>
        <v>Não Vencida</v>
      </c>
      <c r="Q669" s="58" t="str">
        <f>IF(tbRegistroEntradas[[#This Row],[DATA DA COMPETÊNCIA]]=tbRegistroEntradas[[#This Row],[DATA DO CAIXA PREVISTO]],"Vista","Prazo")</f>
        <v>Prazo</v>
      </c>
      <c r="R669" s="58" t="str">
        <f>IF(tbRegistroEntradas[[#This Row],[DATA DE CAIXA REALIZADO]]&lt;&gt;"N/A","Em Dia","Com atraso")</f>
        <v>Em Dia</v>
      </c>
    </row>
    <row r="670" spans="1:18" ht="14.4" customHeight="1" x14ac:dyDescent="0.3">
      <c r="A670" s="111">
        <v>45141</v>
      </c>
      <c r="B670" s="111">
        <f>A670-31</f>
        <v>45110</v>
      </c>
      <c r="C670" s="111">
        <f>(A670-B670)+B670-15</f>
        <v>45126</v>
      </c>
      <c r="D670" s="109" t="s">
        <v>137</v>
      </c>
      <c r="E670" s="109" t="s">
        <v>12</v>
      </c>
      <c r="F670" s="109" t="s">
        <v>16</v>
      </c>
      <c r="G670" s="109" t="s">
        <v>847</v>
      </c>
      <c r="H670" s="52" t="s">
        <v>73</v>
      </c>
      <c r="I670" s="118">
        <v>5795</v>
      </c>
      <c r="J670" s="110" t="str">
        <f>IF(tbRegistroEntradas[[#This Row],[DATA DE CAIXA REALIZADO]]="N/A","0",UPPER(TEXT(tbRegistroEntradas[[#This Row],[DATA DE CAIXA REALIZADO]],"mmm")))</f>
        <v>AGO</v>
      </c>
      <c r="K670" s="57">
        <f>IF(tbRegistroEntradas[[#This Row],[DATA DE CAIXA REALIZADO]]="N/A",0,YEAR(tbRegistroEntradas[[#This Row],[DATA DE CAIXA REALIZADO]]))</f>
        <v>2023</v>
      </c>
      <c r="L670" s="58" t="str">
        <f>IF(tbRegistroEntradas[[#This Row],[DATA DA COMPETÊNCIA]]="N/A","0",UPPER(TEXT(tbRegistroEntradas[[#This Row],[DATA DA COMPETÊNCIA]],"mmm")))</f>
        <v>JUL</v>
      </c>
      <c r="M670" s="58">
        <f>IF(tbRegistroEntradas[[#This Row],[DATA DA COMPETÊNCIA]]="N/A",0,YEAR(tbRegistroEntradas[[#This Row],[DATA DA COMPETÊNCIA]]))</f>
        <v>2023</v>
      </c>
      <c r="N670" s="58" t="str">
        <f>IF(tbRegistroEntradas[[#This Row],[DATA DO CAIXA PREVISTO]]="N/A","0",UPPER(TEXT(tbRegistroEntradas[[#This Row],[DATA DO CAIXA PREVISTO]],"mmm")))</f>
        <v>JUL</v>
      </c>
      <c r="O670" s="58">
        <f>IF(tbRegistroEntradas[[#This Row],[DATA DO CAIXA PREVISTO]]="N/A",0,YEAR(tbRegistroEntradas[[#This Row],[DATA DO CAIXA PREVISTO]]))</f>
        <v>2023</v>
      </c>
      <c r="P670" s="58" t="str">
        <f ca="1">IF(AND(tbRegistroEntradas[[#This Row],[DATA DE CAIXA REALIZADO]]="N/A",tbRegistroEntradas[[#This Row],[DATA DO CAIXA PREVISTO]]&lt;TODAY()),"Vencida","Não Vencida")</f>
        <v>Não Vencida</v>
      </c>
      <c r="Q670" s="58" t="str">
        <f>IF(tbRegistroEntradas[[#This Row],[DATA DA COMPETÊNCIA]]=tbRegistroEntradas[[#This Row],[DATA DO CAIXA PREVISTO]],"Vista","Prazo")</f>
        <v>Prazo</v>
      </c>
      <c r="R670" s="58" t="str">
        <f>IF(tbRegistroEntradas[[#This Row],[DATA DE CAIXA REALIZADO]]&lt;&gt;"N/A","Em Dia","Com atraso")</f>
        <v>Em Dia</v>
      </c>
    </row>
    <row r="671" spans="1:18" ht="14.4" customHeight="1" x14ac:dyDescent="0.3">
      <c r="A671" s="111">
        <v>45141</v>
      </c>
      <c r="B671" s="111">
        <f>A671-31</f>
        <v>45110</v>
      </c>
      <c r="C671" s="111">
        <f>(A671-B671)+B671-15</f>
        <v>45126</v>
      </c>
      <c r="D671" s="109" t="s">
        <v>65</v>
      </c>
      <c r="E671" s="109" t="s">
        <v>12</v>
      </c>
      <c r="F671" s="109" t="s">
        <v>19</v>
      </c>
      <c r="G671" s="109" t="s">
        <v>1024</v>
      </c>
      <c r="H671" s="52" t="s">
        <v>118</v>
      </c>
      <c r="I671" s="118">
        <v>2236</v>
      </c>
      <c r="J671" s="110" t="str">
        <f>IF(tbRegistroEntradas[[#This Row],[DATA DE CAIXA REALIZADO]]="N/A","0",UPPER(TEXT(tbRegistroEntradas[[#This Row],[DATA DE CAIXA REALIZADO]],"mmm")))</f>
        <v>AGO</v>
      </c>
      <c r="K671" s="57">
        <f>IF(tbRegistroEntradas[[#This Row],[DATA DE CAIXA REALIZADO]]="N/A",0,YEAR(tbRegistroEntradas[[#This Row],[DATA DE CAIXA REALIZADO]]))</f>
        <v>2023</v>
      </c>
      <c r="L671" s="58" t="str">
        <f>IF(tbRegistroEntradas[[#This Row],[DATA DA COMPETÊNCIA]]="N/A","0",UPPER(TEXT(tbRegistroEntradas[[#This Row],[DATA DA COMPETÊNCIA]],"mmm")))</f>
        <v>JUL</v>
      </c>
      <c r="M671" s="58">
        <f>IF(tbRegistroEntradas[[#This Row],[DATA DA COMPETÊNCIA]]="N/A",0,YEAR(tbRegistroEntradas[[#This Row],[DATA DA COMPETÊNCIA]]))</f>
        <v>2023</v>
      </c>
      <c r="N671" s="58" t="str">
        <f>IF(tbRegistroEntradas[[#This Row],[DATA DO CAIXA PREVISTO]]="N/A","0",UPPER(TEXT(tbRegistroEntradas[[#This Row],[DATA DO CAIXA PREVISTO]],"mmm")))</f>
        <v>JUL</v>
      </c>
      <c r="O671" s="58">
        <f>IF(tbRegistroEntradas[[#This Row],[DATA DO CAIXA PREVISTO]]="N/A",0,YEAR(tbRegistroEntradas[[#This Row],[DATA DO CAIXA PREVISTO]]))</f>
        <v>2023</v>
      </c>
      <c r="P671" s="58" t="str">
        <f ca="1">IF(AND(tbRegistroEntradas[[#This Row],[DATA DE CAIXA REALIZADO]]="N/A",tbRegistroEntradas[[#This Row],[DATA DO CAIXA PREVISTO]]&lt;TODAY()),"Vencida","Não Vencida")</f>
        <v>Não Vencida</v>
      </c>
      <c r="Q671" s="58" t="str">
        <f>IF(tbRegistroEntradas[[#This Row],[DATA DA COMPETÊNCIA]]=tbRegistroEntradas[[#This Row],[DATA DO CAIXA PREVISTO]],"Vista","Prazo")</f>
        <v>Prazo</v>
      </c>
      <c r="R671" s="58" t="str">
        <f>IF(tbRegistroEntradas[[#This Row],[DATA DE CAIXA REALIZADO]]&lt;&gt;"N/A","Em Dia","Com atraso")</f>
        <v>Em Dia</v>
      </c>
    </row>
    <row r="672" spans="1:18" ht="14.4" customHeight="1" x14ac:dyDescent="0.3">
      <c r="A672" s="111">
        <v>45143</v>
      </c>
      <c r="B672" s="111">
        <f>A672-31</f>
        <v>45112</v>
      </c>
      <c r="C672" s="111">
        <f>(A672-B672)+B672-15</f>
        <v>45128</v>
      </c>
      <c r="D672" s="109" t="s">
        <v>137</v>
      </c>
      <c r="E672" s="109" t="s">
        <v>12</v>
      </c>
      <c r="F672" s="109" t="s">
        <v>18</v>
      </c>
      <c r="G672" s="109" t="s">
        <v>768</v>
      </c>
      <c r="H672" s="52" t="s">
        <v>105</v>
      </c>
      <c r="I672" s="118">
        <v>2726</v>
      </c>
      <c r="J672" s="110" t="str">
        <f>IF(tbRegistroEntradas[[#This Row],[DATA DE CAIXA REALIZADO]]="N/A","0",UPPER(TEXT(tbRegistroEntradas[[#This Row],[DATA DE CAIXA REALIZADO]],"mmm")))</f>
        <v>AGO</v>
      </c>
      <c r="K672" s="57">
        <f>IF(tbRegistroEntradas[[#This Row],[DATA DE CAIXA REALIZADO]]="N/A",0,YEAR(tbRegistroEntradas[[#This Row],[DATA DE CAIXA REALIZADO]]))</f>
        <v>2023</v>
      </c>
      <c r="L672" s="58" t="str">
        <f>IF(tbRegistroEntradas[[#This Row],[DATA DA COMPETÊNCIA]]="N/A","0",UPPER(TEXT(tbRegistroEntradas[[#This Row],[DATA DA COMPETÊNCIA]],"mmm")))</f>
        <v>JUL</v>
      </c>
      <c r="M672" s="58">
        <f>IF(tbRegistroEntradas[[#This Row],[DATA DA COMPETÊNCIA]]="N/A",0,YEAR(tbRegistroEntradas[[#This Row],[DATA DA COMPETÊNCIA]]))</f>
        <v>2023</v>
      </c>
      <c r="N672" s="58" t="str">
        <f>IF(tbRegistroEntradas[[#This Row],[DATA DO CAIXA PREVISTO]]="N/A","0",UPPER(TEXT(tbRegistroEntradas[[#This Row],[DATA DO CAIXA PREVISTO]],"mmm")))</f>
        <v>JUL</v>
      </c>
      <c r="O672" s="58">
        <f>IF(tbRegistroEntradas[[#This Row],[DATA DO CAIXA PREVISTO]]="N/A",0,YEAR(tbRegistroEntradas[[#This Row],[DATA DO CAIXA PREVISTO]]))</f>
        <v>2023</v>
      </c>
      <c r="P672" s="58" t="str">
        <f ca="1">IF(AND(tbRegistroEntradas[[#This Row],[DATA DE CAIXA REALIZADO]]="N/A",tbRegistroEntradas[[#This Row],[DATA DO CAIXA PREVISTO]]&lt;TODAY()),"Vencida","Não Vencida")</f>
        <v>Não Vencida</v>
      </c>
      <c r="Q672" s="58" t="str">
        <f>IF(tbRegistroEntradas[[#This Row],[DATA DA COMPETÊNCIA]]=tbRegistroEntradas[[#This Row],[DATA DO CAIXA PREVISTO]],"Vista","Prazo")</f>
        <v>Prazo</v>
      </c>
      <c r="R672" s="58" t="str">
        <f>IF(tbRegistroEntradas[[#This Row],[DATA DE CAIXA REALIZADO]]&lt;&gt;"N/A","Em Dia","Com atraso")</f>
        <v>Em Dia</v>
      </c>
    </row>
    <row r="673" spans="1:18" ht="14.4" customHeight="1" x14ac:dyDescent="0.3">
      <c r="A673" s="111">
        <v>45146</v>
      </c>
      <c r="B673" s="111">
        <f>A673-31</f>
        <v>45115</v>
      </c>
      <c r="C673" s="111">
        <f>(A673-B673)+B673-15</f>
        <v>45131</v>
      </c>
      <c r="D673" s="109" t="s">
        <v>65</v>
      </c>
      <c r="E673" s="109" t="s">
        <v>12</v>
      </c>
      <c r="F673" s="109" t="s">
        <v>17</v>
      </c>
      <c r="G673" s="109" t="s">
        <v>1029</v>
      </c>
      <c r="H673" s="52" t="s">
        <v>89</v>
      </c>
      <c r="I673" s="118">
        <v>5176</v>
      </c>
      <c r="J673" s="110" t="str">
        <f>IF(tbRegistroEntradas[[#This Row],[DATA DE CAIXA REALIZADO]]="N/A","0",UPPER(TEXT(tbRegistroEntradas[[#This Row],[DATA DE CAIXA REALIZADO]],"mmm")))</f>
        <v>AGO</v>
      </c>
      <c r="K673" s="57">
        <f>IF(tbRegistroEntradas[[#This Row],[DATA DE CAIXA REALIZADO]]="N/A",0,YEAR(tbRegistroEntradas[[#This Row],[DATA DE CAIXA REALIZADO]]))</f>
        <v>2023</v>
      </c>
      <c r="L673" s="58" t="str">
        <f>IF(tbRegistroEntradas[[#This Row],[DATA DA COMPETÊNCIA]]="N/A","0",UPPER(TEXT(tbRegistroEntradas[[#This Row],[DATA DA COMPETÊNCIA]],"mmm")))</f>
        <v>JUL</v>
      </c>
      <c r="M673" s="58">
        <f>IF(tbRegistroEntradas[[#This Row],[DATA DA COMPETÊNCIA]]="N/A",0,YEAR(tbRegistroEntradas[[#This Row],[DATA DA COMPETÊNCIA]]))</f>
        <v>2023</v>
      </c>
      <c r="N673" s="58" t="str">
        <f>IF(tbRegistroEntradas[[#This Row],[DATA DO CAIXA PREVISTO]]="N/A","0",UPPER(TEXT(tbRegistroEntradas[[#This Row],[DATA DO CAIXA PREVISTO]],"mmm")))</f>
        <v>JUL</v>
      </c>
      <c r="O673" s="58">
        <f>IF(tbRegistroEntradas[[#This Row],[DATA DO CAIXA PREVISTO]]="N/A",0,YEAR(tbRegistroEntradas[[#This Row],[DATA DO CAIXA PREVISTO]]))</f>
        <v>2023</v>
      </c>
      <c r="P673" s="58" t="str">
        <f ca="1">IF(AND(tbRegistroEntradas[[#This Row],[DATA DE CAIXA REALIZADO]]="N/A",tbRegistroEntradas[[#This Row],[DATA DO CAIXA PREVISTO]]&lt;TODAY()),"Vencida","Não Vencida")</f>
        <v>Não Vencida</v>
      </c>
      <c r="Q673" s="58" t="str">
        <f>IF(tbRegistroEntradas[[#This Row],[DATA DA COMPETÊNCIA]]=tbRegistroEntradas[[#This Row],[DATA DO CAIXA PREVISTO]],"Vista","Prazo")</f>
        <v>Prazo</v>
      </c>
      <c r="R673" s="58" t="str">
        <f>IF(tbRegistroEntradas[[#This Row],[DATA DE CAIXA REALIZADO]]&lt;&gt;"N/A","Em Dia","Com atraso")</f>
        <v>Em Dia</v>
      </c>
    </row>
    <row r="674" spans="1:18" ht="14.4" customHeight="1" x14ac:dyDescent="0.3">
      <c r="A674" s="111">
        <v>45147</v>
      </c>
      <c r="B674" s="111">
        <f>A674-31</f>
        <v>45116</v>
      </c>
      <c r="C674" s="111">
        <f>(A674-B674)+B674-15</f>
        <v>45132</v>
      </c>
      <c r="D674" s="109" t="s">
        <v>63</v>
      </c>
      <c r="E674" s="109" t="s">
        <v>12</v>
      </c>
      <c r="F674" s="109" t="s">
        <v>32</v>
      </c>
      <c r="G674" s="109" t="s">
        <v>805</v>
      </c>
      <c r="H674" s="52" t="s">
        <v>103</v>
      </c>
      <c r="I674" s="118">
        <v>7525</v>
      </c>
      <c r="J674" s="110" t="str">
        <f>IF(tbRegistroEntradas[[#This Row],[DATA DE CAIXA REALIZADO]]="N/A","0",UPPER(TEXT(tbRegistroEntradas[[#This Row],[DATA DE CAIXA REALIZADO]],"mmm")))</f>
        <v>AGO</v>
      </c>
      <c r="K674" s="57">
        <f>IF(tbRegistroEntradas[[#This Row],[DATA DE CAIXA REALIZADO]]="N/A",0,YEAR(tbRegistroEntradas[[#This Row],[DATA DE CAIXA REALIZADO]]))</f>
        <v>2023</v>
      </c>
      <c r="L674" s="58" t="str">
        <f>IF(tbRegistroEntradas[[#This Row],[DATA DA COMPETÊNCIA]]="N/A","0",UPPER(TEXT(tbRegistroEntradas[[#This Row],[DATA DA COMPETÊNCIA]],"mmm")))</f>
        <v>JUL</v>
      </c>
      <c r="M674" s="58">
        <f>IF(tbRegistroEntradas[[#This Row],[DATA DA COMPETÊNCIA]]="N/A",0,YEAR(tbRegistroEntradas[[#This Row],[DATA DA COMPETÊNCIA]]))</f>
        <v>2023</v>
      </c>
      <c r="N674" s="58" t="str">
        <f>IF(tbRegistroEntradas[[#This Row],[DATA DO CAIXA PREVISTO]]="N/A","0",UPPER(TEXT(tbRegistroEntradas[[#This Row],[DATA DO CAIXA PREVISTO]],"mmm")))</f>
        <v>JUL</v>
      </c>
      <c r="O674" s="58">
        <f>IF(tbRegistroEntradas[[#This Row],[DATA DO CAIXA PREVISTO]]="N/A",0,YEAR(tbRegistroEntradas[[#This Row],[DATA DO CAIXA PREVISTO]]))</f>
        <v>2023</v>
      </c>
      <c r="P674" s="58" t="str">
        <f ca="1">IF(AND(tbRegistroEntradas[[#This Row],[DATA DE CAIXA REALIZADO]]="N/A",tbRegistroEntradas[[#This Row],[DATA DO CAIXA PREVISTO]]&lt;TODAY()),"Vencida","Não Vencida")</f>
        <v>Não Vencida</v>
      </c>
      <c r="Q674" s="58" t="str">
        <f>IF(tbRegistroEntradas[[#This Row],[DATA DA COMPETÊNCIA]]=tbRegistroEntradas[[#This Row],[DATA DO CAIXA PREVISTO]],"Vista","Prazo")</f>
        <v>Prazo</v>
      </c>
      <c r="R674" s="58" t="str">
        <f>IF(tbRegistroEntradas[[#This Row],[DATA DE CAIXA REALIZADO]]&lt;&gt;"N/A","Em Dia","Com atraso")</f>
        <v>Em Dia</v>
      </c>
    </row>
    <row r="675" spans="1:18" ht="14.4" customHeight="1" x14ac:dyDescent="0.3">
      <c r="A675" s="111">
        <v>45150</v>
      </c>
      <c r="B675" s="111">
        <f>A675-31</f>
        <v>45119</v>
      </c>
      <c r="C675" s="111">
        <f>(A675-B675)+B675-15</f>
        <v>45135</v>
      </c>
      <c r="D675" s="109" t="s">
        <v>64</v>
      </c>
      <c r="E675" s="109" t="s">
        <v>12</v>
      </c>
      <c r="F675" s="109" t="s">
        <v>16</v>
      </c>
      <c r="G675" s="109" t="s">
        <v>1002</v>
      </c>
      <c r="H675" s="52" t="s">
        <v>113</v>
      </c>
      <c r="I675" s="118">
        <v>6613</v>
      </c>
      <c r="J675" s="110" t="str">
        <f>IF(tbRegistroEntradas[[#This Row],[DATA DE CAIXA REALIZADO]]="N/A","0",UPPER(TEXT(tbRegistroEntradas[[#This Row],[DATA DE CAIXA REALIZADO]],"mmm")))</f>
        <v>AGO</v>
      </c>
      <c r="K675" s="57">
        <f>IF(tbRegistroEntradas[[#This Row],[DATA DE CAIXA REALIZADO]]="N/A",0,YEAR(tbRegistroEntradas[[#This Row],[DATA DE CAIXA REALIZADO]]))</f>
        <v>2023</v>
      </c>
      <c r="L675" s="58" t="str">
        <f>IF(tbRegistroEntradas[[#This Row],[DATA DA COMPETÊNCIA]]="N/A","0",UPPER(TEXT(tbRegistroEntradas[[#This Row],[DATA DA COMPETÊNCIA]],"mmm")))</f>
        <v>JUL</v>
      </c>
      <c r="M675" s="58">
        <f>IF(tbRegistroEntradas[[#This Row],[DATA DA COMPETÊNCIA]]="N/A",0,YEAR(tbRegistroEntradas[[#This Row],[DATA DA COMPETÊNCIA]]))</f>
        <v>2023</v>
      </c>
      <c r="N675" s="58" t="str">
        <f>IF(tbRegistroEntradas[[#This Row],[DATA DO CAIXA PREVISTO]]="N/A","0",UPPER(TEXT(tbRegistroEntradas[[#This Row],[DATA DO CAIXA PREVISTO]],"mmm")))</f>
        <v>JUL</v>
      </c>
      <c r="O675" s="58">
        <f>IF(tbRegistroEntradas[[#This Row],[DATA DO CAIXA PREVISTO]]="N/A",0,YEAR(tbRegistroEntradas[[#This Row],[DATA DO CAIXA PREVISTO]]))</f>
        <v>2023</v>
      </c>
      <c r="P675" s="58" t="str">
        <f ca="1">IF(AND(tbRegistroEntradas[[#This Row],[DATA DE CAIXA REALIZADO]]="N/A",tbRegistroEntradas[[#This Row],[DATA DO CAIXA PREVISTO]]&lt;TODAY()),"Vencida","Não Vencida")</f>
        <v>Não Vencida</v>
      </c>
      <c r="Q675" s="58" t="str">
        <f>IF(tbRegistroEntradas[[#This Row],[DATA DA COMPETÊNCIA]]=tbRegistroEntradas[[#This Row],[DATA DO CAIXA PREVISTO]],"Vista","Prazo")</f>
        <v>Prazo</v>
      </c>
      <c r="R675" s="58" t="str">
        <f>IF(tbRegistroEntradas[[#This Row],[DATA DE CAIXA REALIZADO]]&lt;&gt;"N/A","Em Dia","Com atraso")</f>
        <v>Em Dia</v>
      </c>
    </row>
    <row r="676" spans="1:18" ht="14.4" customHeight="1" x14ac:dyDescent="0.3">
      <c r="A676" s="111">
        <v>45155</v>
      </c>
      <c r="B676" s="111">
        <f>A676-31</f>
        <v>45124</v>
      </c>
      <c r="C676" s="111">
        <f>(A676-B676)+B676-15</f>
        <v>45140</v>
      </c>
      <c r="D676" s="109" t="s">
        <v>138</v>
      </c>
      <c r="E676" s="109" t="s">
        <v>12</v>
      </c>
      <c r="F676" s="109" t="s">
        <v>16</v>
      </c>
      <c r="G676" s="109" t="s">
        <v>1098</v>
      </c>
      <c r="H676" s="52" t="s">
        <v>75</v>
      </c>
      <c r="I676" s="118">
        <v>1295</v>
      </c>
      <c r="J676" s="110" t="str">
        <f>IF(tbRegistroEntradas[[#This Row],[DATA DE CAIXA REALIZADO]]="N/A","0",UPPER(TEXT(tbRegistroEntradas[[#This Row],[DATA DE CAIXA REALIZADO]],"mmm")))</f>
        <v>AGO</v>
      </c>
      <c r="K676" s="57">
        <f>IF(tbRegistroEntradas[[#This Row],[DATA DE CAIXA REALIZADO]]="N/A",0,YEAR(tbRegistroEntradas[[#This Row],[DATA DE CAIXA REALIZADO]]))</f>
        <v>2023</v>
      </c>
      <c r="L676" s="58" t="str">
        <f>IF(tbRegistroEntradas[[#This Row],[DATA DA COMPETÊNCIA]]="N/A","0",UPPER(TEXT(tbRegistroEntradas[[#This Row],[DATA DA COMPETÊNCIA]],"mmm")))</f>
        <v>JUL</v>
      </c>
      <c r="M676" s="58">
        <f>IF(tbRegistroEntradas[[#This Row],[DATA DA COMPETÊNCIA]]="N/A",0,YEAR(tbRegistroEntradas[[#This Row],[DATA DA COMPETÊNCIA]]))</f>
        <v>2023</v>
      </c>
      <c r="N676" s="58" t="str">
        <f>IF(tbRegistroEntradas[[#This Row],[DATA DO CAIXA PREVISTO]]="N/A","0",UPPER(TEXT(tbRegistroEntradas[[#This Row],[DATA DO CAIXA PREVISTO]],"mmm")))</f>
        <v>AGO</v>
      </c>
      <c r="O676" s="58">
        <f>IF(tbRegistroEntradas[[#This Row],[DATA DO CAIXA PREVISTO]]="N/A",0,YEAR(tbRegistroEntradas[[#This Row],[DATA DO CAIXA PREVISTO]]))</f>
        <v>2023</v>
      </c>
      <c r="P676" s="58" t="str">
        <f ca="1">IF(AND(tbRegistroEntradas[[#This Row],[DATA DE CAIXA REALIZADO]]="N/A",tbRegistroEntradas[[#This Row],[DATA DO CAIXA PREVISTO]]&lt;TODAY()),"Vencida","Não Vencida")</f>
        <v>Não Vencida</v>
      </c>
      <c r="Q676" s="58" t="str">
        <f>IF(tbRegistroEntradas[[#This Row],[DATA DA COMPETÊNCIA]]=tbRegistroEntradas[[#This Row],[DATA DO CAIXA PREVISTO]],"Vista","Prazo")</f>
        <v>Prazo</v>
      </c>
      <c r="R676" s="58" t="str">
        <f>IF(tbRegistroEntradas[[#This Row],[DATA DE CAIXA REALIZADO]]&lt;&gt;"N/A","Em Dia","Com atraso")</f>
        <v>Em Dia</v>
      </c>
    </row>
    <row r="677" spans="1:18" ht="14.4" customHeight="1" x14ac:dyDescent="0.3">
      <c r="A677" s="111">
        <v>45156</v>
      </c>
      <c r="B677" s="111">
        <f>A677-31</f>
        <v>45125</v>
      </c>
      <c r="C677" s="111">
        <f>tbRegistroEntradas[[#This Row],[DATA DA COMPETÊNCIA]]</f>
        <v>45125</v>
      </c>
      <c r="D677" s="109" t="s">
        <v>63</v>
      </c>
      <c r="E677" s="109" t="s">
        <v>12</v>
      </c>
      <c r="F677" s="109" t="s">
        <v>17</v>
      </c>
      <c r="G677" s="109" t="s">
        <v>982</v>
      </c>
      <c r="H677" s="52" t="s">
        <v>69</v>
      </c>
      <c r="I677" s="118">
        <v>2243</v>
      </c>
      <c r="J677" s="110" t="str">
        <f>IF(tbRegistroEntradas[[#This Row],[DATA DE CAIXA REALIZADO]]="N/A","0",UPPER(TEXT(tbRegistroEntradas[[#This Row],[DATA DE CAIXA REALIZADO]],"mmm")))</f>
        <v>AGO</v>
      </c>
      <c r="K677" s="57">
        <f>IF(tbRegistroEntradas[[#This Row],[DATA DE CAIXA REALIZADO]]="N/A",0,YEAR(tbRegistroEntradas[[#This Row],[DATA DE CAIXA REALIZADO]]))</f>
        <v>2023</v>
      </c>
      <c r="L677" s="58" t="str">
        <f>IF(tbRegistroEntradas[[#This Row],[DATA DA COMPETÊNCIA]]="N/A","0",UPPER(TEXT(tbRegistroEntradas[[#This Row],[DATA DA COMPETÊNCIA]],"mmm")))</f>
        <v>JUL</v>
      </c>
      <c r="M677" s="58">
        <f>IF(tbRegistroEntradas[[#This Row],[DATA DA COMPETÊNCIA]]="N/A",0,YEAR(tbRegistroEntradas[[#This Row],[DATA DA COMPETÊNCIA]]))</f>
        <v>2023</v>
      </c>
      <c r="N677" s="58" t="str">
        <f>IF(tbRegistroEntradas[[#This Row],[DATA DO CAIXA PREVISTO]]="N/A","0",UPPER(TEXT(tbRegistroEntradas[[#This Row],[DATA DO CAIXA PREVISTO]],"mmm")))</f>
        <v>JUL</v>
      </c>
      <c r="O677" s="58">
        <f>IF(tbRegistroEntradas[[#This Row],[DATA DO CAIXA PREVISTO]]="N/A",0,YEAR(tbRegistroEntradas[[#This Row],[DATA DO CAIXA PREVISTO]]))</f>
        <v>2023</v>
      </c>
      <c r="P677" s="58" t="str">
        <f ca="1">IF(AND(tbRegistroEntradas[[#This Row],[DATA DE CAIXA REALIZADO]]="N/A",tbRegistroEntradas[[#This Row],[DATA DO CAIXA PREVISTO]]&lt;TODAY()),"Vencida","Não Vencida")</f>
        <v>Não Vencida</v>
      </c>
      <c r="Q677" s="58" t="str">
        <f>IF(tbRegistroEntradas[[#This Row],[DATA DA COMPETÊNCIA]]=tbRegistroEntradas[[#This Row],[DATA DO CAIXA PREVISTO]],"Vista","Prazo")</f>
        <v>Vista</v>
      </c>
      <c r="R677" s="58" t="str">
        <f>IF(tbRegistroEntradas[[#This Row],[DATA DE CAIXA REALIZADO]]&lt;&gt;"N/A","Em Dia","Com atraso")</f>
        <v>Em Dia</v>
      </c>
    </row>
    <row r="678" spans="1:18" ht="14.4" customHeight="1" x14ac:dyDescent="0.3">
      <c r="A678" s="111">
        <v>45157</v>
      </c>
      <c r="B678" s="111">
        <f>A678-31</f>
        <v>45126</v>
      </c>
      <c r="C678" s="111">
        <f>(A678-B678)+B678-15</f>
        <v>45142</v>
      </c>
      <c r="D678" s="109" t="s">
        <v>138</v>
      </c>
      <c r="E678" s="109" t="s">
        <v>12</v>
      </c>
      <c r="F678" s="109" t="s">
        <v>17</v>
      </c>
      <c r="G678" s="109" t="s">
        <v>1102</v>
      </c>
      <c r="H678" s="52" t="s">
        <v>76</v>
      </c>
      <c r="I678" s="118">
        <v>6254</v>
      </c>
      <c r="J678" s="110" t="str">
        <f>IF(tbRegistroEntradas[[#This Row],[DATA DE CAIXA REALIZADO]]="N/A","0",UPPER(TEXT(tbRegistroEntradas[[#This Row],[DATA DE CAIXA REALIZADO]],"mmm")))</f>
        <v>AGO</v>
      </c>
      <c r="K678" s="57">
        <f>IF(tbRegistroEntradas[[#This Row],[DATA DE CAIXA REALIZADO]]="N/A",0,YEAR(tbRegistroEntradas[[#This Row],[DATA DE CAIXA REALIZADO]]))</f>
        <v>2023</v>
      </c>
      <c r="L678" s="58" t="str">
        <f>IF(tbRegistroEntradas[[#This Row],[DATA DA COMPETÊNCIA]]="N/A","0",UPPER(TEXT(tbRegistroEntradas[[#This Row],[DATA DA COMPETÊNCIA]],"mmm")))</f>
        <v>JUL</v>
      </c>
      <c r="M678" s="58">
        <f>IF(tbRegistroEntradas[[#This Row],[DATA DA COMPETÊNCIA]]="N/A",0,YEAR(tbRegistroEntradas[[#This Row],[DATA DA COMPETÊNCIA]]))</f>
        <v>2023</v>
      </c>
      <c r="N678" s="58" t="str">
        <f>IF(tbRegistroEntradas[[#This Row],[DATA DO CAIXA PREVISTO]]="N/A","0",UPPER(TEXT(tbRegistroEntradas[[#This Row],[DATA DO CAIXA PREVISTO]],"mmm")))</f>
        <v>AGO</v>
      </c>
      <c r="O678" s="58">
        <f>IF(tbRegistroEntradas[[#This Row],[DATA DO CAIXA PREVISTO]]="N/A",0,YEAR(tbRegistroEntradas[[#This Row],[DATA DO CAIXA PREVISTO]]))</f>
        <v>2023</v>
      </c>
      <c r="P678" s="58" t="str">
        <f ca="1">IF(AND(tbRegistroEntradas[[#This Row],[DATA DE CAIXA REALIZADO]]="N/A",tbRegistroEntradas[[#This Row],[DATA DO CAIXA PREVISTO]]&lt;TODAY()),"Vencida","Não Vencida")</f>
        <v>Não Vencida</v>
      </c>
      <c r="Q678" s="58" t="str">
        <f>IF(tbRegistroEntradas[[#This Row],[DATA DA COMPETÊNCIA]]=tbRegistroEntradas[[#This Row],[DATA DO CAIXA PREVISTO]],"Vista","Prazo")</f>
        <v>Prazo</v>
      </c>
      <c r="R678" s="58" t="str">
        <f>IF(tbRegistroEntradas[[#This Row],[DATA DE CAIXA REALIZADO]]&lt;&gt;"N/A","Em Dia","Com atraso")</f>
        <v>Em Dia</v>
      </c>
    </row>
    <row r="679" spans="1:18" ht="14.4" customHeight="1" x14ac:dyDescent="0.3">
      <c r="A679" s="111">
        <v>45160</v>
      </c>
      <c r="B679" s="111">
        <f>A679-31</f>
        <v>45129</v>
      </c>
      <c r="C679" s="111">
        <f>(A679-B679)+B679-15</f>
        <v>45145</v>
      </c>
      <c r="D679" s="109" t="s">
        <v>138</v>
      </c>
      <c r="E679" s="109" t="s">
        <v>12</v>
      </c>
      <c r="F679" s="109" t="s">
        <v>18</v>
      </c>
      <c r="G679" s="109" t="s">
        <v>734</v>
      </c>
      <c r="H679" s="126" t="s">
        <v>77</v>
      </c>
      <c r="I679" s="118">
        <v>3830</v>
      </c>
      <c r="J679" s="110" t="str">
        <f>IF(tbRegistroEntradas[[#This Row],[DATA DE CAIXA REALIZADO]]="N/A","0",UPPER(TEXT(tbRegistroEntradas[[#This Row],[DATA DE CAIXA REALIZADO]],"mmm")))</f>
        <v>AGO</v>
      </c>
      <c r="K679" s="57">
        <f>IF(tbRegistroEntradas[[#This Row],[DATA DE CAIXA REALIZADO]]="N/A",0,YEAR(tbRegistroEntradas[[#This Row],[DATA DE CAIXA REALIZADO]]))</f>
        <v>2023</v>
      </c>
      <c r="L679" s="58" t="str">
        <f>IF(tbRegistroEntradas[[#This Row],[DATA DA COMPETÊNCIA]]="N/A","0",UPPER(TEXT(tbRegistroEntradas[[#This Row],[DATA DA COMPETÊNCIA]],"mmm")))</f>
        <v>JUL</v>
      </c>
      <c r="M679" s="58">
        <f>IF(tbRegistroEntradas[[#This Row],[DATA DA COMPETÊNCIA]]="N/A",0,YEAR(tbRegistroEntradas[[#This Row],[DATA DA COMPETÊNCIA]]))</f>
        <v>2023</v>
      </c>
      <c r="N679" s="58" t="str">
        <f>IF(tbRegistroEntradas[[#This Row],[DATA DO CAIXA PREVISTO]]="N/A","0",UPPER(TEXT(tbRegistroEntradas[[#This Row],[DATA DO CAIXA PREVISTO]],"mmm")))</f>
        <v>AGO</v>
      </c>
      <c r="O679" s="58">
        <f>IF(tbRegistroEntradas[[#This Row],[DATA DO CAIXA PREVISTO]]="N/A",0,YEAR(tbRegistroEntradas[[#This Row],[DATA DO CAIXA PREVISTO]]))</f>
        <v>2023</v>
      </c>
      <c r="P679" s="58" t="str">
        <f ca="1">IF(AND(tbRegistroEntradas[[#This Row],[DATA DE CAIXA REALIZADO]]="N/A",tbRegistroEntradas[[#This Row],[DATA DO CAIXA PREVISTO]]&lt;TODAY()),"Vencida","Não Vencida")</f>
        <v>Não Vencida</v>
      </c>
      <c r="Q679" s="58" t="str">
        <f>IF(tbRegistroEntradas[[#This Row],[DATA DA COMPETÊNCIA]]=tbRegistroEntradas[[#This Row],[DATA DO CAIXA PREVISTO]],"Vista","Prazo")</f>
        <v>Prazo</v>
      </c>
      <c r="R679" s="58" t="str">
        <f>IF(tbRegistroEntradas[[#This Row],[DATA DE CAIXA REALIZADO]]&lt;&gt;"N/A","Em Dia","Com atraso")</f>
        <v>Em Dia</v>
      </c>
    </row>
    <row r="680" spans="1:18" ht="14.4" customHeight="1" x14ac:dyDescent="0.3">
      <c r="A680" s="111">
        <v>45163</v>
      </c>
      <c r="B680" s="111">
        <f>A680-31</f>
        <v>45132</v>
      </c>
      <c r="C680" s="111">
        <f>(A680-B680)+B680-15</f>
        <v>45148</v>
      </c>
      <c r="D680" s="109" t="s">
        <v>66</v>
      </c>
      <c r="E680" s="109" t="s">
        <v>12</v>
      </c>
      <c r="F680" s="109" t="s">
        <v>19</v>
      </c>
      <c r="G680" s="109" t="s">
        <v>932</v>
      </c>
      <c r="H680" s="52" t="s">
        <v>125</v>
      </c>
      <c r="I680" s="118">
        <v>7614</v>
      </c>
      <c r="J680" s="110" t="str">
        <f>IF(tbRegistroEntradas[[#This Row],[DATA DE CAIXA REALIZADO]]="N/A","0",UPPER(TEXT(tbRegistroEntradas[[#This Row],[DATA DE CAIXA REALIZADO]],"mmm")))</f>
        <v>AGO</v>
      </c>
      <c r="K680" s="57">
        <f>IF(tbRegistroEntradas[[#This Row],[DATA DE CAIXA REALIZADO]]="N/A",0,YEAR(tbRegistroEntradas[[#This Row],[DATA DE CAIXA REALIZADO]]))</f>
        <v>2023</v>
      </c>
      <c r="L680" s="58" t="str">
        <f>IF(tbRegistroEntradas[[#This Row],[DATA DA COMPETÊNCIA]]="N/A","0",UPPER(TEXT(tbRegistroEntradas[[#This Row],[DATA DA COMPETÊNCIA]],"mmm")))</f>
        <v>JUL</v>
      </c>
      <c r="M680" s="58">
        <f>IF(tbRegistroEntradas[[#This Row],[DATA DA COMPETÊNCIA]]="N/A",0,YEAR(tbRegistroEntradas[[#This Row],[DATA DA COMPETÊNCIA]]))</f>
        <v>2023</v>
      </c>
      <c r="N680" s="58" t="str">
        <f>IF(tbRegistroEntradas[[#This Row],[DATA DO CAIXA PREVISTO]]="N/A","0",UPPER(TEXT(tbRegistroEntradas[[#This Row],[DATA DO CAIXA PREVISTO]],"mmm")))</f>
        <v>AGO</v>
      </c>
      <c r="O680" s="58">
        <f>IF(tbRegistroEntradas[[#This Row],[DATA DO CAIXA PREVISTO]]="N/A",0,YEAR(tbRegistroEntradas[[#This Row],[DATA DO CAIXA PREVISTO]]))</f>
        <v>2023</v>
      </c>
      <c r="P680" s="58" t="str">
        <f ca="1">IF(AND(tbRegistroEntradas[[#This Row],[DATA DE CAIXA REALIZADO]]="N/A",tbRegistroEntradas[[#This Row],[DATA DO CAIXA PREVISTO]]&lt;TODAY()),"Vencida","Não Vencida")</f>
        <v>Não Vencida</v>
      </c>
      <c r="Q680" s="58" t="str">
        <f>IF(tbRegistroEntradas[[#This Row],[DATA DA COMPETÊNCIA]]=tbRegistroEntradas[[#This Row],[DATA DO CAIXA PREVISTO]],"Vista","Prazo")</f>
        <v>Prazo</v>
      </c>
      <c r="R680" s="58" t="str">
        <f>IF(tbRegistroEntradas[[#This Row],[DATA DE CAIXA REALIZADO]]&lt;&gt;"N/A","Em Dia","Com atraso")</f>
        <v>Em Dia</v>
      </c>
    </row>
    <row r="681" spans="1:18" ht="14.4" customHeight="1" x14ac:dyDescent="0.3">
      <c r="A681" s="111">
        <v>45164</v>
      </c>
      <c r="B681" s="111">
        <f>A681-31</f>
        <v>45133</v>
      </c>
      <c r="C681" s="111">
        <f>(A681-B681)+B681-15</f>
        <v>45149</v>
      </c>
      <c r="D681" s="109" t="s">
        <v>138</v>
      </c>
      <c r="E681" s="109" t="s">
        <v>12</v>
      </c>
      <c r="F681" s="109" t="s">
        <v>19</v>
      </c>
      <c r="G681" s="109" t="s">
        <v>809</v>
      </c>
      <c r="H681" s="126" t="s">
        <v>78</v>
      </c>
      <c r="I681" s="118">
        <v>7284</v>
      </c>
      <c r="J681" s="110" t="str">
        <f>IF(tbRegistroEntradas[[#This Row],[DATA DE CAIXA REALIZADO]]="N/A","0",UPPER(TEXT(tbRegistroEntradas[[#This Row],[DATA DE CAIXA REALIZADO]],"mmm")))</f>
        <v>AGO</v>
      </c>
      <c r="K681" s="57">
        <f>IF(tbRegistroEntradas[[#This Row],[DATA DE CAIXA REALIZADO]]="N/A",0,YEAR(tbRegistroEntradas[[#This Row],[DATA DE CAIXA REALIZADO]]))</f>
        <v>2023</v>
      </c>
      <c r="L681" s="58" t="str">
        <f>IF(tbRegistroEntradas[[#This Row],[DATA DA COMPETÊNCIA]]="N/A","0",UPPER(TEXT(tbRegistroEntradas[[#This Row],[DATA DA COMPETÊNCIA]],"mmm")))</f>
        <v>JUL</v>
      </c>
      <c r="M681" s="58">
        <f>IF(tbRegistroEntradas[[#This Row],[DATA DA COMPETÊNCIA]]="N/A",0,YEAR(tbRegistroEntradas[[#This Row],[DATA DA COMPETÊNCIA]]))</f>
        <v>2023</v>
      </c>
      <c r="N681" s="58" t="str">
        <f>IF(tbRegistroEntradas[[#This Row],[DATA DO CAIXA PREVISTO]]="N/A","0",UPPER(TEXT(tbRegistroEntradas[[#This Row],[DATA DO CAIXA PREVISTO]],"mmm")))</f>
        <v>AGO</v>
      </c>
      <c r="O681" s="58">
        <f>IF(tbRegistroEntradas[[#This Row],[DATA DO CAIXA PREVISTO]]="N/A",0,YEAR(tbRegistroEntradas[[#This Row],[DATA DO CAIXA PREVISTO]]))</f>
        <v>2023</v>
      </c>
      <c r="P681" s="58" t="str">
        <f ca="1">IF(AND(tbRegistroEntradas[[#This Row],[DATA DE CAIXA REALIZADO]]="N/A",tbRegistroEntradas[[#This Row],[DATA DO CAIXA PREVISTO]]&lt;TODAY()),"Vencida","Não Vencida")</f>
        <v>Não Vencida</v>
      </c>
      <c r="Q681" s="58" t="str">
        <f>IF(tbRegistroEntradas[[#This Row],[DATA DA COMPETÊNCIA]]=tbRegistroEntradas[[#This Row],[DATA DO CAIXA PREVISTO]],"Vista","Prazo")</f>
        <v>Prazo</v>
      </c>
      <c r="R681" s="58" t="str">
        <f>IF(tbRegistroEntradas[[#This Row],[DATA DE CAIXA REALIZADO]]&lt;&gt;"N/A","Em Dia","Com atraso")</f>
        <v>Em Dia</v>
      </c>
    </row>
    <row r="682" spans="1:18" ht="14.4" customHeight="1" x14ac:dyDescent="0.3">
      <c r="A682" s="111">
        <v>45164</v>
      </c>
      <c r="B682" s="111">
        <f>A682-31</f>
        <v>45133</v>
      </c>
      <c r="C682" s="111">
        <f>(A682-B682)+B682-15</f>
        <v>45149</v>
      </c>
      <c r="D682" s="109" t="s">
        <v>66</v>
      </c>
      <c r="E682" s="109" t="s">
        <v>12</v>
      </c>
      <c r="F682" s="109" t="s">
        <v>16</v>
      </c>
      <c r="G682" s="109" t="s">
        <v>1039</v>
      </c>
      <c r="H682" s="126" t="s">
        <v>123</v>
      </c>
      <c r="I682" s="118">
        <v>5220</v>
      </c>
      <c r="J682" s="110" t="str">
        <f>IF(tbRegistroEntradas[[#This Row],[DATA DE CAIXA REALIZADO]]="N/A","0",UPPER(TEXT(tbRegistroEntradas[[#This Row],[DATA DE CAIXA REALIZADO]],"mmm")))</f>
        <v>AGO</v>
      </c>
      <c r="K682" s="57">
        <f>IF(tbRegistroEntradas[[#This Row],[DATA DE CAIXA REALIZADO]]="N/A",0,YEAR(tbRegistroEntradas[[#This Row],[DATA DE CAIXA REALIZADO]]))</f>
        <v>2023</v>
      </c>
      <c r="L682" s="58" t="str">
        <f>IF(tbRegistroEntradas[[#This Row],[DATA DA COMPETÊNCIA]]="N/A","0",UPPER(TEXT(tbRegistroEntradas[[#This Row],[DATA DA COMPETÊNCIA]],"mmm")))</f>
        <v>JUL</v>
      </c>
      <c r="M682" s="58">
        <f>IF(tbRegistroEntradas[[#This Row],[DATA DA COMPETÊNCIA]]="N/A",0,YEAR(tbRegistroEntradas[[#This Row],[DATA DA COMPETÊNCIA]]))</f>
        <v>2023</v>
      </c>
      <c r="N682" s="58" t="str">
        <f>IF(tbRegistroEntradas[[#This Row],[DATA DO CAIXA PREVISTO]]="N/A","0",UPPER(TEXT(tbRegistroEntradas[[#This Row],[DATA DO CAIXA PREVISTO]],"mmm")))</f>
        <v>AGO</v>
      </c>
      <c r="O682" s="58">
        <f>IF(tbRegistroEntradas[[#This Row],[DATA DO CAIXA PREVISTO]]="N/A",0,YEAR(tbRegistroEntradas[[#This Row],[DATA DO CAIXA PREVISTO]]))</f>
        <v>2023</v>
      </c>
      <c r="P682" s="58" t="str">
        <f ca="1">IF(AND(tbRegistroEntradas[[#This Row],[DATA DE CAIXA REALIZADO]]="N/A",tbRegistroEntradas[[#This Row],[DATA DO CAIXA PREVISTO]]&lt;TODAY()),"Vencida","Não Vencida")</f>
        <v>Não Vencida</v>
      </c>
      <c r="Q682" s="58" t="str">
        <f>IF(tbRegistroEntradas[[#This Row],[DATA DA COMPETÊNCIA]]=tbRegistroEntradas[[#This Row],[DATA DO CAIXA PREVISTO]],"Vista","Prazo")</f>
        <v>Prazo</v>
      </c>
      <c r="R682" s="58" t="str">
        <f>IF(tbRegistroEntradas[[#This Row],[DATA DE CAIXA REALIZADO]]&lt;&gt;"N/A","Em Dia","Com atraso")</f>
        <v>Em Dia</v>
      </c>
    </row>
    <row r="683" spans="1:18" ht="14.4" customHeight="1" x14ac:dyDescent="0.3">
      <c r="A683" s="111">
        <v>45168</v>
      </c>
      <c r="B683" s="111">
        <f>A683-31</f>
        <v>45137</v>
      </c>
      <c r="C683" s="111">
        <f>(A683-B683)+B683-15</f>
        <v>45153</v>
      </c>
      <c r="D683" s="109" t="s">
        <v>66</v>
      </c>
      <c r="E683" s="109" t="s">
        <v>12</v>
      </c>
      <c r="F683" s="109" t="s">
        <v>16</v>
      </c>
      <c r="G683" s="109" t="s">
        <v>1007</v>
      </c>
      <c r="H683" s="52" t="s">
        <v>124</v>
      </c>
      <c r="I683" s="118">
        <v>3211</v>
      </c>
      <c r="J683" s="110" t="str">
        <f>IF(tbRegistroEntradas[[#This Row],[DATA DE CAIXA REALIZADO]]="N/A","0",UPPER(TEXT(tbRegistroEntradas[[#This Row],[DATA DE CAIXA REALIZADO]],"mmm")))</f>
        <v>AGO</v>
      </c>
      <c r="K683" s="57">
        <f>IF(tbRegistroEntradas[[#This Row],[DATA DE CAIXA REALIZADO]]="N/A",0,YEAR(tbRegistroEntradas[[#This Row],[DATA DE CAIXA REALIZADO]]))</f>
        <v>2023</v>
      </c>
      <c r="L683" s="58" t="str">
        <f>IF(tbRegistroEntradas[[#This Row],[DATA DA COMPETÊNCIA]]="N/A","0",UPPER(TEXT(tbRegistroEntradas[[#This Row],[DATA DA COMPETÊNCIA]],"mmm")))</f>
        <v>JUL</v>
      </c>
      <c r="M683" s="58">
        <f>IF(tbRegistroEntradas[[#This Row],[DATA DA COMPETÊNCIA]]="N/A",0,YEAR(tbRegistroEntradas[[#This Row],[DATA DA COMPETÊNCIA]]))</f>
        <v>2023</v>
      </c>
      <c r="N683" s="58" t="str">
        <f>IF(tbRegistroEntradas[[#This Row],[DATA DO CAIXA PREVISTO]]="N/A","0",UPPER(TEXT(tbRegistroEntradas[[#This Row],[DATA DO CAIXA PREVISTO]],"mmm")))</f>
        <v>AGO</v>
      </c>
      <c r="O683" s="58">
        <f>IF(tbRegistroEntradas[[#This Row],[DATA DO CAIXA PREVISTO]]="N/A",0,YEAR(tbRegistroEntradas[[#This Row],[DATA DO CAIXA PREVISTO]]))</f>
        <v>2023</v>
      </c>
      <c r="P683" s="58" t="str">
        <f ca="1">IF(AND(tbRegistroEntradas[[#This Row],[DATA DE CAIXA REALIZADO]]="N/A",tbRegistroEntradas[[#This Row],[DATA DO CAIXA PREVISTO]]&lt;TODAY()),"Vencida","Não Vencida")</f>
        <v>Não Vencida</v>
      </c>
      <c r="Q683" s="58" t="str">
        <f>IF(tbRegistroEntradas[[#This Row],[DATA DA COMPETÊNCIA]]=tbRegistroEntradas[[#This Row],[DATA DO CAIXA PREVISTO]],"Vista","Prazo")</f>
        <v>Prazo</v>
      </c>
      <c r="R683" s="58" t="str">
        <f>IF(tbRegistroEntradas[[#This Row],[DATA DE CAIXA REALIZADO]]&lt;&gt;"N/A","Em Dia","Com atraso")</f>
        <v>Em Dia</v>
      </c>
    </row>
    <row r="684" spans="1:18" ht="14.4" customHeight="1" x14ac:dyDescent="0.3">
      <c r="A684" s="111">
        <v>45170</v>
      </c>
      <c r="B684" s="111">
        <f>A684-31</f>
        <v>45139</v>
      </c>
      <c r="C684" s="111">
        <f>(A684-B684)+B684-15</f>
        <v>45155</v>
      </c>
      <c r="D684" s="109" t="s">
        <v>65</v>
      </c>
      <c r="E684" s="109" t="s">
        <v>12</v>
      </c>
      <c r="F684" s="109" t="s">
        <v>17</v>
      </c>
      <c r="G684" s="109" t="s">
        <v>737</v>
      </c>
      <c r="H684" s="52" t="s">
        <v>119</v>
      </c>
      <c r="I684" s="118">
        <v>1306</v>
      </c>
      <c r="J684" s="110" t="str">
        <f>IF(tbRegistroEntradas[[#This Row],[DATA DE CAIXA REALIZADO]]="N/A","0",UPPER(TEXT(tbRegistroEntradas[[#This Row],[DATA DE CAIXA REALIZADO]],"mmm")))</f>
        <v>SET</v>
      </c>
      <c r="K684" s="57">
        <f>IF(tbRegistroEntradas[[#This Row],[DATA DE CAIXA REALIZADO]]="N/A",0,YEAR(tbRegistroEntradas[[#This Row],[DATA DE CAIXA REALIZADO]]))</f>
        <v>2023</v>
      </c>
      <c r="L684" s="58" t="str">
        <f>IF(tbRegistroEntradas[[#This Row],[DATA DA COMPETÊNCIA]]="N/A","0",UPPER(TEXT(tbRegistroEntradas[[#This Row],[DATA DA COMPETÊNCIA]],"mmm")))</f>
        <v>AGO</v>
      </c>
      <c r="M684" s="58">
        <f>IF(tbRegistroEntradas[[#This Row],[DATA DA COMPETÊNCIA]]="N/A",0,YEAR(tbRegistroEntradas[[#This Row],[DATA DA COMPETÊNCIA]]))</f>
        <v>2023</v>
      </c>
      <c r="N684" s="58" t="str">
        <f>IF(tbRegistroEntradas[[#This Row],[DATA DO CAIXA PREVISTO]]="N/A","0",UPPER(TEXT(tbRegistroEntradas[[#This Row],[DATA DO CAIXA PREVISTO]],"mmm")))</f>
        <v>AGO</v>
      </c>
      <c r="O684" s="58">
        <f>IF(tbRegistroEntradas[[#This Row],[DATA DO CAIXA PREVISTO]]="N/A",0,YEAR(tbRegistroEntradas[[#This Row],[DATA DO CAIXA PREVISTO]]))</f>
        <v>2023</v>
      </c>
      <c r="P684" s="58" t="str">
        <f ca="1">IF(AND(tbRegistroEntradas[[#This Row],[DATA DE CAIXA REALIZADO]]="N/A",tbRegistroEntradas[[#This Row],[DATA DO CAIXA PREVISTO]]&lt;TODAY()),"Vencida","Não Vencida")</f>
        <v>Não Vencida</v>
      </c>
      <c r="Q684" s="58" t="str">
        <f>IF(tbRegistroEntradas[[#This Row],[DATA DA COMPETÊNCIA]]=tbRegistroEntradas[[#This Row],[DATA DO CAIXA PREVISTO]],"Vista","Prazo")</f>
        <v>Prazo</v>
      </c>
      <c r="R684" s="58" t="str">
        <f>IF(tbRegistroEntradas[[#This Row],[DATA DE CAIXA REALIZADO]]&lt;&gt;"N/A","Em Dia","Com atraso")</f>
        <v>Em Dia</v>
      </c>
    </row>
    <row r="685" spans="1:18" ht="14.4" customHeight="1" x14ac:dyDescent="0.3">
      <c r="A685" s="111">
        <v>45172</v>
      </c>
      <c r="B685" s="111">
        <f>A685-31</f>
        <v>45141</v>
      </c>
      <c r="C685" s="111">
        <f>(A685-B685)+B685-15</f>
        <v>45157</v>
      </c>
      <c r="D685" s="109" t="s">
        <v>65</v>
      </c>
      <c r="E685" s="109" t="s">
        <v>12</v>
      </c>
      <c r="F685" s="109" t="s">
        <v>19</v>
      </c>
      <c r="G685" s="109" t="s">
        <v>738</v>
      </c>
      <c r="H685" s="126" t="s">
        <v>120</v>
      </c>
      <c r="I685" s="118">
        <v>4984</v>
      </c>
      <c r="J685" s="110" t="str">
        <f>IF(tbRegistroEntradas[[#This Row],[DATA DE CAIXA REALIZADO]]="N/A","0",UPPER(TEXT(tbRegistroEntradas[[#This Row],[DATA DE CAIXA REALIZADO]],"mmm")))</f>
        <v>SET</v>
      </c>
      <c r="K685" s="57">
        <f>IF(tbRegistroEntradas[[#This Row],[DATA DE CAIXA REALIZADO]]="N/A",0,YEAR(tbRegistroEntradas[[#This Row],[DATA DE CAIXA REALIZADO]]))</f>
        <v>2023</v>
      </c>
      <c r="L685" s="58" t="str">
        <f>IF(tbRegistroEntradas[[#This Row],[DATA DA COMPETÊNCIA]]="N/A","0",UPPER(TEXT(tbRegistroEntradas[[#This Row],[DATA DA COMPETÊNCIA]],"mmm")))</f>
        <v>AGO</v>
      </c>
      <c r="M685" s="58">
        <f>IF(tbRegistroEntradas[[#This Row],[DATA DA COMPETÊNCIA]]="N/A",0,YEAR(tbRegistroEntradas[[#This Row],[DATA DA COMPETÊNCIA]]))</f>
        <v>2023</v>
      </c>
      <c r="N685" s="58" t="str">
        <f>IF(tbRegistroEntradas[[#This Row],[DATA DO CAIXA PREVISTO]]="N/A","0",UPPER(TEXT(tbRegistroEntradas[[#This Row],[DATA DO CAIXA PREVISTO]],"mmm")))</f>
        <v>AGO</v>
      </c>
      <c r="O685" s="58">
        <f>IF(tbRegistroEntradas[[#This Row],[DATA DO CAIXA PREVISTO]]="N/A",0,YEAR(tbRegistroEntradas[[#This Row],[DATA DO CAIXA PREVISTO]]))</f>
        <v>2023</v>
      </c>
      <c r="P685" s="58" t="str">
        <f ca="1">IF(AND(tbRegistroEntradas[[#This Row],[DATA DE CAIXA REALIZADO]]="N/A",tbRegistroEntradas[[#This Row],[DATA DO CAIXA PREVISTO]]&lt;TODAY()),"Vencida","Não Vencida")</f>
        <v>Não Vencida</v>
      </c>
      <c r="Q685" s="58" t="str">
        <f>IF(tbRegistroEntradas[[#This Row],[DATA DA COMPETÊNCIA]]=tbRegistroEntradas[[#This Row],[DATA DO CAIXA PREVISTO]],"Vista","Prazo")</f>
        <v>Prazo</v>
      </c>
      <c r="R685" s="58" t="str">
        <f>IF(tbRegistroEntradas[[#This Row],[DATA DE CAIXA REALIZADO]]&lt;&gt;"N/A","Em Dia","Com atraso")</f>
        <v>Em Dia</v>
      </c>
    </row>
    <row r="686" spans="1:18" ht="14.4" customHeight="1" x14ac:dyDescent="0.3">
      <c r="A686" s="111">
        <v>45172</v>
      </c>
      <c r="B686" s="111">
        <f>A686-31</f>
        <v>45141</v>
      </c>
      <c r="C686" s="111">
        <f>(A686-B686)+B686-15</f>
        <v>45157</v>
      </c>
      <c r="D686" s="109" t="s">
        <v>137</v>
      </c>
      <c r="E686" s="109" t="s">
        <v>12</v>
      </c>
      <c r="F686" s="109" t="s">
        <v>19</v>
      </c>
      <c r="G686" s="109" t="s">
        <v>937</v>
      </c>
      <c r="H686" s="52" t="s">
        <v>104</v>
      </c>
      <c r="I686" s="118">
        <v>5255</v>
      </c>
      <c r="J686" s="110" t="str">
        <f>IF(tbRegistroEntradas[[#This Row],[DATA DE CAIXA REALIZADO]]="N/A","0",UPPER(TEXT(tbRegistroEntradas[[#This Row],[DATA DE CAIXA REALIZADO]],"mmm")))</f>
        <v>SET</v>
      </c>
      <c r="K686" s="57">
        <f>IF(tbRegistroEntradas[[#This Row],[DATA DE CAIXA REALIZADO]]="N/A",0,YEAR(tbRegistroEntradas[[#This Row],[DATA DE CAIXA REALIZADO]]))</f>
        <v>2023</v>
      </c>
      <c r="L686" s="58" t="str">
        <f>IF(tbRegistroEntradas[[#This Row],[DATA DA COMPETÊNCIA]]="N/A","0",UPPER(TEXT(tbRegistroEntradas[[#This Row],[DATA DA COMPETÊNCIA]],"mmm")))</f>
        <v>AGO</v>
      </c>
      <c r="M686" s="58">
        <f>IF(tbRegistroEntradas[[#This Row],[DATA DA COMPETÊNCIA]]="N/A",0,YEAR(tbRegistroEntradas[[#This Row],[DATA DA COMPETÊNCIA]]))</f>
        <v>2023</v>
      </c>
      <c r="N686" s="58" t="str">
        <f>IF(tbRegistroEntradas[[#This Row],[DATA DO CAIXA PREVISTO]]="N/A","0",UPPER(TEXT(tbRegistroEntradas[[#This Row],[DATA DO CAIXA PREVISTO]],"mmm")))</f>
        <v>AGO</v>
      </c>
      <c r="O686" s="58">
        <f>IF(tbRegistroEntradas[[#This Row],[DATA DO CAIXA PREVISTO]]="N/A",0,YEAR(tbRegistroEntradas[[#This Row],[DATA DO CAIXA PREVISTO]]))</f>
        <v>2023</v>
      </c>
      <c r="P686" s="58" t="str">
        <f ca="1">IF(AND(tbRegistroEntradas[[#This Row],[DATA DE CAIXA REALIZADO]]="N/A",tbRegistroEntradas[[#This Row],[DATA DO CAIXA PREVISTO]]&lt;TODAY()),"Vencida","Não Vencida")</f>
        <v>Não Vencida</v>
      </c>
      <c r="Q686" s="58" t="str">
        <f>IF(tbRegistroEntradas[[#This Row],[DATA DA COMPETÊNCIA]]=tbRegistroEntradas[[#This Row],[DATA DO CAIXA PREVISTO]],"Vista","Prazo")</f>
        <v>Prazo</v>
      </c>
      <c r="R686" s="58" t="str">
        <f>IF(tbRegistroEntradas[[#This Row],[DATA DE CAIXA REALIZADO]]&lt;&gt;"N/A","Em Dia","Com atraso")</f>
        <v>Em Dia</v>
      </c>
    </row>
    <row r="687" spans="1:18" ht="14.4" customHeight="1" x14ac:dyDescent="0.3">
      <c r="A687" s="111">
        <v>45175</v>
      </c>
      <c r="B687" s="111">
        <f>A687-31</f>
        <v>45144</v>
      </c>
      <c r="C687" s="111">
        <f>(A687-B687)+B687-15</f>
        <v>45160</v>
      </c>
      <c r="D687" s="109" t="s">
        <v>66</v>
      </c>
      <c r="E687" s="109" t="s">
        <v>12</v>
      </c>
      <c r="F687" s="109" t="s">
        <v>17</v>
      </c>
      <c r="G687" s="109" t="s">
        <v>784</v>
      </c>
      <c r="H687" s="52" t="s">
        <v>126</v>
      </c>
      <c r="I687" s="118">
        <v>3218</v>
      </c>
      <c r="J687" s="110" t="str">
        <f>IF(tbRegistroEntradas[[#This Row],[DATA DE CAIXA REALIZADO]]="N/A","0",UPPER(TEXT(tbRegistroEntradas[[#This Row],[DATA DE CAIXA REALIZADO]],"mmm")))</f>
        <v>SET</v>
      </c>
      <c r="K687" s="57">
        <f>IF(tbRegistroEntradas[[#This Row],[DATA DE CAIXA REALIZADO]]="N/A",0,YEAR(tbRegistroEntradas[[#This Row],[DATA DE CAIXA REALIZADO]]))</f>
        <v>2023</v>
      </c>
      <c r="L687" s="58" t="str">
        <f>IF(tbRegistroEntradas[[#This Row],[DATA DA COMPETÊNCIA]]="N/A","0",UPPER(TEXT(tbRegistroEntradas[[#This Row],[DATA DA COMPETÊNCIA]],"mmm")))</f>
        <v>AGO</v>
      </c>
      <c r="M687" s="58">
        <f>IF(tbRegistroEntradas[[#This Row],[DATA DA COMPETÊNCIA]]="N/A",0,YEAR(tbRegistroEntradas[[#This Row],[DATA DA COMPETÊNCIA]]))</f>
        <v>2023</v>
      </c>
      <c r="N687" s="58" t="str">
        <f>IF(tbRegistroEntradas[[#This Row],[DATA DO CAIXA PREVISTO]]="N/A","0",UPPER(TEXT(tbRegistroEntradas[[#This Row],[DATA DO CAIXA PREVISTO]],"mmm")))</f>
        <v>AGO</v>
      </c>
      <c r="O687" s="58">
        <f>IF(tbRegistroEntradas[[#This Row],[DATA DO CAIXA PREVISTO]]="N/A",0,YEAR(tbRegistroEntradas[[#This Row],[DATA DO CAIXA PREVISTO]]))</f>
        <v>2023</v>
      </c>
      <c r="P687" s="58" t="str">
        <f ca="1">IF(AND(tbRegistroEntradas[[#This Row],[DATA DE CAIXA REALIZADO]]="N/A",tbRegistroEntradas[[#This Row],[DATA DO CAIXA PREVISTO]]&lt;TODAY()),"Vencida","Não Vencida")</f>
        <v>Não Vencida</v>
      </c>
      <c r="Q687" s="58" t="str">
        <f>IF(tbRegistroEntradas[[#This Row],[DATA DA COMPETÊNCIA]]=tbRegistroEntradas[[#This Row],[DATA DO CAIXA PREVISTO]],"Vista","Prazo")</f>
        <v>Prazo</v>
      </c>
      <c r="R687" s="58" t="str">
        <f>IF(tbRegistroEntradas[[#This Row],[DATA DE CAIXA REALIZADO]]&lt;&gt;"N/A","Em Dia","Com atraso")</f>
        <v>Em Dia</v>
      </c>
    </row>
    <row r="688" spans="1:18" ht="14.4" customHeight="1" x14ac:dyDescent="0.3">
      <c r="A688" s="111">
        <v>45177</v>
      </c>
      <c r="B688" s="111">
        <f>A688-31</f>
        <v>45146</v>
      </c>
      <c r="C688" s="111">
        <f>tbRegistroEntradas[[#This Row],[DATA DA COMPETÊNCIA]]</f>
        <v>45146</v>
      </c>
      <c r="D688" s="109" t="s">
        <v>63</v>
      </c>
      <c r="E688" s="109" t="s">
        <v>12</v>
      </c>
      <c r="F688" s="109" t="s">
        <v>18</v>
      </c>
      <c r="G688" s="109" t="s">
        <v>841</v>
      </c>
      <c r="H688" s="52" t="s">
        <v>99</v>
      </c>
      <c r="I688" s="118">
        <v>6742</v>
      </c>
      <c r="J688" s="110" t="str">
        <f>IF(tbRegistroEntradas[[#This Row],[DATA DE CAIXA REALIZADO]]="N/A","0",UPPER(TEXT(tbRegistroEntradas[[#This Row],[DATA DE CAIXA REALIZADO]],"mmm")))</f>
        <v>SET</v>
      </c>
      <c r="K688" s="57">
        <f>IF(tbRegistroEntradas[[#This Row],[DATA DE CAIXA REALIZADO]]="N/A",0,YEAR(tbRegistroEntradas[[#This Row],[DATA DE CAIXA REALIZADO]]))</f>
        <v>2023</v>
      </c>
      <c r="L688" s="58" t="str">
        <f>IF(tbRegistroEntradas[[#This Row],[DATA DA COMPETÊNCIA]]="N/A","0",UPPER(TEXT(tbRegistroEntradas[[#This Row],[DATA DA COMPETÊNCIA]],"mmm")))</f>
        <v>AGO</v>
      </c>
      <c r="M688" s="58">
        <f>IF(tbRegistroEntradas[[#This Row],[DATA DA COMPETÊNCIA]]="N/A",0,YEAR(tbRegistroEntradas[[#This Row],[DATA DA COMPETÊNCIA]]))</f>
        <v>2023</v>
      </c>
      <c r="N688" s="58" t="str">
        <f>IF(tbRegistroEntradas[[#This Row],[DATA DO CAIXA PREVISTO]]="N/A","0",UPPER(TEXT(tbRegistroEntradas[[#This Row],[DATA DO CAIXA PREVISTO]],"mmm")))</f>
        <v>AGO</v>
      </c>
      <c r="O688" s="58">
        <f>IF(tbRegistroEntradas[[#This Row],[DATA DO CAIXA PREVISTO]]="N/A",0,YEAR(tbRegistroEntradas[[#This Row],[DATA DO CAIXA PREVISTO]]))</f>
        <v>2023</v>
      </c>
      <c r="P688" s="58" t="str">
        <f ca="1">IF(AND(tbRegistroEntradas[[#This Row],[DATA DE CAIXA REALIZADO]]="N/A",tbRegistroEntradas[[#This Row],[DATA DO CAIXA PREVISTO]]&lt;TODAY()),"Vencida","Não Vencida")</f>
        <v>Não Vencida</v>
      </c>
      <c r="Q688" s="58" t="str">
        <f>IF(tbRegistroEntradas[[#This Row],[DATA DA COMPETÊNCIA]]=tbRegistroEntradas[[#This Row],[DATA DO CAIXA PREVISTO]],"Vista","Prazo")</f>
        <v>Vista</v>
      </c>
      <c r="R688" s="58" t="str">
        <f>IF(tbRegistroEntradas[[#This Row],[DATA DE CAIXA REALIZADO]]&lt;&gt;"N/A","Em Dia","Com atraso")</f>
        <v>Em Dia</v>
      </c>
    </row>
    <row r="689" spans="1:18" ht="14.4" customHeight="1" x14ac:dyDescent="0.3">
      <c r="A689" s="111">
        <v>45179</v>
      </c>
      <c r="B689" s="111">
        <f>A689-31</f>
        <v>45148</v>
      </c>
      <c r="C689" s="111">
        <f>(A689-B689)+B689-15</f>
        <v>45164</v>
      </c>
      <c r="D689" s="109" t="s">
        <v>138</v>
      </c>
      <c r="E689" s="109" t="s">
        <v>12</v>
      </c>
      <c r="F689" s="109" t="s">
        <v>32</v>
      </c>
      <c r="G689" s="109" t="s">
        <v>892</v>
      </c>
      <c r="H689" s="52" t="s">
        <v>135</v>
      </c>
      <c r="I689" s="118">
        <v>2876</v>
      </c>
      <c r="J689" s="110" t="str">
        <f>IF(tbRegistroEntradas[[#This Row],[DATA DE CAIXA REALIZADO]]="N/A","0",UPPER(TEXT(tbRegistroEntradas[[#This Row],[DATA DE CAIXA REALIZADO]],"mmm")))</f>
        <v>SET</v>
      </c>
      <c r="K689" s="57">
        <f>IF(tbRegistroEntradas[[#This Row],[DATA DE CAIXA REALIZADO]]="N/A",0,YEAR(tbRegistroEntradas[[#This Row],[DATA DE CAIXA REALIZADO]]))</f>
        <v>2023</v>
      </c>
      <c r="L689" s="58" t="str">
        <f>IF(tbRegistroEntradas[[#This Row],[DATA DA COMPETÊNCIA]]="N/A","0",UPPER(TEXT(tbRegistroEntradas[[#This Row],[DATA DA COMPETÊNCIA]],"mmm")))</f>
        <v>AGO</v>
      </c>
      <c r="M689" s="58">
        <f>IF(tbRegistroEntradas[[#This Row],[DATA DA COMPETÊNCIA]]="N/A",0,YEAR(tbRegistroEntradas[[#This Row],[DATA DA COMPETÊNCIA]]))</f>
        <v>2023</v>
      </c>
      <c r="N689" s="58" t="str">
        <f>IF(tbRegistroEntradas[[#This Row],[DATA DO CAIXA PREVISTO]]="N/A","0",UPPER(TEXT(tbRegistroEntradas[[#This Row],[DATA DO CAIXA PREVISTO]],"mmm")))</f>
        <v>AGO</v>
      </c>
      <c r="O689" s="58">
        <f>IF(tbRegistroEntradas[[#This Row],[DATA DO CAIXA PREVISTO]]="N/A",0,YEAR(tbRegistroEntradas[[#This Row],[DATA DO CAIXA PREVISTO]]))</f>
        <v>2023</v>
      </c>
      <c r="P689" s="58" t="str">
        <f ca="1">IF(AND(tbRegistroEntradas[[#This Row],[DATA DE CAIXA REALIZADO]]="N/A",tbRegistroEntradas[[#This Row],[DATA DO CAIXA PREVISTO]]&lt;TODAY()),"Vencida","Não Vencida")</f>
        <v>Não Vencida</v>
      </c>
      <c r="Q689" s="58" t="str">
        <f>IF(tbRegistroEntradas[[#This Row],[DATA DA COMPETÊNCIA]]=tbRegistroEntradas[[#This Row],[DATA DO CAIXA PREVISTO]],"Vista","Prazo")</f>
        <v>Prazo</v>
      </c>
      <c r="R689" s="58" t="str">
        <f>IF(tbRegistroEntradas[[#This Row],[DATA DE CAIXA REALIZADO]]&lt;&gt;"N/A","Em Dia","Com atraso")</f>
        <v>Em Dia</v>
      </c>
    </row>
    <row r="690" spans="1:18" ht="14.4" customHeight="1" x14ac:dyDescent="0.3">
      <c r="A690" s="111">
        <v>45180</v>
      </c>
      <c r="B690" s="111">
        <f>A690-31</f>
        <v>45149</v>
      </c>
      <c r="C690" s="111">
        <f>(A690-B690)+B690-15</f>
        <v>45165</v>
      </c>
      <c r="D690" s="109" t="s">
        <v>64</v>
      </c>
      <c r="E690" s="109" t="s">
        <v>12</v>
      </c>
      <c r="F690" s="109" t="s">
        <v>16</v>
      </c>
      <c r="G690" s="109" t="s">
        <v>697</v>
      </c>
      <c r="H690" s="52" t="s">
        <v>114</v>
      </c>
      <c r="I690" s="118">
        <v>3175</v>
      </c>
      <c r="J690" s="110" t="str">
        <f>IF(tbRegistroEntradas[[#This Row],[DATA DE CAIXA REALIZADO]]="N/A","0",UPPER(TEXT(tbRegistroEntradas[[#This Row],[DATA DE CAIXA REALIZADO]],"mmm")))</f>
        <v>SET</v>
      </c>
      <c r="K690" s="57">
        <f>IF(tbRegistroEntradas[[#This Row],[DATA DE CAIXA REALIZADO]]="N/A",0,YEAR(tbRegistroEntradas[[#This Row],[DATA DE CAIXA REALIZADO]]))</f>
        <v>2023</v>
      </c>
      <c r="L690" s="58" t="str">
        <f>IF(tbRegistroEntradas[[#This Row],[DATA DA COMPETÊNCIA]]="N/A","0",UPPER(TEXT(tbRegistroEntradas[[#This Row],[DATA DA COMPETÊNCIA]],"mmm")))</f>
        <v>AGO</v>
      </c>
      <c r="M690" s="58">
        <f>IF(tbRegistroEntradas[[#This Row],[DATA DA COMPETÊNCIA]]="N/A",0,YEAR(tbRegistroEntradas[[#This Row],[DATA DA COMPETÊNCIA]]))</f>
        <v>2023</v>
      </c>
      <c r="N690" s="58" t="str">
        <f>IF(tbRegistroEntradas[[#This Row],[DATA DO CAIXA PREVISTO]]="N/A","0",UPPER(TEXT(tbRegistroEntradas[[#This Row],[DATA DO CAIXA PREVISTO]],"mmm")))</f>
        <v>AGO</v>
      </c>
      <c r="O690" s="58">
        <f>IF(tbRegistroEntradas[[#This Row],[DATA DO CAIXA PREVISTO]]="N/A",0,YEAR(tbRegistroEntradas[[#This Row],[DATA DO CAIXA PREVISTO]]))</f>
        <v>2023</v>
      </c>
      <c r="P690" s="58" t="str">
        <f ca="1">IF(AND(tbRegistroEntradas[[#This Row],[DATA DE CAIXA REALIZADO]]="N/A",tbRegistroEntradas[[#This Row],[DATA DO CAIXA PREVISTO]]&lt;TODAY()),"Vencida","Não Vencida")</f>
        <v>Não Vencida</v>
      </c>
      <c r="Q690" s="58" t="str">
        <f>IF(tbRegistroEntradas[[#This Row],[DATA DA COMPETÊNCIA]]=tbRegistroEntradas[[#This Row],[DATA DO CAIXA PREVISTO]],"Vista","Prazo")</f>
        <v>Prazo</v>
      </c>
      <c r="R690" s="58" t="str">
        <f>IF(tbRegistroEntradas[[#This Row],[DATA DE CAIXA REALIZADO]]&lt;&gt;"N/A","Em Dia","Com atraso")</f>
        <v>Em Dia</v>
      </c>
    </row>
    <row r="691" spans="1:18" ht="14.4" customHeight="1" x14ac:dyDescent="0.3">
      <c r="A691" s="111">
        <v>45181</v>
      </c>
      <c r="B691" s="111">
        <f>A691-31</f>
        <v>45150</v>
      </c>
      <c r="C691" s="111">
        <f>(A691-B691)+B691-15</f>
        <v>45166</v>
      </c>
      <c r="D691" s="109" t="s">
        <v>63</v>
      </c>
      <c r="E691" s="109" t="s">
        <v>12</v>
      </c>
      <c r="F691" s="109" t="s">
        <v>17</v>
      </c>
      <c r="G691" s="109" t="s">
        <v>663</v>
      </c>
      <c r="H691" s="52" t="s">
        <v>100</v>
      </c>
      <c r="I691" s="118">
        <v>258</v>
      </c>
      <c r="J691" s="110" t="str">
        <f>IF(tbRegistroEntradas[[#This Row],[DATA DE CAIXA REALIZADO]]="N/A","0",UPPER(TEXT(tbRegistroEntradas[[#This Row],[DATA DE CAIXA REALIZADO]],"mmm")))</f>
        <v>SET</v>
      </c>
      <c r="K691" s="57">
        <f>IF(tbRegistroEntradas[[#This Row],[DATA DE CAIXA REALIZADO]]="N/A",0,YEAR(tbRegistroEntradas[[#This Row],[DATA DE CAIXA REALIZADO]]))</f>
        <v>2023</v>
      </c>
      <c r="L691" s="58" t="str">
        <f>IF(tbRegistroEntradas[[#This Row],[DATA DA COMPETÊNCIA]]="N/A","0",UPPER(TEXT(tbRegistroEntradas[[#This Row],[DATA DA COMPETÊNCIA]],"mmm")))</f>
        <v>AGO</v>
      </c>
      <c r="M691" s="58">
        <f>IF(tbRegistroEntradas[[#This Row],[DATA DA COMPETÊNCIA]]="N/A",0,YEAR(tbRegistroEntradas[[#This Row],[DATA DA COMPETÊNCIA]]))</f>
        <v>2023</v>
      </c>
      <c r="N691" s="58" t="str">
        <f>IF(tbRegistroEntradas[[#This Row],[DATA DO CAIXA PREVISTO]]="N/A","0",UPPER(TEXT(tbRegistroEntradas[[#This Row],[DATA DO CAIXA PREVISTO]],"mmm")))</f>
        <v>AGO</v>
      </c>
      <c r="O691" s="58">
        <f>IF(tbRegistroEntradas[[#This Row],[DATA DO CAIXA PREVISTO]]="N/A",0,YEAR(tbRegistroEntradas[[#This Row],[DATA DO CAIXA PREVISTO]]))</f>
        <v>2023</v>
      </c>
      <c r="P691" s="58" t="str">
        <f ca="1">IF(AND(tbRegistroEntradas[[#This Row],[DATA DE CAIXA REALIZADO]]="N/A",tbRegistroEntradas[[#This Row],[DATA DO CAIXA PREVISTO]]&lt;TODAY()),"Vencida","Não Vencida")</f>
        <v>Não Vencida</v>
      </c>
      <c r="Q691" s="58" t="str">
        <f>IF(tbRegistroEntradas[[#This Row],[DATA DA COMPETÊNCIA]]=tbRegistroEntradas[[#This Row],[DATA DO CAIXA PREVISTO]],"Vista","Prazo")</f>
        <v>Prazo</v>
      </c>
      <c r="R691" s="58" t="str">
        <f>IF(tbRegistroEntradas[[#This Row],[DATA DE CAIXA REALIZADO]]&lt;&gt;"N/A","Em Dia","Com atraso")</f>
        <v>Em Dia</v>
      </c>
    </row>
    <row r="692" spans="1:18" ht="14.4" customHeight="1" x14ac:dyDescent="0.3">
      <c r="A692" s="111">
        <v>45184</v>
      </c>
      <c r="B692" s="111">
        <f>A692-31</f>
        <v>45153</v>
      </c>
      <c r="C692" s="111">
        <f>tbRegistroEntradas[[#This Row],[DATA DA COMPETÊNCIA]]</f>
        <v>45153</v>
      </c>
      <c r="D692" s="109" t="s">
        <v>67</v>
      </c>
      <c r="E692" s="109" t="s">
        <v>12</v>
      </c>
      <c r="F692" s="109" t="s">
        <v>18</v>
      </c>
      <c r="G692" s="109" t="s">
        <v>896</v>
      </c>
      <c r="H692" s="52" t="s">
        <v>130</v>
      </c>
      <c r="I692" s="118">
        <v>6368</v>
      </c>
      <c r="J692" s="110" t="str">
        <f>IF(tbRegistroEntradas[[#This Row],[DATA DE CAIXA REALIZADO]]="N/A","0",UPPER(TEXT(tbRegistroEntradas[[#This Row],[DATA DE CAIXA REALIZADO]],"mmm")))</f>
        <v>SET</v>
      </c>
      <c r="K692" s="57">
        <f>IF(tbRegistroEntradas[[#This Row],[DATA DE CAIXA REALIZADO]]="N/A",0,YEAR(tbRegistroEntradas[[#This Row],[DATA DE CAIXA REALIZADO]]))</f>
        <v>2023</v>
      </c>
      <c r="L692" s="58" t="str">
        <f>IF(tbRegistroEntradas[[#This Row],[DATA DA COMPETÊNCIA]]="N/A","0",UPPER(TEXT(tbRegistroEntradas[[#This Row],[DATA DA COMPETÊNCIA]],"mmm")))</f>
        <v>AGO</v>
      </c>
      <c r="M692" s="58">
        <f>IF(tbRegistroEntradas[[#This Row],[DATA DA COMPETÊNCIA]]="N/A",0,YEAR(tbRegistroEntradas[[#This Row],[DATA DA COMPETÊNCIA]]))</f>
        <v>2023</v>
      </c>
      <c r="N692" s="58" t="str">
        <f>IF(tbRegistroEntradas[[#This Row],[DATA DO CAIXA PREVISTO]]="N/A","0",UPPER(TEXT(tbRegistroEntradas[[#This Row],[DATA DO CAIXA PREVISTO]],"mmm")))</f>
        <v>AGO</v>
      </c>
      <c r="O692" s="58">
        <f>IF(tbRegistroEntradas[[#This Row],[DATA DO CAIXA PREVISTO]]="N/A",0,YEAR(tbRegistroEntradas[[#This Row],[DATA DO CAIXA PREVISTO]]))</f>
        <v>2023</v>
      </c>
      <c r="P692" s="58" t="str">
        <f ca="1">IF(AND(tbRegistroEntradas[[#This Row],[DATA DE CAIXA REALIZADO]]="N/A",tbRegistroEntradas[[#This Row],[DATA DO CAIXA PREVISTO]]&lt;TODAY()),"Vencida","Não Vencida")</f>
        <v>Não Vencida</v>
      </c>
      <c r="Q692" s="58" t="str">
        <f>IF(tbRegistroEntradas[[#This Row],[DATA DA COMPETÊNCIA]]=tbRegistroEntradas[[#This Row],[DATA DO CAIXA PREVISTO]],"Vista","Prazo")</f>
        <v>Vista</v>
      </c>
      <c r="R692" s="58" t="str">
        <f>IF(tbRegistroEntradas[[#This Row],[DATA DE CAIXA REALIZADO]]&lt;&gt;"N/A","Em Dia","Com atraso")</f>
        <v>Em Dia</v>
      </c>
    </row>
    <row r="693" spans="1:18" ht="14.4" customHeight="1" x14ac:dyDescent="0.3">
      <c r="A693" s="111">
        <v>45184</v>
      </c>
      <c r="B693" s="111">
        <f>A693-31</f>
        <v>45153</v>
      </c>
      <c r="C693" s="111">
        <f>(A693-B693)+B693-15</f>
        <v>45169</v>
      </c>
      <c r="D693" s="109" t="s">
        <v>66</v>
      </c>
      <c r="E693" s="109" t="s">
        <v>12</v>
      </c>
      <c r="F693" s="109" t="s">
        <v>17</v>
      </c>
      <c r="G693" s="109" t="s">
        <v>1052</v>
      </c>
      <c r="H693" s="5" t="s">
        <v>127</v>
      </c>
      <c r="I693" s="118">
        <v>5013</v>
      </c>
      <c r="J693" s="110" t="str">
        <f>IF(tbRegistroEntradas[[#This Row],[DATA DE CAIXA REALIZADO]]="N/A","0",UPPER(TEXT(tbRegistroEntradas[[#This Row],[DATA DE CAIXA REALIZADO]],"mmm")))</f>
        <v>SET</v>
      </c>
      <c r="K693" s="57">
        <f>IF(tbRegistroEntradas[[#This Row],[DATA DE CAIXA REALIZADO]]="N/A",0,YEAR(tbRegistroEntradas[[#This Row],[DATA DE CAIXA REALIZADO]]))</f>
        <v>2023</v>
      </c>
      <c r="L693" s="58" t="str">
        <f>IF(tbRegistroEntradas[[#This Row],[DATA DA COMPETÊNCIA]]="N/A","0",UPPER(TEXT(tbRegistroEntradas[[#This Row],[DATA DA COMPETÊNCIA]],"mmm")))</f>
        <v>AGO</v>
      </c>
      <c r="M693" s="58">
        <f>IF(tbRegistroEntradas[[#This Row],[DATA DA COMPETÊNCIA]]="N/A",0,YEAR(tbRegistroEntradas[[#This Row],[DATA DA COMPETÊNCIA]]))</f>
        <v>2023</v>
      </c>
      <c r="N693" s="58" t="str">
        <f>IF(tbRegistroEntradas[[#This Row],[DATA DO CAIXA PREVISTO]]="N/A","0",UPPER(TEXT(tbRegistroEntradas[[#This Row],[DATA DO CAIXA PREVISTO]],"mmm")))</f>
        <v>AGO</v>
      </c>
      <c r="O693" s="58">
        <f>IF(tbRegistroEntradas[[#This Row],[DATA DO CAIXA PREVISTO]]="N/A",0,YEAR(tbRegistroEntradas[[#This Row],[DATA DO CAIXA PREVISTO]]))</f>
        <v>2023</v>
      </c>
      <c r="P693" s="58" t="str">
        <f ca="1">IF(AND(tbRegistroEntradas[[#This Row],[DATA DE CAIXA REALIZADO]]="N/A",tbRegistroEntradas[[#This Row],[DATA DO CAIXA PREVISTO]]&lt;TODAY()),"Vencida","Não Vencida")</f>
        <v>Não Vencida</v>
      </c>
      <c r="Q693" s="58" t="str">
        <f>IF(tbRegistroEntradas[[#This Row],[DATA DA COMPETÊNCIA]]=tbRegistroEntradas[[#This Row],[DATA DO CAIXA PREVISTO]],"Vista","Prazo")</f>
        <v>Prazo</v>
      </c>
      <c r="R693" s="58" t="str">
        <f>IF(tbRegistroEntradas[[#This Row],[DATA DE CAIXA REALIZADO]]&lt;&gt;"N/A","Em Dia","Com atraso")</f>
        <v>Em Dia</v>
      </c>
    </row>
    <row r="694" spans="1:18" ht="14.4" customHeight="1" x14ac:dyDescent="0.3">
      <c r="A694" s="111">
        <v>45190</v>
      </c>
      <c r="B694" s="111">
        <f>A694-31</f>
        <v>45159</v>
      </c>
      <c r="C694" s="111">
        <f>tbRegistroEntradas[[#This Row],[DATA DA COMPETÊNCIA]]</f>
        <v>45159</v>
      </c>
      <c r="D694" s="109" t="s">
        <v>61</v>
      </c>
      <c r="E694" s="109" t="s">
        <v>12</v>
      </c>
      <c r="F694" s="109" t="s">
        <v>18</v>
      </c>
      <c r="G694" s="109" t="s">
        <v>946</v>
      </c>
      <c r="H694" s="52" t="s">
        <v>71</v>
      </c>
      <c r="I694" s="118">
        <v>4841</v>
      </c>
      <c r="J694" s="110" t="str">
        <f>IF(tbRegistroEntradas[[#This Row],[DATA DE CAIXA REALIZADO]]="N/A","0",UPPER(TEXT(tbRegistroEntradas[[#This Row],[DATA DE CAIXA REALIZADO]],"mmm")))</f>
        <v>SET</v>
      </c>
      <c r="K694" s="57">
        <f>IF(tbRegistroEntradas[[#This Row],[DATA DE CAIXA REALIZADO]]="N/A",0,YEAR(tbRegistroEntradas[[#This Row],[DATA DE CAIXA REALIZADO]]))</f>
        <v>2023</v>
      </c>
      <c r="L694" s="58" t="str">
        <f>IF(tbRegistroEntradas[[#This Row],[DATA DA COMPETÊNCIA]]="N/A","0",UPPER(TEXT(tbRegistroEntradas[[#This Row],[DATA DA COMPETÊNCIA]],"mmm")))</f>
        <v>AGO</v>
      </c>
      <c r="M694" s="58">
        <f>IF(tbRegistroEntradas[[#This Row],[DATA DA COMPETÊNCIA]]="N/A",0,YEAR(tbRegistroEntradas[[#This Row],[DATA DA COMPETÊNCIA]]))</f>
        <v>2023</v>
      </c>
      <c r="N694" s="58" t="str">
        <f>IF(tbRegistroEntradas[[#This Row],[DATA DO CAIXA PREVISTO]]="N/A","0",UPPER(TEXT(tbRegistroEntradas[[#This Row],[DATA DO CAIXA PREVISTO]],"mmm")))</f>
        <v>AGO</v>
      </c>
      <c r="O694" s="58">
        <f>IF(tbRegistroEntradas[[#This Row],[DATA DO CAIXA PREVISTO]]="N/A",0,YEAR(tbRegistroEntradas[[#This Row],[DATA DO CAIXA PREVISTO]]))</f>
        <v>2023</v>
      </c>
      <c r="P694" s="58" t="str">
        <f ca="1">IF(AND(tbRegistroEntradas[[#This Row],[DATA DE CAIXA REALIZADO]]="N/A",tbRegistroEntradas[[#This Row],[DATA DO CAIXA PREVISTO]]&lt;TODAY()),"Vencida","Não Vencida")</f>
        <v>Não Vencida</v>
      </c>
      <c r="Q694" s="58" t="str">
        <f>IF(tbRegistroEntradas[[#This Row],[DATA DA COMPETÊNCIA]]=tbRegistroEntradas[[#This Row],[DATA DO CAIXA PREVISTO]],"Vista","Prazo")</f>
        <v>Vista</v>
      </c>
      <c r="R694" s="58" t="str">
        <f>IF(tbRegistroEntradas[[#This Row],[DATA DE CAIXA REALIZADO]]&lt;&gt;"N/A","Em Dia","Com atraso")</f>
        <v>Em Dia</v>
      </c>
    </row>
    <row r="695" spans="1:18" ht="14.4" customHeight="1" x14ac:dyDescent="0.3">
      <c r="A695" s="111">
        <v>45190</v>
      </c>
      <c r="B695" s="111">
        <f>A695-31</f>
        <v>45159</v>
      </c>
      <c r="C695" s="111">
        <f>tbRegistroEntradas[[#This Row],[DATA DA COMPETÊNCIA]]</f>
        <v>45159</v>
      </c>
      <c r="D695" s="109" t="s">
        <v>65</v>
      </c>
      <c r="E695" s="109" t="s">
        <v>12</v>
      </c>
      <c r="F695" s="109" t="s">
        <v>19</v>
      </c>
      <c r="G695" s="109" t="s">
        <v>679</v>
      </c>
      <c r="H695" s="126" t="s">
        <v>121</v>
      </c>
      <c r="I695" s="118">
        <v>7023</v>
      </c>
      <c r="J695" s="110" t="str">
        <f>IF(tbRegistroEntradas[[#This Row],[DATA DE CAIXA REALIZADO]]="N/A","0",UPPER(TEXT(tbRegistroEntradas[[#This Row],[DATA DE CAIXA REALIZADO]],"mmm")))</f>
        <v>SET</v>
      </c>
      <c r="K695" s="57">
        <f>IF(tbRegistroEntradas[[#This Row],[DATA DE CAIXA REALIZADO]]="N/A",0,YEAR(tbRegistroEntradas[[#This Row],[DATA DE CAIXA REALIZADO]]))</f>
        <v>2023</v>
      </c>
      <c r="L695" s="58" t="str">
        <f>IF(tbRegistroEntradas[[#This Row],[DATA DA COMPETÊNCIA]]="N/A","0",UPPER(TEXT(tbRegistroEntradas[[#This Row],[DATA DA COMPETÊNCIA]],"mmm")))</f>
        <v>AGO</v>
      </c>
      <c r="M695" s="58">
        <f>IF(tbRegistroEntradas[[#This Row],[DATA DA COMPETÊNCIA]]="N/A",0,YEAR(tbRegistroEntradas[[#This Row],[DATA DA COMPETÊNCIA]]))</f>
        <v>2023</v>
      </c>
      <c r="N695" s="58" t="str">
        <f>IF(tbRegistroEntradas[[#This Row],[DATA DO CAIXA PREVISTO]]="N/A","0",UPPER(TEXT(tbRegistroEntradas[[#This Row],[DATA DO CAIXA PREVISTO]],"mmm")))</f>
        <v>AGO</v>
      </c>
      <c r="O695" s="58">
        <f>IF(tbRegistroEntradas[[#This Row],[DATA DO CAIXA PREVISTO]]="N/A",0,YEAR(tbRegistroEntradas[[#This Row],[DATA DO CAIXA PREVISTO]]))</f>
        <v>2023</v>
      </c>
      <c r="P695" s="58" t="str">
        <f ca="1">IF(AND(tbRegistroEntradas[[#This Row],[DATA DE CAIXA REALIZADO]]="N/A",tbRegistroEntradas[[#This Row],[DATA DO CAIXA PREVISTO]]&lt;TODAY()),"Vencida","Não Vencida")</f>
        <v>Não Vencida</v>
      </c>
      <c r="Q695" s="58" t="str">
        <f>IF(tbRegistroEntradas[[#This Row],[DATA DA COMPETÊNCIA]]=tbRegistroEntradas[[#This Row],[DATA DO CAIXA PREVISTO]],"Vista","Prazo")</f>
        <v>Vista</v>
      </c>
      <c r="R695" s="58" t="str">
        <f>IF(tbRegistroEntradas[[#This Row],[DATA DE CAIXA REALIZADO]]&lt;&gt;"N/A","Em Dia","Com atraso")</f>
        <v>Em Dia</v>
      </c>
    </row>
    <row r="696" spans="1:18" ht="14.4" customHeight="1" x14ac:dyDescent="0.3">
      <c r="A696" s="111">
        <v>45193</v>
      </c>
      <c r="B696" s="111">
        <f>A696-31</f>
        <v>45162</v>
      </c>
      <c r="C696" s="111">
        <f>(A696-B696)+B696-15</f>
        <v>45178</v>
      </c>
      <c r="D696" s="109" t="s">
        <v>63</v>
      </c>
      <c r="E696" s="109" t="s">
        <v>12</v>
      </c>
      <c r="F696" s="109" t="s">
        <v>32</v>
      </c>
      <c r="G696" s="109" t="s">
        <v>992</v>
      </c>
      <c r="H696" s="5" t="s">
        <v>101</v>
      </c>
      <c r="I696" s="118">
        <v>5832</v>
      </c>
      <c r="J696" s="110" t="str">
        <f>IF(tbRegistroEntradas[[#This Row],[DATA DE CAIXA REALIZADO]]="N/A","0",UPPER(TEXT(tbRegistroEntradas[[#This Row],[DATA DE CAIXA REALIZADO]],"mmm")))</f>
        <v>SET</v>
      </c>
      <c r="K696" s="57">
        <f>IF(tbRegistroEntradas[[#This Row],[DATA DE CAIXA REALIZADO]]="N/A",0,YEAR(tbRegistroEntradas[[#This Row],[DATA DE CAIXA REALIZADO]]))</f>
        <v>2023</v>
      </c>
      <c r="L696" s="58" t="str">
        <f>IF(tbRegistroEntradas[[#This Row],[DATA DA COMPETÊNCIA]]="N/A","0",UPPER(TEXT(tbRegistroEntradas[[#This Row],[DATA DA COMPETÊNCIA]],"mmm")))</f>
        <v>AGO</v>
      </c>
      <c r="M696" s="58">
        <f>IF(tbRegistroEntradas[[#This Row],[DATA DA COMPETÊNCIA]]="N/A",0,YEAR(tbRegistroEntradas[[#This Row],[DATA DA COMPETÊNCIA]]))</f>
        <v>2023</v>
      </c>
      <c r="N696" s="58" t="str">
        <f>IF(tbRegistroEntradas[[#This Row],[DATA DO CAIXA PREVISTO]]="N/A","0",UPPER(TEXT(tbRegistroEntradas[[#This Row],[DATA DO CAIXA PREVISTO]],"mmm")))</f>
        <v>SET</v>
      </c>
      <c r="O696" s="58">
        <f>IF(tbRegistroEntradas[[#This Row],[DATA DO CAIXA PREVISTO]]="N/A",0,YEAR(tbRegistroEntradas[[#This Row],[DATA DO CAIXA PREVISTO]]))</f>
        <v>2023</v>
      </c>
      <c r="P696" s="58" t="str">
        <f ca="1">IF(AND(tbRegistroEntradas[[#This Row],[DATA DE CAIXA REALIZADO]]="N/A",tbRegistroEntradas[[#This Row],[DATA DO CAIXA PREVISTO]]&lt;TODAY()),"Vencida","Não Vencida")</f>
        <v>Não Vencida</v>
      </c>
      <c r="Q696" s="58" t="str">
        <f>IF(tbRegistroEntradas[[#This Row],[DATA DA COMPETÊNCIA]]=tbRegistroEntradas[[#This Row],[DATA DO CAIXA PREVISTO]],"Vista","Prazo")</f>
        <v>Prazo</v>
      </c>
      <c r="R696" s="58" t="str">
        <f>IF(tbRegistroEntradas[[#This Row],[DATA DE CAIXA REALIZADO]]&lt;&gt;"N/A","Em Dia","Com atraso")</f>
        <v>Em Dia</v>
      </c>
    </row>
    <row r="697" spans="1:18" ht="14.4" customHeight="1" x14ac:dyDescent="0.3">
      <c r="A697" s="111">
        <v>45196</v>
      </c>
      <c r="B697" s="111">
        <f>A697-31</f>
        <v>45165</v>
      </c>
      <c r="C697" s="111">
        <f>tbRegistroEntradas[[#This Row],[DATA DA COMPETÊNCIA]]</f>
        <v>45165</v>
      </c>
      <c r="D697" s="109" t="s">
        <v>66</v>
      </c>
      <c r="E697" s="109" t="s">
        <v>12</v>
      </c>
      <c r="F697" s="109" t="s">
        <v>16</v>
      </c>
      <c r="G697" s="109" t="s">
        <v>748</v>
      </c>
      <c r="H697" s="52" t="s">
        <v>128</v>
      </c>
      <c r="I697" s="118">
        <v>1015</v>
      </c>
      <c r="J697" s="110" t="str">
        <f>IF(tbRegistroEntradas[[#This Row],[DATA DE CAIXA REALIZADO]]="N/A","0",UPPER(TEXT(tbRegistroEntradas[[#This Row],[DATA DE CAIXA REALIZADO]],"mmm")))</f>
        <v>SET</v>
      </c>
      <c r="K697" s="57">
        <f>IF(tbRegistroEntradas[[#This Row],[DATA DE CAIXA REALIZADO]]="N/A",0,YEAR(tbRegistroEntradas[[#This Row],[DATA DE CAIXA REALIZADO]]))</f>
        <v>2023</v>
      </c>
      <c r="L697" s="58" t="str">
        <f>IF(tbRegistroEntradas[[#This Row],[DATA DA COMPETÊNCIA]]="N/A","0",UPPER(TEXT(tbRegistroEntradas[[#This Row],[DATA DA COMPETÊNCIA]],"mmm")))</f>
        <v>AGO</v>
      </c>
      <c r="M697" s="58">
        <f>IF(tbRegistroEntradas[[#This Row],[DATA DA COMPETÊNCIA]]="N/A",0,YEAR(tbRegistroEntradas[[#This Row],[DATA DA COMPETÊNCIA]]))</f>
        <v>2023</v>
      </c>
      <c r="N697" s="58" t="str">
        <f>IF(tbRegistroEntradas[[#This Row],[DATA DO CAIXA PREVISTO]]="N/A","0",UPPER(TEXT(tbRegistroEntradas[[#This Row],[DATA DO CAIXA PREVISTO]],"mmm")))</f>
        <v>AGO</v>
      </c>
      <c r="O697" s="58">
        <f>IF(tbRegistroEntradas[[#This Row],[DATA DO CAIXA PREVISTO]]="N/A",0,YEAR(tbRegistroEntradas[[#This Row],[DATA DO CAIXA PREVISTO]]))</f>
        <v>2023</v>
      </c>
      <c r="P697" s="58" t="str">
        <f ca="1">IF(AND(tbRegistroEntradas[[#This Row],[DATA DE CAIXA REALIZADO]]="N/A",tbRegistroEntradas[[#This Row],[DATA DO CAIXA PREVISTO]]&lt;TODAY()),"Vencida","Não Vencida")</f>
        <v>Não Vencida</v>
      </c>
      <c r="Q697" s="58" t="str">
        <f>IF(tbRegistroEntradas[[#This Row],[DATA DA COMPETÊNCIA]]=tbRegistroEntradas[[#This Row],[DATA DO CAIXA PREVISTO]],"Vista","Prazo")</f>
        <v>Vista</v>
      </c>
      <c r="R697" s="58" t="str">
        <f>IF(tbRegistroEntradas[[#This Row],[DATA DE CAIXA REALIZADO]]&lt;&gt;"N/A","Em Dia","Com atraso")</f>
        <v>Em Dia</v>
      </c>
    </row>
    <row r="698" spans="1:18" ht="14.4" customHeight="1" x14ac:dyDescent="0.3">
      <c r="A698" s="111">
        <v>45197</v>
      </c>
      <c r="B698" s="111">
        <f>A698-31</f>
        <v>45166</v>
      </c>
      <c r="C698" s="111">
        <f>(A698-B698)+B698-15</f>
        <v>45182</v>
      </c>
      <c r="D698" s="109" t="s">
        <v>138</v>
      </c>
      <c r="E698" s="109" t="s">
        <v>12</v>
      </c>
      <c r="F698" s="109" t="s">
        <v>17</v>
      </c>
      <c r="G698" s="109" t="s">
        <v>683</v>
      </c>
      <c r="H698" s="52" t="s">
        <v>136</v>
      </c>
      <c r="I698" s="118">
        <v>5340</v>
      </c>
      <c r="J698" s="110" t="str">
        <f>IF(tbRegistroEntradas[[#This Row],[DATA DE CAIXA REALIZADO]]="N/A","0",UPPER(TEXT(tbRegistroEntradas[[#This Row],[DATA DE CAIXA REALIZADO]],"mmm")))</f>
        <v>SET</v>
      </c>
      <c r="K698" s="57">
        <f>IF(tbRegistroEntradas[[#This Row],[DATA DE CAIXA REALIZADO]]="N/A",0,YEAR(tbRegistroEntradas[[#This Row],[DATA DE CAIXA REALIZADO]]))</f>
        <v>2023</v>
      </c>
      <c r="L698" s="58" t="str">
        <f>IF(tbRegistroEntradas[[#This Row],[DATA DA COMPETÊNCIA]]="N/A","0",UPPER(TEXT(tbRegistroEntradas[[#This Row],[DATA DA COMPETÊNCIA]],"mmm")))</f>
        <v>AGO</v>
      </c>
      <c r="M698" s="58">
        <f>IF(tbRegistroEntradas[[#This Row],[DATA DA COMPETÊNCIA]]="N/A",0,YEAR(tbRegistroEntradas[[#This Row],[DATA DA COMPETÊNCIA]]))</f>
        <v>2023</v>
      </c>
      <c r="N698" s="58" t="str">
        <f>IF(tbRegistroEntradas[[#This Row],[DATA DO CAIXA PREVISTO]]="N/A","0",UPPER(TEXT(tbRegistroEntradas[[#This Row],[DATA DO CAIXA PREVISTO]],"mmm")))</f>
        <v>SET</v>
      </c>
      <c r="O698" s="58">
        <f>IF(tbRegistroEntradas[[#This Row],[DATA DO CAIXA PREVISTO]]="N/A",0,YEAR(tbRegistroEntradas[[#This Row],[DATA DO CAIXA PREVISTO]]))</f>
        <v>2023</v>
      </c>
      <c r="P698" s="58" t="str">
        <f ca="1">IF(AND(tbRegistroEntradas[[#This Row],[DATA DE CAIXA REALIZADO]]="N/A",tbRegistroEntradas[[#This Row],[DATA DO CAIXA PREVISTO]]&lt;TODAY()),"Vencida","Não Vencida")</f>
        <v>Não Vencida</v>
      </c>
      <c r="Q698" s="58" t="str">
        <f>IF(tbRegistroEntradas[[#This Row],[DATA DA COMPETÊNCIA]]=tbRegistroEntradas[[#This Row],[DATA DO CAIXA PREVISTO]],"Vista","Prazo")</f>
        <v>Prazo</v>
      </c>
      <c r="R698" s="58" t="str">
        <f>IF(tbRegistroEntradas[[#This Row],[DATA DE CAIXA REALIZADO]]&lt;&gt;"N/A","Em Dia","Com atraso")</f>
        <v>Em Dia</v>
      </c>
    </row>
    <row r="699" spans="1:18" ht="14.4" customHeight="1" x14ac:dyDescent="0.3">
      <c r="A699" s="111">
        <v>45205</v>
      </c>
      <c r="B699" s="111">
        <f>A699-31</f>
        <v>45174</v>
      </c>
      <c r="C699" s="111">
        <f>(A699-B699)+B699-15</f>
        <v>45190</v>
      </c>
      <c r="D699" s="109" t="s">
        <v>63</v>
      </c>
      <c r="E699" s="109" t="s">
        <v>12</v>
      </c>
      <c r="F699" s="109" t="s">
        <v>18</v>
      </c>
      <c r="G699" s="109" t="s">
        <v>958</v>
      </c>
      <c r="H699" s="52" t="s">
        <v>98</v>
      </c>
      <c r="I699" s="118">
        <v>2898</v>
      </c>
      <c r="J699" s="110" t="str">
        <f>IF(tbRegistroEntradas[[#This Row],[DATA DE CAIXA REALIZADO]]="N/A","0",UPPER(TEXT(tbRegistroEntradas[[#This Row],[DATA DE CAIXA REALIZADO]],"mmm")))</f>
        <v>OUT</v>
      </c>
      <c r="K699" s="57">
        <f>IF(tbRegistroEntradas[[#This Row],[DATA DE CAIXA REALIZADO]]="N/A",0,YEAR(tbRegistroEntradas[[#This Row],[DATA DE CAIXA REALIZADO]]))</f>
        <v>2023</v>
      </c>
      <c r="L699" s="58" t="str">
        <f>IF(tbRegistroEntradas[[#This Row],[DATA DA COMPETÊNCIA]]="N/A","0",UPPER(TEXT(tbRegistroEntradas[[#This Row],[DATA DA COMPETÊNCIA]],"mmm")))</f>
        <v>SET</v>
      </c>
      <c r="M699" s="58">
        <f>IF(tbRegistroEntradas[[#This Row],[DATA DA COMPETÊNCIA]]="N/A",0,YEAR(tbRegistroEntradas[[#This Row],[DATA DA COMPETÊNCIA]]))</f>
        <v>2023</v>
      </c>
      <c r="N699" s="58" t="str">
        <f>IF(tbRegistroEntradas[[#This Row],[DATA DO CAIXA PREVISTO]]="N/A","0",UPPER(TEXT(tbRegistroEntradas[[#This Row],[DATA DO CAIXA PREVISTO]],"mmm")))</f>
        <v>SET</v>
      </c>
      <c r="O699" s="58">
        <f>IF(tbRegistroEntradas[[#This Row],[DATA DO CAIXA PREVISTO]]="N/A",0,YEAR(tbRegistroEntradas[[#This Row],[DATA DO CAIXA PREVISTO]]))</f>
        <v>2023</v>
      </c>
      <c r="P699" s="58" t="str">
        <f ca="1">IF(AND(tbRegistroEntradas[[#This Row],[DATA DE CAIXA REALIZADO]]="N/A",tbRegistroEntradas[[#This Row],[DATA DO CAIXA PREVISTO]]&lt;TODAY()),"Vencida","Não Vencida")</f>
        <v>Não Vencida</v>
      </c>
      <c r="Q699" s="58" t="str">
        <f>IF(tbRegistroEntradas[[#This Row],[DATA DA COMPETÊNCIA]]=tbRegistroEntradas[[#This Row],[DATA DO CAIXA PREVISTO]],"Vista","Prazo")</f>
        <v>Prazo</v>
      </c>
      <c r="R699" s="58" t="str">
        <f>IF(tbRegistroEntradas[[#This Row],[DATA DE CAIXA REALIZADO]]&lt;&gt;"N/A","Em Dia","Com atraso")</f>
        <v>Em Dia</v>
      </c>
    </row>
    <row r="700" spans="1:18" ht="14.4" customHeight="1" x14ac:dyDescent="0.3">
      <c r="A700" s="111">
        <v>45207</v>
      </c>
      <c r="B700" s="111">
        <f>A700-31</f>
        <v>45176</v>
      </c>
      <c r="C700" s="111">
        <f>(A700-B700)+B700-15</f>
        <v>45192</v>
      </c>
      <c r="D700" s="109" t="s">
        <v>138</v>
      </c>
      <c r="E700" s="109" t="s">
        <v>12</v>
      </c>
      <c r="F700" s="109" t="s">
        <v>19</v>
      </c>
      <c r="G700" s="109" t="s">
        <v>1060</v>
      </c>
      <c r="H700" s="52" t="s">
        <v>68</v>
      </c>
      <c r="I700" s="118">
        <v>7017</v>
      </c>
      <c r="J700" s="110" t="str">
        <f>IF(tbRegistroEntradas[[#This Row],[DATA DE CAIXA REALIZADO]]="N/A","0",UPPER(TEXT(tbRegistroEntradas[[#This Row],[DATA DE CAIXA REALIZADO]],"mmm")))</f>
        <v>OUT</v>
      </c>
      <c r="K700" s="57">
        <f>IF(tbRegistroEntradas[[#This Row],[DATA DE CAIXA REALIZADO]]="N/A",0,YEAR(tbRegistroEntradas[[#This Row],[DATA DE CAIXA REALIZADO]]))</f>
        <v>2023</v>
      </c>
      <c r="L700" s="58" t="str">
        <f>IF(tbRegistroEntradas[[#This Row],[DATA DA COMPETÊNCIA]]="N/A","0",UPPER(TEXT(tbRegistroEntradas[[#This Row],[DATA DA COMPETÊNCIA]],"mmm")))</f>
        <v>SET</v>
      </c>
      <c r="M700" s="58">
        <f>IF(tbRegistroEntradas[[#This Row],[DATA DA COMPETÊNCIA]]="N/A",0,YEAR(tbRegistroEntradas[[#This Row],[DATA DA COMPETÊNCIA]]))</f>
        <v>2023</v>
      </c>
      <c r="N700" s="58" t="str">
        <f>IF(tbRegistroEntradas[[#This Row],[DATA DO CAIXA PREVISTO]]="N/A","0",UPPER(TEXT(tbRegistroEntradas[[#This Row],[DATA DO CAIXA PREVISTO]],"mmm")))</f>
        <v>SET</v>
      </c>
      <c r="O700" s="58">
        <f>IF(tbRegistroEntradas[[#This Row],[DATA DO CAIXA PREVISTO]]="N/A",0,YEAR(tbRegistroEntradas[[#This Row],[DATA DO CAIXA PREVISTO]]))</f>
        <v>2023</v>
      </c>
      <c r="P700" s="58" t="str">
        <f ca="1">IF(AND(tbRegistroEntradas[[#This Row],[DATA DE CAIXA REALIZADO]]="N/A",tbRegistroEntradas[[#This Row],[DATA DO CAIXA PREVISTO]]&lt;TODAY()),"Vencida","Não Vencida")</f>
        <v>Não Vencida</v>
      </c>
      <c r="Q700" s="58" t="str">
        <f>IF(tbRegistroEntradas[[#This Row],[DATA DA COMPETÊNCIA]]=tbRegistroEntradas[[#This Row],[DATA DO CAIXA PREVISTO]],"Vista","Prazo")</f>
        <v>Prazo</v>
      </c>
      <c r="R700" s="58" t="str">
        <f>IF(tbRegistroEntradas[[#This Row],[DATA DE CAIXA REALIZADO]]&lt;&gt;"N/A","Em Dia","Com atraso")</f>
        <v>Em Dia</v>
      </c>
    </row>
    <row r="701" spans="1:18" ht="14.4" customHeight="1" x14ac:dyDescent="0.3">
      <c r="A701" s="111">
        <v>45207</v>
      </c>
      <c r="B701" s="111">
        <f>A701-31</f>
        <v>45176</v>
      </c>
      <c r="C701" s="111">
        <f>(A701-B701)+B701-15</f>
        <v>45192</v>
      </c>
      <c r="D701" s="109" t="s">
        <v>66</v>
      </c>
      <c r="E701" s="109" t="s">
        <v>12</v>
      </c>
      <c r="F701" s="109" t="s">
        <v>17</v>
      </c>
      <c r="G701" s="109" t="s">
        <v>815</v>
      </c>
      <c r="H701" s="52" t="s">
        <v>90</v>
      </c>
      <c r="I701" s="118">
        <v>5999</v>
      </c>
      <c r="J701" s="110" t="str">
        <f>IF(tbRegistroEntradas[[#This Row],[DATA DE CAIXA REALIZADO]]="N/A","0",UPPER(TEXT(tbRegistroEntradas[[#This Row],[DATA DE CAIXA REALIZADO]],"mmm")))</f>
        <v>OUT</v>
      </c>
      <c r="K701" s="57">
        <f>IF(tbRegistroEntradas[[#This Row],[DATA DE CAIXA REALIZADO]]="N/A",0,YEAR(tbRegistroEntradas[[#This Row],[DATA DE CAIXA REALIZADO]]))</f>
        <v>2023</v>
      </c>
      <c r="L701" s="58" t="str">
        <f>IF(tbRegistroEntradas[[#This Row],[DATA DA COMPETÊNCIA]]="N/A","0",UPPER(TEXT(tbRegistroEntradas[[#This Row],[DATA DA COMPETÊNCIA]],"mmm")))</f>
        <v>SET</v>
      </c>
      <c r="M701" s="58">
        <f>IF(tbRegistroEntradas[[#This Row],[DATA DA COMPETÊNCIA]]="N/A",0,YEAR(tbRegistroEntradas[[#This Row],[DATA DA COMPETÊNCIA]]))</f>
        <v>2023</v>
      </c>
      <c r="N701" s="58" t="str">
        <f>IF(tbRegistroEntradas[[#This Row],[DATA DO CAIXA PREVISTO]]="N/A","0",UPPER(TEXT(tbRegistroEntradas[[#This Row],[DATA DO CAIXA PREVISTO]],"mmm")))</f>
        <v>SET</v>
      </c>
      <c r="O701" s="58">
        <f>IF(tbRegistroEntradas[[#This Row],[DATA DO CAIXA PREVISTO]]="N/A",0,YEAR(tbRegistroEntradas[[#This Row],[DATA DO CAIXA PREVISTO]]))</f>
        <v>2023</v>
      </c>
      <c r="P701" s="58" t="str">
        <f ca="1">IF(AND(tbRegistroEntradas[[#This Row],[DATA DE CAIXA REALIZADO]]="N/A",tbRegistroEntradas[[#This Row],[DATA DO CAIXA PREVISTO]]&lt;TODAY()),"Vencida","Não Vencida")</f>
        <v>Não Vencida</v>
      </c>
      <c r="Q701" s="58" t="str">
        <f>IF(tbRegistroEntradas[[#This Row],[DATA DA COMPETÊNCIA]]=tbRegistroEntradas[[#This Row],[DATA DO CAIXA PREVISTO]],"Vista","Prazo")</f>
        <v>Prazo</v>
      </c>
      <c r="R701" s="58" t="str">
        <f>IF(tbRegistroEntradas[[#This Row],[DATA DE CAIXA REALIZADO]]&lt;&gt;"N/A","Em Dia","Com atraso")</f>
        <v>Em Dia</v>
      </c>
    </row>
    <row r="702" spans="1:18" ht="14.4" customHeight="1" x14ac:dyDescent="0.3">
      <c r="A702" s="111">
        <v>45208</v>
      </c>
      <c r="B702" s="111">
        <f>A702-31</f>
        <v>45177</v>
      </c>
      <c r="C702" s="111">
        <f>(A702-B702)+B702-15</f>
        <v>45193</v>
      </c>
      <c r="D702" s="109" t="s">
        <v>138</v>
      </c>
      <c r="E702" s="109" t="s">
        <v>12</v>
      </c>
      <c r="F702" s="109" t="s">
        <v>32</v>
      </c>
      <c r="G702" s="109" t="s">
        <v>781</v>
      </c>
      <c r="H702" s="52" t="s">
        <v>75</v>
      </c>
      <c r="I702" s="118">
        <v>4013</v>
      </c>
      <c r="J702" s="110" t="str">
        <f>IF(tbRegistroEntradas[[#This Row],[DATA DE CAIXA REALIZADO]]="N/A","0",UPPER(TEXT(tbRegistroEntradas[[#This Row],[DATA DE CAIXA REALIZADO]],"mmm")))</f>
        <v>OUT</v>
      </c>
      <c r="K702" s="57">
        <f>IF(tbRegistroEntradas[[#This Row],[DATA DE CAIXA REALIZADO]]="N/A",0,YEAR(tbRegistroEntradas[[#This Row],[DATA DE CAIXA REALIZADO]]))</f>
        <v>2023</v>
      </c>
      <c r="L702" s="58" t="str">
        <f>IF(tbRegistroEntradas[[#This Row],[DATA DA COMPETÊNCIA]]="N/A","0",UPPER(TEXT(tbRegistroEntradas[[#This Row],[DATA DA COMPETÊNCIA]],"mmm")))</f>
        <v>SET</v>
      </c>
      <c r="M702" s="58">
        <f>IF(tbRegistroEntradas[[#This Row],[DATA DA COMPETÊNCIA]]="N/A",0,YEAR(tbRegistroEntradas[[#This Row],[DATA DA COMPETÊNCIA]]))</f>
        <v>2023</v>
      </c>
      <c r="N702" s="58" t="str">
        <f>IF(tbRegistroEntradas[[#This Row],[DATA DO CAIXA PREVISTO]]="N/A","0",UPPER(TEXT(tbRegistroEntradas[[#This Row],[DATA DO CAIXA PREVISTO]],"mmm")))</f>
        <v>SET</v>
      </c>
      <c r="O702" s="58">
        <f>IF(tbRegistroEntradas[[#This Row],[DATA DO CAIXA PREVISTO]]="N/A",0,YEAR(tbRegistroEntradas[[#This Row],[DATA DO CAIXA PREVISTO]]))</f>
        <v>2023</v>
      </c>
      <c r="P702" s="58" t="str">
        <f ca="1">IF(AND(tbRegistroEntradas[[#This Row],[DATA DE CAIXA REALIZADO]]="N/A",tbRegistroEntradas[[#This Row],[DATA DO CAIXA PREVISTO]]&lt;TODAY()),"Vencida","Não Vencida")</f>
        <v>Não Vencida</v>
      </c>
      <c r="Q702" s="58" t="str">
        <f>IF(tbRegistroEntradas[[#This Row],[DATA DA COMPETÊNCIA]]=tbRegistroEntradas[[#This Row],[DATA DO CAIXA PREVISTO]],"Vista","Prazo")</f>
        <v>Prazo</v>
      </c>
      <c r="R702" s="58" t="str">
        <f>IF(tbRegistroEntradas[[#This Row],[DATA DE CAIXA REALIZADO]]&lt;&gt;"N/A","Em Dia","Com atraso")</f>
        <v>Em Dia</v>
      </c>
    </row>
    <row r="703" spans="1:18" ht="14.4" customHeight="1" x14ac:dyDescent="0.3">
      <c r="A703" s="111">
        <v>45212</v>
      </c>
      <c r="B703" s="111">
        <f>A703-31</f>
        <v>45181</v>
      </c>
      <c r="C703" s="111">
        <f>(A703-B703)+B703-15</f>
        <v>45197</v>
      </c>
      <c r="D703" s="109" t="s">
        <v>137</v>
      </c>
      <c r="E703" s="109" t="s">
        <v>12</v>
      </c>
      <c r="F703" s="109" t="s">
        <v>18</v>
      </c>
      <c r="G703" s="109" t="s">
        <v>1075</v>
      </c>
      <c r="H703" s="52" t="s">
        <v>106</v>
      </c>
      <c r="I703" s="118">
        <v>1920</v>
      </c>
      <c r="J703" s="110" t="str">
        <f>IF(tbRegistroEntradas[[#This Row],[DATA DE CAIXA REALIZADO]]="N/A","0",UPPER(TEXT(tbRegistroEntradas[[#This Row],[DATA DE CAIXA REALIZADO]],"mmm")))</f>
        <v>OUT</v>
      </c>
      <c r="K703" s="57">
        <f>IF(tbRegistroEntradas[[#This Row],[DATA DE CAIXA REALIZADO]]="N/A",0,YEAR(tbRegistroEntradas[[#This Row],[DATA DE CAIXA REALIZADO]]))</f>
        <v>2023</v>
      </c>
      <c r="L703" s="58" t="str">
        <f>IF(tbRegistroEntradas[[#This Row],[DATA DA COMPETÊNCIA]]="N/A","0",UPPER(TEXT(tbRegistroEntradas[[#This Row],[DATA DA COMPETÊNCIA]],"mmm")))</f>
        <v>SET</v>
      </c>
      <c r="M703" s="58">
        <f>IF(tbRegistroEntradas[[#This Row],[DATA DA COMPETÊNCIA]]="N/A",0,YEAR(tbRegistroEntradas[[#This Row],[DATA DA COMPETÊNCIA]]))</f>
        <v>2023</v>
      </c>
      <c r="N703" s="58" t="str">
        <f>IF(tbRegistroEntradas[[#This Row],[DATA DO CAIXA PREVISTO]]="N/A","0",UPPER(TEXT(tbRegistroEntradas[[#This Row],[DATA DO CAIXA PREVISTO]],"mmm")))</f>
        <v>SET</v>
      </c>
      <c r="O703" s="58">
        <f>IF(tbRegistroEntradas[[#This Row],[DATA DO CAIXA PREVISTO]]="N/A",0,YEAR(tbRegistroEntradas[[#This Row],[DATA DO CAIXA PREVISTO]]))</f>
        <v>2023</v>
      </c>
      <c r="P703" s="58" t="str">
        <f ca="1">IF(AND(tbRegistroEntradas[[#This Row],[DATA DE CAIXA REALIZADO]]="N/A",tbRegistroEntradas[[#This Row],[DATA DO CAIXA PREVISTO]]&lt;TODAY()),"Vencida","Não Vencida")</f>
        <v>Não Vencida</v>
      </c>
      <c r="Q703" s="58" t="str">
        <f>IF(tbRegistroEntradas[[#This Row],[DATA DA COMPETÊNCIA]]=tbRegistroEntradas[[#This Row],[DATA DO CAIXA PREVISTO]],"Vista","Prazo")</f>
        <v>Prazo</v>
      </c>
      <c r="R703" s="58" t="str">
        <f>IF(tbRegistroEntradas[[#This Row],[DATA DE CAIXA REALIZADO]]&lt;&gt;"N/A","Em Dia","Com atraso")</f>
        <v>Em Dia</v>
      </c>
    </row>
    <row r="704" spans="1:18" ht="14.4" customHeight="1" x14ac:dyDescent="0.3">
      <c r="A704" s="111">
        <v>45212</v>
      </c>
      <c r="B704" s="111">
        <f>A704-31</f>
        <v>45181</v>
      </c>
      <c r="C704" s="111">
        <f>(A704-B704)+B704-15</f>
        <v>45197</v>
      </c>
      <c r="D704" s="109" t="s">
        <v>61</v>
      </c>
      <c r="E704" s="109" t="s">
        <v>12</v>
      </c>
      <c r="F704" s="109" t="s">
        <v>16</v>
      </c>
      <c r="G704" s="109" t="s">
        <v>904</v>
      </c>
      <c r="H704" s="52" t="s">
        <v>79</v>
      </c>
      <c r="I704" s="118">
        <v>4850</v>
      </c>
      <c r="J704" s="110" t="str">
        <f>IF(tbRegistroEntradas[[#This Row],[DATA DE CAIXA REALIZADO]]="N/A","0",UPPER(TEXT(tbRegistroEntradas[[#This Row],[DATA DE CAIXA REALIZADO]],"mmm")))</f>
        <v>OUT</v>
      </c>
      <c r="K704" s="57">
        <f>IF(tbRegistroEntradas[[#This Row],[DATA DE CAIXA REALIZADO]]="N/A",0,YEAR(tbRegistroEntradas[[#This Row],[DATA DE CAIXA REALIZADO]]))</f>
        <v>2023</v>
      </c>
      <c r="L704" s="58" t="str">
        <f>IF(tbRegistroEntradas[[#This Row],[DATA DA COMPETÊNCIA]]="N/A","0",UPPER(TEXT(tbRegistroEntradas[[#This Row],[DATA DA COMPETÊNCIA]],"mmm")))</f>
        <v>SET</v>
      </c>
      <c r="M704" s="58">
        <f>IF(tbRegistroEntradas[[#This Row],[DATA DA COMPETÊNCIA]]="N/A",0,YEAR(tbRegistroEntradas[[#This Row],[DATA DA COMPETÊNCIA]]))</f>
        <v>2023</v>
      </c>
      <c r="N704" s="58" t="str">
        <f>IF(tbRegistroEntradas[[#This Row],[DATA DO CAIXA PREVISTO]]="N/A","0",UPPER(TEXT(tbRegistroEntradas[[#This Row],[DATA DO CAIXA PREVISTO]],"mmm")))</f>
        <v>SET</v>
      </c>
      <c r="O704" s="58">
        <f>IF(tbRegistroEntradas[[#This Row],[DATA DO CAIXA PREVISTO]]="N/A",0,YEAR(tbRegistroEntradas[[#This Row],[DATA DO CAIXA PREVISTO]]))</f>
        <v>2023</v>
      </c>
      <c r="P704" s="58" t="str">
        <f ca="1">IF(AND(tbRegistroEntradas[[#This Row],[DATA DE CAIXA REALIZADO]]="N/A",tbRegistroEntradas[[#This Row],[DATA DO CAIXA PREVISTO]]&lt;TODAY()),"Vencida","Não Vencida")</f>
        <v>Não Vencida</v>
      </c>
      <c r="Q704" s="58" t="str">
        <f>IF(tbRegistroEntradas[[#This Row],[DATA DA COMPETÊNCIA]]=tbRegistroEntradas[[#This Row],[DATA DO CAIXA PREVISTO]],"Vista","Prazo")</f>
        <v>Prazo</v>
      </c>
      <c r="R704" s="58" t="str">
        <f>IF(tbRegistroEntradas[[#This Row],[DATA DE CAIXA REALIZADO]]&lt;&gt;"N/A","Em Dia","Com atraso")</f>
        <v>Em Dia</v>
      </c>
    </row>
    <row r="705" spans="1:18" ht="14.4" customHeight="1" x14ac:dyDescent="0.3">
      <c r="A705" s="111">
        <v>45217</v>
      </c>
      <c r="B705" s="111">
        <f>A705-31</f>
        <v>45186</v>
      </c>
      <c r="C705" s="111">
        <f>(A705-B705)+B705-15</f>
        <v>45202</v>
      </c>
      <c r="D705" s="109" t="s">
        <v>138</v>
      </c>
      <c r="E705" s="109" t="s">
        <v>12</v>
      </c>
      <c r="F705" s="109" t="s">
        <v>18</v>
      </c>
      <c r="G705" s="109" t="s">
        <v>826</v>
      </c>
      <c r="H705" s="52" t="s">
        <v>76</v>
      </c>
      <c r="I705" s="118">
        <v>3350</v>
      </c>
      <c r="J705" s="110" t="str">
        <f>IF(tbRegistroEntradas[[#This Row],[DATA DE CAIXA REALIZADO]]="N/A","0",UPPER(TEXT(tbRegistroEntradas[[#This Row],[DATA DE CAIXA REALIZADO]],"mmm")))</f>
        <v>OUT</v>
      </c>
      <c r="K705" s="57">
        <f>IF(tbRegistroEntradas[[#This Row],[DATA DE CAIXA REALIZADO]]="N/A",0,YEAR(tbRegistroEntradas[[#This Row],[DATA DE CAIXA REALIZADO]]))</f>
        <v>2023</v>
      </c>
      <c r="L705" s="58" t="str">
        <f>IF(tbRegistroEntradas[[#This Row],[DATA DA COMPETÊNCIA]]="N/A","0",UPPER(TEXT(tbRegistroEntradas[[#This Row],[DATA DA COMPETÊNCIA]],"mmm")))</f>
        <v>SET</v>
      </c>
      <c r="M705" s="58">
        <f>IF(tbRegistroEntradas[[#This Row],[DATA DA COMPETÊNCIA]]="N/A",0,YEAR(tbRegistroEntradas[[#This Row],[DATA DA COMPETÊNCIA]]))</f>
        <v>2023</v>
      </c>
      <c r="N705" s="58" t="str">
        <f>IF(tbRegistroEntradas[[#This Row],[DATA DO CAIXA PREVISTO]]="N/A","0",UPPER(TEXT(tbRegistroEntradas[[#This Row],[DATA DO CAIXA PREVISTO]],"mmm")))</f>
        <v>OUT</v>
      </c>
      <c r="O705" s="58">
        <f>IF(tbRegistroEntradas[[#This Row],[DATA DO CAIXA PREVISTO]]="N/A",0,YEAR(tbRegistroEntradas[[#This Row],[DATA DO CAIXA PREVISTO]]))</f>
        <v>2023</v>
      </c>
      <c r="P705" s="58" t="str">
        <f ca="1">IF(AND(tbRegistroEntradas[[#This Row],[DATA DE CAIXA REALIZADO]]="N/A",tbRegistroEntradas[[#This Row],[DATA DO CAIXA PREVISTO]]&lt;TODAY()),"Vencida","Não Vencida")</f>
        <v>Não Vencida</v>
      </c>
      <c r="Q705" s="58" t="str">
        <f>IF(tbRegistroEntradas[[#This Row],[DATA DA COMPETÊNCIA]]=tbRegistroEntradas[[#This Row],[DATA DO CAIXA PREVISTO]],"Vista","Prazo")</f>
        <v>Prazo</v>
      </c>
      <c r="R705" s="58" t="str">
        <f>IF(tbRegistroEntradas[[#This Row],[DATA DE CAIXA REALIZADO]]&lt;&gt;"N/A","Em Dia","Com atraso")</f>
        <v>Em Dia</v>
      </c>
    </row>
    <row r="706" spans="1:18" ht="14.4" customHeight="1" x14ac:dyDescent="0.3">
      <c r="A706" s="111">
        <v>45221</v>
      </c>
      <c r="B706" s="111">
        <f>A706-31</f>
        <v>45190</v>
      </c>
      <c r="C706" s="111">
        <f>(A706-B706)+B706-15</f>
        <v>45206</v>
      </c>
      <c r="D706" s="109" t="s">
        <v>65</v>
      </c>
      <c r="E706" s="109" t="s">
        <v>12</v>
      </c>
      <c r="F706" s="109" t="s">
        <v>17</v>
      </c>
      <c r="G706" s="109" t="s">
        <v>706</v>
      </c>
      <c r="H706" s="52" t="s">
        <v>122</v>
      </c>
      <c r="I706" s="118">
        <v>1810</v>
      </c>
      <c r="J706" s="110" t="str">
        <f>IF(tbRegistroEntradas[[#This Row],[DATA DE CAIXA REALIZADO]]="N/A","0",UPPER(TEXT(tbRegistroEntradas[[#This Row],[DATA DE CAIXA REALIZADO]],"mmm")))</f>
        <v>OUT</v>
      </c>
      <c r="K706" s="57">
        <f>IF(tbRegistroEntradas[[#This Row],[DATA DE CAIXA REALIZADO]]="N/A",0,YEAR(tbRegistroEntradas[[#This Row],[DATA DE CAIXA REALIZADO]]))</f>
        <v>2023</v>
      </c>
      <c r="L706" s="58" t="str">
        <f>IF(tbRegistroEntradas[[#This Row],[DATA DA COMPETÊNCIA]]="N/A","0",UPPER(TEXT(tbRegistroEntradas[[#This Row],[DATA DA COMPETÊNCIA]],"mmm")))</f>
        <v>SET</v>
      </c>
      <c r="M706" s="58">
        <f>IF(tbRegistroEntradas[[#This Row],[DATA DA COMPETÊNCIA]]="N/A",0,YEAR(tbRegistroEntradas[[#This Row],[DATA DA COMPETÊNCIA]]))</f>
        <v>2023</v>
      </c>
      <c r="N706" s="58" t="str">
        <f>IF(tbRegistroEntradas[[#This Row],[DATA DO CAIXA PREVISTO]]="N/A","0",UPPER(TEXT(tbRegistroEntradas[[#This Row],[DATA DO CAIXA PREVISTO]],"mmm")))</f>
        <v>OUT</v>
      </c>
      <c r="O706" s="58">
        <f>IF(tbRegistroEntradas[[#This Row],[DATA DO CAIXA PREVISTO]]="N/A",0,YEAR(tbRegistroEntradas[[#This Row],[DATA DO CAIXA PREVISTO]]))</f>
        <v>2023</v>
      </c>
      <c r="P706" s="58" t="str">
        <f ca="1">IF(AND(tbRegistroEntradas[[#This Row],[DATA DE CAIXA REALIZADO]]="N/A",tbRegistroEntradas[[#This Row],[DATA DO CAIXA PREVISTO]]&lt;TODAY()),"Vencida","Não Vencida")</f>
        <v>Não Vencida</v>
      </c>
      <c r="Q706" s="58" t="str">
        <f>IF(tbRegistroEntradas[[#This Row],[DATA DA COMPETÊNCIA]]=tbRegistroEntradas[[#This Row],[DATA DO CAIXA PREVISTO]],"Vista","Prazo")</f>
        <v>Prazo</v>
      </c>
      <c r="R706" s="58" t="str">
        <f>IF(tbRegistroEntradas[[#This Row],[DATA DE CAIXA REALIZADO]]&lt;&gt;"N/A","Em Dia","Com atraso")</f>
        <v>Em Dia</v>
      </c>
    </row>
    <row r="707" spans="1:18" ht="14.4" customHeight="1" x14ac:dyDescent="0.3">
      <c r="A707" s="111">
        <v>45221</v>
      </c>
      <c r="B707" s="111">
        <f>A707-31</f>
        <v>45190</v>
      </c>
      <c r="C707" s="111">
        <f>(A707-B707)+B707-15</f>
        <v>45206</v>
      </c>
      <c r="D707" s="109" t="s">
        <v>61</v>
      </c>
      <c r="E707" s="109" t="s">
        <v>12</v>
      </c>
      <c r="F707" s="109" t="s">
        <v>17</v>
      </c>
      <c r="G707" s="109" t="s">
        <v>673</v>
      </c>
      <c r="H707" s="52" t="s">
        <v>80</v>
      </c>
      <c r="I707" s="118">
        <v>848</v>
      </c>
      <c r="J707" s="110" t="str">
        <f>IF(tbRegistroEntradas[[#This Row],[DATA DE CAIXA REALIZADO]]="N/A","0",UPPER(TEXT(tbRegistroEntradas[[#This Row],[DATA DE CAIXA REALIZADO]],"mmm")))</f>
        <v>OUT</v>
      </c>
      <c r="K707" s="57">
        <f>IF(tbRegistroEntradas[[#This Row],[DATA DE CAIXA REALIZADO]]="N/A",0,YEAR(tbRegistroEntradas[[#This Row],[DATA DE CAIXA REALIZADO]]))</f>
        <v>2023</v>
      </c>
      <c r="L707" s="58" t="str">
        <f>IF(tbRegistroEntradas[[#This Row],[DATA DA COMPETÊNCIA]]="N/A","0",UPPER(TEXT(tbRegistroEntradas[[#This Row],[DATA DA COMPETÊNCIA]],"mmm")))</f>
        <v>SET</v>
      </c>
      <c r="M707" s="58">
        <f>IF(tbRegistroEntradas[[#This Row],[DATA DA COMPETÊNCIA]]="N/A",0,YEAR(tbRegistroEntradas[[#This Row],[DATA DA COMPETÊNCIA]]))</f>
        <v>2023</v>
      </c>
      <c r="N707" s="58" t="str">
        <f>IF(tbRegistroEntradas[[#This Row],[DATA DO CAIXA PREVISTO]]="N/A","0",UPPER(TEXT(tbRegistroEntradas[[#This Row],[DATA DO CAIXA PREVISTO]],"mmm")))</f>
        <v>OUT</v>
      </c>
      <c r="O707" s="58">
        <f>IF(tbRegistroEntradas[[#This Row],[DATA DO CAIXA PREVISTO]]="N/A",0,YEAR(tbRegistroEntradas[[#This Row],[DATA DO CAIXA PREVISTO]]))</f>
        <v>2023</v>
      </c>
      <c r="P707" s="58" t="str">
        <f ca="1">IF(AND(tbRegistroEntradas[[#This Row],[DATA DE CAIXA REALIZADO]]="N/A",tbRegistroEntradas[[#This Row],[DATA DO CAIXA PREVISTO]]&lt;TODAY()),"Vencida","Não Vencida")</f>
        <v>Não Vencida</v>
      </c>
      <c r="Q707" s="58" t="str">
        <f>IF(tbRegistroEntradas[[#This Row],[DATA DA COMPETÊNCIA]]=tbRegistroEntradas[[#This Row],[DATA DO CAIXA PREVISTO]],"Vista","Prazo")</f>
        <v>Prazo</v>
      </c>
      <c r="R707" s="58" t="str">
        <f>IF(tbRegistroEntradas[[#This Row],[DATA DE CAIXA REALIZADO]]&lt;&gt;"N/A","Em Dia","Com atraso")</f>
        <v>Em Dia</v>
      </c>
    </row>
    <row r="708" spans="1:18" ht="14.4" customHeight="1" x14ac:dyDescent="0.3">
      <c r="A708" s="111">
        <v>45221</v>
      </c>
      <c r="B708" s="111">
        <f>A708-31</f>
        <v>45190</v>
      </c>
      <c r="C708" s="111">
        <f>(A708-B708)+B708-15</f>
        <v>45206</v>
      </c>
      <c r="D708" s="109" t="s">
        <v>66</v>
      </c>
      <c r="E708" s="109" t="s">
        <v>12</v>
      </c>
      <c r="F708" s="109" t="s">
        <v>32</v>
      </c>
      <c r="G708" s="109" t="s">
        <v>889</v>
      </c>
      <c r="H708" s="52" t="s">
        <v>125</v>
      </c>
      <c r="I708" s="118">
        <v>4394</v>
      </c>
      <c r="J708" s="110" t="str">
        <f>IF(tbRegistroEntradas[[#This Row],[DATA DE CAIXA REALIZADO]]="N/A","0",UPPER(TEXT(tbRegistroEntradas[[#This Row],[DATA DE CAIXA REALIZADO]],"mmm")))</f>
        <v>OUT</v>
      </c>
      <c r="K708" s="57">
        <f>IF(tbRegistroEntradas[[#This Row],[DATA DE CAIXA REALIZADO]]="N/A",0,YEAR(tbRegistroEntradas[[#This Row],[DATA DE CAIXA REALIZADO]]))</f>
        <v>2023</v>
      </c>
      <c r="L708" s="58" t="str">
        <f>IF(tbRegistroEntradas[[#This Row],[DATA DA COMPETÊNCIA]]="N/A","0",UPPER(TEXT(tbRegistroEntradas[[#This Row],[DATA DA COMPETÊNCIA]],"mmm")))</f>
        <v>SET</v>
      </c>
      <c r="M708" s="58">
        <f>IF(tbRegistroEntradas[[#This Row],[DATA DA COMPETÊNCIA]]="N/A",0,YEAR(tbRegistroEntradas[[#This Row],[DATA DA COMPETÊNCIA]]))</f>
        <v>2023</v>
      </c>
      <c r="N708" s="58" t="str">
        <f>IF(tbRegistroEntradas[[#This Row],[DATA DO CAIXA PREVISTO]]="N/A","0",UPPER(TEXT(tbRegistroEntradas[[#This Row],[DATA DO CAIXA PREVISTO]],"mmm")))</f>
        <v>OUT</v>
      </c>
      <c r="O708" s="58">
        <f>IF(tbRegistroEntradas[[#This Row],[DATA DO CAIXA PREVISTO]]="N/A",0,YEAR(tbRegistroEntradas[[#This Row],[DATA DO CAIXA PREVISTO]]))</f>
        <v>2023</v>
      </c>
      <c r="P708" s="58" t="str">
        <f ca="1">IF(AND(tbRegistroEntradas[[#This Row],[DATA DE CAIXA REALIZADO]]="N/A",tbRegistroEntradas[[#This Row],[DATA DO CAIXA PREVISTO]]&lt;TODAY()),"Vencida","Não Vencida")</f>
        <v>Não Vencida</v>
      </c>
      <c r="Q708" s="58" t="str">
        <f>IF(tbRegistroEntradas[[#This Row],[DATA DA COMPETÊNCIA]]=tbRegistroEntradas[[#This Row],[DATA DO CAIXA PREVISTO]],"Vista","Prazo")</f>
        <v>Prazo</v>
      </c>
      <c r="R708" s="58" t="str">
        <f>IF(tbRegistroEntradas[[#This Row],[DATA DE CAIXA REALIZADO]]&lt;&gt;"N/A","Em Dia","Com atraso")</f>
        <v>Em Dia</v>
      </c>
    </row>
    <row r="709" spans="1:18" ht="14.4" customHeight="1" x14ac:dyDescent="0.3">
      <c r="A709" s="111">
        <v>45227</v>
      </c>
      <c r="B709" s="111">
        <f>A709-31</f>
        <v>45196</v>
      </c>
      <c r="C709" s="111">
        <f>(A709-B709)+B709-15</f>
        <v>45212</v>
      </c>
      <c r="D709" s="109" t="s">
        <v>137</v>
      </c>
      <c r="E709" s="109" t="s">
        <v>12</v>
      </c>
      <c r="F709" s="109" t="s">
        <v>32</v>
      </c>
      <c r="G709" s="109" t="s">
        <v>967</v>
      </c>
      <c r="H709" s="52" t="s">
        <v>107</v>
      </c>
      <c r="I709" s="118">
        <v>2538</v>
      </c>
      <c r="J709" s="110" t="str">
        <f>IF(tbRegistroEntradas[[#This Row],[DATA DE CAIXA REALIZADO]]="N/A","0",UPPER(TEXT(tbRegistroEntradas[[#This Row],[DATA DE CAIXA REALIZADO]],"mmm")))</f>
        <v>OUT</v>
      </c>
      <c r="K709" s="57">
        <f>IF(tbRegistroEntradas[[#This Row],[DATA DE CAIXA REALIZADO]]="N/A",0,YEAR(tbRegistroEntradas[[#This Row],[DATA DE CAIXA REALIZADO]]))</f>
        <v>2023</v>
      </c>
      <c r="L709" s="58" t="str">
        <f>IF(tbRegistroEntradas[[#This Row],[DATA DA COMPETÊNCIA]]="N/A","0",UPPER(TEXT(tbRegistroEntradas[[#This Row],[DATA DA COMPETÊNCIA]],"mmm")))</f>
        <v>SET</v>
      </c>
      <c r="M709" s="58">
        <f>IF(tbRegistroEntradas[[#This Row],[DATA DA COMPETÊNCIA]]="N/A",0,YEAR(tbRegistroEntradas[[#This Row],[DATA DA COMPETÊNCIA]]))</f>
        <v>2023</v>
      </c>
      <c r="N709" s="58" t="str">
        <f>IF(tbRegistroEntradas[[#This Row],[DATA DO CAIXA PREVISTO]]="N/A","0",UPPER(TEXT(tbRegistroEntradas[[#This Row],[DATA DO CAIXA PREVISTO]],"mmm")))</f>
        <v>OUT</v>
      </c>
      <c r="O709" s="58">
        <f>IF(tbRegistroEntradas[[#This Row],[DATA DO CAIXA PREVISTO]]="N/A",0,YEAR(tbRegistroEntradas[[#This Row],[DATA DO CAIXA PREVISTO]]))</f>
        <v>2023</v>
      </c>
      <c r="P709" s="58" t="str">
        <f ca="1">IF(AND(tbRegistroEntradas[[#This Row],[DATA DE CAIXA REALIZADO]]="N/A",tbRegistroEntradas[[#This Row],[DATA DO CAIXA PREVISTO]]&lt;TODAY()),"Vencida","Não Vencida")</f>
        <v>Não Vencida</v>
      </c>
      <c r="Q709" s="58" t="str">
        <f>IF(tbRegistroEntradas[[#This Row],[DATA DA COMPETÊNCIA]]=tbRegistroEntradas[[#This Row],[DATA DO CAIXA PREVISTO]],"Vista","Prazo")</f>
        <v>Prazo</v>
      </c>
      <c r="R709" s="58" t="str">
        <f>IF(tbRegistroEntradas[[#This Row],[DATA DE CAIXA REALIZADO]]&lt;&gt;"N/A","Em Dia","Com atraso")</f>
        <v>Em Dia</v>
      </c>
    </row>
    <row r="710" spans="1:18" ht="14.4" customHeight="1" x14ac:dyDescent="0.3">
      <c r="A710" s="111">
        <v>45230</v>
      </c>
      <c r="B710" s="111">
        <f>A710-31</f>
        <v>45199</v>
      </c>
      <c r="C710" s="111">
        <f>(A710-B710)+B710-15</f>
        <v>45215</v>
      </c>
      <c r="D710" s="109" t="s">
        <v>67</v>
      </c>
      <c r="E710" s="109" t="s">
        <v>12</v>
      </c>
      <c r="F710" s="109" t="s">
        <v>17</v>
      </c>
      <c r="G710" s="109" t="s">
        <v>964</v>
      </c>
      <c r="H710" s="5" t="s">
        <v>132</v>
      </c>
      <c r="I710" s="118">
        <v>3076</v>
      </c>
      <c r="J710" s="110" t="str">
        <f>IF(tbRegistroEntradas[[#This Row],[DATA DE CAIXA REALIZADO]]="N/A","0",UPPER(TEXT(tbRegistroEntradas[[#This Row],[DATA DE CAIXA REALIZADO]],"mmm")))</f>
        <v>OUT</v>
      </c>
      <c r="K710" s="57">
        <f>IF(tbRegistroEntradas[[#This Row],[DATA DE CAIXA REALIZADO]]="N/A",0,YEAR(tbRegistroEntradas[[#This Row],[DATA DE CAIXA REALIZADO]]))</f>
        <v>2023</v>
      </c>
      <c r="L710" s="58" t="str">
        <f>IF(tbRegistroEntradas[[#This Row],[DATA DA COMPETÊNCIA]]="N/A","0",UPPER(TEXT(tbRegistroEntradas[[#This Row],[DATA DA COMPETÊNCIA]],"mmm")))</f>
        <v>SET</v>
      </c>
      <c r="M710" s="58">
        <f>IF(tbRegistroEntradas[[#This Row],[DATA DA COMPETÊNCIA]]="N/A",0,YEAR(tbRegistroEntradas[[#This Row],[DATA DA COMPETÊNCIA]]))</f>
        <v>2023</v>
      </c>
      <c r="N710" s="58" t="str">
        <f>IF(tbRegistroEntradas[[#This Row],[DATA DO CAIXA PREVISTO]]="N/A","0",UPPER(TEXT(tbRegistroEntradas[[#This Row],[DATA DO CAIXA PREVISTO]],"mmm")))</f>
        <v>OUT</v>
      </c>
      <c r="O710" s="58">
        <f>IF(tbRegistroEntradas[[#This Row],[DATA DO CAIXA PREVISTO]]="N/A",0,YEAR(tbRegistroEntradas[[#This Row],[DATA DO CAIXA PREVISTO]]))</f>
        <v>2023</v>
      </c>
      <c r="P710" s="58" t="str">
        <f ca="1">IF(AND(tbRegistroEntradas[[#This Row],[DATA DE CAIXA REALIZADO]]="N/A",tbRegistroEntradas[[#This Row],[DATA DO CAIXA PREVISTO]]&lt;TODAY()),"Vencida","Não Vencida")</f>
        <v>Não Vencida</v>
      </c>
      <c r="Q710" s="58" t="str">
        <f>IF(tbRegistroEntradas[[#This Row],[DATA DA COMPETÊNCIA]]=tbRegistroEntradas[[#This Row],[DATA DO CAIXA PREVISTO]],"Vista","Prazo")</f>
        <v>Prazo</v>
      </c>
      <c r="R710" s="58" t="str">
        <f>IF(tbRegistroEntradas[[#This Row],[DATA DE CAIXA REALIZADO]]&lt;&gt;"N/A","Em Dia","Com atraso")</f>
        <v>Em Dia</v>
      </c>
    </row>
    <row r="711" spans="1:18" ht="14.4" customHeight="1" x14ac:dyDescent="0.3">
      <c r="A711" s="111">
        <v>45231</v>
      </c>
      <c r="B711" s="111">
        <f>A711-31</f>
        <v>45200</v>
      </c>
      <c r="C711" s="111">
        <f>(A711-B711)+B711-15</f>
        <v>45216</v>
      </c>
      <c r="D711" s="109" t="s">
        <v>66</v>
      </c>
      <c r="E711" s="109" t="s">
        <v>12</v>
      </c>
      <c r="F711" s="109" t="s">
        <v>16</v>
      </c>
      <c r="G711" s="109" t="s">
        <v>702</v>
      </c>
      <c r="H711" s="126" t="s">
        <v>123</v>
      </c>
      <c r="I711" s="118">
        <v>650</v>
      </c>
      <c r="J711" s="110" t="str">
        <f>IF(tbRegistroEntradas[[#This Row],[DATA DE CAIXA REALIZADO]]="N/A","0",UPPER(TEXT(tbRegistroEntradas[[#This Row],[DATA DE CAIXA REALIZADO]],"mmm")))</f>
        <v>NOV</v>
      </c>
      <c r="K711" s="57">
        <f>IF(tbRegistroEntradas[[#This Row],[DATA DE CAIXA REALIZADO]]="N/A",0,YEAR(tbRegistroEntradas[[#This Row],[DATA DE CAIXA REALIZADO]]))</f>
        <v>2023</v>
      </c>
      <c r="L711" s="58" t="str">
        <f>IF(tbRegistroEntradas[[#This Row],[DATA DA COMPETÊNCIA]]="N/A","0",UPPER(TEXT(tbRegistroEntradas[[#This Row],[DATA DA COMPETÊNCIA]],"mmm")))</f>
        <v>OUT</v>
      </c>
      <c r="M711" s="58">
        <f>IF(tbRegistroEntradas[[#This Row],[DATA DA COMPETÊNCIA]]="N/A",0,YEAR(tbRegistroEntradas[[#This Row],[DATA DA COMPETÊNCIA]]))</f>
        <v>2023</v>
      </c>
      <c r="N711" s="58" t="str">
        <f>IF(tbRegistroEntradas[[#This Row],[DATA DO CAIXA PREVISTO]]="N/A","0",UPPER(TEXT(tbRegistroEntradas[[#This Row],[DATA DO CAIXA PREVISTO]],"mmm")))</f>
        <v>OUT</v>
      </c>
      <c r="O711" s="58">
        <f>IF(tbRegistroEntradas[[#This Row],[DATA DO CAIXA PREVISTO]]="N/A",0,YEAR(tbRegistroEntradas[[#This Row],[DATA DO CAIXA PREVISTO]]))</f>
        <v>2023</v>
      </c>
      <c r="P711" s="58" t="str">
        <f ca="1">IF(AND(tbRegistroEntradas[[#This Row],[DATA DE CAIXA REALIZADO]]="N/A",tbRegistroEntradas[[#This Row],[DATA DO CAIXA PREVISTO]]&lt;TODAY()),"Vencida","Não Vencida")</f>
        <v>Não Vencida</v>
      </c>
      <c r="Q711" s="58" t="str">
        <f>IF(tbRegistroEntradas[[#This Row],[DATA DA COMPETÊNCIA]]=tbRegistroEntradas[[#This Row],[DATA DO CAIXA PREVISTO]],"Vista","Prazo")</f>
        <v>Prazo</v>
      </c>
      <c r="R711" s="58" t="str">
        <f>IF(tbRegistroEntradas[[#This Row],[DATA DE CAIXA REALIZADO]]&lt;&gt;"N/A","Em Dia","Com atraso")</f>
        <v>Em Dia</v>
      </c>
    </row>
    <row r="712" spans="1:18" ht="14.4" customHeight="1" x14ac:dyDescent="0.3">
      <c r="A712" s="111">
        <v>45232</v>
      </c>
      <c r="B712" s="111">
        <f>A712-31</f>
        <v>45201</v>
      </c>
      <c r="C712" s="111">
        <f>(A712-B712)+B712-15</f>
        <v>45217</v>
      </c>
      <c r="D712" s="109" t="s">
        <v>137</v>
      </c>
      <c r="E712" s="109" t="s">
        <v>12</v>
      </c>
      <c r="F712" s="109" t="s">
        <v>17</v>
      </c>
      <c r="G712" s="109" t="s">
        <v>703</v>
      </c>
      <c r="H712" s="52" t="s">
        <v>104</v>
      </c>
      <c r="I712" s="118">
        <v>3102</v>
      </c>
      <c r="J712" s="110" t="str">
        <f>IF(tbRegistroEntradas[[#This Row],[DATA DE CAIXA REALIZADO]]="N/A","0",UPPER(TEXT(tbRegistroEntradas[[#This Row],[DATA DE CAIXA REALIZADO]],"mmm")))</f>
        <v>NOV</v>
      </c>
      <c r="K712" s="57">
        <f>IF(tbRegistroEntradas[[#This Row],[DATA DE CAIXA REALIZADO]]="N/A",0,YEAR(tbRegistroEntradas[[#This Row],[DATA DE CAIXA REALIZADO]]))</f>
        <v>2023</v>
      </c>
      <c r="L712" s="58" t="str">
        <f>IF(tbRegistroEntradas[[#This Row],[DATA DA COMPETÊNCIA]]="N/A","0",UPPER(TEXT(tbRegistroEntradas[[#This Row],[DATA DA COMPETÊNCIA]],"mmm")))</f>
        <v>OUT</v>
      </c>
      <c r="M712" s="58">
        <f>IF(tbRegistroEntradas[[#This Row],[DATA DA COMPETÊNCIA]]="N/A",0,YEAR(tbRegistroEntradas[[#This Row],[DATA DA COMPETÊNCIA]]))</f>
        <v>2023</v>
      </c>
      <c r="N712" s="58" t="str">
        <f>IF(tbRegistroEntradas[[#This Row],[DATA DO CAIXA PREVISTO]]="N/A","0",UPPER(TEXT(tbRegistroEntradas[[#This Row],[DATA DO CAIXA PREVISTO]],"mmm")))</f>
        <v>OUT</v>
      </c>
      <c r="O712" s="58">
        <f>IF(tbRegistroEntradas[[#This Row],[DATA DO CAIXA PREVISTO]]="N/A",0,YEAR(tbRegistroEntradas[[#This Row],[DATA DO CAIXA PREVISTO]]))</f>
        <v>2023</v>
      </c>
      <c r="P712" s="58" t="str">
        <f ca="1">IF(AND(tbRegistroEntradas[[#This Row],[DATA DE CAIXA REALIZADO]]="N/A",tbRegistroEntradas[[#This Row],[DATA DO CAIXA PREVISTO]]&lt;TODAY()),"Vencida","Não Vencida")</f>
        <v>Não Vencida</v>
      </c>
      <c r="Q712" s="58" t="str">
        <f>IF(tbRegistroEntradas[[#This Row],[DATA DA COMPETÊNCIA]]=tbRegistroEntradas[[#This Row],[DATA DO CAIXA PREVISTO]],"Vista","Prazo")</f>
        <v>Prazo</v>
      </c>
      <c r="R712" s="58" t="str">
        <f>IF(tbRegistroEntradas[[#This Row],[DATA DE CAIXA REALIZADO]]&lt;&gt;"N/A","Em Dia","Com atraso")</f>
        <v>Em Dia</v>
      </c>
    </row>
    <row r="713" spans="1:18" ht="14.4" customHeight="1" x14ac:dyDescent="0.3">
      <c r="A713" s="111">
        <v>45233</v>
      </c>
      <c r="B713" s="111">
        <f>A713-31</f>
        <v>45202</v>
      </c>
      <c r="C713" s="111">
        <f>(A713-B713)+B713-15</f>
        <v>45218</v>
      </c>
      <c r="D713" s="109" t="s">
        <v>66</v>
      </c>
      <c r="E713" s="109" t="s">
        <v>12</v>
      </c>
      <c r="F713" s="109" t="s">
        <v>19</v>
      </c>
      <c r="G713" s="109" t="s">
        <v>1089</v>
      </c>
      <c r="H713" s="52" t="s">
        <v>124</v>
      </c>
      <c r="I713" s="118">
        <v>4805</v>
      </c>
      <c r="J713" s="110" t="str">
        <f>IF(tbRegistroEntradas[[#This Row],[DATA DE CAIXA REALIZADO]]="N/A","0",UPPER(TEXT(tbRegistroEntradas[[#This Row],[DATA DE CAIXA REALIZADO]],"mmm")))</f>
        <v>NOV</v>
      </c>
      <c r="K713" s="57">
        <f>IF(tbRegistroEntradas[[#This Row],[DATA DE CAIXA REALIZADO]]="N/A",0,YEAR(tbRegistroEntradas[[#This Row],[DATA DE CAIXA REALIZADO]]))</f>
        <v>2023</v>
      </c>
      <c r="L713" s="58" t="str">
        <f>IF(tbRegistroEntradas[[#This Row],[DATA DA COMPETÊNCIA]]="N/A","0",UPPER(TEXT(tbRegistroEntradas[[#This Row],[DATA DA COMPETÊNCIA]],"mmm")))</f>
        <v>OUT</v>
      </c>
      <c r="M713" s="58">
        <f>IF(tbRegistroEntradas[[#This Row],[DATA DA COMPETÊNCIA]]="N/A",0,YEAR(tbRegistroEntradas[[#This Row],[DATA DA COMPETÊNCIA]]))</f>
        <v>2023</v>
      </c>
      <c r="N713" s="58" t="str">
        <f>IF(tbRegistroEntradas[[#This Row],[DATA DO CAIXA PREVISTO]]="N/A","0",UPPER(TEXT(tbRegistroEntradas[[#This Row],[DATA DO CAIXA PREVISTO]],"mmm")))</f>
        <v>OUT</v>
      </c>
      <c r="O713" s="58">
        <f>IF(tbRegistroEntradas[[#This Row],[DATA DO CAIXA PREVISTO]]="N/A",0,YEAR(tbRegistroEntradas[[#This Row],[DATA DO CAIXA PREVISTO]]))</f>
        <v>2023</v>
      </c>
      <c r="P713" s="58" t="str">
        <f ca="1">IF(AND(tbRegistroEntradas[[#This Row],[DATA DE CAIXA REALIZADO]]="N/A",tbRegistroEntradas[[#This Row],[DATA DO CAIXA PREVISTO]]&lt;TODAY()),"Vencida","Não Vencida")</f>
        <v>Não Vencida</v>
      </c>
      <c r="Q713" s="58" t="str">
        <f>IF(tbRegistroEntradas[[#This Row],[DATA DA COMPETÊNCIA]]=tbRegistroEntradas[[#This Row],[DATA DO CAIXA PREVISTO]],"Vista","Prazo")</f>
        <v>Prazo</v>
      </c>
      <c r="R713" s="58" t="str">
        <f>IF(tbRegistroEntradas[[#This Row],[DATA DE CAIXA REALIZADO]]&lt;&gt;"N/A","Em Dia","Com atraso")</f>
        <v>Em Dia</v>
      </c>
    </row>
    <row r="714" spans="1:18" ht="14.4" customHeight="1" x14ac:dyDescent="0.3">
      <c r="A714" s="111">
        <v>45236</v>
      </c>
      <c r="B714" s="111">
        <f>A714-31</f>
        <v>45205</v>
      </c>
      <c r="C714" s="111">
        <f>tbRegistroEntradas[[#This Row],[DATA DA COMPETÊNCIA]]</f>
        <v>45205</v>
      </c>
      <c r="D714" s="109" t="s">
        <v>67</v>
      </c>
      <c r="E714" s="109" t="s">
        <v>12</v>
      </c>
      <c r="F714" s="109" t="s">
        <v>32</v>
      </c>
      <c r="G714" s="109" t="s">
        <v>1028</v>
      </c>
      <c r="H714" s="52" t="s">
        <v>133</v>
      </c>
      <c r="I714" s="118">
        <v>2781</v>
      </c>
      <c r="J714" s="110" t="str">
        <f>IF(tbRegistroEntradas[[#This Row],[DATA DE CAIXA REALIZADO]]="N/A","0",UPPER(TEXT(tbRegistroEntradas[[#This Row],[DATA DE CAIXA REALIZADO]],"mmm")))</f>
        <v>NOV</v>
      </c>
      <c r="K714" s="57">
        <f>IF(tbRegistroEntradas[[#This Row],[DATA DE CAIXA REALIZADO]]="N/A",0,YEAR(tbRegistroEntradas[[#This Row],[DATA DE CAIXA REALIZADO]]))</f>
        <v>2023</v>
      </c>
      <c r="L714" s="58" t="str">
        <f>IF(tbRegistroEntradas[[#This Row],[DATA DA COMPETÊNCIA]]="N/A","0",UPPER(TEXT(tbRegistroEntradas[[#This Row],[DATA DA COMPETÊNCIA]],"mmm")))</f>
        <v>OUT</v>
      </c>
      <c r="M714" s="58">
        <f>IF(tbRegistroEntradas[[#This Row],[DATA DA COMPETÊNCIA]]="N/A",0,YEAR(tbRegistroEntradas[[#This Row],[DATA DA COMPETÊNCIA]]))</f>
        <v>2023</v>
      </c>
      <c r="N714" s="58" t="str">
        <f>IF(tbRegistroEntradas[[#This Row],[DATA DO CAIXA PREVISTO]]="N/A","0",UPPER(TEXT(tbRegistroEntradas[[#This Row],[DATA DO CAIXA PREVISTO]],"mmm")))</f>
        <v>OUT</v>
      </c>
      <c r="O714" s="58">
        <f>IF(tbRegistroEntradas[[#This Row],[DATA DO CAIXA PREVISTO]]="N/A",0,YEAR(tbRegistroEntradas[[#This Row],[DATA DO CAIXA PREVISTO]]))</f>
        <v>2023</v>
      </c>
      <c r="P714" s="58" t="str">
        <f ca="1">IF(AND(tbRegistroEntradas[[#This Row],[DATA DE CAIXA REALIZADO]]="N/A",tbRegistroEntradas[[#This Row],[DATA DO CAIXA PREVISTO]]&lt;TODAY()),"Vencida","Não Vencida")</f>
        <v>Não Vencida</v>
      </c>
      <c r="Q714" s="58" t="str">
        <f>IF(tbRegistroEntradas[[#This Row],[DATA DA COMPETÊNCIA]]=tbRegistroEntradas[[#This Row],[DATA DO CAIXA PREVISTO]],"Vista","Prazo")</f>
        <v>Vista</v>
      </c>
      <c r="R714" s="58" t="str">
        <f>IF(tbRegistroEntradas[[#This Row],[DATA DE CAIXA REALIZADO]]&lt;&gt;"N/A","Em Dia","Com atraso")</f>
        <v>Em Dia</v>
      </c>
    </row>
    <row r="715" spans="1:18" ht="14.4" customHeight="1" x14ac:dyDescent="0.3">
      <c r="A715" s="111">
        <v>45236</v>
      </c>
      <c r="B715" s="111">
        <f>A715-31</f>
        <v>45205</v>
      </c>
      <c r="C715" s="111">
        <f>tbRegistroEntradas[[#This Row],[DATA DA COMPETÊNCIA]]</f>
        <v>45205</v>
      </c>
      <c r="D715" s="109" t="s">
        <v>64</v>
      </c>
      <c r="E715" s="109" t="s">
        <v>12</v>
      </c>
      <c r="F715" s="109" t="s">
        <v>17</v>
      </c>
      <c r="G715" s="109" t="s">
        <v>1042</v>
      </c>
      <c r="H715" s="52" t="s">
        <v>115</v>
      </c>
      <c r="I715" s="118">
        <v>5370</v>
      </c>
      <c r="J715" s="110" t="str">
        <f>IF(tbRegistroEntradas[[#This Row],[DATA DE CAIXA REALIZADO]]="N/A","0",UPPER(TEXT(tbRegistroEntradas[[#This Row],[DATA DE CAIXA REALIZADO]],"mmm")))</f>
        <v>NOV</v>
      </c>
      <c r="K715" s="57">
        <f>IF(tbRegistroEntradas[[#This Row],[DATA DE CAIXA REALIZADO]]="N/A",0,YEAR(tbRegistroEntradas[[#This Row],[DATA DE CAIXA REALIZADO]]))</f>
        <v>2023</v>
      </c>
      <c r="L715" s="58" t="str">
        <f>IF(tbRegistroEntradas[[#This Row],[DATA DA COMPETÊNCIA]]="N/A","0",UPPER(TEXT(tbRegistroEntradas[[#This Row],[DATA DA COMPETÊNCIA]],"mmm")))</f>
        <v>OUT</v>
      </c>
      <c r="M715" s="58">
        <f>IF(tbRegistroEntradas[[#This Row],[DATA DA COMPETÊNCIA]]="N/A",0,YEAR(tbRegistroEntradas[[#This Row],[DATA DA COMPETÊNCIA]]))</f>
        <v>2023</v>
      </c>
      <c r="N715" s="58" t="str">
        <f>IF(tbRegistroEntradas[[#This Row],[DATA DO CAIXA PREVISTO]]="N/A","0",UPPER(TEXT(tbRegistroEntradas[[#This Row],[DATA DO CAIXA PREVISTO]],"mmm")))</f>
        <v>OUT</v>
      </c>
      <c r="O715" s="58">
        <f>IF(tbRegistroEntradas[[#This Row],[DATA DO CAIXA PREVISTO]]="N/A",0,YEAR(tbRegistroEntradas[[#This Row],[DATA DO CAIXA PREVISTO]]))</f>
        <v>2023</v>
      </c>
      <c r="P715" s="58" t="str">
        <f ca="1">IF(AND(tbRegistroEntradas[[#This Row],[DATA DE CAIXA REALIZADO]]="N/A",tbRegistroEntradas[[#This Row],[DATA DO CAIXA PREVISTO]]&lt;TODAY()),"Vencida","Não Vencida")</f>
        <v>Não Vencida</v>
      </c>
      <c r="Q715" s="58" t="str">
        <f>IF(tbRegistroEntradas[[#This Row],[DATA DA COMPETÊNCIA]]=tbRegistroEntradas[[#This Row],[DATA DO CAIXA PREVISTO]],"Vista","Prazo")</f>
        <v>Vista</v>
      </c>
      <c r="R715" s="58" t="str">
        <f>IF(tbRegistroEntradas[[#This Row],[DATA DE CAIXA REALIZADO]]&lt;&gt;"N/A","Em Dia","Com atraso")</f>
        <v>Em Dia</v>
      </c>
    </row>
    <row r="716" spans="1:18" ht="14.4" customHeight="1" x14ac:dyDescent="0.3">
      <c r="A716" s="111">
        <v>45237</v>
      </c>
      <c r="B716" s="111">
        <f>A716-31</f>
        <v>45206</v>
      </c>
      <c r="C716" s="111">
        <f>(A716-B716)+B716-15</f>
        <v>45222</v>
      </c>
      <c r="D716" s="109" t="s">
        <v>65</v>
      </c>
      <c r="E716" s="109" t="s">
        <v>12</v>
      </c>
      <c r="F716" s="109" t="s">
        <v>16</v>
      </c>
      <c r="G716" s="109" t="s">
        <v>996</v>
      </c>
      <c r="H716" s="109" t="s">
        <v>121</v>
      </c>
      <c r="I716" s="118">
        <v>3502</v>
      </c>
      <c r="J716" s="110" t="str">
        <f>IF(tbRegistroEntradas[[#This Row],[DATA DE CAIXA REALIZADO]]="N/A","0",UPPER(TEXT(tbRegistroEntradas[[#This Row],[DATA DE CAIXA REALIZADO]],"mmm")))</f>
        <v>NOV</v>
      </c>
      <c r="K716" s="57">
        <f>IF(tbRegistroEntradas[[#This Row],[DATA DE CAIXA REALIZADO]]="N/A",0,YEAR(tbRegistroEntradas[[#This Row],[DATA DE CAIXA REALIZADO]]))</f>
        <v>2023</v>
      </c>
      <c r="L716" s="58" t="str">
        <f>IF(tbRegistroEntradas[[#This Row],[DATA DA COMPETÊNCIA]]="N/A","0",UPPER(TEXT(tbRegistroEntradas[[#This Row],[DATA DA COMPETÊNCIA]],"mmm")))</f>
        <v>OUT</v>
      </c>
      <c r="M716" s="58">
        <f>IF(tbRegistroEntradas[[#This Row],[DATA DA COMPETÊNCIA]]="N/A",0,YEAR(tbRegistroEntradas[[#This Row],[DATA DA COMPETÊNCIA]]))</f>
        <v>2023</v>
      </c>
      <c r="N716" s="58" t="str">
        <f>IF(tbRegistroEntradas[[#This Row],[DATA DO CAIXA PREVISTO]]="N/A","0",UPPER(TEXT(tbRegistroEntradas[[#This Row],[DATA DO CAIXA PREVISTO]],"mmm")))</f>
        <v>OUT</v>
      </c>
      <c r="O716" s="58">
        <f>IF(tbRegistroEntradas[[#This Row],[DATA DO CAIXA PREVISTO]]="N/A",0,YEAR(tbRegistroEntradas[[#This Row],[DATA DO CAIXA PREVISTO]]))</f>
        <v>2023</v>
      </c>
      <c r="P716" s="58" t="str">
        <f ca="1">IF(AND(tbRegistroEntradas[[#This Row],[DATA DE CAIXA REALIZADO]]="N/A",tbRegistroEntradas[[#This Row],[DATA DO CAIXA PREVISTO]]&lt;TODAY()),"Vencida","Não Vencida")</f>
        <v>Não Vencida</v>
      </c>
      <c r="Q716" s="58" t="str">
        <f>IF(tbRegistroEntradas[[#This Row],[DATA DA COMPETÊNCIA]]=tbRegistroEntradas[[#This Row],[DATA DO CAIXA PREVISTO]],"Vista","Prazo")</f>
        <v>Prazo</v>
      </c>
      <c r="R716" s="58" t="str">
        <f>IF(tbRegistroEntradas[[#This Row],[DATA DE CAIXA REALIZADO]]&lt;&gt;"N/A","Em Dia","Com atraso")</f>
        <v>Em Dia</v>
      </c>
    </row>
    <row r="717" spans="1:18" ht="14.4" customHeight="1" x14ac:dyDescent="0.3">
      <c r="A717" s="111">
        <v>45237</v>
      </c>
      <c r="B717" s="111">
        <f>A717-31</f>
        <v>45206</v>
      </c>
      <c r="C717" s="111">
        <f>(A717-B717)+B717-15</f>
        <v>45222</v>
      </c>
      <c r="D717" s="109" t="s">
        <v>66</v>
      </c>
      <c r="E717" s="109" t="s">
        <v>12</v>
      </c>
      <c r="F717" s="109" t="s">
        <v>18</v>
      </c>
      <c r="G717" s="109" t="s">
        <v>1090</v>
      </c>
      <c r="H717" s="52" t="s">
        <v>126</v>
      </c>
      <c r="I717" s="118">
        <v>1481</v>
      </c>
      <c r="J717" s="110" t="str">
        <f>IF(tbRegistroEntradas[[#This Row],[DATA DE CAIXA REALIZADO]]="N/A","0",UPPER(TEXT(tbRegistroEntradas[[#This Row],[DATA DE CAIXA REALIZADO]],"mmm")))</f>
        <v>NOV</v>
      </c>
      <c r="K717" s="57">
        <f>IF(tbRegistroEntradas[[#This Row],[DATA DE CAIXA REALIZADO]]="N/A",0,YEAR(tbRegistroEntradas[[#This Row],[DATA DE CAIXA REALIZADO]]))</f>
        <v>2023</v>
      </c>
      <c r="L717" s="58" t="str">
        <f>IF(tbRegistroEntradas[[#This Row],[DATA DA COMPETÊNCIA]]="N/A","0",UPPER(TEXT(tbRegistroEntradas[[#This Row],[DATA DA COMPETÊNCIA]],"mmm")))</f>
        <v>OUT</v>
      </c>
      <c r="M717" s="58">
        <f>IF(tbRegistroEntradas[[#This Row],[DATA DA COMPETÊNCIA]]="N/A",0,YEAR(tbRegistroEntradas[[#This Row],[DATA DA COMPETÊNCIA]]))</f>
        <v>2023</v>
      </c>
      <c r="N717" s="58" t="str">
        <f>IF(tbRegistroEntradas[[#This Row],[DATA DO CAIXA PREVISTO]]="N/A","0",UPPER(TEXT(tbRegistroEntradas[[#This Row],[DATA DO CAIXA PREVISTO]],"mmm")))</f>
        <v>OUT</v>
      </c>
      <c r="O717" s="58">
        <f>IF(tbRegistroEntradas[[#This Row],[DATA DO CAIXA PREVISTO]]="N/A",0,YEAR(tbRegistroEntradas[[#This Row],[DATA DO CAIXA PREVISTO]]))</f>
        <v>2023</v>
      </c>
      <c r="P717" s="58" t="str">
        <f ca="1">IF(AND(tbRegistroEntradas[[#This Row],[DATA DE CAIXA REALIZADO]]="N/A",tbRegistroEntradas[[#This Row],[DATA DO CAIXA PREVISTO]]&lt;TODAY()),"Vencida","Não Vencida")</f>
        <v>Não Vencida</v>
      </c>
      <c r="Q717" s="58" t="str">
        <f>IF(tbRegistroEntradas[[#This Row],[DATA DA COMPETÊNCIA]]=tbRegistroEntradas[[#This Row],[DATA DO CAIXA PREVISTO]],"Vista","Prazo")</f>
        <v>Prazo</v>
      </c>
      <c r="R717" s="58" t="str">
        <f>IF(tbRegistroEntradas[[#This Row],[DATA DE CAIXA REALIZADO]]&lt;&gt;"N/A","Em Dia","Com atraso")</f>
        <v>Em Dia</v>
      </c>
    </row>
    <row r="718" spans="1:18" ht="14.4" customHeight="1" x14ac:dyDescent="0.3">
      <c r="A718" s="111">
        <v>45237</v>
      </c>
      <c r="B718" s="111">
        <f>A718-31</f>
        <v>45206</v>
      </c>
      <c r="C718" s="111">
        <f>(A718-B718)+B718-15</f>
        <v>45222</v>
      </c>
      <c r="D718" s="109" t="s">
        <v>137</v>
      </c>
      <c r="E718" s="109" t="s">
        <v>12</v>
      </c>
      <c r="F718" s="109" t="s">
        <v>32</v>
      </c>
      <c r="G718" s="109" t="s">
        <v>1096</v>
      </c>
      <c r="H718" s="52" t="s">
        <v>106</v>
      </c>
      <c r="I718" s="118">
        <v>387</v>
      </c>
      <c r="J718" s="110" t="str">
        <f>IF(tbRegistroEntradas[[#This Row],[DATA DE CAIXA REALIZADO]]="N/A","0",UPPER(TEXT(tbRegistroEntradas[[#This Row],[DATA DE CAIXA REALIZADO]],"mmm")))</f>
        <v>NOV</v>
      </c>
      <c r="K718" s="57">
        <f>IF(tbRegistroEntradas[[#This Row],[DATA DE CAIXA REALIZADO]]="N/A",0,YEAR(tbRegistroEntradas[[#This Row],[DATA DE CAIXA REALIZADO]]))</f>
        <v>2023</v>
      </c>
      <c r="L718" s="58" t="str">
        <f>IF(tbRegistroEntradas[[#This Row],[DATA DA COMPETÊNCIA]]="N/A","0",UPPER(TEXT(tbRegistroEntradas[[#This Row],[DATA DA COMPETÊNCIA]],"mmm")))</f>
        <v>OUT</v>
      </c>
      <c r="M718" s="58">
        <f>IF(tbRegistroEntradas[[#This Row],[DATA DA COMPETÊNCIA]]="N/A",0,YEAR(tbRegistroEntradas[[#This Row],[DATA DA COMPETÊNCIA]]))</f>
        <v>2023</v>
      </c>
      <c r="N718" s="58" t="str">
        <f>IF(tbRegistroEntradas[[#This Row],[DATA DO CAIXA PREVISTO]]="N/A","0",UPPER(TEXT(tbRegistroEntradas[[#This Row],[DATA DO CAIXA PREVISTO]],"mmm")))</f>
        <v>OUT</v>
      </c>
      <c r="O718" s="58">
        <f>IF(tbRegistroEntradas[[#This Row],[DATA DO CAIXA PREVISTO]]="N/A",0,YEAR(tbRegistroEntradas[[#This Row],[DATA DO CAIXA PREVISTO]]))</f>
        <v>2023</v>
      </c>
      <c r="P718" s="58" t="str">
        <f ca="1">IF(AND(tbRegistroEntradas[[#This Row],[DATA DE CAIXA REALIZADO]]="N/A",tbRegistroEntradas[[#This Row],[DATA DO CAIXA PREVISTO]]&lt;TODAY()),"Vencida","Não Vencida")</f>
        <v>Não Vencida</v>
      </c>
      <c r="Q718" s="58" t="str">
        <f>IF(tbRegistroEntradas[[#This Row],[DATA DA COMPETÊNCIA]]=tbRegistroEntradas[[#This Row],[DATA DO CAIXA PREVISTO]],"Vista","Prazo")</f>
        <v>Prazo</v>
      </c>
      <c r="R718" s="58" t="str">
        <f>IF(tbRegistroEntradas[[#This Row],[DATA DE CAIXA REALIZADO]]&lt;&gt;"N/A","Em Dia","Com atraso")</f>
        <v>Em Dia</v>
      </c>
    </row>
    <row r="719" spans="1:18" ht="14.4" customHeight="1" x14ac:dyDescent="0.3">
      <c r="A719" s="111">
        <v>45239</v>
      </c>
      <c r="B719" s="111">
        <f>A719-31</f>
        <v>45208</v>
      </c>
      <c r="C719" s="111">
        <f>(A719-B719)+B719-15</f>
        <v>45224</v>
      </c>
      <c r="D719" s="109" t="s">
        <v>63</v>
      </c>
      <c r="E719" s="109" t="s">
        <v>12</v>
      </c>
      <c r="F719" s="109" t="s">
        <v>18</v>
      </c>
      <c r="G719" s="109" t="s">
        <v>957</v>
      </c>
      <c r="H719" s="52" t="s">
        <v>102</v>
      </c>
      <c r="I719" s="118">
        <v>6225</v>
      </c>
      <c r="J719" s="110" t="str">
        <f>IF(tbRegistroEntradas[[#This Row],[DATA DE CAIXA REALIZADO]]="N/A","0",UPPER(TEXT(tbRegistroEntradas[[#This Row],[DATA DE CAIXA REALIZADO]],"mmm")))</f>
        <v>NOV</v>
      </c>
      <c r="K719" s="57">
        <f>IF(tbRegistroEntradas[[#This Row],[DATA DE CAIXA REALIZADO]]="N/A",0,YEAR(tbRegistroEntradas[[#This Row],[DATA DE CAIXA REALIZADO]]))</f>
        <v>2023</v>
      </c>
      <c r="L719" s="58" t="str">
        <f>IF(tbRegistroEntradas[[#This Row],[DATA DA COMPETÊNCIA]]="N/A","0",UPPER(TEXT(tbRegistroEntradas[[#This Row],[DATA DA COMPETÊNCIA]],"mmm")))</f>
        <v>OUT</v>
      </c>
      <c r="M719" s="58">
        <f>IF(tbRegistroEntradas[[#This Row],[DATA DA COMPETÊNCIA]]="N/A",0,YEAR(tbRegistroEntradas[[#This Row],[DATA DA COMPETÊNCIA]]))</f>
        <v>2023</v>
      </c>
      <c r="N719" s="58" t="str">
        <f>IF(tbRegistroEntradas[[#This Row],[DATA DO CAIXA PREVISTO]]="N/A","0",UPPER(TEXT(tbRegistroEntradas[[#This Row],[DATA DO CAIXA PREVISTO]],"mmm")))</f>
        <v>OUT</v>
      </c>
      <c r="O719" s="58">
        <f>IF(tbRegistroEntradas[[#This Row],[DATA DO CAIXA PREVISTO]]="N/A",0,YEAR(tbRegistroEntradas[[#This Row],[DATA DO CAIXA PREVISTO]]))</f>
        <v>2023</v>
      </c>
      <c r="P719" s="58" t="str">
        <f ca="1">IF(AND(tbRegistroEntradas[[#This Row],[DATA DE CAIXA REALIZADO]]="N/A",tbRegistroEntradas[[#This Row],[DATA DO CAIXA PREVISTO]]&lt;TODAY()),"Vencida","Não Vencida")</f>
        <v>Não Vencida</v>
      </c>
      <c r="Q719" s="58" t="str">
        <f>IF(tbRegistroEntradas[[#This Row],[DATA DA COMPETÊNCIA]]=tbRegistroEntradas[[#This Row],[DATA DO CAIXA PREVISTO]],"Vista","Prazo")</f>
        <v>Prazo</v>
      </c>
      <c r="R719" s="58" t="str">
        <f>IF(tbRegistroEntradas[[#This Row],[DATA DE CAIXA REALIZADO]]&lt;&gt;"N/A","Em Dia","Com atraso")</f>
        <v>Em Dia</v>
      </c>
    </row>
    <row r="720" spans="1:18" ht="14.4" customHeight="1" x14ac:dyDescent="0.3">
      <c r="A720" s="111">
        <v>45240</v>
      </c>
      <c r="B720" s="111">
        <f>A720-31</f>
        <v>45209</v>
      </c>
      <c r="C720" s="111">
        <f>(A720-B720)+B720-15</f>
        <v>45225</v>
      </c>
      <c r="D720" s="109" t="s">
        <v>61</v>
      </c>
      <c r="E720" s="109" t="s">
        <v>12</v>
      </c>
      <c r="F720" s="109" t="s">
        <v>19</v>
      </c>
      <c r="G720" s="109" t="s">
        <v>469</v>
      </c>
      <c r="H720" s="52" t="s">
        <v>81</v>
      </c>
      <c r="I720" s="118">
        <v>6431</v>
      </c>
      <c r="J720" s="110" t="str">
        <f>IF(tbRegistroEntradas[[#This Row],[DATA DE CAIXA REALIZADO]]="N/A","0",UPPER(TEXT(tbRegistroEntradas[[#This Row],[DATA DE CAIXA REALIZADO]],"mmm")))</f>
        <v>NOV</v>
      </c>
      <c r="K720" s="57">
        <f>IF(tbRegistroEntradas[[#This Row],[DATA DE CAIXA REALIZADO]]="N/A",0,YEAR(tbRegistroEntradas[[#This Row],[DATA DE CAIXA REALIZADO]]))</f>
        <v>2023</v>
      </c>
      <c r="L720" s="58" t="str">
        <f>IF(tbRegistroEntradas[[#This Row],[DATA DA COMPETÊNCIA]]="N/A","0",UPPER(TEXT(tbRegistroEntradas[[#This Row],[DATA DA COMPETÊNCIA]],"mmm")))</f>
        <v>OUT</v>
      </c>
      <c r="M720" s="58">
        <f>IF(tbRegistroEntradas[[#This Row],[DATA DA COMPETÊNCIA]]="N/A",0,YEAR(tbRegistroEntradas[[#This Row],[DATA DA COMPETÊNCIA]]))</f>
        <v>2023</v>
      </c>
      <c r="N720" s="58" t="str">
        <f>IF(tbRegistroEntradas[[#This Row],[DATA DO CAIXA PREVISTO]]="N/A","0",UPPER(TEXT(tbRegistroEntradas[[#This Row],[DATA DO CAIXA PREVISTO]],"mmm")))</f>
        <v>OUT</v>
      </c>
      <c r="O720" s="58">
        <f>IF(tbRegistroEntradas[[#This Row],[DATA DO CAIXA PREVISTO]]="N/A",0,YEAR(tbRegistroEntradas[[#This Row],[DATA DO CAIXA PREVISTO]]))</f>
        <v>2023</v>
      </c>
      <c r="P720" s="58" t="str">
        <f ca="1">IF(AND(tbRegistroEntradas[[#This Row],[DATA DE CAIXA REALIZADO]]="N/A",tbRegistroEntradas[[#This Row],[DATA DO CAIXA PREVISTO]]&lt;TODAY()),"Vencida","Não Vencida")</f>
        <v>Não Vencida</v>
      </c>
      <c r="Q720" s="58" t="str">
        <f>IF(tbRegistroEntradas[[#This Row],[DATA DA COMPETÊNCIA]]=tbRegistroEntradas[[#This Row],[DATA DO CAIXA PREVISTO]],"Vista","Prazo")</f>
        <v>Prazo</v>
      </c>
      <c r="R720" s="58" t="str">
        <f>IF(tbRegistroEntradas[[#This Row],[DATA DE CAIXA REALIZADO]]&lt;&gt;"N/A","Em Dia","Com atraso")</f>
        <v>Em Dia</v>
      </c>
    </row>
    <row r="721" spans="1:18" ht="14.4" customHeight="1" x14ac:dyDescent="0.3">
      <c r="A721" s="111">
        <v>45244</v>
      </c>
      <c r="B721" s="111">
        <f>A721-31</f>
        <v>45213</v>
      </c>
      <c r="C721" s="111">
        <f>(A721-B721)+B721-15</f>
        <v>45229</v>
      </c>
      <c r="D721" s="109" t="s">
        <v>64</v>
      </c>
      <c r="E721" s="109" t="s">
        <v>12</v>
      </c>
      <c r="F721" s="109" t="s">
        <v>17</v>
      </c>
      <c r="G721" s="109" t="s">
        <v>848</v>
      </c>
      <c r="H721" s="126" t="s">
        <v>74</v>
      </c>
      <c r="I721" s="118">
        <v>4626</v>
      </c>
      <c r="J721" s="110" t="str">
        <f>IF(tbRegistroEntradas[[#This Row],[DATA DE CAIXA REALIZADO]]="N/A","0",UPPER(TEXT(tbRegistroEntradas[[#This Row],[DATA DE CAIXA REALIZADO]],"mmm")))</f>
        <v>NOV</v>
      </c>
      <c r="K721" s="57">
        <f>IF(tbRegistroEntradas[[#This Row],[DATA DE CAIXA REALIZADO]]="N/A",0,YEAR(tbRegistroEntradas[[#This Row],[DATA DE CAIXA REALIZADO]]))</f>
        <v>2023</v>
      </c>
      <c r="L721" s="58" t="str">
        <f>IF(tbRegistroEntradas[[#This Row],[DATA DA COMPETÊNCIA]]="N/A","0",UPPER(TEXT(tbRegistroEntradas[[#This Row],[DATA DA COMPETÊNCIA]],"mmm")))</f>
        <v>OUT</v>
      </c>
      <c r="M721" s="58">
        <f>IF(tbRegistroEntradas[[#This Row],[DATA DA COMPETÊNCIA]]="N/A",0,YEAR(tbRegistroEntradas[[#This Row],[DATA DA COMPETÊNCIA]]))</f>
        <v>2023</v>
      </c>
      <c r="N721" s="58" t="str">
        <f>IF(tbRegistroEntradas[[#This Row],[DATA DO CAIXA PREVISTO]]="N/A","0",UPPER(TEXT(tbRegistroEntradas[[#This Row],[DATA DO CAIXA PREVISTO]],"mmm")))</f>
        <v>OUT</v>
      </c>
      <c r="O721" s="58">
        <f>IF(tbRegistroEntradas[[#This Row],[DATA DO CAIXA PREVISTO]]="N/A",0,YEAR(tbRegistroEntradas[[#This Row],[DATA DO CAIXA PREVISTO]]))</f>
        <v>2023</v>
      </c>
      <c r="P721" s="58" t="str">
        <f ca="1">IF(AND(tbRegistroEntradas[[#This Row],[DATA DE CAIXA REALIZADO]]="N/A",tbRegistroEntradas[[#This Row],[DATA DO CAIXA PREVISTO]]&lt;TODAY()),"Vencida","Não Vencida")</f>
        <v>Não Vencida</v>
      </c>
      <c r="Q721" s="58" t="str">
        <f>IF(tbRegistroEntradas[[#This Row],[DATA DA COMPETÊNCIA]]=tbRegistroEntradas[[#This Row],[DATA DO CAIXA PREVISTO]],"Vista","Prazo")</f>
        <v>Prazo</v>
      </c>
      <c r="R721" s="58" t="str">
        <f>IF(tbRegistroEntradas[[#This Row],[DATA DE CAIXA REALIZADO]]&lt;&gt;"N/A","Em Dia","Com atraso")</f>
        <v>Em Dia</v>
      </c>
    </row>
    <row r="722" spans="1:18" ht="14.4" customHeight="1" x14ac:dyDescent="0.3">
      <c r="A722" s="111">
        <v>45250</v>
      </c>
      <c r="B722" s="111">
        <f>A722-31</f>
        <v>45219</v>
      </c>
      <c r="C722" s="111">
        <f>tbRegistroEntradas[[#This Row],[DATA DA COMPETÊNCIA]]</f>
        <v>45219</v>
      </c>
      <c r="D722" s="109" t="s">
        <v>64</v>
      </c>
      <c r="E722" s="109" t="s">
        <v>12</v>
      </c>
      <c r="F722" s="109" t="s">
        <v>32</v>
      </c>
      <c r="G722" s="109" t="s">
        <v>757</v>
      </c>
      <c r="H722" s="52" t="s">
        <v>108</v>
      </c>
      <c r="I722" s="118">
        <v>4265</v>
      </c>
      <c r="J722" s="110" t="str">
        <f>IF(tbRegistroEntradas[[#This Row],[DATA DE CAIXA REALIZADO]]="N/A","0",UPPER(TEXT(tbRegistroEntradas[[#This Row],[DATA DE CAIXA REALIZADO]],"mmm")))</f>
        <v>NOV</v>
      </c>
      <c r="K722" s="57">
        <f>IF(tbRegistroEntradas[[#This Row],[DATA DE CAIXA REALIZADO]]="N/A",0,YEAR(tbRegistroEntradas[[#This Row],[DATA DE CAIXA REALIZADO]]))</f>
        <v>2023</v>
      </c>
      <c r="L722" s="58" t="str">
        <f>IF(tbRegistroEntradas[[#This Row],[DATA DA COMPETÊNCIA]]="N/A","0",UPPER(TEXT(tbRegistroEntradas[[#This Row],[DATA DA COMPETÊNCIA]],"mmm")))</f>
        <v>OUT</v>
      </c>
      <c r="M722" s="58">
        <f>IF(tbRegistroEntradas[[#This Row],[DATA DA COMPETÊNCIA]]="N/A",0,YEAR(tbRegistroEntradas[[#This Row],[DATA DA COMPETÊNCIA]]))</f>
        <v>2023</v>
      </c>
      <c r="N722" s="58" t="str">
        <f>IF(tbRegistroEntradas[[#This Row],[DATA DO CAIXA PREVISTO]]="N/A","0",UPPER(TEXT(tbRegistroEntradas[[#This Row],[DATA DO CAIXA PREVISTO]],"mmm")))</f>
        <v>OUT</v>
      </c>
      <c r="O722" s="58">
        <f>IF(tbRegistroEntradas[[#This Row],[DATA DO CAIXA PREVISTO]]="N/A",0,YEAR(tbRegistroEntradas[[#This Row],[DATA DO CAIXA PREVISTO]]))</f>
        <v>2023</v>
      </c>
      <c r="P722" s="58" t="str">
        <f ca="1">IF(AND(tbRegistroEntradas[[#This Row],[DATA DE CAIXA REALIZADO]]="N/A",tbRegistroEntradas[[#This Row],[DATA DO CAIXA PREVISTO]]&lt;TODAY()),"Vencida","Não Vencida")</f>
        <v>Não Vencida</v>
      </c>
      <c r="Q722" s="58" t="str">
        <f>IF(tbRegistroEntradas[[#This Row],[DATA DA COMPETÊNCIA]]=tbRegistroEntradas[[#This Row],[DATA DO CAIXA PREVISTO]],"Vista","Prazo")</f>
        <v>Vista</v>
      </c>
      <c r="R722" s="58" t="str">
        <f>IF(tbRegistroEntradas[[#This Row],[DATA DE CAIXA REALIZADO]]&lt;&gt;"N/A","Em Dia","Com atraso")</f>
        <v>Em Dia</v>
      </c>
    </row>
    <row r="723" spans="1:18" ht="14.4" customHeight="1" x14ac:dyDescent="0.3">
      <c r="A723" s="111">
        <v>45252</v>
      </c>
      <c r="B723" s="111">
        <f>A723-31</f>
        <v>45221</v>
      </c>
      <c r="C723" s="111">
        <f>tbRegistroEntradas[[#This Row],[DATA DA COMPETÊNCIA]]</f>
        <v>45221</v>
      </c>
      <c r="D723" s="109" t="s">
        <v>63</v>
      </c>
      <c r="E723" s="109" t="s">
        <v>12</v>
      </c>
      <c r="F723" s="109" t="s">
        <v>18</v>
      </c>
      <c r="G723" s="109" t="s">
        <v>966</v>
      </c>
      <c r="H723" s="52" t="s">
        <v>103</v>
      </c>
      <c r="I723" s="118">
        <v>2249</v>
      </c>
      <c r="J723" s="110" t="str">
        <f>IF(tbRegistroEntradas[[#This Row],[DATA DE CAIXA REALIZADO]]="N/A","0",UPPER(TEXT(tbRegistroEntradas[[#This Row],[DATA DE CAIXA REALIZADO]],"mmm")))</f>
        <v>NOV</v>
      </c>
      <c r="K723" s="57">
        <f>IF(tbRegistroEntradas[[#This Row],[DATA DE CAIXA REALIZADO]]="N/A",0,YEAR(tbRegistroEntradas[[#This Row],[DATA DE CAIXA REALIZADO]]))</f>
        <v>2023</v>
      </c>
      <c r="L723" s="58" t="str">
        <f>IF(tbRegistroEntradas[[#This Row],[DATA DA COMPETÊNCIA]]="N/A","0",UPPER(TEXT(tbRegistroEntradas[[#This Row],[DATA DA COMPETÊNCIA]],"mmm")))</f>
        <v>OUT</v>
      </c>
      <c r="M723" s="58">
        <f>IF(tbRegistroEntradas[[#This Row],[DATA DA COMPETÊNCIA]]="N/A",0,YEAR(tbRegistroEntradas[[#This Row],[DATA DA COMPETÊNCIA]]))</f>
        <v>2023</v>
      </c>
      <c r="N723" s="58" t="str">
        <f>IF(tbRegistroEntradas[[#This Row],[DATA DO CAIXA PREVISTO]]="N/A","0",UPPER(TEXT(tbRegistroEntradas[[#This Row],[DATA DO CAIXA PREVISTO]],"mmm")))</f>
        <v>OUT</v>
      </c>
      <c r="O723" s="58">
        <f>IF(tbRegistroEntradas[[#This Row],[DATA DO CAIXA PREVISTO]]="N/A",0,YEAR(tbRegistroEntradas[[#This Row],[DATA DO CAIXA PREVISTO]]))</f>
        <v>2023</v>
      </c>
      <c r="P723" s="58" t="str">
        <f ca="1">IF(AND(tbRegistroEntradas[[#This Row],[DATA DE CAIXA REALIZADO]]="N/A",tbRegistroEntradas[[#This Row],[DATA DO CAIXA PREVISTO]]&lt;TODAY()),"Vencida","Não Vencida")</f>
        <v>Não Vencida</v>
      </c>
      <c r="Q723" s="58" t="str">
        <f>IF(tbRegistroEntradas[[#This Row],[DATA DA COMPETÊNCIA]]=tbRegistroEntradas[[#This Row],[DATA DO CAIXA PREVISTO]],"Vista","Prazo")</f>
        <v>Vista</v>
      </c>
      <c r="R723" s="58" t="str">
        <f>IF(tbRegistroEntradas[[#This Row],[DATA DE CAIXA REALIZADO]]&lt;&gt;"N/A","Em Dia","Com atraso")</f>
        <v>Em Dia</v>
      </c>
    </row>
    <row r="724" spans="1:18" ht="14.4" customHeight="1" x14ac:dyDescent="0.3">
      <c r="A724" s="111">
        <v>45253</v>
      </c>
      <c r="B724" s="111">
        <f>A724-31</f>
        <v>45222</v>
      </c>
      <c r="C724" s="111">
        <f>(A724-B724)+B724-15</f>
        <v>45238</v>
      </c>
      <c r="D724" s="109" t="s">
        <v>137</v>
      </c>
      <c r="E724" s="109" t="s">
        <v>12</v>
      </c>
      <c r="F724" s="109" t="s">
        <v>19</v>
      </c>
      <c r="G724" s="109" t="s">
        <v>792</v>
      </c>
      <c r="H724" s="52" t="s">
        <v>107</v>
      </c>
      <c r="I724" s="118">
        <v>7557</v>
      </c>
      <c r="J724" s="110" t="str">
        <f>IF(tbRegistroEntradas[[#This Row],[DATA DE CAIXA REALIZADO]]="N/A","0",UPPER(TEXT(tbRegistroEntradas[[#This Row],[DATA DE CAIXA REALIZADO]],"mmm")))</f>
        <v>NOV</v>
      </c>
      <c r="K724" s="57">
        <f>IF(tbRegistroEntradas[[#This Row],[DATA DE CAIXA REALIZADO]]="N/A",0,YEAR(tbRegistroEntradas[[#This Row],[DATA DE CAIXA REALIZADO]]))</f>
        <v>2023</v>
      </c>
      <c r="L724" s="58" t="str">
        <f>IF(tbRegistroEntradas[[#This Row],[DATA DA COMPETÊNCIA]]="N/A","0",UPPER(TEXT(tbRegistroEntradas[[#This Row],[DATA DA COMPETÊNCIA]],"mmm")))</f>
        <v>OUT</v>
      </c>
      <c r="M724" s="58">
        <f>IF(tbRegistroEntradas[[#This Row],[DATA DA COMPETÊNCIA]]="N/A",0,YEAR(tbRegistroEntradas[[#This Row],[DATA DA COMPETÊNCIA]]))</f>
        <v>2023</v>
      </c>
      <c r="N724" s="58" t="str">
        <f>IF(tbRegistroEntradas[[#This Row],[DATA DO CAIXA PREVISTO]]="N/A","0",UPPER(TEXT(tbRegistroEntradas[[#This Row],[DATA DO CAIXA PREVISTO]],"mmm")))</f>
        <v>NOV</v>
      </c>
      <c r="O724" s="58">
        <f>IF(tbRegistroEntradas[[#This Row],[DATA DO CAIXA PREVISTO]]="N/A",0,YEAR(tbRegistroEntradas[[#This Row],[DATA DO CAIXA PREVISTO]]))</f>
        <v>2023</v>
      </c>
      <c r="P724" s="58" t="str">
        <f ca="1">IF(AND(tbRegistroEntradas[[#This Row],[DATA DE CAIXA REALIZADO]]="N/A",tbRegistroEntradas[[#This Row],[DATA DO CAIXA PREVISTO]]&lt;TODAY()),"Vencida","Não Vencida")</f>
        <v>Não Vencida</v>
      </c>
      <c r="Q724" s="58" t="str">
        <f>IF(tbRegistroEntradas[[#This Row],[DATA DA COMPETÊNCIA]]=tbRegistroEntradas[[#This Row],[DATA DO CAIXA PREVISTO]],"Vista","Prazo")</f>
        <v>Prazo</v>
      </c>
      <c r="R724" s="58" t="str">
        <f>IF(tbRegistroEntradas[[#This Row],[DATA DE CAIXA REALIZADO]]&lt;&gt;"N/A","Em Dia","Com atraso")</f>
        <v>Em Dia</v>
      </c>
    </row>
    <row r="725" spans="1:18" ht="14.4" customHeight="1" x14ac:dyDescent="0.3">
      <c r="A725" s="111">
        <v>45254</v>
      </c>
      <c r="B725" s="111">
        <f>A725-31</f>
        <v>45223</v>
      </c>
      <c r="C725" s="111">
        <f>(A725-B725)+B725-15</f>
        <v>45239</v>
      </c>
      <c r="D725" s="109" t="s">
        <v>66</v>
      </c>
      <c r="E725" s="109" t="s">
        <v>12</v>
      </c>
      <c r="F725" s="109" t="s">
        <v>16</v>
      </c>
      <c r="G725" s="109" t="s">
        <v>927</v>
      </c>
      <c r="H725" s="5" t="s">
        <v>127</v>
      </c>
      <c r="I725" s="118">
        <v>5681</v>
      </c>
      <c r="J725" s="110" t="str">
        <f>IF(tbRegistroEntradas[[#This Row],[DATA DE CAIXA REALIZADO]]="N/A","0",UPPER(TEXT(tbRegistroEntradas[[#This Row],[DATA DE CAIXA REALIZADO]],"mmm")))</f>
        <v>NOV</v>
      </c>
      <c r="K725" s="57">
        <f>IF(tbRegistroEntradas[[#This Row],[DATA DE CAIXA REALIZADO]]="N/A",0,YEAR(tbRegistroEntradas[[#This Row],[DATA DE CAIXA REALIZADO]]))</f>
        <v>2023</v>
      </c>
      <c r="L725" s="58" t="str">
        <f>IF(tbRegistroEntradas[[#This Row],[DATA DA COMPETÊNCIA]]="N/A","0",UPPER(TEXT(tbRegistroEntradas[[#This Row],[DATA DA COMPETÊNCIA]],"mmm")))</f>
        <v>OUT</v>
      </c>
      <c r="M725" s="58">
        <f>IF(tbRegistroEntradas[[#This Row],[DATA DA COMPETÊNCIA]]="N/A",0,YEAR(tbRegistroEntradas[[#This Row],[DATA DA COMPETÊNCIA]]))</f>
        <v>2023</v>
      </c>
      <c r="N725" s="58" t="str">
        <f>IF(tbRegistroEntradas[[#This Row],[DATA DO CAIXA PREVISTO]]="N/A","0",UPPER(TEXT(tbRegistroEntradas[[#This Row],[DATA DO CAIXA PREVISTO]],"mmm")))</f>
        <v>NOV</v>
      </c>
      <c r="O725" s="58">
        <f>IF(tbRegistroEntradas[[#This Row],[DATA DO CAIXA PREVISTO]]="N/A",0,YEAR(tbRegistroEntradas[[#This Row],[DATA DO CAIXA PREVISTO]]))</f>
        <v>2023</v>
      </c>
      <c r="P725" s="58" t="str">
        <f ca="1">IF(AND(tbRegistroEntradas[[#This Row],[DATA DE CAIXA REALIZADO]]="N/A",tbRegistroEntradas[[#This Row],[DATA DO CAIXA PREVISTO]]&lt;TODAY()),"Vencida","Não Vencida")</f>
        <v>Não Vencida</v>
      </c>
      <c r="Q725" s="58" t="str">
        <f>IF(tbRegistroEntradas[[#This Row],[DATA DA COMPETÊNCIA]]=tbRegistroEntradas[[#This Row],[DATA DO CAIXA PREVISTO]],"Vista","Prazo")</f>
        <v>Prazo</v>
      </c>
      <c r="R725" s="58" t="str">
        <f>IF(tbRegistroEntradas[[#This Row],[DATA DE CAIXA REALIZADO]]&lt;&gt;"N/A","Em Dia","Com atraso")</f>
        <v>Em Dia</v>
      </c>
    </row>
    <row r="726" spans="1:18" ht="14.4" customHeight="1" x14ac:dyDescent="0.3">
      <c r="A726" s="111">
        <v>45257</v>
      </c>
      <c r="B726" s="111">
        <f>A726-31</f>
        <v>45226</v>
      </c>
      <c r="C726" s="111">
        <f>(A726-B726)+B726-15</f>
        <v>45242</v>
      </c>
      <c r="D726" s="109" t="s">
        <v>61</v>
      </c>
      <c r="E726" s="109" t="s">
        <v>12</v>
      </c>
      <c r="F726" s="109" t="s">
        <v>18</v>
      </c>
      <c r="G726" s="109" t="s">
        <v>735</v>
      </c>
      <c r="H726" s="52" t="s">
        <v>82</v>
      </c>
      <c r="I726" s="118">
        <v>5140</v>
      </c>
      <c r="J726" s="110" t="str">
        <f>IF(tbRegistroEntradas[[#This Row],[DATA DE CAIXA REALIZADO]]="N/A","0",UPPER(TEXT(tbRegistroEntradas[[#This Row],[DATA DE CAIXA REALIZADO]],"mmm")))</f>
        <v>NOV</v>
      </c>
      <c r="K726" s="57">
        <f>IF(tbRegistroEntradas[[#This Row],[DATA DE CAIXA REALIZADO]]="N/A",0,YEAR(tbRegistroEntradas[[#This Row],[DATA DE CAIXA REALIZADO]]))</f>
        <v>2023</v>
      </c>
      <c r="L726" s="58" t="str">
        <f>IF(tbRegistroEntradas[[#This Row],[DATA DA COMPETÊNCIA]]="N/A","0",UPPER(TEXT(tbRegistroEntradas[[#This Row],[DATA DA COMPETÊNCIA]],"mmm")))</f>
        <v>OUT</v>
      </c>
      <c r="M726" s="58">
        <f>IF(tbRegistroEntradas[[#This Row],[DATA DA COMPETÊNCIA]]="N/A",0,YEAR(tbRegistroEntradas[[#This Row],[DATA DA COMPETÊNCIA]]))</f>
        <v>2023</v>
      </c>
      <c r="N726" s="58" t="str">
        <f>IF(tbRegistroEntradas[[#This Row],[DATA DO CAIXA PREVISTO]]="N/A","0",UPPER(TEXT(tbRegistroEntradas[[#This Row],[DATA DO CAIXA PREVISTO]],"mmm")))</f>
        <v>NOV</v>
      </c>
      <c r="O726" s="58">
        <f>IF(tbRegistroEntradas[[#This Row],[DATA DO CAIXA PREVISTO]]="N/A",0,YEAR(tbRegistroEntradas[[#This Row],[DATA DO CAIXA PREVISTO]]))</f>
        <v>2023</v>
      </c>
      <c r="P726" s="58" t="str">
        <f ca="1">IF(AND(tbRegistroEntradas[[#This Row],[DATA DE CAIXA REALIZADO]]="N/A",tbRegistroEntradas[[#This Row],[DATA DO CAIXA PREVISTO]]&lt;TODAY()),"Vencida","Não Vencida")</f>
        <v>Não Vencida</v>
      </c>
      <c r="Q726" s="58" t="str">
        <f>IF(tbRegistroEntradas[[#This Row],[DATA DA COMPETÊNCIA]]=tbRegistroEntradas[[#This Row],[DATA DO CAIXA PREVISTO]],"Vista","Prazo")</f>
        <v>Prazo</v>
      </c>
      <c r="R726" s="58" t="str">
        <f>IF(tbRegistroEntradas[[#This Row],[DATA DE CAIXA REALIZADO]]&lt;&gt;"N/A","Em Dia","Com atraso")</f>
        <v>Em Dia</v>
      </c>
    </row>
    <row r="727" spans="1:18" ht="14.4" customHeight="1" x14ac:dyDescent="0.3">
      <c r="A727" s="111">
        <v>45258</v>
      </c>
      <c r="B727" s="111">
        <f>A727-31</f>
        <v>45227</v>
      </c>
      <c r="C727" s="111">
        <f>(A727-B727)+B727-15</f>
        <v>45243</v>
      </c>
      <c r="D727" s="109" t="s">
        <v>61</v>
      </c>
      <c r="E727" s="109" t="s">
        <v>12</v>
      </c>
      <c r="F727" s="109" t="s">
        <v>18</v>
      </c>
      <c r="G727" s="109" t="s">
        <v>914</v>
      </c>
      <c r="H727" s="52" t="s">
        <v>83</v>
      </c>
      <c r="I727" s="118">
        <v>5039</v>
      </c>
      <c r="J727" s="110" t="str">
        <f>IF(tbRegistroEntradas[[#This Row],[DATA DE CAIXA REALIZADO]]="N/A","0",UPPER(TEXT(tbRegistroEntradas[[#This Row],[DATA DE CAIXA REALIZADO]],"mmm")))</f>
        <v>NOV</v>
      </c>
      <c r="K727" s="57">
        <f>IF(tbRegistroEntradas[[#This Row],[DATA DE CAIXA REALIZADO]]="N/A",0,YEAR(tbRegistroEntradas[[#This Row],[DATA DE CAIXA REALIZADO]]))</f>
        <v>2023</v>
      </c>
      <c r="L727" s="58" t="str">
        <f>IF(tbRegistroEntradas[[#This Row],[DATA DA COMPETÊNCIA]]="N/A","0",UPPER(TEXT(tbRegistroEntradas[[#This Row],[DATA DA COMPETÊNCIA]],"mmm")))</f>
        <v>OUT</v>
      </c>
      <c r="M727" s="58">
        <f>IF(tbRegistroEntradas[[#This Row],[DATA DA COMPETÊNCIA]]="N/A",0,YEAR(tbRegistroEntradas[[#This Row],[DATA DA COMPETÊNCIA]]))</f>
        <v>2023</v>
      </c>
      <c r="N727" s="58" t="str">
        <f>IF(tbRegistroEntradas[[#This Row],[DATA DO CAIXA PREVISTO]]="N/A","0",UPPER(TEXT(tbRegistroEntradas[[#This Row],[DATA DO CAIXA PREVISTO]],"mmm")))</f>
        <v>NOV</v>
      </c>
      <c r="O727" s="58">
        <f>IF(tbRegistroEntradas[[#This Row],[DATA DO CAIXA PREVISTO]]="N/A",0,YEAR(tbRegistroEntradas[[#This Row],[DATA DO CAIXA PREVISTO]]))</f>
        <v>2023</v>
      </c>
      <c r="P727" s="58" t="str">
        <f ca="1">IF(AND(tbRegistroEntradas[[#This Row],[DATA DE CAIXA REALIZADO]]="N/A",tbRegistroEntradas[[#This Row],[DATA DO CAIXA PREVISTO]]&lt;TODAY()),"Vencida","Não Vencida")</f>
        <v>Não Vencida</v>
      </c>
      <c r="Q727" s="58" t="str">
        <f>IF(tbRegistroEntradas[[#This Row],[DATA DA COMPETÊNCIA]]=tbRegistroEntradas[[#This Row],[DATA DO CAIXA PREVISTO]],"Vista","Prazo")</f>
        <v>Prazo</v>
      </c>
      <c r="R727" s="58" t="str">
        <f>IF(tbRegistroEntradas[[#This Row],[DATA DE CAIXA REALIZADO]]&lt;&gt;"N/A","Em Dia","Com atraso")</f>
        <v>Em Dia</v>
      </c>
    </row>
    <row r="728" spans="1:18" ht="14.4" customHeight="1" x14ac:dyDescent="0.3">
      <c r="A728" s="111">
        <v>45262</v>
      </c>
      <c r="B728" s="111">
        <f>A728-31</f>
        <v>45231</v>
      </c>
      <c r="C728" s="111">
        <f>(A728-B728)+B728-15</f>
        <v>45247</v>
      </c>
      <c r="D728" s="109" t="s">
        <v>138</v>
      </c>
      <c r="E728" s="109" t="s">
        <v>12</v>
      </c>
      <c r="F728" s="109" t="s">
        <v>16</v>
      </c>
      <c r="G728" s="109" t="s">
        <v>765</v>
      </c>
      <c r="H728" s="109" t="s">
        <v>77</v>
      </c>
      <c r="I728" s="118">
        <v>5197</v>
      </c>
      <c r="J728" s="110" t="str">
        <f>IF(tbRegistroEntradas[[#This Row],[DATA DE CAIXA REALIZADO]]="N/A","0",UPPER(TEXT(tbRegistroEntradas[[#This Row],[DATA DE CAIXA REALIZADO]],"mmm")))</f>
        <v>DEZ</v>
      </c>
      <c r="K728" s="57">
        <f>IF(tbRegistroEntradas[[#This Row],[DATA DE CAIXA REALIZADO]]="N/A",0,YEAR(tbRegistroEntradas[[#This Row],[DATA DE CAIXA REALIZADO]]))</f>
        <v>2023</v>
      </c>
      <c r="L728" s="58" t="str">
        <f>IF(tbRegistroEntradas[[#This Row],[DATA DA COMPETÊNCIA]]="N/A","0",UPPER(TEXT(tbRegistroEntradas[[#This Row],[DATA DA COMPETÊNCIA]],"mmm")))</f>
        <v>NOV</v>
      </c>
      <c r="M728" s="58">
        <f>IF(tbRegistroEntradas[[#This Row],[DATA DA COMPETÊNCIA]]="N/A",0,YEAR(tbRegistroEntradas[[#This Row],[DATA DA COMPETÊNCIA]]))</f>
        <v>2023</v>
      </c>
      <c r="N728" s="58" t="str">
        <f>IF(tbRegistroEntradas[[#This Row],[DATA DO CAIXA PREVISTO]]="N/A","0",UPPER(TEXT(tbRegistroEntradas[[#This Row],[DATA DO CAIXA PREVISTO]],"mmm")))</f>
        <v>NOV</v>
      </c>
      <c r="O728" s="58">
        <f>IF(tbRegistroEntradas[[#This Row],[DATA DO CAIXA PREVISTO]]="N/A",0,YEAR(tbRegistroEntradas[[#This Row],[DATA DO CAIXA PREVISTO]]))</f>
        <v>2023</v>
      </c>
      <c r="P728" s="58" t="str">
        <f ca="1">IF(AND(tbRegistroEntradas[[#This Row],[DATA DE CAIXA REALIZADO]]="N/A",tbRegistroEntradas[[#This Row],[DATA DO CAIXA PREVISTO]]&lt;TODAY()),"Vencida","Não Vencida")</f>
        <v>Não Vencida</v>
      </c>
      <c r="Q728" s="58" t="str">
        <f>IF(tbRegistroEntradas[[#This Row],[DATA DA COMPETÊNCIA]]=tbRegistroEntradas[[#This Row],[DATA DO CAIXA PREVISTO]],"Vista","Prazo")</f>
        <v>Prazo</v>
      </c>
      <c r="R728" s="58" t="str">
        <f>IF(tbRegistroEntradas[[#This Row],[DATA DE CAIXA REALIZADO]]&lt;&gt;"N/A","Em Dia","Com atraso")</f>
        <v>Em Dia</v>
      </c>
    </row>
    <row r="729" spans="1:18" ht="14.4" customHeight="1" x14ac:dyDescent="0.3">
      <c r="A729" s="111">
        <v>45267</v>
      </c>
      <c r="B729" s="111">
        <f>A729-31</f>
        <v>45236</v>
      </c>
      <c r="C729" s="111">
        <f>(A729-B729)+B729-15</f>
        <v>45252</v>
      </c>
      <c r="D729" s="109" t="s">
        <v>64</v>
      </c>
      <c r="E729" s="109" t="s">
        <v>12</v>
      </c>
      <c r="F729" s="109" t="s">
        <v>18</v>
      </c>
      <c r="G729" s="109" t="s">
        <v>1033</v>
      </c>
      <c r="H729" s="109" t="s">
        <v>109</v>
      </c>
      <c r="I729" s="118">
        <v>1167</v>
      </c>
      <c r="J729" s="110" t="str">
        <f>IF(tbRegistroEntradas[[#This Row],[DATA DE CAIXA REALIZADO]]="N/A","0",UPPER(TEXT(tbRegistroEntradas[[#This Row],[DATA DE CAIXA REALIZADO]],"mmm")))</f>
        <v>DEZ</v>
      </c>
      <c r="K729" s="57">
        <f>IF(tbRegistroEntradas[[#This Row],[DATA DE CAIXA REALIZADO]]="N/A",0,YEAR(tbRegistroEntradas[[#This Row],[DATA DE CAIXA REALIZADO]]))</f>
        <v>2023</v>
      </c>
      <c r="L729" s="58" t="str">
        <f>IF(tbRegistroEntradas[[#This Row],[DATA DA COMPETÊNCIA]]="N/A","0",UPPER(TEXT(tbRegistroEntradas[[#This Row],[DATA DA COMPETÊNCIA]],"mmm")))</f>
        <v>NOV</v>
      </c>
      <c r="M729" s="58">
        <f>IF(tbRegistroEntradas[[#This Row],[DATA DA COMPETÊNCIA]]="N/A",0,YEAR(tbRegistroEntradas[[#This Row],[DATA DA COMPETÊNCIA]]))</f>
        <v>2023</v>
      </c>
      <c r="N729" s="58" t="str">
        <f>IF(tbRegistroEntradas[[#This Row],[DATA DO CAIXA PREVISTO]]="N/A","0",UPPER(TEXT(tbRegistroEntradas[[#This Row],[DATA DO CAIXA PREVISTO]],"mmm")))</f>
        <v>NOV</v>
      </c>
      <c r="O729" s="58">
        <f>IF(tbRegistroEntradas[[#This Row],[DATA DO CAIXA PREVISTO]]="N/A",0,YEAR(tbRegistroEntradas[[#This Row],[DATA DO CAIXA PREVISTO]]))</f>
        <v>2023</v>
      </c>
      <c r="P729" s="58" t="str">
        <f ca="1">IF(AND(tbRegistroEntradas[[#This Row],[DATA DE CAIXA REALIZADO]]="N/A",tbRegistroEntradas[[#This Row],[DATA DO CAIXA PREVISTO]]&lt;TODAY()),"Vencida","Não Vencida")</f>
        <v>Não Vencida</v>
      </c>
      <c r="Q729" s="58" t="str">
        <f>IF(tbRegistroEntradas[[#This Row],[DATA DA COMPETÊNCIA]]=tbRegistroEntradas[[#This Row],[DATA DO CAIXA PREVISTO]],"Vista","Prazo")</f>
        <v>Prazo</v>
      </c>
      <c r="R729" s="58" t="str">
        <f>IF(tbRegistroEntradas[[#This Row],[DATA DE CAIXA REALIZADO]]&lt;&gt;"N/A","Em Dia","Com atraso")</f>
        <v>Em Dia</v>
      </c>
    </row>
    <row r="730" spans="1:18" ht="14.4" customHeight="1" x14ac:dyDescent="0.3">
      <c r="A730" s="111">
        <v>45272</v>
      </c>
      <c r="B730" s="111">
        <f>A730-31</f>
        <v>45241</v>
      </c>
      <c r="C730" s="111">
        <f>(A730-B730)+B730-15</f>
        <v>45257</v>
      </c>
      <c r="D730" s="109" t="s">
        <v>63</v>
      </c>
      <c r="E730" s="109" t="s">
        <v>12</v>
      </c>
      <c r="F730" s="109" t="s">
        <v>19</v>
      </c>
      <c r="G730" s="109" t="s">
        <v>1099</v>
      </c>
      <c r="H730" s="52" t="s">
        <v>102</v>
      </c>
      <c r="I730" s="118">
        <v>3700</v>
      </c>
      <c r="J730" s="110" t="str">
        <f>IF(tbRegistroEntradas[[#This Row],[DATA DE CAIXA REALIZADO]]="N/A","0",UPPER(TEXT(tbRegistroEntradas[[#This Row],[DATA DE CAIXA REALIZADO]],"mmm")))</f>
        <v>DEZ</v>
      </c>
      <c r="K730" s="57">
        <f>IF(tbRegistroEntradas[[#This Row],[DATA DE CAIXA REALIZADO]]="N/A",0,YEAR(tbRegistroEntradas[[#This Row],[DATA DE CAIXA REALIZADO]]))</f>
        <v>2023</v>
      </c>
      <c r="L730" s="58" t="str">
        <f>IF(tbRegistroEntradas[[#This Row],[DATA DA COMPETÊNCIA]]="N/A","0",UPPER(TEXT(tbRegistroEntradas[[#This Row],[DATA DA COMPETÊNCIA]],"mmm")))</f>
        <v>NOV</v>
      </c>
      <c r="M730" s="58">
        <f>IF(tbRegistroEntradas[[#This Row],[DATA DA COMPETÊNCIA]]="N/A",0,YEAR(tbRegistroEntradas[[#This Row],[DATA DA COMPETÊNCIA]]))</f>
        <v>2023</v>
      </c>
      <c r="N730" s="58" t="str">
        <f>IF(tbRegistroEntradas[[#This Row],[DATA DO CAIXA PREVISTO]]="N/A","0",UPPER(TEXT(tbRegistroEntradas[[#This Row],[DATA DO CAIXA PREVISTO]],"mmm")))</f>
        <v>NOV</v>
      </c>
      <c r="O730" s="58">
        <f>IF(tbRegistroEntradas[[#This Row],[DATA DO CAIXA PREVISTO]]="N/A",0,YEAR(tbRegistroEntradas[[#This Row],[DATA DO CAIXA PREVISTO]]))</f>
        <v>2023</v>
      </c>
      <c r="P730" s="58" t="str">
        <f ca="1">IF(AND(tbRegistroEntradas[[#This Row],[DATA DE CAIXA REALIZADO]]="N/A",tbRegistroEntradas[[#This Row],[DATA DO CAIXA PREVISTO]]&lt;TODAY()),"Vencida","Não Vencida")</f>
        <v>Não Vencida</v>
      </c>
      <c r="Q730" s="58" t="str">
        <f>IF(tbRegistroEntradas[[#This Row],[DATA DA COMPETÊNCIA]]=tbRegistroEntradas[[#This Row],[DATA DO CAIXA PREVISTO]],"Vista","Prazo")</f>
        <v>Prazo</v>
      </c>
      <c r="R730" s="58" t="str">
        <f>IF(tbRegistroEntradas[[#This Row],[DATA DE CAIXA REALIZADO]]&lt;&gt;"N/A","Em Dia","Com atraso")</f>
        <v>Em Dia</v>
      </c>
    </row>
    <row r="731" spans="1:18" ht="14.4" customHeight="1" x14ac:dyDescent="0.3">
      <c r="A731" s="111">
        <v>45273</v>
      </c>
      <c r="B731" s="111">
        <f>A731-31</f>
        <v>45242</v>
      </c>
      <c r="C731" s="111">
        <f>(A731-B731)+B731-15</f>
        <v>45258</v>
      </c>
      <c r="D731" s="109" t="s">
        <v>138</v>
      </c>
      <c r="E731" s="109" t="s">
        <v>12</v>
      </c>
      <c r="F731" s="109" t="s">
        <v>16</v>
      </c>
      <c r="G731" s="109" t="s">
        <v>307</v>
      </c>
      <c r="H731" s="52" t="s">
        <v>78</v>
      </c>
      <c r="I731" s="118">
        <v>3374</v>
      </c>
      <c r="J731" s="110" t="str">
        <f>IF(tbRegistroEntradas[[#This Row],[DATA DE CAIXA REALIZADO]]="N/A","0",UPPER(TEXT(tbRegistroEntradas[[#This Row],[DATA DE CAIXA REALIZADO]],"mmm")))</f>
        <v>DEZ</v>
      </c>
      <c r="K731" s="57">
        <f>IF(tbRegistroEntradas[[#This Row],[DATA DE CAIXA REALIZADO]]="N/A",0,YEAR(tbRegistroEntradas[[#This Row],[DATA DE CAIXA REALIZADO]]))</f>
        <v>2023</v>
      </c>
      <c r="L731" s="58" t="str">
        <f>IF(tbRegistroEntradas[[#This Row],[DATA DA COMPETÊNCIA]]="N/A","0",UPPER(TEXT(tbRegistroEntradas[[#This Row],[DATA DA COMPETÊNCIA]],"mmm")))</f>
        <v>NOV</v>
      </c>
      <c r="M731" s="58">
        <f>IF(tbRegistroEntradas[[#This Row],[DATA DA COMPETÊNCIA]]="N/A",0,YEAR(tbRegistroEntradas[[#This Row],[DATA DA COMPETÊNCIA]]))</f>
        <v>2023</v>
      </c>
      <c r="N731" s="58" t="str">
        <f>IF(tbRegistroEntradas[[#This Row],[DATA DO CAIXA PREVISTO]]="N/A","0",UPPER(TEXT(tbRegistroEntradas[[#This Row],[DATA DO CAIXA PREVISTO]],"mmm")))</f>
        <v>NOV</v>
      </c>
      <c r="O731" s="58">
        <f>IF(tbRegistroEntradas[[#This Row],[DATA DO CAIXA PREVISTO]]="N/A",0,YEAR(tbRegistroEntradas[[#This Row],[DATA DO CAIXA PREVISTO]]))</f>
        <v>2023</v>
      </c>
      <c r="P731" s="58" t="str">
        <f ca="1">IF(AND(tbRegistroEntradas[[#This Row],[DATA DE CAIXA REALIZADO]]="N/A",tbRegistroEntradas[[#This Row],[DATA DO CAIXA PREVISTO]]&lt;TODAY()),"Vencida","Não Vencida")</f>
        <v>Não Vencida</v>
      </c>
      <c r="Q731" s="58" t="str">
        <f>IF(tbRegistroEntradas[[#This Row],[DATA DA COMPETÊNCIA]]=tbRegistroEntradas[[#This Row],[DATA DO CAIXA PREVISTO]],"Vista","Prazo")</f>
        <v>Prazo</v>
      </c>
      <c r="R731" s="58" t="str">
        <f>IF(tbRegistroEntradas[[#This Row],[DATA DE CAIXA REALIZADO]]&lt;&gt;"N/A","Em Dia","Com atraso")</f>
        <v>Em Dia</v>
      </c>
    </row>
    <row r="732" spans="1:18" ht="14.4" customHeight="1" x14ac:dyDescent="0.3">
      <c r="A732" s="111">
        <v>45275</v>
      </c>
      <c r="B732" s="111">
        <f>A732-31</f>
        <v>45244</v>
      </c>
      <c r="C732" s="111">
        <f>(A732-B732)+B732-15</f>
        <v>45260</v>
      </c>
      <c r="D732" s="109" t="s">
        <v>65</v>
      </c>
      <c r="E732" s="109" t="s">
        <v>12</v>
      </c>
      <c r="F732" s="109" t="s">
        <v>16</v>
      </c>
      <c r="G732" s="109" t="s">
        <v>698</v>
      </c>
      <c r="H732" s="126" t="s">
        <v>122</v>
      </c>
      <c r="I732" s="118">
        <v>3613</v>
      </c>
      <c r="J732" s="110" t="str">
        <f>IF(tbRegistroEntradas[[#This Row],[DATA DE CAIXA REALIZADO]]="N/A","0",UPPER(TEXT(tbRegistroEntradas[[#This Row],[DATA DE CAIXA REALIZADO]],"mmm")))</f>
        <v>DEZ</v>
      </c>
      <c r="K732" s="57">
        <f>IF(tbRegistroEntradas[[#This Row],[DATA DE CAIXA REALIZADO]]="N/A",0,YEAR(tbRegistroEntradas[[#This Row],[DATA DE CAIXA REALIZADO]]))</f>
        <v>2023</v>
      </c>
      <c r="L732" s="58" t="str">
        <f>IF(tbRegistroEntradas[[#This Row],[DATA DA COMPETÊNCIA]]="N/A","0",UPPER(TEXT(tbRegistroEntradas[[#This Row],[DATA DA COMPETÊNCIA]],"mmm")))</f>
        <v>NOV</v>
      </c>
      <c r="M732" s="58">
        <f>IF(tbRegistroEntradas[[#This Row],[DATA DA COMPETÊNCIA]]="N/A",0,YEAR(tbRegistroEntradas[[#This Row],[DATA DA COMPETÊNCIA]]))</f>
        <v>2023</v>
      </c>
      <c r="N732" s="58" t="str">
        <f>IF(tbRegistroEntradas[[#This Row],[DATA DO CAIXA PREVISTO]]="N/A","0",UPPER(TEXT(tbRegistroEntradas[[#This Row],[DATA DO CAIXA PREVISTO]],"mmm")))</f>
        <v>NOV</v>
      </c>
      <c r="O732" s="58">
        <f>IF(tbRegistroEntradas[[#This Row],[DATA DO CAIXA PREVISTO]]="N/A",0,YEAR(tbRegistroEntradas[[#This Row],[DATA DO CAIXA PREVISTO]]))</f>
        <v>2023</v>
      </c>
      <c r="P732" s="58" t="str">
        <f ca="1">IF(AND(tbRegistroEntradas[[#This Row],[DATA DE CAIXA REALIZADO]]="N/A",tbRegistroEntradas[[#This Row],[DATA DO CAIXA PREVISTO]]&lt;TODAY()),"Vencida","Não Vencida")</f>
        <v>Não Vencida</v>
      </c>
      <c r="Q732" s="58" t="str">
        <f>IF(tbRegistroEntradas[[#This Row],[DATA DA COMPETÊNCIA]]=tbRegistroEntradas[[#This Row],[DATA DO CAIXA PREVISTO]],"Vista","Prazo")</f>
        <v>Prazo</v>
      </c>
      <c r="R732" s="58" t="str">
        <f>IF(tbRegistroEntradas[[#This Row],[DATA DE CAIXA REALIZADO]]&lt;&gt;"N/A","Em Dia","Com atraso")</f>
        <v>Em Dia</v>
      </c>
    </row>
    <row r="733" spans="1:18" ht="14.4" customHeight="1" x14ac:dyDescent="0.3">
      <c r="A733" s="111">
        <v>45276</v>
      </c>
      <c r="B733" s="111">
        <f>A733-31</f>
        <v>45245</v>
      </c>
      <c r="C733" s="111">
        <f>(A733-B733)+B733-15</f>
        <v>45261</v>
      </c>
      <c r="D733" s="109" t="s">
        <v>64</v>
      </c>
      <c r="E733" s="109" t="s">
        <v>12</v>
      </c>
      <c r="F733" s="109" t="s">
        <v>19</v>
      </c>
      <c r="G733" s="109" t="s">
        <v>417</v>
      </c>
      <c r="H733" s="52" t="s">
        <v>110</v>
      </c>
      <c r="I733" s="118">
        <v>7378</v>
      </c>
      <c r="J733" s="110" t="str">
        <f>IF(tbRegistroEntradas[[#This Row],[DATA DE CAIXA REALIZADO]]="N/A","0",UPPER(TEXT(tbRegistroEntradas[[#This Row],[DATA DE CAIXA REALIZADO]],"mmm")))</f>
        <v>DEZ</v>
      </c>
      <c r="K733" s="57">
        <f>IF(tbRegistroEntradas[[#This Row],[DATA DE CAIXA REALIZADO]]="N/A",0,YEAR(tbRegistroEntradas[[#This Row],[DATA DE CAIXA REALIZADO]]))</f>
        <v>2023</v>
      </c>
      <c r="L733" s="58" t="str">
        <f>IF(tbRegistroEntradas[[#This Row],[DATA DA COMPETÊNCIA]]="N/A","0",UPPER(TEXT(tbRegistroEntradas[[#This Row],[DATA DA COMPETÊNCIA]],"mmm")))</f>
        <v>NOV</v>
      </c>
      <c r="M733" s="58">
        <f>IF(tbRegistroEntradas[[#This Row],[DATA DA COMPETÊNCIA]]="N/A",0,YEAR(tbRegistroEntradas[[#This Row],[DATA DA COMPETÊNCIA]]))</f>
        <v>2023</v>
      </c>
      <c r="N733" s="58" t="str">
        <f>IF(tbRegistroEntradas[[#This Row],[DATA DO CAIXA PREVISTO]]="N/A","0",UPPER(TEXT(tbRegistroEntradas[[#This Row],[DATA DO CAIXA PREVISTO]],"mmm")))</f>
        <v>DEZ</v>
      </c>
      <c r="O733" s="58">
        <f>IF(tbRegistroEntradas[[#This Row],[DATA DO CAIXA PREVISTO]]="N/A",0,YEAR(tbRegistroEntradas[[#This Row],[DATA DO CAIXA PREVISTO]]))</f>
        <v>2023</v>
      </c>
      <c r="P733" s="58" t="str">
        <f ca="1">IF(AND(tbRegistroEntradas[[#This Row],[DATA DE CAIXA REALIZADO]]="N/A",tbRegistroEntradas[[#This Row],[DATA DO CAIXA PREVISTO]]&lt;TODAY()),"Vencida","Não Vencida")</f>
        <v>Não Vencida</v>
      </c>
      <c r="Q733" s="58" t="str">
        <f>IF(tbRegistroEntradas[[#This Row],[DATA DA COMPETÊNCIA]]=tbRegistroEntradas[[#This Row],[DATA DO CAIXA PREVISTO]],"Vista","Prazo")</f>
        <v>Prazo</v>
      </c>
      <c r="R733" s="58" t="str">
        <f>IF(tbRegistroEntradas[[#This Row],[DATA DE CAIXA REALIZADO]]&lt;&gt;"N/A","Em Dia","Com atraso")</f>
        <v>Em Dia</v>
      </c>
    </row>
    <row r="734" spans="1:18" ht="14.4" customHeight="1" x14ac:dyDescent="0.3">
      <c r="A734" s="111">
        <v>45283</v>
      </c>
      <c r="B734" s="111">
        <f>A734-31</f>
        <v>45252</v>
      </c>
      <c r="C734" s="111">
        <f>(A734-B734)+B734-15</f>
        <v>45268</v>
      </c>
      <c r="D734" s="109" t="s">
        <v>66</v>
      </c>
      <c r="E734" s="109" t="s">
        <v>12</v>
      </c>
      <c r="F734" s="109" t="s">
        <v>18</v>
      </c>
      <c r="G734" s="109" t="s">
        <v>760</v>
      </c>
      <c r="H734" s="126" t="s">
        <v>128</v>
      </c>
      <c r="I734" s="118">
        <v>4966</v>
      </c>
      <c r="J734" s="110" t="str">
        <f>IF(tbRegistroEntradas[[#This Row],[DATA DE CAIXA REALIZADO]]="N/A","0",UPPER(TEXT(tbRegistroEntradas[[#This Row],[DATA DE CAIXA REALIZADO]],"mmm")))</f>
        <v>DEZ</v>
      </c>
      <c r="K734" s="57">
        <f>IF(tbRegistroEntradas[[#This Row],[DATA DE CAIXA REALIZADO]]="N/A",0,YEAR(tbRegistroEntradas[[#This Row],[DATA DE CAIXA REALIZADO]]))</f>
        <v>2023</v>
      </c>
      <c r="L734" s="58" t="str">
        <f>IF(tbRegistroEntradas[[#This Row],[DATA DA COMPETÊNCIA]]="N/A","0",UPPER(TEXT(tbRegistroEntradas[[#This Row],[DATA DA COMPETÊNCIA]],"mmm")))</f>
        <v>NOV</v>
      </c>
      <c r="M734" s="58">
        <f>IF(tbRegistroEntradas[[#This Row],[DATA DA COMPETÊNCIA]]="N/A",0,YEAR(tbRegistroEntradas[[#This Row],[DATA DA COMPETÊNCIA]]))</f>
        <v>2023</v>
      </c>
      <c r="N734" s="58" t="str">
        <f>IF(tbRegistroEntradas[[#This Row],[DATA DO CAIXA PREVISTO]]="N/A","0",UPPER(TEXT(tbRegistroEntradas[[#This Row],[DATA DO CAIXA PREVISTO]],"mmm")))</f>
        <v>DEZ</v>
      </c>
      <c r="O734" s="58">
        <f>IF(tbRegistroEntradas[[#This Row],[DATA DO CAIXA PREVISTO]]="N/A",0,YEAR(tbRegistroEntradas[[#This Row],[DATA DO CAIXA PREVISTO]]))</f>
        <v>2023</v>
      </c>
      <c r="P734" s="58" t="str">
        <f ca="1">IF(AND(tbRegistroEntradas[[#This Row],[DATA DE CAIXA REALIZADO]]="N/A",tbRegistroEntradas[[#This Row],[DATA DO CAIXA PREVISTO]]&lt;TODAY()),"Vencida","Não Vencida")</f>
        <v>Não Vencida</v>
      </c>
      <c r="Q734" s="58" t="str">
        <f>IF(tbRegistroEntradas[[#This Row],[DATA DA COMPETÊNCIA]]=tbRegistroEntradas[[#This Row],[DATA DO CAIXA PREVISTO]],"Vista","Prazo")</f>
        <v>Prazo</v>
      </c>
      <c r="R734" s="58" t="str">
        <f>IF(tbRegistroEntradas[[#This Row],[DATA DE CAIXA REALIZADO]]&lt;&gt;"N/A","Em Dia","Com atraso")</f>
        <v>Em Dia</v>
      </c>
    </row>
    <row r="735" spans="1:18" ht="14.4" customHeight="1" x14ac:dyDescent="0.3">
      <c r="A735" s="111">
        <v>45284</v>
      </c>
      <c r="B735" s="111">
        <f>A735-31</f>
        <v>45253</v>
      </c>
      <c r="C735" s="111">
        <f>(A735-B735)+B735-15</f>
        <v>45269</v>
      </c>
      <c r="D735" s="109" t="s">
        <v>61</v>
      </c>
      <c r="E735" s="109" t="s">
        <v>12</v>
      </c>
      <c r="F735" s="109" t="s">
        <v>16</v>
      </c>
      <c r="G735" s="109" t="s">
        <v>832</v>
      </c>
      <c r="H735" s="52" t="s">
        <v>84</v>
      </c>
      <c r="I735" s="118">
        <v>1436</v>
      </c>
      <c r="J735" s="110" t="str">
        <f>IF(tbRegistroEntradas[[#This Row],[DATA DE CAIXA REALIZADO]]="N/A","0",UPPER(TEXT(tbRegistroEntradas[[#This Row],[DATA DE CAIXA REALIZADO]],"mmm")))</f>
        <v>DEZ</v>
      </c>
      <c r="K735" s="57">
        <f>IF(tbRegistroEntradas[[#This Row],[DATA DE CAIXA REALIZADO]]="N/A",0,YEAR(tbRegistroEntradas[[#This Row],[DATA DE CAIXA REALIZADO]]))</f>
        <v>2023</v>
      </c>
      <c r="L735" s="58" t="str">
        <f>IF(tbRegistroEntradas[[#This Row],[DATA DA COMPETÊNCIA]]="N/A","0",UPPER(TEXT(tbRegistroEntradas[[#This Row],[DATA DA COMPETÊNCIA]],"mmm")))</f>
        <v>NOV</v>
      </c>
      <c r="M735" s="58">
        <f>IF(tbRegistroEntradas[[#This Row],[DATA DA COMPETÊNCIA]]="N/A",0,YEAR(tbRegistroEntradas[[#This Row],[DATA DA COMPETÊNCIA]]))</f>
        <v>2023</v>
      </c>
      <c r="N735" s="58" t="str">
        <f>IF(tbRegistroEntradas[[#This Row],[DATA DO CAIXA PREVISTO]]="N/A","0",UPPER(TEXT(tbRegistroEntradas[[#This Row],[DATA DO CAIXA PREVISTO]],"mmm")))</f>
        <v>DEZ</v>
      </c>
      <c r="O735" s="58">
        <f>IF(tbRegistroEntradas[[#This Row],[DATA DO CAIXA PREVISTO]]="N/A",0,YEAR(tbRegistroEntradas[[#This Row],[DATA DO CAIXA PREVISTO]]))</f>
        <v>2023</v>
      </c>
      <c r="P735" s="58" t="str">
        <f ca="1">IF(AND(tbRegistroEntradas[[#This Row],[DATA DE CAIXA REALIZADO]]="N/A",tbRegistroEntradas[[#This Row],[DATA DO CAIXA PREVISTO]]&lt;TODAY()),"Vencida","Não Vencida")</f>
        <v>Não Vencida</v>
      </c>
      <c r="Q735" s="58" t="str">
        <f>IF(tbRegistroEntradas[[#This Row],[DATA DA COMPETÊNCIA]]=tbRegistroEntradas[[#This Row],[DATA DO CAIXA PREVISTO]],"Vista","Prazo")</f>
        <v>Prazo</v>
      </c>
      <c r="R735" s="58" t="str">
        <f>IF(tbRegistroEntradas[[#This Row],[DATA DE CAIXA REALIZADO]]&lt;&gt;"N/A","Em Dia","Com atraso")</f>
        <v>Em Dia</v>
      </c>
    </row>
    <row r="736" spans="1:18" s="27" customFormat="1" ht="14.4" customHeight="1" x14ac:dyDescent="0.3">
      <c r="A736" s="111">
        <v>45287</v>
      </c>
      <c r="B736" s="111">
        <f>A736-31</f>
        <v>45256</v>
      </c>
      <c r="C736" s="111">
        <f>(A736-B736)+B736-15</f>
        <v>45272</v>
      </c>
      <c r="D736" s="109" t="s">
        <v>61</v>
      </c>
      <c r="E736" s="109" t="s">
        <v>12</v>
      </c>
      <c r="F736" s="109" t="s">
        <v>32</v>
      </c>
      <c r="G736" s="109" t="s">
        <v>959</v>
      </c>
      <c r="H736" s="5" t="s">
        <v>85</v>
      </c>
      <c r="I736" s="118">
        <v>6033</v>
      </c>
      <c r="J736" s="110" t="str">
        <f>IF(tbRegistroEntradas[[#This Row],[DATA DE CAIXA REALIZADO]]="N/A","0",UPPER(TEXT(tbRegistroEntradas[[#This Row],[DATA DE CAIXA REALIZADO]],"mmm")))</f>
        <v>DEZ</v>
      </c>
      <c r="K736" s="57">
        <f>IF(tbRegistroEntradas[[#This Row],[DATA DE CAIXA REALIZADO]]="N/A",0,YEAR(tbRegistroEntradas[[#This Row],[DATA DE CAIXA REALIZADO]]))</f>
        <v>2023</v>
      </c>
      <c r="L736" s="58" t="str">
        <f>IF(tbRegistroEntradas[[#This Row],[DATA DA COMPETÊNCIA]]="N/A","0",UPPER(TEXT(tbRegistroEntradas[[#This Row],[DATA DA COMPETÊNCIA]],"mmm")))</f>
        <v>NOV</v>
      </c>
      <c r="M736" s="58">
        <f>IF(tbRegistroEntradas[[#This Row],[DATA DA COMPETÊNCIA]]="N/A",0,YEAR(tbRegistroEntradas[[#This Row],[DATA DA COMPETÊNCIA]]))</f>
        <v>2023</v>
      </c>
      <c r="N736" s="58" t="str">
        <f>IF(tbRegistroEntradas[[#This Row],[DATA DO CAIXA PREVISTO]]="N/A","0",UPPER(TEXT(tbRegistroEntradas[[#This Row],[DATA DO CAIXA PREVISTO]],"mmm")))</f>
        <v>DEZ</v>
      </c>
      <c r="O736" s="58">
        <f>IF(tbRegistroEntradas[[#This Row],[DATA DO CAIXA PREVISTO]]="N/A",0,YEAR(tbRegistroEntradas[[#This Row],[DATA DO CAIXA PREVISTO]]))</f>
        <v>2023</v>
      </c>
      <c r="P736" s="58" t="str">
        <f ca="1">IF(AND(tbRegistroEntradas[[#This Row],[DATA DE CAIXA REALIZADO]]="N/A",tbRegistroEntradas[[#This Row],[DATA DO CAIXA PREVISTO]]&lt;TODAY()),"Vencida","Não Vencida")</f>
        <v>Não Vencida</v>
      </c>
      <c r="Q736" s="58" t="str">
        <f>IF(tbRegistroEntradas[[#This Row],[DATA DA COMPETÊNCIA]]=tbRegistroEntradas[[#This Row],[DATA DO CAIXA PREVISTO]],"Vista","Prazo")</f>
        <v>Prazo</v>
      </c>
      <c r="R736" s="58" t="str">
        <f>IF(tbRegistroEntradas[[#This Row],[DATA DE CAIXA REALIZADO]]&lt;&gt;"N/A","Em Dia","Com atraso")</f>
        <v>Em Dia</v>
      </c>
    </row>
    <row r="737" spans="1:18" s="27" customFormat="1" ht="14.4" customHeight="1" x14ac:dyDescent="0.3">
      <c r="A737" s="111">
        <v>45289</v>
      </c>
      <c r="B737" s="111">
        <f>A737-31</f>
        <v>45258</v>
      </c>
      <c r="C737" s="111">
        <f>(A737-B737)+B737-15</f>
        <v>45274</v>
      </c>
      <c r="D737" s="109" t="s">
        <v>63</v>
      </c>
      <c r="E737" s="109" t="s">
        <v>12</v>
      </c>
      <c r="F737" s="109" t="s">
        <v>18</v>
      </c>
      <c r="G737" s="109" t="s">
        <v>1086</v>
      </c>
      <c r="H737" s="52" t="s">
        <v>103</v>
      </c>
      <c r="I737" s="118">
        <v>2356</v>
      </c>
      <c r="J737" s="110" t="str">
        <f>IF(tbRegistroEntradas[[#This Row],[DATA DE CAIXA REALIZADO]]="N/A","0",UPPER(TEXT(tbRegistroEntradas[[#This Row],[DATA DE CAIXA REALIZADO]],"mmm")))</f>
        <v>DEZ</v>
      </c>
      <c r="K737" s="57">
        <f>IF(tbRegistroEntradas[[#This Row],[DATA DE CAIXA REALIZADO]]="N/A",0,YEAR(tbRegistroEntradas[[#This Row],[DATA DE CAIXA REALIZADO]]))</f>
        <v>2023</v>
      </c>
      <c r="L737" s="58" t="str">
        <f>IF(tbRegistroEntradas[[#This Row],[DATA DA COMPETÊNCIA]]="N/A","0",UPPER(TEXT(tbRegistroEntradas[[#This Row],[DATA DA COMPETÊNCIA]],"mmm")))</f>
        <v>NOV</v>
      </c>
      <c r="M737" s="58">
        <f>IF(tbRegistroEntradas[[#This Row],[DATA DA COMPETÊNCIA]]="N/A",0,YEAR(tbRegistroEntradas[[#This Row],[DATA DA COMPETÊNCIA]]))</f>
        <v>2023</v>
      </c>
      <c r="N737" s="58" t="str">
        <f>IF(tbRegistroEntradas[[#This Row],[DATA DO CAIXA PREVISTO]]="N/A","0",UPPER(TEXT(tbRegistroEntradas[[#This Row],[DATA DO CAIXA PREVISTO]],"mmm")))</f>
        <v>DEZ</v>
      </c>
      <c r="O737" s="58">
        <f>IF(tbRegistroEntradas[[#This Row],[DATA DO CAIXA PREVISTO]]="N/A",0,YEAR(tbRegistroEntradas[[#This Row],[DATA DO CAIXA PREVISTO]]))</f>
        <v>2023</v>
      </c>
      <c r="P737" s="58" t="str">
        <f ca="1">IF(AND(tbRegistroEntradas[[#This Row],[DATA DE CAIXA REALIZADO]]="N/A",tbRegistroEntradas[[#This Row],[DATA DO CAIXA PREVISTO]]&lt;TODAY()),"Vencida","Não Vencida")</f>
        <v>Não Vencida</v>
      </c>
      <c r="Q737" s="58" t="str">
        <f>IF(tbRegistroEntradas[[#This Row],[DATA DA COMPETÊNCIA]]=tbRegistroEntradas[[#This Row],[DATA DO CAIXA PREVISTO]],"Vista","Prazo")</f>
        <v>Prazo</v>
      </c>
      <c r="R737" s="58" t="str">
        <f>IF(tbRegistroEntradas[[#This Row],[DATA DE CAIXA REALIZADO]]&lt;&gt;"N/A","Em Dia","Com atraso")</f>
        <v>Em Dia</v>
      </c>
    </row>
    <row r="738" spans="1:18" s="52" customFormat="1" ht="14.4" customHeight="1" x14ac:dyDescent="0.3">
      <c r="A738" s="38"/>
      <c r="B738" s="49"/>
      <c r="C738" s="49"/>
      <c r="H738" s="32"/>
      <c r="I738" s="18"/>
      <c r="K738" s="32"/>
    </row>
    <row r="739" spans="1:18" s="27" customFormat="1" ht="14.4" customHeight="1" x14ac:dyDescent="0.3">
      <c r="A739" s="38"/>
      <c r="B739" s="28"/>
      <c r="C739" s="28"/>
      <c r="H739" s="32"/>
      <c r="I739" s="18"/>
      <c r="K739" s="32"/>
    </row>
    <row r="740" spans="1:18" s="27" customFormat="1" ht="14.4" customHeight="1" x14ac:dyDescent="0.3">
      <c r="A740" s="38"/>
      <c r="B740" s="28"/>
      <c r="C740" s="28"/>
      <c r="H740" s="32"/>
      <c r="I740" s="18"/>
      <c r="K740" s="32"/>
    </row>
    <row r="741" spans="1:18" s="27" customFormat="1" ht="14.4" customHeight="1" x14ac:dyDescent="0.3">
      <c r="A741" s="38"/>
      <c r="B741" s="28"/>
      <c r="C741" s="28"/>
      <c r="H741" s="32"/>
      <c r="I741" s="18"/>
      <c r="K741" s="32"/>
    </row>
    <row r="742" spans="1:18" s="27" customFormat="1" ht="14.4" customHeight="1" x14ac:dyDescent="0.3">
      <c r="A742" s="38"/>
      <c r="B742" s="28"/>
      <c r="C742" s="28"/>
      <c r="H742" s="32"/>
      <c r="I742" s="18"/>
      <c r="K742" s="32"/>
    </row>
    <row r="743" spans="1:18" s="27" customFormat="1" ht="14.4" customHeight="1" x14ac:dyDescent="0.3">
      <c r="A743" s="38"/>
      <c r="B743" s="28"/>
      <c r="C743" s="28"/>
      <c r="H743" s="32"/>
      <c r="I743" s="18"/>
      <c r="K743" s="32"/>
    </row>
    <row r="744" spans="1:18" s="27" customFormat="1" ht="14.4" customHeight="1" x14ac:dyDescent="0.3">
      <c r="A744" s="38"/>
      <c r="B744" s="28"/>
      <c r="C744" s="28"/>
      <c r="H744" s="32"/>
      <c r="I744" s="18"/>
      <c r="K744" s="32"/>
    </row>
    <row r="745" spans="1:18" s="27" customFormat="1" ht="14.4" customHeight="1" x14ac:dyDescent="0.3">
      <c r="A745" s="38"/>
      <c r="B745" s="28"/>
      <c r="C745" s="28"/>
      <c r="H745" s="32"/>
      <c r="I745" s="18"/>
      <c r="K745" s="32"/>
    </row>
    <row r="746" spans="1:18" s="27" customFormat="1" ht="14.4" customHeight="1" x14ac:dyDescent="0.3">
      <c r="A746" s="38"/>
      <c r="B746" s="28"/>
      <c r="C746" s="28"/>
      <c r="H746" s="32"/>
      <c r="I746" s="18"/>
      <c r="K746" s="32"/>
    </row>
    <row r="747" spans="1:18" s="27" customFormat="1" ht="14.4" customHeight="1" x14ac:dyDescent="0.3">
      <c r="A747" s="38"/>
      <c r="B747" s="28"/>
      <c r="C747" s="28"/>
      <c r="H747" s="32"/>
      <c r="I747" s="18"/>
      <c r="K747" s="32"/>
    </row>
    <row r="748" spans="1:18" s="27" customFormat="1" ht="14.4" customHeight="1" x14ac:dyDescent="0.3">
      <c r="A748" s="38"/>
      <c r="B748" s="28"/>
      <c r="C748" s="28"/>
      <c r="H748" s="32"/>
      <c r="I748" s="18"/>
      <c r="K748" s="32"/>
    </row>
    <row r="749" spans="1:18" s="27" customFormat="1" ht="14.4" customHeight="1" x14ac:dyDescent="0.3">
      <c r="A749" s="38"/>
      <c r="B749" s="28"/>
      <c r="C749" s="28"/>
      <c r="H749" s="32"/>
      <c r="I749" s="18"/>
      <c r="K749" s="32"/>
    </row>
    <row r="750" spans="1:18" s="27" customFormat="1" ht="14.4" customHeight="1" x14ac:dyDescent="0.3">
      <c r="A750" s="38"/>
      <c r="B750" s="28"/>
      <c r="C750" s="28"/>
      <c r="H750" s="32"/>
      <c r="I750" s="18"/>
      <c r="K750" s="32"/>
    </row>
    <row r="751" spans="1:18" s="27" customFormat="1" ht="14.4" customHeight="1" x14ac:dyDescent="0.3">
      <c r="A751" s="38"/>
      <c r="B751" s="28"/>
      <c r="C751" s="28"/>
      <c r="H751" s="32"/>
      <c r="I751" s="18"/>
      <c r="K751" s="32"/>
    </row>
    <row r="752" spans="1:18" s="27" customFormat="1" ht="14.4" customHeight="1" x14ac:dyDescent="0.3">
      <c r="A752" s="38"/>
      <c r="B752" s="28"/>
      <c r="C752" s="28"/>
      <c r="H752" s="32"/>
      <c r="I752" s="18"/>
      <c r="K752" s="32"/>
    </row>
    <row r="753" spans="1:11" s="27" customFormat="1" ht="14.4" customHeight="1" x14ac:dyDescent="0.3">
      <c r="A753" s="38"/>
      <c r="B753" s="28"/>
      <c r="C753" s="28"/>
      <c r="H753" s="32"/>
      <c r="I753" s="18"/>
      <c r="K753" s="32"/>
    </row>
    <row r="754" spans="1:11" s="27" customFormat="1" ht="14.4" customHeight="1" x14ac:dyDescent="0.3">
      <c r="A754" s="38"/>
      <c r="B754" s="28"/>
      <c r="C754" s="28"/>
      <c r="H754" s="32"/>
      <c r="I754" s="18"/>
      <c r="K754" s="32"/>
    </row>
    <row r="755" spans="1:11" ht="14.4" x14ac:dyDescent="0.3"/>
    <row r="756" spans="1:11" ht="0" hidden="1" customHeight="1" x14ac:dyDescent="0.3">
      <c r="D756" s="27" t="s">
        <v>137</v>
      </c>
    </row>
    <row r="757" spans="1:11" ht="0" hidden="1" customHeight="1" x14ac:dyDescent="0.3">
      <c r="D757" s="27" t="s">
        <v>65</v>
      </c>
    </row>
    <row r="758" spans="1:11" ht="0" hidden="1" customHeight="1" x14ac:dyDescent="0.3">
      <c r="D758" s="27" t="s">
        <v>64</v>
      </c>
    </row>
    <row r="759" spans="1:11" ht="0" hidden="1" customHeight="1" x14ac:dyDescent="0.3">
      <c r="D759" s="27" t="s">
        <v>67</v>
      </c>
    </row>
    <row r="760" spans="1:11" ht="0" hidden="1" customHeight="1" x14ac:dyDescent="0.3">
      <c r="D760" s="27" t="s">
        <v>66</v>
      </c>
    </row>
  </sheetData>
  <sortState ref="A6:I236">
    <sortCondition ref="B6:B236"/>
  </sortState>
  <mergeCells count="1">
    <mergeCell ref="A1:I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5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RBV!$A$5:$I$5</xm:f>
          </x14:formula1>
          <xm:sqref>D3:D1048576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XFC752"/>
  <sheetViews>
    <sheetView showGridLines="0" zoomScaleNormal="100" workbookViewId="0">
      <pane ySplit="5" topLeftCell="A6" activePane="bottomLeft" state="frozen"/>
      <selection pane="bottomLeft" activeCell="A3" sqref="A3"/>
    </sheetView>
  </sheetViews>
  <sheetFormatPr defaultColWidth="0" defaultRowHeight="0" customHeight="1" zeroHeight="1" x14ac:dyDescent="0.3"/>
  <cols>
    <col min="1" max="1" width="25.77734375" style="38" customWidth="1"/>
    <col min="2" max="3" width="25.77734375" style="21" customWidth="1"/>
    <col min="4" max="7" width="25.77734375" customWidth="1"/>
    <col min="8" max="8" width="25.77734375" style="18" customWidth="1"/>
    <col min="9" max="9" width="9.44140625" style="24" hidden="1"/>
    <col min="10" max="10" width="9" hidden="1"/>
    <col min="11" max="11" width="17.109375" hidden="1"/>
    <col min="12" max="12" width="15.88671875" hidden="1"/>
    <col min="13" max="14" width="11.77734375" hidden="1"/>
    <col min="15" max="16383" width="15.77734375" hidden="1"/>
    <col min="16384" max="16384" width="11.109375" hidden="1"/>
  </cols>
  <sheetData>
    <row r="1" spans="1:14" ht="14.4" customHeight="1" x14ac:dyDescent="0.3">
      <c r="A1" s="168" t="s">
        <v>140</v>
      </c>
      <c r="B1" s="168"/>
      <c r="C1" s="168"/>
      <c r="D1" s="168"/>
      <c r="E1" s="168"/>
      <c r="F1" s="168"/>
      <c r="G1" s="168"/>
      <c r="H1" s="168"/>
      <c r="I1" s="12"/>
      <c r="J1" s="12"/>
      <c r="K1" s="12"/>
      <c r="L1" s="12"/>
      <c r="M1" s="12"/>
      <c r="N1" s="12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2"/>
      <c r="J2" s="12"/>
      <c r="K2" s="12"/>
      <c r="L2" s="12"/>
      <c r="M2" s="12"/>
      <c r="N2" s="12"/>
    </row>
    <row r="3" spans="1:14" ht="14.4" x14ac:dyDescent="0.3">
      <c r="A3" s="37"/>
      <c r="B3" s="20"/>
      <c r="C3" s="20"/>
      <c r="D3" s="4"/>
      <c r="E3" s="4"/>
      <c r="F3" s="4"/>
      <c r="G3" s="4"/>
      <c r="H3" s="17"/>
      <c r="I3" s="23"/>
      <c r="J3" s="4"/>
      <c r="K3" s="4"/>
      <c r="L3" s="4"/>
      <c r="M3" s="4"/>
      <c r="N3" s="4"/>
    </row>
    <row r="4" spans="1:14" ht="14.4" x14ac:dyDescent="0.3">
      <c r="A4" s="37"/>
      <c r="B4" s="20"/>
      <c r="C4" s="20"/>
      <c r="D4" s="4"/>
      <c r="E4" s="4"/>
      <c r="F4" s="4"/>
      <c r="G4" s="4"/>
      <c r="H4" s="17"/>
      <c r="I4" s="23"/>
      <c r="J4" s="4"/>
      <c r="K4" s="4"/>
      <c r="L4" s="4"/>
      <c r="M4" s="4"/>
      <c r="N4" s="4"/>
    </row>
    <row r="5" spans="1:14" ht="34.200000000000003" customHeight="1" x14ac:dyDescent="0.3">
      <c r="A5" s="54" t="s">
        <v>52</v>
      </c>
      <c r="B5" s="29" t="s">
        <v>53</v>
      </c>
      <c r="C5" s="29" t="s">
        <v>54</v>
      </c>
      <c r="D5" s="30" t="s">
        <v>7</v>
      </c>
      <c r="E5" s="31" t="s">
        <v>1561</v>
      </c>
      <c r="F5" s="31" t="s">
        <v>1562</v>
      </c>
      <c r="G5" s="31" t="s">
        <v>55</v>
      </c>
      <c r="H5" s="50" t="s">
        <v>56</v>
      </c>
      <c r="I5" s="56" t="s">
        <v>595</v>
      </c>
      <c r="J5" s="56" t="s">
        <v>594</v>
      </c>
      <c r="K5" s="80" t="s">
        <v>620</v>
      </c>
      <c r="L5" s="80" t="s">
        <v>621</v>
      </c>
      <c r="M5" s="80" t="s">
        <v>630</v>
      </c>
      <c r="N5" s="80" t="s">
        <v>631</v>
      </c>
    </row>
    <row r="6" spans="1:14" s="5" customFormat="1" ht="14.4" x14ac:dyDescent="0.3">
      <c r="A6" s="38">
        <v>44476.689097222225</v>
      </c>
      <c r="B6" s="49">
        <v>44418</v>
      </c>
      <c r="C6" s="49">
        <v>44476.689097222225</v>
      </c>
      <c r="D6" s="49" t="s">
        <v>137</v>
      </c>
      <c r="E6" s="51" t="s">
        <v>1543</v>
      </c>
      <c r="F6" s="51" t="s">
        <v>32</v>
      </c>
      <c r="G6" s="52" t="s">
        <v>373</v>
      </c>
      <c r="H6" s="18">
        <v>4021</v>
      </c>
      <c r="I6" s="5">
        <f>IF(tbRegistroSaidas[[#This Row],[DATA DE CAIXA REALIZADO]]="N/A",0,YEAR(tbRegistroSaidas[[#This Row],[DATA DE CAIXA REALIZADO]]))</f>
        <v>2021</v>
      </c>
      <c r="J6" s="5" t="str">
        <f>IF(tbRegistroSaidas[[#This Row],[DATA DE CAIXA REALIZADO]]="N/A","0",UPPER(TEXT(tbRegistroSaidas[[#This Row],[DATA DE CAIXA REALIZADO]],"mmm")))</f>
        <v>OUT</v>
      </c>
      <c r="K6" s="79" t="str">
        <f>IF(tbRegistroSaidas[[#This Row],[DATA DA COMPETÊNCIA]]="N/A","0",UPPER(TEXT(tbRegistroSaidas[[#This Row],[DATA DA COMPETÊNCIA]],"mmm")))</f>
        <v>AGO</v>
      </c>
      <c r="L6" s="79">
        <f>IF(tbRegistroSaidas[[#This Row],[DATA DA COMPETÊNCIA]]="N/A",0,YEAR(tbRegistroSaidas[[#This Row],[DATA DA COMPETÊNCIA]]))</f>
        <v>2021</v>
      </c>
      <c r="M6" s="5" t="str">
        <f>IF(tbRegistroSaidas[[#This Row],[DATA DO CAIXA PREVISTO]]="N/A","0",UPPER(TEXT(tbRegistroSaidas[[#This Row],[DATA DO CAIXA PREVISTO]],"mmm")))</f>
        <v>OUT</v>
      </c>
      <c r="N6" s="5">
        <f>IF(tbRegistroSaidas[[#This Row],[DATA DO CAIXA PREVISTO]]="N/A",0,YEAR(tbRegistroSaidas[[#This Row],[DATA DO CAIXA PREVISTO]]))</f>
        <v>2021</v>
      </c>
    </row>
    <row r="7" spans="1:14" s="5" customFormat="1" ht="14.4" x14ac:dyDescent="0.3">
      <c r="A7" s="49">
        <v>44721</v>
      </c>
      <c r="B7" s="49">
        <f>A7-31</f>
        <v>44690</v>
      </c>
      <c r="C7" s="49">
        <f>A7-B7+B7-15</f>
        <v>44706</v>
      </c>
      <c r="D7" s="52" t="s">
        <v>64</v>
      </c>
      <c r="E7" s="52" t="s">
        <v>1543</v>
      </c>
      <c r="F7" s="52" t="s">
        <v>19</v>
      </c>
      <c r="G7" s="52" t="s">
        <v>1077</v>
      </c>
      <c r="H7" s="18">
        <v>999</v>
      </c>
      <c r="I7" s="128">
        <f>IF(tbRegistroSaidas[[#This Row],[DATA DE CAIXA REALIZADO]]="N/A",0,YEAR(tbRegistroSaidas[[#This Row],[DATA DE CAIXA REALIZADO]]))</f>
        <v>2022</v>
      </c>
      <c r="J7" s="128" t="str">
        <f>IF(tbRegistroSaidas[[#This Row],[DATA DE CAIXA REALIZADO]]="N/A","0",UPPER(TEXT(tbRegistroSaidas[[#This Row],[DATA DE CAIXA REALIZADO]],"mmm")))</f>
        <v>JUN</v>
      </c>
      <c r="K7" s="129" t="str">
        <f>IF(tbRegistroSaidas[[#This Row],[DATA DA COMPETÊNCIA]]="N/A","0",UPPER(TEXT(tbRegistroSaidas[[#This Row],[DATA DA COMPETÊNCIA]],"mmm")))</f>
        <v>MAI</v>
      </c>
      <c r="L7" s="79">
        <f>IF(tbRegistroSaidas[[#This Row],[DATA DA COMPETÊNCIA]]="N/A",0,YEAR(tbRegistroSaidas[[#This Row],[DATA DA COMPETÊNCIA]]))</f>
        <v>2022</v>
      </c>
      <c r="M7" s="128" t="str">
        <f>IF(tbRegistroSaidas[[#This Row],[DATA DO CAIXA PREVISTO]]="N/A","0",UPPER(TEXT(tbRegistroSaidas[[#This Row],[DATA DO CAIXA PREVISTO]],"mmm")))</f>
        <v>MAI</v>
      </c>
      <c r="N7" s="128">
        <f>IF(tbRegistroSaidas[[#This Row],[DATA DO CAIXA PREVISTO]]="N/A",0,YEAR(tbRegistroSaidas[[#This Row],[DATA DO CAIXA PREVISTO]]))</f>
        <v>2022</v>
      </c>
    </row>
    <row r="8" spans="1:14" s="5" customFormat="1" ht="14.4" x14ac:dyDescent="0.3">
      <c r="A8" s="49">
        <v>44780</v>
      </c>
      <c r="B8" s="49">
        <f t="shared" ref="B8:B71" si="0">A8-31</f>
        <v>44749</v>
      </c>
      <c r="C8" s="49">
        <f t="shared" ref="C8:C71" si="1">A8-B8+B8-15</f>
        <v>44765</v>
      </c>
      <c r="D8" s="52" t="s">
        <v>64</v>
      </c>
      <c r="E8" s="52" t="s">
        <v>1543</v>
      </c>
      <c r="F8" s="52" t="s">
        <v>32</v>
      </c>
      <c r="G8" s="52" t="s">
        <v>1110</v>
      </c>
      <c r="H8" s="18">
        <v>2314</v>
      </c>
      <c r="I8" s="128">
        <f>IF(tbRegistroSaidas[[#This Row],[DATA DE CAIXA REALIZADO]]="N/A",0,YEAR(tbRegistroSaidas[[#This Row],[DATA DE CAIXA REALIZADO]]))</f>
        <v>2022</v>
      </c>
      <c r="J8" s="128" t="str">
        <f>IF(tbRegistroSaidas[[#This Row],[DATA DE CAIXA REALIZADO]]="N/A","0",UPPER(TEXT(tbRegistroSaidas[[#This Row],[DATA DE CAIXA REALIZADO]],"mmm")))</f>
        <v>AGO</v>
      </c>
      <c r="K8" s="129" t="str">
        <f>IF(tbRegistroSaidas[[#This Row],[DATA DA COMPETÊNCIA]]="N/A","0",UPPER(TEXT(tbRegistroSaidas[[#This Row],[DATA DA COMPETÊNCIA]],"mmm")))</f>
        <v>JUL</v>
      </c>
      <c r="L8" s="79">
        <f>IF(tbRegistroSaidas[[#This Row],[DATA DA COMPETÊNCIA]]="N/A",0,YEAR(tbRegistroSaidas[[#This Row],[DATA DA COMPETÊNCIA]]))</f>
        <v>2022</v>
      </c>
      <c r="M8" s="128" t="str">
        <f>IF(tbRegistroSaidas[[#This Row],[DATA DO CAIXA PREVISTO]]="N/A","0",UPPER(TEXT(tbRegistroSaidas[[#This Row],[DATA DO CAIXA PREVISTO]],"mmm")))</f>
        <v>JUL</v>
      </c>
      <c r="N8" s="128">
        <f>IF(tbRegistroSaidas[[#This Row],[DATA DO CAIXA PREVISTO]]="N/A",0,YEAR(tbRegistroSaidas[[#This Row],[DATA DO CAIXA PREVISTO]]))</f>
        <v>2022</v>
      </c>
    </row>
    <row r="9" spans="1:14" s="5" customFormat="1" ht="14.4" x14ac:dyDescent="0.3">
      <c r="A9" s="49">
        <v>44989</v>
      </c>
      <c r="B9" s="49">
        <f t="shared" si="0"/>
        <v>44958</v>
      </c>
      <c r="C9" s="49">
        <f t="shared" si="1"/>
        <v>44974</v>
      </c>
      <c r="D9" s="52" t="s">
        <v>63</v>
      </c>
      <c r="E9" s="52" t="s">
        <v>1543</v>
      </c>
      <c r="F9" s="52" t="s">
        <v>32</v>
      </c>
      <c r="G9" s="52" t="s">
        <v>1111</v>
      </c>
      <c r="H9" s="18">
        <v>950</v>
      </c>
      <c r="I9" s="128">
        <f>IF(tbRegistroSaidas[[#This Row],[DATA DE CAIXA REALIZADO]]="N/A",0,YEAR(tbRegistroSaidas[[#This Row],[DATA DE CAIXA REALIZADO]]))</f>
        <v>2023</v>
      </c>
      <c r="J9" s="128" t="str">
        <f>IF(tbRegistroSaidas[[#This Row],[DATA DE CAIXA REALIZADO]]="N/A","0",UPPER(TEXT(tbRegistroSaidas[[#This Row],[DATA DE CAIXA REALIZADO]],"mmm")))</f>
        <v>MAR</v>
      </c>
      <c r="K9" s="129" t="str">
        <f>IF(tbRegistroSaidas[[#This Row],[DATA DA COMPETÊNCIA]]="N/A","0",UPPER(TEXT(tbRegistroSaidas[[#This Row],[DATA DA COMPETÊNCIA]],"mmm")))</f>
        <v>FEV</v>
      </c>
      <c r="L9" s="79">
        <f>IF(tbRegistroSaidas[[#This Row],[DATA DA COMPETÊNCIA]]="N/A",0,YEAR(tbRegistroSaidas[[#This Row],[DATA DA COMPETÊNCIA]]))</f>
        <v>2023</v>
      </c>
      <c r="M9" s="128" t="str">
        <f>IF(tbRegistroSaidas[[#This Row],[DATA DO CAIXA PREVISTO]]="N/A","0",UPPER(TEXT(tbRegistroSaidas[[#This Row],[DATA DO CAIXA PREVISTO]],"mmm")))</f>
        <v>FEV</v>
      </c>
      <c r="N9" s="128">
        <f>IF(tbRegistroSaidas[[#This Row],[DATA DO CAIXA PREVISTO]]="N/A",0,YEAR(tbRegistroSaidas[[#This Row],[DATA DO CAIXA PREVISTO]]))</f>
        <v>2023</v>
      </c>
    </row>
    <row r="10" spans="1:14" s="5" customFormat="1" ht="14.4" x14ac:dyDescent="0.3">
      <c r="A10" s="49">
        <v>44839</v>
      </c>
      <c r="B10" s="49">
        <f t="shared" si="0"/>
        <v>44808</v>
      </c>
      <c r="C10" s="49">
        <f t="shared" si="1"/>
        <v>44824</v>
      </c>
      <c r="D10" s="52" t="s">
        <v>137</v>
      </c>
      <c r="E10" s="52" t="s">
        <v>1543</v>
      </c>
      <c r="F10" s="52" t="s">
        <v>17</v>
      </c>
      <c r="G10" s="52" t="s">
        <v>1112</v>
      </c>
      <c r="H10" s="18">
        <v>3948</v>
      </c>
      <c r="I10" s="128">
        <f>IF(tbRegistroSaidas[[#This Row],[DATA DE CAIXA REALIZADO]]="N/A",0,YEAR(tbRegistroSaidas[[#This Row],[DATA DE CAIXA REALIZADO]]))</f>
        <v>2022</v>
      </c>
      <c r="J10" s="128" t="str">
        <f>IF(tbRegistroSaidas[[#This Row],[DATA DE CAIXA REALIZADO]]="N/A","0",UPPER(TEXT(tbRegistroSaidas[[#This Row],[DATA DE CAIXA REALIZADO]],"mmm")))</f>
        <v>OUT</v>
      </c>
      <c r="K10" s="129" t="str">
        <f>IF(tbRegistroSaidas[[#This Row],[DATA DA COMPETÊNCIA]]="N/A","0",UPPER(TEXT(tbRegistroSaidas[[#This Row],[DATA DA COMPETÊNCIA]],"mmm")))</f>
        <v>SET</v>
      </c>
      <c r="L10" s="79">
        <f>IF(tbRegistroSaidas[[#This Row],[DATA DA COMPETÊNCIA]]="N/A",0,YEAR(tbRegistroSaidas[[#This Row],[DATA DA COMPETÊNCIA]]))</f>
        <v>2022</v>
      </c>
      <c r="M10" s="128" t="str">
        <f>IF(tbRegistroSaidas[[#This Row],[DATA DO CAIXA PREVISTO]]="N/A","0",UPPER(TEXT(tbRegistroSaidas[[#This Row],[DATA DO CAIXA PREVISTO]],"mmm")))</f>
        <v>SET</v>
      </c>
      <c r="N10" s="128">
        <f>IF(tbRegistroSaidas[[#This Row],[DATA DO CAIXA PREVISTO]]="N/A",0,YEAR(tbRegistroSaidas[[#This Row],[DATA DO CAIXA PREVISTO]]))</f>
        <v>2022</v>
      </c>
    </row>
    <row r="11" spans="1:14" s="5" customFormat="1" ht="14.4" x14ac:dyDescent="0.3">
      <c r="A11" s="49">
        <v>45162</v>
      </c>
      <c r="B11" s="49">
        <f t="shared" si="0"/>
        <v>45131</v>
      </c>
      <c r="C11" s="49">
        <f t="shared" si="1"/>
        <v>45147</v>
      </c>
      <c r="D11" s="52" t="s">
        <v>137</v>
      </c>
      <c r="E11" s="52" t="s">
        <v>1543</v>
      </c>
      <c r="F11" s="52" t="s">
        <v>32</v>
      </c>
      <c r="G11" s="52" t="s">
        <v>1113</v>
      </c>
      <c r="H11" s="18">
        <v>1920</v>
      </c>
      <c r="I11" s="128">
        <f>IF(tbRegistroSaidas[[#This Row],[DATA DE CAIXA REALIZADO]]="N/A",0,YEAR(tbRegistroSaidas[[#This Row],[DATA DE CAIXA REALIZADO]]))</f>
        <v>2023</v>
      </c>
      <c r="J11" s="128" t="str">
        <f>IF(tbRegistroSaidas[[#This Row],[DATA DE CAIXA REALIZADO]]="N/A","0",UPPER(TEXT(tbRegistroSaidas[[#This Row],[DATA DE CAIXA REALIZADO]],"mmm")))</f>
        <v>AGO</v>
      </c>
      <c r="K11" s="129" t="str">
        <f>IF(tbRegistroSaidas[[#This Row],[DATA DA COMPETÊNCIA]]="N/A","0",UPPER(TEXT(tbRegistroSaidas[[#This Row],[DATA DA COMPETÊNCIA]],"mmm")))</f>
        <v>JUL</v>
      </c>
      <c r="L11" s="79">
        <f>IF(tbRegistroSaidas[[#This Row],[DATA DA COMPETÊNCIA]]="N/A",0,YEAR(tbRegistroSaidas[[#This Row],[DATA DA COMPETÊNCIA]]))</f>
        <v>2023</v>
      </c>
      <c r="M11" s="128" t="str">
        <f>IF(tbRegistroSaidas[[#This Row],[DATA DO CAIXA PREVISTO]]="N/A","0",UPPER(TEXT(tbRegistroSaidas[[#This Row],[DATA DO CAIXA PREVISTO]],"mmm")))</f>
        <v>AGO</v>
      </c>
      <c r="N11" s="128">
        <f>IF(tbRegistroSaidas[[#This Row],[DATA DO CAIXA PREVISTO]]="N/A",0,YEAR(tbRegistroSaidas[[#This Row],[DATA DO CAIXA PREVISTO]]))</f>
        <v>2023</v>
      </c>
    </row>
    <row r="12" spans="1:14" s="5" customFormat="1" ht="14.4" x14ac:dyDescent="0.3">
      <c r="A12" s="49">
        <v>45012</v>
      </c>
      <c r="B12" s="49">
        <f t="shared" si="0"/>
        <v>44981</v>
      </c>
      <c r="C12" s="49">
        <f t="shared" si="1"/>
        <v>44997</v>
      </c>
      <c r="D12" s="52" t="s">
        <v>137</v>
      </c>
      <c r="E12" s="52" t="s">
        <v>1543</v>
      </c>
      <c r="F12" s="52" t="s">
        <v>17</v>
      </c>
      <c r="G12" s="52" t="s">
        <v>1114</v>
      </c>
      <c r="H12" s="18">
        <v>2461</v>
      </c>
      <c r="I12" s="128">
        <f>IF(tbRegistroSaidas[[#This Row],[DATA DE CAIXA REALIZADO]]="N/A",0,YEAR(tbRegistroSaidas[[#This Row],[DATA DE CAIXA REALIZADO]]))</f>
        <v>2023</v>
      </c>
      <c r="J12" s="128" t="str">
        <f>IF(tbRegistroSaidas[[#This Row],[DATA DE CAIXA REALIZADO]]="N/A","0",UPPER(TEXT(tbRegistroSaidas[[#This Row],[DATA DE CAIXA REALIZADO]],"mmm")))</f>
        <v>MAR</v>
      </c>
      <c r="K12" s="129" t="str">
        <f>IF(tbRegistroSaidas[[#This Row],[DATA DA COMPETÊNCIA]]="N/A","0",UPPER(TEXT(tbRegistroSaidas[[#This Row],[DATA DA COMPETÊNCIA]],"mmm")))</f>
        <v>FEV</v>
      </c>
      <c r="L12" s="79">
        <f>IF(tbRegistroSaidas[[#This Row],[DATA DA COMPETÊNCIA]]="N/A",0,YEAR(tbRegistroSaidas[[#This Row],[DATA DA COMPETÊNCIA]]))</f>
        <v>2023</v>
      </c>
      <c r="M12" s="128" t="str">
        <f>IF(tbRegistroSaidas[[#This Row],[DATA DO CAIXA PREVISTO]]="N/A","0",UPPER(TEXT(tbRegistroSaidas[[#This Row],[DATA DO CAIXA PREVISTO]],"mmm")))</f>
        <v>MAR</v>
      </c>
      <c r="N12" s="128">
        <f>IF(tbRegistroSaidas[[#This Row],[DATA DO CAIXA PREVISTO]]="N/A",0,YEAR(tbRegistroSaidas[[#This Row],[DATA DO CAIXA PREVISTO]]))</f>
        <v>2023</v>
      </c>
    </row>
    <row r="13" spans="1:14" s="5" customFormat="1" ht="14.4" x14ac:dyDescent="0.3">
      <c r="A13" s="49">
        <v>44822</v>
      </c>
      <c r="B13" s="49">
        <f t="shared" si="0"/>
        <v>44791</v>
      </c>
      <c r="C13" s="49">
        <f t="shared" si="1"/>
        <v>44807</v>
      </c>
      <c r="D13" s="52" t="s">
        <v>61</v>
      </c>
      <c r="E13" s="52" t="s">
        <v>1543</v>
      </c>
      <c r="F13" s="52" t="s">
        <v>19</v>
      </c>
      <c r="G13" s="52" t="s">
        <v>1115</v>
      </c>
      <c r="H13" s="18">
        <v>1528</v>
      </c>
      <c r="I13" s="128">
        <f>IF(tbRegistroSaidas[[#This Row],[DATA DE CAIXA REALIZADO]]="N/A",0,YEAR(tbRegistroSaidas[[#This Row],[DATA DE CAIXA REALIZADO]]))</f>
        <v>2022</v>
      </c>
      <c r="J13" s="128" t="str">
        <f>IF(tbRegistroSaidas[[#This Row],[DATA DE CAIXA REALIZADO]]="N/A","0",UPPER(TEXT(tbRegistroSaidas[[#This Row],[DATA DE CAIXA REALIZADO]],"mmm")))</f>
        <v>SET</v>
      </c>
      <c r="K13" s="129" t="str">
        <f>IF(tbRegistroSaidas[[#This Row],[DATA DA COMPETÊNCIA]]="N/A","0",UPPER(TEXT(tbRegistroSaidas[[#This Row],[DATA DA COMPETÊNCIA]],"mmm")))</f>
        <v>AGO</v>
      </c>
      <c r="L13" s="79">
        <f>IF(tbRegistroSaidas[[#This Row],[DATA DA COMPETÊNCIA]]="N/A",0,YEAR(tbRegistroSaidas[[#This Row],[DATA DA COMPETÊNCIA]]))</f>
        <v>2022</v>
      </c>
      <c r="M13" s="128" t="str">
        <f>IF(tbRegistroSaidas[[#This Row],[DATA DO CAIXA PREVISTO]]="N/A","0",UPPER(TEXT(tbRegistroSaidas[[#This Row],[DATA DO CAIXA PREVISTO]],"mmm")))</f>
        <v>SET</v>
      </c>
      <c r="N13" s="128">
        <f>IF(tbRegistroSaidas[[#This Row],[DATA DO CAIXA PREVISTO]]="N/A",0,YEAR(tbRegistroSaidas[[#This Row],[DATA DO CAIXA PREVISTO]]))</f>
        <v>2022</v>
      </c>
    </row>
    <row r="14" spans="1:14" s="5" customFormat="1" ht="14.4" x14ac:dyDescent="0.3">
      <c r="A14" s="49">
        <v>44796</v>
      </c>
      <c r="B14" s="49">
        <f t="shared" si="0"/>
        <v>44765</v>
      </c>
      <c r="C14" s="49">
        <f t="shared" si="1"/>
        <v>44781</v>
      </c>
      <c r="D14" s="52" t="s">
        <v>67</v>
      </c>
      <c r="E14" s="52" t="s">
        <v>1543</v>
      </c>
      <c r="F14" s="52" t="s">
        <v>18</v>
      </c>
      <c r="G14" s="52" t="s">
        <v>1116</v>
      </c>
      <c r="H14" s="18">
        <v>3541</v>
      </c>
      <c r="I14" s="128">
        <f>IF(tbRegistroSaidas[[#This Row],[DATA DE CAIXA REALIZADO]]="N/A",0,YEAR(tbRegistroSaidas[[#This Row],[DATA DE CAIXA REALIZADO]]))</f>
        <v>2022</v>
      </c>
      <c r="J14" s="128" t="str">
        <f>IF(tbRegistroSaidas[[#This Row],[DATA DE CAIXA REALIZADO]]="N/A","0",UPPER(TEXT(tbRegistroSaidas[[#This Row],[DATA DE CAIXA REALIZADO]],"mmm")))</f>
        <v>AGO</v>
      </c>
      <c r="K14" s="129" t="str">
        <f>IF(tbRegistroSaidas[[#This Row],[DATA DA COMPETÊNCIA]]="N/A","0",UPPER(TEXT(tbRegistroSaidas[[#This Row],[DATA DA COMPETÊNCIA]],"mmm")))</f>
        <v>JUL</v>
      </c>
      <c r="L14" s="79">
        <f>IF(tbRegistroSaidas[[#This Row],[DATA DA COMPETÊNCIA]]="N/A",0,YEAR(tbRegistroSaidas[[#This Row],[DATA DA COMPETÊNCIA]]))</f>
        <v>2022</v>
      </c>
      <c r="M14" s="128" t="str">
        <f>IF(tbRegistroSaidas[[#This Row],[DATA DO CAIXA PREVISTO]]="N/A","0",UPPER(TEXT(tbRegistroSaidas[[#This Row],[DATA DO CAIXA PREVISTO]],"mmm")))</f>
        <v>AGO</v>
      </c>
      <c r="N14" s="128">
        <f>IF(tbRegistroSaidas[[#This Row],[DATA DO CAIXA PREVISTO]]="N/A",0,YEAR(tbRegistroSaidas[[#This Row],[DATA DO CAIXA PREVISTO]]))</f>
        <v>2022</v>
      </c>
    </row>
    <row r="15" spans="1:14" s="5" customFormat="1" ht="14.4" x14ac:dyDescent="0.3">
      <c r="A15" s="49">
        <v>45170</v>
      </c>
      <c r="B15" s="49">
        <f t="shared" si="0"/>
        <v>45139</v>
      </c>
      <c r="C15" s="49">
        <f t="shared" si="1"/>
        <v>45155</v>
      </c>
      <c r="D15" s="52" t="s">
        <v>66</v>
      </c>
      <c r="E15" s="52" t="s">
        <v>1543</v>
      </c>
      <c r="F15" s="52" t="s">
        <v>19</v>
      </c>
      <c r="G15" s="52" t="s">
        <v>1117</v>
      </c>
      <c r="H15" s="18">
        <v>300</v>
      </c>
      <c r="I15" s="128">
        <f>IF(tbRegistroSaidas[[#This Row],[DATA DE CAIXA REALIZADO]]="N/A",0,YEAR(tbRegistroSaidas[[#This Row],[DATA DE CAIXA REALIZADO]]))</f>
        <v>2023</v>
      </c>
      <c r="J15" s="128" t="str">
        <f>IF(tbRegistroSaidas[[#This Row],[DATA DE CAIXA REALIZADO]]="N/A","0",UPPER(TEXT(tbRegistroSaidas[[#This Row],[DATA DE CAIXA REALIZADO]],"mmm")))</f>
        <v>SET</v>
      </c>
      <c r="K15" s="129" t="str">
        <f>IF(tbRegistroSaidas[[#This Row],[DATA DA COMPETÊNCIA]]="N/A","0",UPPER(TEXT(tbRegistroSaidas[[#This Row],[DATA DA COMPETÊNCIA]],"mmm")))</f>
        <v>AGO</v>
      </c>
      <c r="L15" s="79">
        <f>IF(tbRegistroSaidas[[#This Row],[DATA DA COMPETÊNCIA]]="N/A",0,YEAR(tbRegistroSaidas[[#This Row],[DATA DA COMPETÊNCIA]]))</f>
        <v>2023</v>
      </c>
      <c r="M15" s="128" t="str">
        <f>IF(tbRegistroSaidas[[#This Row],[DATA DO CAIXA PREVISTO]]="N/A","0",UPPER(TEXT(tbRegistroSaidas[[#This Row],[DATA DO CAIXA PREVISTO]],"mmm")))</f>
        <v>AGO</v>
      </c>
      <c r="N15" s="128">
        <f>IF(tbRegistroSaidas[[#This Row],[DATA DO CAIXA PREVISTO]]="N/A",0,YEAR(tbRegistroSaidas[[#This Row],[DATA DO CAIXA PREVISTO]]))</f>
        <v>2023</v>
      </c>
    </row>
    <row r="16" spans="1:14" s="5" customFormat="1" ht="14.4" x14ac:dyDescent="0.3">
      <c r="A16" s="49">
        <v>44297</v>
      </c>
      <c r="B16" s="49">
        <f t="shared" si="0"/>
        <v>44266</v>
      </c>
      <c r="C16" s="49">
        <f t="shared" si="1"/>
        <v>44282</v>
      </c>
      <c r="D16" s="52" t="s">
        <v>67</v>
      </c>
      <c r="E16" s="52" t="s">
        <v>1543</v>
      </c>
      <c r="F16" s="52" t="s">
        <v>19</v>
      </c>
      <c r="G16" s="52" t="s">
        <v>1118</v>
      </c>
      <c r="H16" s="18">
        <v>1476</v>
      </c>
      <c r="I16" s="128">
        <f>IF(tbRegistroSaidas[[#This Row],[DATA DE CAIXA REALIZADO]]="N/A",0,YEAR(tbRegistroSaidas[[#This Row],[DATA DE CAIXA REALIZADO]]))</f>
        <v>2021</v>
      </c>
      <c r="J16" s="128" t="str">
        <f>IF(tbRegistroSaidas[[#This Row],[DATA DE CAIXA REALIZADO]]="N/A","0",UPPER(TEXT(tbRegistroSaidas[[#This Row],[DATA DE CAIXA REALIZADO]],"mmm")))</f>
        <v>ABR</v>
      </c>
      <c r="K16" s="129" t="str">
        <f>IF(tbRegistroSaidas[[#This Row],[DATA DA COMPETÊNCIA]]="N/A","0",UPPER(TEXT(tbRegistroSaidas[[#This Row],[DATA DA COMPETÊNCIA]],"mmm")))</f>
        <v>MAR</v>
      </c>
      <c r="L16" s="79">
        <f>IF(tbRegistroSaidas[[#This Row],[DATA DA COMPETÊNCIA]]="N/A",0,YEAR(tbRegistroSaidas[[#This Row],[DATA DA COMPETÊNCIA]]))</f>
        <v>2021</v>
      </c>
      <c r="M16" s="128" t="str">
        <f>IF(tbRegistroSaidas[[#This Row],[DATA DO CAIXA PREVISTO]]="N/A","0",UPPER(TEXT(tbRegistroSaidas[[#This Row],[DATA DO CAIXA PREVISTO]],"mmm")))</f>
        <v>MAR</v>
      </c>
      <c r="N16" s="128">
        <f>IF(tbRegistroSaidas[[#This Row],[DATA DO CAIXA PREVISTO]]="N/A",0,YEAR(tbRegistroSaidas[[#This Row],[DATA DO CAIXA PREVISTO]]))</f>
        <v>2021</v>
      </c>
    </row>
    <row r="17" spans="1:14" s="5" customFormat="1" ht="14.4" x14ac:dyDescent="0.3">
      <c r="A17" s="49">
        <v>44943</v>
      </c>
      <c r="B17" s="49">
        <f t="shared" si="0"/>
        <v>44912</v>
      </c>
      <c r="C17" s="49">
        <f t="shared" si="1"/>
        <v>44928</v>
      </c>
      <c r="D17" s="52" t="s">
        <v>65</v>
      </c>
      <c r="E17" s="52" t="s">
        <v>1543</v>
      </c>
      <c r="F17" s="52" t="s">
        <v>16</v>
      </c>
      <c r="G17" s="52" t="s">
        <v>1119</v>
      </c>
      <c r="H17" s="18">
        <v>1961</v>
      </c>
      <c r="I17" s="128">
        <f>IF(tbRegistroSaidas[[#This Row],[DATA DE CAIXA REALIZADO]]="N/A",0,YEAR(tbRegistroSaidas[[#This Row],[DATA DE CAIXA REALIZADO]]))</f>
        <v>2023</v>
      </c>
      <c r="J17" s="128" t="str">
        <f>IF(tbRegistroSaidas[[#This Row],[DATA DE CAIXA REALIZADO]]="N/A","0",UPPER(TEXT(tbRegistroSaidas[[#This Row],[DATA DE CAIXA REALIZADO]],"mmm")))</f>
        <v>JAN</v>
      </c>
      <c r="K17" s="129" t="str">
        <f>IF(tbRegistroSaidas[[#This Row],[DATA DA COMPETÊNCIA]]="N/A","0",UPPER(TEXT(tbRegistroSaidas[[#This Row],[DATA DA COMPETÊNCIA]],"mmm")))</f>
        <v>DEZ</v>
      </c>
      <c r="L17" s="79">
        <f>IF(tbRegistroSaidas[[#This Row],[DATA DA COMPETÊNCIA]]="N/A",0,YEAR(tbRegistroSaidas[[#This Row],[DATA DA COMPETÊNCIA]]))</f>
        <v>2022</v>
      </c>
      <c r="M17" s="128" t="str">
        <f>IF(tbRegistroSaidas[[#This Row],[DATA DO CAIXA PREVISTO]]="N/A","0",UPPER(TEXT(tbRegistroSaidas[[#This Row],[DATA DO CAIXA PREVISTO]],"mmm")))</f>
        <v>JAN</v>
      </c>
      <c r="N17" s="128">
        <f>IF(tbRegistroSaidas[[#This Row],[DATA DO CAIXA PREVISTO]]="N/A",0,YEAR(tbRegistroSaidas[[#This Row],[DATA DO CAIXA PREVISTO]]))</f>
        <v>2023</v>
      </c>
    </row>
    <row r="18" spans="1:14" s="5" customFormat="1" ht="14.4" x14ac:dyDescent="0.3">
      <c r="A18" s="49">
        <v>44680</v>
      </c>
      <c r="B18" s="49">
        <f t="shared" si="0"/>
        <v>44649</v>
      </c>
      <c r="C18" s="49">
        <f t="shared" si="1"/>
        <v>44665</v>
      </c>
      <c r="D18" s="52" t="s">
        <v>67</v>
      </c>
      <c r="E18" s="52" t="s">
        <v>1543</v>
      </c>
      <c r="F18" s="52" t="s">
        <v>32</v>
      </c>
      <c r="G18" s="52" t="s">
        <v>1120</v>
      </c>
      <c r="H18" s="18">
        <v>1860</v>
      </c>
      <c r="I18" s="128">
        <f>IF(tbRegistroSaidas[[#This Row],[DATA DE CAIXA REALIZADO]]="N/A",0,YEAR(tbRegistroSaidas[[#This Row],[DATA DE CAIXA REALIZADO]]))</f>
        <v>2022</v>
      </c>
      <c r="J18" s="128" t="str">
        <f>IF(tbRegistroSaidas[[#This Row],[DATA DE CAIXA REALIZADO]]="N/A","0",UPPER(TEXT(tbRegistroSaidas[[#This Row],[DATA DE CAIXA REALIZADO]],"mmm")))</f>
        <v>ABR</v>
      </c>
      <c r="K18" s="129" t="str">
        <f>IF(tbRegistroSaidas[[#This Row],[DATA DA COMPETÊNCIA]]="N/A","0",UPPER(TEXT(tbRegistroSaidas[[#This Row],[DATA DA COMPETÊNCIA]],"mmm")))</f>
        <v>MAR</v>
      </c>
      <c r="L18" s="79">
        <f>IF(tbRegistroSaidas[[#This Row],[DATA DA COMPETÊNCIA]]="N/A",0,YEAR(tbRegistroSaidas[[#This Row],[DATA DA COMPETÊNCIA]]))</f>
        <v>2022</v>
      </c>
      <c r="M18" s="128" t="str">
        <f>IF(tbRegistroSaidas[[#This Row],[DATA DO CAIXA PREVISTO]]="N/A","0",UPPER(TEXT(tbRegistroSaidas[[#This Row],[DATA DO CAIXA PREVISTO]],"mmm")))</f>
        <v>ABR</v>
      </c>
      <c r="N18" s="128">
        <f>IF(tbRegistroSaidas[[#This Row],[DATA DO CAIXA PREVISTO]]="N/A",0,YEAR(tbRegistroSaidas[[#This Row],[DATA DO CAIXA PREVISTO]]))</f>
        <v>2022</v>
      </c>
    </row>
    <row r="19" spans="1:14" s="5" customFormat="1" ht="14.4" x14ac:dyDescent="0.3">
      <c r="A19" s="49">
        <v>44803</v>
      </c>
      <c r="B19" s="49">
        <f t="shared" si="0"/>
        <v>44772</v>
      </c>
      <c r="C19" s="49">
        <f t="shared" si="1"/>
        <v>44788</v>
      </c>
      <c r="D19" s="52" t="s">
        <v>137</v>
      </c>
      <c r="E19" s="52" t="s">
        <v>1543</v>
      </c>
      <c r="F19" s="52" t="s">
        <v>17</v>
      </c>
      <c r="G19" s="52" t="s">
        <v>1121</v>
      </c>
      <c r="H19" s="18">
        <v>1923</v>
      </c>
      <c r="I19" s="128">
        <f>IF(tbRegistroSaidas[[#This Row],[DATA DE CAIXA REALIZADO]]="N/A",0,YEAR(tbRegistroSaidas[[#This Row],[DATA DE CAIXA REALIZADO]]))</f>
        <v>2022</v>
      </c>
      <c r="J19" s="128" t="str">
        <f>IF(tbRegistroSaidas[[#This Row],[DATA DE CAIXA REALIZADO]]="N/A","0",UPPER(TEXT(tbRegistroSaidas[[#This Row],[DATA DE CAIXA REALIZADO]],"mmm")))</f>
        <v>AGO</v>
      </c>
      <c r="K19" s="129" t="str">
        <f>IF(tbRegistroSaidas[[#This Row],[DATA DA COMPETÊNCIA]]="N/A","0",UPPER(TEXT(tbRegistroSaidas[[#This Row],[DATA DA COMPETÊNCIA]],"mmm")))</f>
        <v>JUL</v>
      </c>
      <c r="L19" s="79">
        <f>IF(tbRegistroSaidas[[#This Row],[DATA DA COMPETÊNCIA]]="N/A",0,YEAR(tbRegistroSaidas[[#This Row],[DATA DA COMPETÊNCIA]]))</f>
        <v>2022</v>
      </c>
      <c r="M19" s="128" t="str">
        <f>IF(tbRegistroSaidas[[#This Row],[DATA DO CAIXA PREVISTO]]="N/A","0",UPPER(TEXT(tbRegistroSaidas[[#This Row],[DATA DO CAIXA PREVISTO]],"mmm")))</f>
        <v>AGO</v>
      </c>
      <c r="N19" s="128">
        <f>IF(tbRegistroSaidas[[#This Row],[DATA DO CAIXA PREVISTO]]="N/A",0,YEAR(tbRegistroSaidas[[#This Row],[DATA DO CAIXA PREVISTO]]))</f>
        <v>2022</v>
      </c>
    </row>
    <row r="20" spans="1:14" s="5" customFormat="1" ht="14.4" x14ac:dyDescent="0.3">
      <c r="A20" s="49">
        <v>44570</v>
      </c>
      <c r="B20" s="49">
        <f t="shared" si="0"/>
        <v>44539</v>
      </c>
      <c r="C20" s="49">
        <f t="shared" si="1"/>
        <v>44555</v>
      </c>
      <c r="D20" s="52" t="s">
        <v>63</v>
      </c>
      <c r="E20" s="52" t="s">
        <v>1543</v>
      </c>
      <c r="F20" s="52" t="s">
        <v>16</v>
      </c>
      <c r="G20" s="52" t="s">
        <v>959</v>
      </c>
      <c r="H20" s="18">
        <v>243</v>
      </c>
      <c r="I20" s="128">
        <f>IF(tbRegistroSaidas[[#This Row],[DATA DE CAIXA REALIZADO]]="N/A",0,YEAR(tbRegistroSaidas[[#This Row],[DATA DE CAIXA REALIZADO]]))</f>
        <v>2022</v>
      </c>
      <c r="J20" s="128" t="str">
        <f>IF(tbRegistroSaidas[[#This Row],[DATA DE CAIXA REALIZADO]]="N/A","0",UPPER(TEXT(tbRegistroSaidas[[#This Row],[DATA DE CAIXA REALIZADO]],"mmm")))</f>
        <v>JAN</v>
      </c>
      <c r="K20" s="129" t="str">
        <f>IF(tbRegistroSaidas[[#This Row],[DATA DA COMPETÊNCIA]]="N/A","0",UPPER(TEXT(tbRegistroSaidas[[#This Row],[DATA DA COMPETÊNCIA]],"mmm")))</f>
        <v>DEZ</v>
      </c>
      <c r="L20" s="79">
        <f>IF(tbRegistroSaidas[[#This Row],[DATA DA COMPETÊNCIA]]="N/A",0,YEAR(tbRegistroSaidas[[#This Row],[DATA DA COMPETÊNCIA]]))</f>
        <v>2021</v>
      </c>
      <c r="M20" s="128" t="str">
        <f>IF(tbRegistroSaidas[[#This Row],[DATA DO CAIXA PREVISTO]]="N/A","0",UPPER(TEXT(tbRegistroSaidas[[#This Row],[DATA DO CAIXA PREVISTO]],"mmm")))</f>
        <v>DEZ</v>
      </c>
      <c r="N20" s="128">
        <f>IF(tbRegistroSaidas[[#This Row],[DATA DO CAIXA PREVISTO]]="N/A",0,YEAR(tbRegistroSaidas[[#This Row],[DATA DO CAIXA PREVISTO]]))</f>
        <v>2021</v>
      </c>
    </row>
    <row r="21" spans="1:14" s="5" customFormat="1" ht="14.4" x14ac:dyDescent="0.3">
      <c r="A21" s="49">
        <v>44979</v>
      </c>
      <c r="B21" s="49">
        <f t="shared" si="0"/>
        <v>44948</v>
      </c>
      <c r="C21" s="49">
        <f t="shared" si="1"/>
        <v>44964</v>
      </c>
      <c r="D21" s="52" t="s">
        <v>66</v>
      </c>
      <c r="E21" s="52" t="s">
        <v>1543</v>
      </c>
      <c r="F21" s="52" t="s">
        <v>16</v>
      </c>
      <c r="G21" s="52" t="s">
        <v>1122</v>
      </c>
      <c r="H21" s="18">
        <v>1794</v>
      </c>
      <c r="I21" s="128">
        <f>IF(tbRegistroSaidas[[#This Row],[DATA DE CAIXA REALIZADO]]="N/A",0,YEAR(tbRegistroSaidas[[#This Row],[DATA DE CAIXA REALIZADO]]))</f>
        <v>2023</v>
      </c>
      <c r="J21" s="128" t="str">
        <f>IF(tbRegistroSaidas[[#This Row],[DATA DE CAIXA REALIZADO]]="N/A","0",UPPER(TEXT(tbRegistroSaidas[[#This Row],[DATA DE CAIXA REALIZADO]],"mmm")))</f>
        <v>FEV</v>
      </c>
      <c r="K21" s="129" t="str">
        <f>IF(tbRegistroSaidas[[#This Row],[DATA DA COMPETÊNCIA]]="N/A","0",UPPER(TEXT(tbRegistroSaidas[[#This Row],[DATA DA COMPETÊNCIA]],"mmm")))</f>
        <v>JAN</v>
      </c>
      <c r="L21" s="79">
        <f>IF(tbRegistroSaidas[[#This Row],[DATA DA COMPETÊNCIA]]="N/A",0,YEAR(tbRegistroSaidas[[#This Row],[DATA DA COMPETÊNCIA]]))</f>
        <v>2023</v>
      </c>
      <c r="M21" s="128" t="str">
        <f>IF(tbRegistroSaidas[[#This Row],[DATA DO CAIXA PREVISTO]]="N/A","0",UPPER(TEXT(tbRegistroSaidas[[#This Row],[DATA DO CAIXA PREVISTO]],"mmm")))</f>
        <v>FEV</v>
      </c>
      <c r="N21" s="128">
        <f>IF(tbRegistroSaidas[[#This Row],[DATA DO CAIXA PREVISTO]]="N/A",0,YEAR(tbRegistroSaidas[[#This Row],[DATA DO CAIXA PREVISTO]]))</f>
        <v>2023</v>
      </c>
    </row>
    <row r="22" spans="1:14" s="5" customFormat="1" ht="14.4" x14ac:dyDescent="0.3">
      <c r="A22" s="49">
        <v>44534</v>
      </c>
      <c r="B22" s="49">
        <f t="shared" si="0"/>
        <v>44503</v>
      </c>
      <c r="C22" s="49">
        <f t="shared" si="1"/>
        <v>44519</v>
      </c>
      <c r="D22" s="52" t="s">
        <v>61</v>
      </c>
      <c r="E22" s="52" t="s">
        <v>1543</v>
      </c>
      <c r="F22" s="52" t="s">
        <v>19</v>
      </c>
      <c r="G22" s="52" t="s">
        <v>1123</v>
      </c>
      <c r="H22" s="18">
        <v>2859</v>
      </c>
      <c r="I22" s="128">
        <f>IF(tbRegistroSaidas[[#This Row],[DATA DE CAIXA REALIZADO]]="N/A",0,YEAR(tbRegistroSaidas[[#This Row],[DATA DE CAIXA REALIZADO]]))</f>
        <v>2021</v>
      </c>
      <c r="J22" s="128" t="str">
        <f>IF(tbRegistroSaidas[[#This Row],[DATA DE CAIXA REALIZADO]]="N/A","0",UPPER(TEXT(tbRegistroSaidas[[#This Row],[DATA DE CAIXA REALIZADO]],"mmm")))</f>
        <v>DEZ</v>
      </c>
      <c r="K22" s="129" t="str">
        <f>IF(tbRegistroSaidas[[#This Row],[DATA DA COMPETÊNCIA]]="N/A","0",UPPER(TEXT(tbRegistroSaidas[[#This Row],[DATA DA COMPETÊNCIA]],"mmm")))</f>
        <v>NOV</v>
      </c>
      <c r="L22" s="79">
        <f>IF(tbRegistroSaidas[[#This Row],[DATA DA COMPETÊNCIA]]="N/A",0,YEAR(tbRegistroSaidas[[#This Row],[DATA DA COMPETÊNCIA]]))</f>
        <v>2021</v>
      </c>
      <c r="M22" s="128" t="str">
        <f>IF(tbRegistroSaidas[[#This Row],[DATA DO CAIXA PREVISTO]]="N/A","0",UPPER(TEXT(tbRegistroSaidas[[#This Row],[DATA DO CAIXA PREVISTO]],"mmm")))</f>
        <v>NOV</v>
      </c>
      <c r="N22" s="128">
        <f>IF(tbRegistroSaidas[[#This Row],[DATA DO CAIXA PREVISTO]]="N/A",0,YEAR(tbRegistroSaidas[[#This Row],[DATA DO CAIXA PREVISTO]]))</f>
        <v>2021</v>
      </c>
    </row>
    <row r="23" spans="1:14" s="5" customFormat="1" ht="14.4" x14ac:dyDescent="0.3">
      <c r="A23" s="49">
        <v>44371</v>
      </c>
      <c r="B23" s="49">
        <f t="shared" si="0"/>
        <v>44340</v>
      </c>
      <c r="C23" s="49">
        <f t="shared" si="1"/>
        <v>44356</v>
      </c>
      <c r="D23" s="52" t="s">
        <v>138</v>
      </c>
      <c r="E23" s="52" t="s">
        <v>1543</v>
      </c>
      <c r="F23" s="52" t="s">
        <v>17</v>
      </c>
      <c r="G23" s="52" t="s">
        <v>735</v>
      </c>
      <c r="H23" s="18">
        <v>1995</v>
      </c>
      <c r="I23" s="128">
        <f>IF(tbRegistroSaidas[[#This Row],[DATA DE CAIXA REALIZADO]]="N/A",0,YEAR(tbRegistroSaidas[[#This Row],[DATA DE CAIXA REALIZADO]]))</f>
        <v>2021</v>
      </c>
      <c r="J23" s="128" t="str">
        <f>IF(tbRegistroSaidas[[#This Row],[DATA DE CAIXA REALIZADO]]="N/A","0",UPPER(TEXT(tbRegistroSaidas[[#This Row],[DATA DE CAIXA REALIZADO]],"mmm")))</f>
        <v>JUN</v>
      </c>
      <c r="K23" s="129" t="str">
        <f>IF(tbRegistroSaidas[[#This Row],[DATA DA COMPETÊNCIA]]="N/A","0",UPPER(TEXT(tbRegistroSaidas[[#This Row],[DATA DA COMPETÊNCIA]],"mmm")))</f>
        <v>MAI</v>
      </c>
      <c r="L23" s="79">
        <f>IF(tbRegistroSaidas[[#This Row],[DATA DA COMPETÊNCIA]]="N/A",0,YEAR(tbRegistroSaidas[[#This Row],[DATA DA COMPETÊNCIA]]))</f>
        <v>2021</v>
      </c>
      <c r="M23" s="128" t="str">
        <f>IF(tbRegistroSaidas[[#This Row],[DATA DO CAIXA PREVISTO]]="N/A","0",UPPER(TEXT(tbRegistroSaidas[[#This Row],[DATA DO CAIXA PREVISTO]],"mmm")))</f>
        <v>JUN</v>
      </c>
      <c r="N23" s="128">
        <f>IF(tbRegistroSaidas[[#This Row],[DATA DO CAIXA PREVISTO]]="N/A",0,YEAR(tbRegistroSaidas[[#This Row],[DATA DO CAIXA PREVISTO]]))</f>
        <v>2021</v>
      </c>
    </row>
    <row r="24" spans="1:14" s="5" customFormat="1" ht="14.4" x14ac:dyDescent="0.3">
      <c r="A24" s="49">
        <v>44579</v>
      </c>
      <c r="B24" s="49">
        <f t="shared" si="0"/>
        <v>44548</v>
      </c>
      <c r="C24" s="49">
        <f t="shared" si="1"/>
        <v>44564</v>
      </c>
      <c r="D24" s="52" t="s">
        <v>63</v>
      </c>
      <c r="E24" s="52" t="s">
        <v>1543</v>
      </c>
      <c r="F24" s="52" t="s">
        <v>19</v>
      </c>
      <c r="G24" s="52" t="s">
        <v>1124</v>
      </c>
      <c r="H24" s="18">
        <v>2080</v>
      </c>
      <c r="I24" s="128">
        <f>IF(tbRegistroSaidas[[#This Row],[DATA DE CAIXA REALIZADO]]="N/A",0,YEAR(tbRegistroSaidas[[#This Row],[DATA DE CAIXA REALIZADO]]))</f>
        <v>2022</v>
      </c>
      <c r="J24" s="128" t="str">
        <f>IF(tbRegistroSaidas[[#This Row],[DATA DE CAIXA REALIZADO]]="N/A","0",UPPER(TEXT(tbRegistroSaidas[[#This Row],[DATA DE CAIXA REALIZADO]],"mmm")))</f>
        <v>JAN</v>
      </c>
      <c r="K24" s="129" t="str">
        <f>IF(tbRegistroSaidas[[#This Row],[DATA DA COMPETÊNCIA]]="N/A","0",UPPER(TEXT(tbRegistroSaidas[[#This Row],[DATA DA COMPETÊNCIA]],"mmm")))</f>
        <v>DEZ</v>
      </c>
      <c r="L24" s="79">
        <f>IF(tbRegistroSaidas[[#This Row],[DATA DA COMPETÊNCIA]]="N/A",0,YEAR(tbRegistroSaidas[[#This Row],[DATA DA COMPETÊNCIA]]))</f>
        <v>2021</v>
      </c>
      <c r="M24" s="128" t="str">
        <f>IF(tbRegistroSaidas[[#This Row],[DATA DO CAIXA PREVISTO]]="N/A","0",UPPER(TEXT(tbRegistroSaidas[[#This Row],[DATA DO CAIXA PREVISTO]],"mmm")))</f>
        <v>JAN</v>
      </c>
      <c r="N24" s="128">
        <f>IF(tbRegistroSaidas[[#This Row],[DATA DO CAIXA PREVISTO]]="N/A",0,YEAR(tbRegistroSaidas[[#This Row],[DATA DO CAIXA PREVISTO]]))</f>
        <v>2022</v>
      </c>
    </row>
    <row r="25" spans="1:14" s="5" customFormat="1" ht="14.4" x14ac:dyDescent="0.3">
      <c r="A25" s="49">
        <v>44437</v>
      </c>
      <c r="B25" s="49">
        <f t="shared" si="0"/>
        <v>44406</v>
      </c>
      <c r="C25" s="49">
        <f t="shared" si="1"/>
        <v>44422</v>
      </c>
      <c r="D25" s="52" t="s">
        <v>66</v>
      </c>
      <c r="E25" s="52" t="s">
        <v>1543</v>
      </c>
      <c r="F25" s="52" t="s">
        <v>19</v>
      </c>
      <c r="G25" s="52" t="s">
        <v>1125</v>
      </c>
      <c r="H25" s="18">
        <v>584</v>
      </c>
      <c r="I25" s="128">
        <f>IF(tbRegistroSaidas[[#This Row],[DATA DE CAIXA REALIZADO]]="N/A",0,YEAR(tbRegistroSaidas[[#This Row],[DATA DE CAIXA REALIZADO]]))</f>
        <v>2021</v>
      </c>
      <c r="J25" s="128" t="str">
        <f>IF(tbRegistroSaidas[[#This Row],[DATA DE CAIXA REALIZADO]]="N/A","0",UPPER(TEXT(tbRegistroSaidas[[#This Row],[DATA DE CAIXA REALIZADO]],"mmm")))</f>
        <v>AGO</v>
      </c>
      <c r="K25" s="129" t="str">
        <f>IF(tbRegistroSaidas[[#This Row],[DATA DA COMPETÊNCIA]]="N/A","0",UPPER(TEXT(tbRegistroSaidas[[#This Row],[DATA DA COMPETÊNCIA]],"mmm")))</f>
        <v>JUL</v>
      </c>
      <c r="L25" s="79">
        <f>IF(tbRegistroSaidas[[#This Row],[DATA DA COMPETÊNCIA]]="N/A",0,YEAR(tbRegistroSaidas[[#This Row],[DATA DA COMPETÊNCIA]]))</f>
        <v>2021</v>
      </c>
      <c r="M25" s="128" t="str">
        <f>IF(tbRegistroSaidas[[#This Row],[DATA DO CAIXA PREVISTO]]="N/A","0",UPPER(TEXT(tbRegistroSaidas[[#This Row],[DATA DO CAIXA PREVISTO]],"mmm")))</f>
        <v>AGO</v>
      </c>
      <c r="N25" s="128">
        <f>IF(tbRegistroSaidas[[#This Row],[DATA DO CAIXA PREVISTO]]="N/A",0,YEAR(tbRegistroSaidas[[#This Row],[DATA DO CAIXA PREVISTO]]))</f>
        <v>2021</v>
      </c>
    </row>
    <row r="26" spans="1:14" s="5" customFormat="1" ht="14.4" x14ac:dyDescent="0.3">
      <c r="A26" s="49">
        <v>44853</v>
      </c>
      <c r="B26" s="49">
        <f t="shared" si="0"/>
        <v>44822</v>
      </c>
      <c r="C26" s="49">
        <f t="shared" si="1"/>
        <v>44838</v>
      </c>
      <c r="D26" s="52" t="s">
        <v>61</v>
      </c>
      <c r="E26" s="52" t="s">
        <v>1543</v>
      </c>
      <c r="F26" s="52" t="s">
        <v>32</v>
      </c>
      <c r="G26" s="52" t="s">
        <v>1126</v>
      </c>
      <c r="H26" s="18">
        <v>3577</v>
      </c>
      <c r="I26" s="128">
        <f>IF(tbRegistroSaidas[[#This Row],[DATA DE CAIXA REALIZADO]]="N/A",0,YEAR(tbRegistroSaidas[[#This Row],[DATA DE CAIXA REALIZADO]]))</f>
        <v>2022</v>
      </c>
      <c r="J26" s="128" t="str">
        <f>IF(tbRegistroSaidas[[#This Row],[DATA DE CAIXA REALIZADO]]="N/A","0",UPPER(TEXT(tbRegistroSaidas[[#This Row],[DATA DE CAIXA REALIZADO]],"mmm")))</f>
        <v>OUT</v>
      </c>
      <c r="K26" s="129" t="str">
        <f>IF(tbRegistroSaidas[[#This Row],[DATA DA COMPETÊNCIA]]="N/A","0",UPPER(TEXT(tbRegistroSaidas[[#This Row],[DATA DA COMPETÊNCIA]],"mmm")))</f>
        <v>SET</v>
      </c>
      <c r="L26" s="79">
        <f>IF(tbRegistroSaidas[[#This Row],[DATA DA COMPETÊNCIA]]="N/A",0,YEAR(tbRegistroSaidas[[#This Row],[DATA DA COMPETÊNCIA]]))</f>
        <v>2022</v>
      </c>
      <c r="M26" s="128" t="str">
        <f>IF(tbRegistroSaidas[[#This Row],[DATA DO CAIXA PREVISTO]]="N/A","0",UPPER(TEXT(tbRegistroSaidas[[#This Row],[DATA DO CAIXA PREVISTO]],"mmm")))</f>
        <v>OUT</v>
      </c>
      <c r="N26" s="128">
        <f>IF(tbRegistroSaidas[[#This Row],[DATA DO CAIXA PREVISTO]]="N/A",0,YEAR(tbRegistroSaidas[[#This Row],[DATA DO CAIXA PREVISTO]]))</f>
        <v>2022</v>
      </c>
    </row>
    <row r="27" spans="1:14" s="5" customFormat="1" ht="14.4" x14ac:dyDescent="0.3">
      <c r="A27" s="49">
        <v>44754</v>
      </c>
      <c r="B27" s="49">
        <f t="shared" si="0"/>
        <v>44723</v>
      </c>
      <c r="C27" s="49">
        <f t="shared" si="1"/>
        <v>44739</v>
      </c>
      <c r="D27" s="52" t="s">
        <v>138</v>
      </c>
      <c r="E27" s="52" t="s">
        <v>1543</v>
      </c>
      <c r="F27" s="52" t="s">
        <v>19</v>
      </c>
      <c r="G27" s="52" t="s">
        <v>1127</v>
      </c>
      <c r="H27" s="18">
        <v>3340</v>
      </c>
      <c r="I27" s="128">
        <f>IF(tbRegistroSaidas[[#This Row],[DATA DE CAIXA REALIZADO]]="N/A",0,YEAR(tbRegistroSaidas[[#This Row],[DATA DE CAIXA REALIZADO]]))</f>
        <v>2022</v>
      </c>
      <c r="J27" s="128" t="str">
        <f>IF(tbRegistroSaidas[[#This Row],[DATA DE CAIXA REALIZADO]]="N/A","0",UPPER(TEXT(tbRegistroSaidas[[#This Row],[DATA DE CAIXA REALIZADO]],"mmm")))</f>
        <v>JUL</v>
      </c>
      <c r="K27" s="129" t="str">
        <f>IF(tbRegistroSaidas[[#This Row],[DATA DA COMPETÊNCIA]]="N/A","0",UPPER(TEXT(tbRegistroSaidas[[#This Row],[DATA DA COMPETÊNCIA]],"mmm")))</f>
        <v>JUN</v>
      </c>
      <c r="L27" s="79">
        <f>IF(tbRegistroSaidas[[#This Row],[DATA DA COMPETÊNCIA]]="N/A",0,YEAR(tbRegistroSaidas[[#This Row],[DATA DA COMPETÊNCIA]]))</f>
        <v>2022</v>
      </c>
      <c r="M27" s="128" t="str">
        <f>IF(tbRegistroSaidas[[#This Row],[DATA DO CAIXA PREVISTO]]="N/A","0",UPPER(TEXT(tbRegistroSaidas[[#This Row],[DATA DO CAIXA PREVISTO]],"mmm")))</f>
        <v>JUN</v>
      </c>
      <c r="N27" s="128">
        <f>IF(tbRegistroSaidas[[#This Row],[DATA DO CAIXA PREVISTO]]="N/A",0,YEAR(tbRegistroSaidas[[#This Row],[DATA DO CAIXA PREVISTO]]))</f>
        <v>2022</v>
      </c>
    </row>
    <row r="28" spans="1:14" s="5" customFormat="1" ht="14.4" x14ac:dyDescent="0.3">
      <c r="A28" s="49">
        <v>44836</v>
      </c>
      <c r="B28" s="49">
        <f t="shared" si="0"/>
        <v>44805</v>
      </c>
      <c r="C28" s="49">
        <f t="shared" si="1"/>
        <v>44821</v>
      </c>
      <c r="D28" s="52" t="s">
        <v>64</v>
      </c>
      <c r="E28" s="52" t="s">
        <v>1543</v>
      </c>
      <c r="F28" s="52" t="s">
        <v>18</v>
      </c>
      <c r="G28" s="52" t="s">
        <v>1128</v>
      </c>
      <c r="H28" s="18">
        <v>2927</v>
      </c>
      <c r="I28" s="128">
        <f>IF(tbRegistroSaidas[[#This Row],[DATA DE CAIXA REALIZADO]]="N/A",0,YEAR(tbRegistroSaidas[[#This Row],[DATA DE CAIXA REALIZADO]]))</f>
        <v>2022</v>
      </c>
      <c r="J28" s="128" t="str">
        <f>IF(tbRegistroSaidas[[#This Row],[DATA DE CAIXA REALIZADO]]="N/A","0",UPPER(TEXT(tbRegistroSaidas[[#This Row],[DATA DE CAIXA REALIZADO]],"mmm")))</f>
        <v>OUT</v>
      </c>
      <c r="K28" s="129" t="str">
        <f>IF(tbRegistroSaidas[[#This Row],[DATA DA COMPETÊNCIA]]="N/A","0",UPPER(TEXT(tbRegistroSaidas[[#This Row],[DATA DA COMPETÊNCIA]],"mmm")))</f>
        <v>SET</v>
      </c>
      <c r="L28" s="79">
        <f>IF(tbRegistroSaidas[[#This Row],[DATA DA COMPETÊNCIA]]="N/A",0,YEAR(tbRegistroSaidas[[#This Row],[DATA DA COMPETÊNCIA]]))</f>
        <v>2022</v>
      </c>
      <c r="M28" s="128" t="str">
        <f>IF(tbRegistroSaidas[[#This Row],[DATA DO CAIXA PREVISTO]]="N/A","0",UPPER(TEXT(tbRegistroSaidas[[#This Row],[DATA DO CAIXA PREVISTO]],"mmm")))</f>
        <v>SET</v>
      </c>
      <c r="N28" s="128">
        <f>IF(tbRegistroSaidas[[#This Row],[DATA DO CAIXA PREVISTO]]="N/A",0,YEAR(tbRegistroSaidas[[#This Row],[DATA DO CAIXA PREVISTO]]))</f>
        <v>2022</v>
      </c>
    </row>
    <row r="29" spans="1:14" s="5" customFormat="1" ht="14.4" x14ac:dyDescent="0.3">
      <c r="A29" s="49">
        <v>44926</v>
      </c>
      <c r="B29" s="49">
        <f t="shared" si="0"/>
        <v>44895</v>
      </c>
      <c r="C29" s="49">
        <f t="shared" si="1"/>
        <v>44911</v>
      </c>
      <c r="D29" s="52" t="s">
        <v>67</v>
      </c>
      <c r="E29" s="52" t="s">
        <v>1543</v>
      </c>
      <c r="F29" s="52" t="s">
        <v>19</v>
      </c>
      <c r="G29" s="52" t="s">
        <v>1129</v>
      </c>
      <c r="H29" s="18">
        <v>368</v>
      </c>
      <c r="I29" s="128">
        <f>IF(tbRegistroSaidas[[#This Row],[DATA DE CAIXA REALIZADO]]="N/A",0,YEAR(tbRegistroSaidas[[#This Row],[DATA DE CAIXA REALIZADO]]))</f>
        <v>2022</v>
      </c>
      <c r="J29" s="128" t="str">
        <f>IF(tbRegistroSaidas[[#This Row],[DATA DE CAIXA REALIZADO]]="N/A","0",UPPER(TEXT(tbRegistroSaidas[[#This Row],[DATA DE CAIXA REALIZADO]],"mmm")))</f>
        <v>DEZ</v>
      </c>
      <c r="K29" s="129" t="str">
        <f>IF(tbRegistroSaidas[[#This Row],[DATA DA COMPETÊNCIA]]="N/A","0",UPPER(TEXT(tbRegistroSaidas[[#This Row],[DATA DA COMPETÊNCIA]],"mmm")))</f>
        <v>NOV</v>
      </c>
      <c r="L29" s="79">
        <f>IF(tbRegistroSaidas[[#This Row],[DATA DA COMPETÊNCIA]]="N/A",0,YEAR(tbRegistroSaidas[[#This Row],[DATA DA COMPETÊNCIA]]))</f>
        <v>2022</v>
      </c>
      <c r="M29" s="128" t="str">
        <f>IF(tbRegistroSaidas[[#This Row],[DATA DO CAIXA PREVISTO]]="N/A","0",UPPER(TEXT(tbRegistroSaidas[[#This Row],[DATA DO CAIXA PREVISTO]],"mmm")))</f>
        <v>DEZ</v>
      </c>
      <c r="N29" s="128">
        <f>IF(tbRegistroSaidas[[#This Row],[DATA DO CAIXA PREVISTO]]="N/A",0,YEAR(tbRegistroSaidas[[#This Row],[DATA DO CAIXA PREVISTO]]))</f>
        <v>2022</v>
      </c>
    </row>
    <row r="30" spans="1:14" s="5" customFormat="1" ht="14.4" x14ac:dyDescent="0.3">
      <c r="A30" s="49">
        <v>45219</v>
      </c>
      <c r="B30" s="49">
        <f t="shared" si="0"/>
        <v>45188</v>
      </c>
      <c r="C30" s="49">
        <f t="shared" si="1"/>
        <v>45204</v>
      </c>
      <c r="D30" s="52" t="s">
        <v>61</v>
      </c>
      <c r="E30" s="52" t="s">
        <v>1543</v>
      </c>
      <c r="F30" s="52" t="s">
        <v>32</v>
      </c>
      <c r="G30" s="52" t="s">
        <v>1130</v>
      </c>
      <c r="H30" s="18">
        <v>3799</v>
      </c>
      <c r="I30" s="128">
        <f>IF(tbRegistroSaidas[[#This Row],[DATA DE CAIXA REALIZADO]]="N/A",0,YEAR(tbRegistroSaidas[[#This Row],[DATA DE CAIXA REALIZADO]]))</f>
        <v>2023</v>
      </c>
      <c r="J30" s="128" t="str">
        <f>IF(tbRegistroSaidas[[#This Row],[DATA DE CAIXA REALIZADO]]="N/A","0",UPPER(TEXT(tbRegistroSaidas[[#This Row],[DATA DE CAIXA REALIZADO]],"mmm")))</f>
        <v>OUT</v>
      </c>
      <c r="K30" s="129" t="str">
        <f>IF(tbRegistroSaidas[[#This Row],[DATA DA COMPETÊNCIA]]="N/A","0",UPPER(TEXT(tbRegistroSaidas[[#This Row],[DATA DA COMPETÊNCIA]],"mmm")))</f>
        <v>SET</v>
      </c>
      <c r="L30" s="79">
        <f>IF(tbRegistroSaidas[[#This Row],[DATA DA COMPETÊNCIA]]="N/A",0,YEAR(tbRegistroSaidas[[#This Row],[DATA DA COMPETÊNCIA]]))</f>
        <v>2023</v>
      </c>
      <c r="M30" s="128" t="str">
        <f>IF(tbRegistroSaidas[[#This Row],[DATA DO CAIXA PREVISTO]]="N/A","0",UPPER(TEXT(tbRegistroSaidas[[#This Row],[DATA DO CAIXA PREVISTO]],"mmm")))</f>
        <v>OUT</v>
      </c>
      <c r="N30" s="128">
        <f>IF(tbRegistroSaidas[[#This Row],[DATA DO CAIXA PREVISTO]]="N/A",0,YEAR(tbRegistroSaidas[[#This Row],[DATA DO CAIXA PREVISTO]]))</f>
        <v>2023</v>
      </c>
    </row>
    <row r="31" spans="1:14" s="5" customFormat="1" ht="14.4" x14ac:dyDescent="0.3">
      <c r="A31" s="49">
        <v>44765</v>
      </c>
      <c r="B31" s="49">
        <f t="shared" si="0"/>
        <v>44734</v>
      </c>
      <c r="C31" s="49">
        <f t="shared" si="1"/>
        <v>44750</v>
      </c>
      <c r="D31" s="52" t="s">
        <v>66</v>
      </c>
      <c r="E31" s="52" t="s">
        <v>1543</v>
      </c>
      <c r="F31" s="52" t="s">
        <v>18</v>
      </c>
      <c r="G31" s="52" t="s">
        <v>1131</v>
      </c>
      <c r="H31" s="18">
        <v>1673</v>
      </c>
      <c r="I31" s="128">
        <f>IF(tbRegistroSaidas[[#This Row],[DATA DE CAIXA REALIZADO]]="N/A",0,YEAR(tbRegistroSaidas[[#This Row],[DATA DE CAIXA REALIZADO]]))</f>
        <v>2022</v>
      </c>
      <c r="J31" s="128" t="str">
        <f>IF(tbRegistroSaidas[[#This Row],[DATA DE CAIXA REALIZADO]]="N/A","0",UPPER(TEXT(tbRegistroSaidas[[#This Row],[DATA DE CAIXA REALIZADO]],"mmm")))</f>
        <v>JUL</v>
      </c>
      <c r="K31" s="129" t="str">
        <f>IF(tbRegistroSaidas[[#This Row],[DATA DA COMPETÊNCIA]]="N/A","0",UPPER(TEXT(tbRegistroSaidas[[#This Row],[DATA DA COMPETÊNCIA]],"mmm")))</f>
        <v>JUN</v>
      </c>
      <c r="L31" s="79">
        <f>IF(tbRegistroSaidas[[#This Row],[DATA DA COMPETÊNCIA]]="N/A",0,YEAR(tbRegistroSaidas[[#This Row],[DATA DA COMPETÊNCIA]]))</f>
        <v>2022</v>
      </c>
      <c r="M31" s="128" t="str">
        <f>IF(tbRegistroSaidas[[#This Row],[DATA DO CAIXA PREVISTO]]="N/A","0",UPPER(TEXT(tbRegistroSaidas[[#This Row],[DATA DO CAIXA PREVISTO]],"mmm")))</f>
        <v>JUL</v>
      </c>
      <c r="N31" s="128">
        <f>IF(tbRegistroSaidas[[#This Row],[DATA DO CAIXA PREVISTO]]="N/A",0,YEAR(tbRegistroSaidas[[#This Row],[DATA DO CAIXA PREVISTO]]))</f>
        <v>2022</v>
      </c>
    </row>
    <row r="32" spans="1:14" s="5" customFormat="1" ht="14.4" x14ac:dyDescent="0.3">
      <c r="A32" s="49">
        <v>44819</v>
      </c>
      <c r="B32" s="49">
        <f t="shared" si="0"/>
        <v>44788</v>
      </c>
      <c r="C32" s="49">
        <f t="shared" si="1"/>
        <v>44804</v>
      </c>
      <c r="D32" s="52" t="s">
        <v>63</v>
      </c>
      <c r="E32" s="52" t="s">
        <v>1543</v>
      </c>
      <c r="F32" s="52" t="s">
        <v>16</v>
      </c>
      <c r="G32" s="52" t="s">
        <v>1132</v>
      </c>
      <c r="H32" s="18">
        <v>1276</v>
      </c>
      <c r="I32" s="128">
        <f>IF(tbRegistroSaidas[[#This Row],[DATA DE CAIXA REALIZADO]]="N/A",0,YEAR(tbRegistroSaidas[[#This Row],[DATA DE CAIXA REALIZADO]]))</f>
        <v>2022</v>
      </c>
      <c r="J32" s="128" t="str">
        <f>IF(tbRegistroSaidas[[#This Row],[DATA DE CAIXA REALIZADO]]="N/A","0",UPPER(TEXT(tbRegistroSaidas[[#This Row],[DATA DE CAIXA REALIZADO]],"mmm")))</f>
        <v>SET</v>
      </c>
      <c r="K32" s="129" t="str">
        <f>IF(tbRegistroSaidas[[#This Row],[DATA DA COMPETÊNCIA]]="N/A","0",UPPER(TEXT(tbRegistroSaidas[[#This Row],[DATA DA COMPETÊNCIA]],"mmm")))</f>
        <v>AGO</v>
      </c>
      <c r="L32" s="79">
        <f>IF(tbRegistroSaidas[[#This Row],[DATA DA COMPETÊNCIA]]="N/A",0,YEAR(tbRegistroSaidas[[#This Row],[DATA DA COMPETÊNCIA]]))</f>
        <v>2022</v>
      </c>
      <c r="M32" s="128" t="str">
        <f>IF(tbRegistroSaidas[[#This Row],[DATA DO CAIXA PREVISTO]]="N/A","0",UPPER(TEXT(tbRegistroSaidas[[#This Row],[DATA DO CAIXA PREVISTO]],"mmm")))</f>
        <v>AGO</v>
      </c>
      <c r="N32" s="128">
        <f>IF(tbRegistroSaidas[[#This Row],[DATA DO CAIXA PREVISTO]]="N/A",0,YEAR(tbRegistroSaidas[[#This Row],[DATA DO CAIXA PREVISTO]]))</f>
        <v>2022</v>
      </c>
    </row>
    <row r="33" spans="1:14" s="5" customFormat="1" ht="14.4" x14ac:dyDescent="0.3">
      <c r="A33" s="49">
        <v>44304</v>
      </c>
      <c r="B33" s="49">
        <f t="shared" si="0"/>
        <v>44273</v>
      </c>
      <c r="C33" s="49">
        <f t="shared" si="1"/>
        <v>44289</v>
      </c>
      <c r="D33" s="52" t="s">
        <v>64</v>
      </c>
      <c r="E33" s="52" t="s">
        <v>1543</v>
      </c>
      <c r="F33" s="52" t="s">
        <v>17</v>
      </c>
      <c r="G33" s="52" t="s">
        <v>1133</v>
      </c>
      <c r="H33" s="18">
        <v>674</v>
      </c>
      <c r="I33" s="128">
        <f>IF(tbRegistroSaidas[[#This Row],[DATA DE CAIXA REALIZADO]]="N/A",0,YEAR(tbRegistroSaidas[[#This Row],[DATA DE CAIXA REALIZADO]]))</f>
        <v>2021</v>
      </c>
      <c r="J33" s="128" t="str">
        <f>IF(tbRegistroSaidas[[#This Row],[DATA DE CAIXA REALIZADO]]="N/A","0",UPPER(TEXT(tbRegistroSaidas[[#This Row],[DATA DE CAIXA REALIZADO]],"mmm")))</f>
        <v>ABR</v>
      </c>
      <c r="K33" s="129" t="str">
        <f>IF(tbRegistroSaidas[[#This Row],[DATA DA COMPETÊNCIA]]="N/A","0",UPPER(TEXT(tbRegistroSaidas[[#This Row],[DATA DA COMPETÊNCIA]],"mmm")))</f>
        <v>MAR</v>
      </c>
      <c r="L33" s="79">
        <f>IF(tbRegistroSaidas[[#This Row],[DATA DA COMPETÊNCIA]]="N/A",0,YEAR(tbRegistroSaidas[[#This Row],[DATA DA COMPETÊNCIA]]))</f>
        <v>2021</v>
      </c>
      <c r="M33" s="128" t="str">
        <f>IF(tbRegistroSaidas[[#This Row],[DATA DO CAIXA PREVISTO]]="N/A","0",UPPER(TEXT(tbRegistroSaidas[[#This Row],[DATA DO CAIXA PREVISTO]],"mmm")))</f>
        <v>ABR</v>
      </c>
      <c r="N33" s="128">
        <f>IF(tbRegistroSaidas[[#This Row],[DATA DO CAIXA PREVISTO]]="N/A",0,YEAR(tbRegistroSaidas[[#This Row],[DATA DO CAIXA PREVISTO]]))</f>
        <v>2021</v>
      </c>
    </row>
    <row r="34" spans="1:14" s="5" customFormat="1" ht="14.4" x14ac:dyDescent="0.3">
      <c r="A34" s="49">
        <v>44817</v>
      </c>
      <c r="B34" s="49">
        <f t="shared" si="0"/>
        <v>44786</v>
      </c>
      <c r="C34" s="49">
        <f t="shared" si="1"/>
        <v>44802</v>
      </c>
      <c r="D34" s="52" t="s">
        <v>65</v>
      </c>
      <c r="E34" s="52" t="s">
        <v>1543</v>
      </c>
      <c r="F34" s="52" t="s">
        <v>32</v>
      </c>
      <c r="G34" s="52" t="s">
        <v>1134</v>
      </c>
      <c r="H34" s="18">
        <v>178</v>
      </c>
      <c r="I34" s="128">
        <f>IF(tbRegistroSaidas[[#This Row],[DATA DE CAIXA REALIZADO]]="N/A",0,YEAR(tbRegistroSaidas[[#This Row],[DATA DE CAIXA REALIZADO]]))</f>
        <v>2022</v>
      </c>
      <c r="J34" s="128" t="str">
        <f>IF(tbRegistroSaidas[[#This Row],[DATA DE CAIXA REALIZADO]]="N/A","0",UPPER(TEXT(tbRegistroSaidas[[#This Row],[DATA DE CAIXA REALIZADO]],"mmm")))</f>
        <v>SET</v>
      </c>
      <c r="K34" s="129" t="str">
        <f>IF(tbRegistroSaidas[[#This Row],[DATA DA COMPETÊNCIA]]="N/A","0",UPPER(TEXT(tbRegistroSaidas[[#This Row],[DATA DA COMPETÊNCIA]],"mmm")))</f>
        <v>AGO</v>
      </c>
      <c r="L34" s="79">
        <f>IF(tbRegistroSaidas[[#This Row],[DATA DA COMPETÊNCIA]]="N/A",0,YEAR(tbRegistroSaidas[[#This Row],[DATA DA COMPETÊNCIA]]))</f>
        <v>2022</v>
      </c>
      <c r="M34" s="128" t="str">
        <f>IF(tbRegistroSaidas[[#This Row],[DATA DO CAIXA PREVISTO]]="N/A","0",UPPER(TEXT(tbRegistroSaidas[[#This Row],[DATA DO CAIXA PREVISTO]],"mmm")))</f>
        <v>AGO</v>
      </c>
      <c r="N34" s="128">
        <f>IF(tbRegistroSaidas[[#This Row],[DATA DO CAIXA PREVISTO]]="N/A",0,YEAR(tbRegistroSaidas[[#This Row],[DATA DO CAIXA PREVISTO]]))</f>
        <v>2022</v>
      </c>
    </row>
    <row r="35" spans="1:14" s="5" customFormat="1" ht="14.4" x14ac:dyDescent="0.3">
      <c r="A35" s="49">
        <v>44861</v>
      </c>
      <c r="B35" s="49">
        <f t="shared" si="0"/>
        <v>44830</v>
      </c>
      <c r="C35" s="49">
        <f t="shared" si="1"/>
        <v>44846</v>
      </c>
      <c r="D35" s="52" t="s">
        <v>138</v>
      </c>
      <c r="E35" s="52" t="s">
        <v>1543</v>
      </c>
      <c r="F35" s="52" t="s">
        <v>16</v>
      </c>
      <c r="G35" s="52" t="s">
        <v>394</v>
      </c>
      <c r="H35" s="18">
        <v>3491</v>
      </c>
      <c r="I35" s="128">
        <f>IF(tbRegistroSaidas[[#This Row],[DATA DE CAIXA REALIZADO]]="N/A",0,YEAR(tbRegistroSaidas[[#This Row],[DATA DE CAIXA REALIZADO]]))</f>
        <v>2022</v>
      </c>
      <c r="J35" s="128" t="str">
        <f>IF(tbRegistroSaidas[[#This Row],[DATA DE CAIXA REALIZADO]]="N/A","0",UPPER(TEXT(tbRegistroSaidas[[#This Row],[DATA DE CAIXA REALIZADO]],"mmm")))</f>
        <v>OUT</v>
      </c>
      <c r="K35" s="129" t="str">
        <f>IF(tbRegistroSaidas[[#This Row],[DATA DA COMPETÊNCIA]]="N/A","0",UPPER(TEXT(tbRegistroSaidas[[#This Row],[DATA DA COMPETÊNCIA]],"mmm")))</f>
        <v>SET</v>
      </c>
      <c r="L35" s="79">
        <f>IF(tbRegistroSaidas[[#This Row],[DATA DA COMPETÊNCIA]]="N/A",0,YEAR(tbRegistroSaidas[[#This Row],[DATA DA COMPETÊNCIA]]))</f>
        <v>2022</v>
      </c>
      <c r="M35" s="128" t="str">
        <f>IF(tbRegistroSaidas[[#This Row],[DATA DO CAIXA PREVISTO]]="N/A","0",UPPER(TEXT(tbRegistroSaidas[[#This Row],[DATA DO CAIXA PREVISTO]],"mmm")))</f>
        <v>OUT</v>
      </c>
      <c r="N35" s="128">
        <f>IF(tbRegistroSaidas[[#This Row],[DATA DO CAIXA PREVISTO]]="N/A",0,YEAR(tbRegistroSaidas[[#This Row],[DATA DO CAIXA PREVISTO]]))</f>
        <v>2022</v>
      </c>
    </row>
    <row r="36" spans="1:14" s="5" customFormat="1" ht="14.4" x14ac:dyDescent="0.3">
      <c r="A36" s="49">
        <v>44271</v>
      </c>
      <c r="B36" s="49">
        <f t="shared" si="0"/>
        <v>44240</v>
      </c>
      <c r="C36" s="49">
        <f t="shared" si="1"/>
        <v>44256</v>
      </c>
      <c r="D36" s="52" t="s">
        <v>67</v>
      </c>
      <c r="E36" s="52" t="s">
        <v>1543</v>
      </c>
      <c r="F36" s="52" t="s">
        <v>17</v>
      </c>
      <c r="G36" s="52" t="s">
        <v>1135</v>
      </c>
      <c r="H36" s="18">
        <v>1488</v>
      </c>
      <c r="I36" s="128">
        <f>IF(tbRegistroSaidas[[#This Row],[DATA DE CAIXA REALIZADO]]="N/A",0,YEAR(tbRegistroSaidas[[#This Row],[DATA DE CAIXA REALIZADO]]))</f>
        <v>2021</v>
      </c>
      <c r="J36" s="128" t="str">
        <f>IF(tbRegistroSaidas[[#This Row],[DATA DE CAIXA REALIZADO]]="N/A","0",UPPER(TEXT(tbRegistroSaidas[[#This Row],[DATA DE CAIXA REALIZADO]],"mmm")))</f>
        <v>MAR</v>
      </c>
      <c r="K36" s="129" t="str">
        <f>IF(tbRegistroSaidas[[#This Row],[DATA DA COMPETÊNCIA]]="N/A","0",UPPER(TEXT(tbRegistroSaidas[[#This Row],[DATA DA COMPETÊNCIA]],"mmm")))</f>
        <v>FEV</v>
      </c>
      <c r="L36" s="79">
        <f>IF(tbRegistroSaidas[[#This Row],[DATA DA COMPETÊNCIA]]="N/A",0,YEAR(tbRegistroSaidas[[#This Row],[DATA DA COMPETÊNCIA]]))</f>
        <v>2021</v>
      </c>
      <c r="M36" s="128" t="str">
        <f>IF(tbRegistroSaidas[[#This Row],[DATA DO CAIXA PREVISTO]]="N/A","0",UPPER(TEXT(tbRegistroSaidas[[#This Row],[DATA DO CAIXA PREVISTO]],"mmm")))</f>
        <v>MAR</v>
      </c>
      <c r="N36" s="128">
        <f>IF(tbRegistroSaidas[[#This Row],[DATA DO CAIXA PREVISTO]]="N/A",0,YEAR(tbRegistroSaidas[[#This Row],[DATA DO CAIXA PREVISTO]]))</f>
        <v>2021</v>
      </c>
    </row>
    <row r="37" spans="1:14" s="5" customFormat="1" ht="14.4" x14ac:dyDescent="0.3">
      <c r="A37" s="49">
        <v>45072</v>
      </c>
      <c r="B37" s="49">
        <f t="shared" si="0"/>
        <v>45041</v>
      </c>
      <c r="C37" s="49">
        <f t="shared" si="1"/>
        <v>45057</v>
      </c>
      <c r="D37" s="52" t="s">
        <v>65</v>
      </c>
      <c r="E37" s="52" t="s">
        <v>1543</v>
      </c>
      <c r="F37" s="52" t="s">
        <v>18</v>
      </c>
      <c r="G37" s="52" t="s">
        <v>1136</v>
      </c>
      <c r="H37" s="18">
        <v>537</v>
      </c>
      <c r="I37" s="128">
        <f>IF(tbRegistroSaidas[[#This Row],[DATA DE CAIXA REALIZADO]]="N/A",0,YEAR(tbRegistroSaidas[[#This Row],[DATA DE CAIXA REALIZADO]]))</f>
        <v>2023</v>
      </c>
      <c r="J37" s="128" t="str">
        <f>IF(tbRegistroSaidas[[#This Row],[DATA DE CAIXA REALIZADO]]="N/A","0",UPPER(TEXT(tbRegistroSaidas[[#This Row],[DATA DE CAIXA REALIZADO]],"mmm")))</f>
        <v>MAI</v>
      </c>
      <c r="K37" s="129" t="str">
        <f>IF(tbRegistroSaidas[[#This Row],[DATA DA COMPETÊNCIA]]="N/A","0",UPPER(TEXT(tbRegistroSaidas[[#This Row],[DATA DA COMPETÊNCIA]],"mmm")))</f>
        <v>ABR</v>
      </c>
      <c r="L37" s="79">
        <f>IF(tbRegistroSaidas[[#This Row],[DATA DA COMPETÊNCIA]]="N/A",0,YEAR(tbRegistroSaidas[[#This Row],[DATA DA COMPETÊNCIA]]))</f>
        <v>2023</v>
      </c>
      <c r="M37" s="128" t="str">
        <f>IF(tbRegistroSaidas[[#This Row],[DATA DO CAIXA PREVISTO]]="N/A","0",UPPER(TEXT(tbRegistroSaidas[[#This Row],[DATA DO CAIXA PREVISTO]],"mmm")))</f>
        <v>MAI</v>
      </c>
      <c r="N37" s="128">
        <f>IF(tbRegistroSaidas[[#This Row],[DATA DO CAIXA PREVISTO]]="N/A",0,YEAR(tbRegistroSaidas[[#This Row],[DATA DO CAIXA PREVISTO]]))</f>
        <v>2023</v>
      </c>
    </row>
    <row r="38" spans="1:14" s="5" customFormat="1" ht="14.4" x14ac:dyDescent="0.3">
      <c r="A38" s="49">
        <v>44553</v>
      </c>
      <c r="B38" s="49">
        <f t="shared" si="0"/>
        <v>44522</v>
      </c>
      <c r="C38" s="49">
        <f t="shared" si="1"/>
        <v>44538</v>
      </c>
      <c r="D38" s="52" t="s">
        <v>138</v>
      </c>
      <c r="E38" s="52" t="s">
        <v>1543</v>
      </c>
      <c r="F38" s="52" t="s">
        <v>32</v>
      </c>
      <c r="G38" s="52" t="s">
        <v>1137</v>
      </c>
      <c r="H38" s="18">
        <v>1518</v>
      </c>
      <c r="I38" s="128">
        <f>IF(tbRegistroSaidas[[#This Row],[DATA DE CAIXA REALIZADO]]="N/A",0,YEAR(tbRegistroSaidas[[#This Row],[DATA DE CAIXA REALIZADO]]))</f>
        <v>2021</v>
      </c>
      <c r="J38" s="128" t="str">
        <f>IF(tbRegistroSaidas[[#This Row],[DATA DE CAIXA REALIZADO]]="N/A","0",UPPER(TEXT(tbRegistroSaidas[[#This Row],[DATA DE CAIXA REALIZADO]],"mmm")))</f>
        <v>DEZ</v>
      </c>
      <c r="K38" s="129" t="str">
        <f>IF(tbRegistroSaidas[[#This Row],[DATA DA COMPETÊNCIA]]="N/A","0",UPPER(TEXT(tbRegistroSaidas[[#This Row],[DATA DA COMPETÊNCIA]],"mmm")))</f>
        <v>NOV</v>
      </c>
      <c r="L38" s="79">
        <f>IF(tbRegistroSaidas[[#This Row],[DATA DA COMPETÊNCIA]]="N/A",0,YEAR(tbRegistroSaidas[[#This Row],[DATA DA COMPETÊNCIA]]))</f>
        <v>2021</v>
      </c>
      <c r="M38" s="128" t="str">
        <f>IF(tbRegistroSaidas[[#This Row],[DATA DO CAIXA PREVISTO]]="N/A","0",UPPER(TEXT(tbRegistroSaidas[[#This Row],[DATA DO CAIXA PREVISTO]],"mmm")))</f>
        <v>DEZ</v>
      </c>
      <c r="N38" s="128">
        <f>IF(tbRegistroSaidas[[#This Row],[DATA DO CAIXA PREVISTO]]="N/A",0,YEAR(tbRegistroSaidas[[#This Row],[DATA DO CAIXA PREVISTO]]))</f>
        <v>2021</v>
      </c>
    </row>
    <row r="39" spans="1:14" s="5" customFormat="1" ht="14.4" x14ac:dyDescent="0.3">
      <c r="A39" s="49">
        <v>44872</v>
      </c>
      <c r="B39" s="49">
        <f t="shared" si="0"/>
        <v>44841</v>
      </c>
      <c r="C39" s="49">
        <f t="shared" si="1"/>
        <v>44857</v>
      </c>
      <c r="D39" s="52" t="s">
        <v>65</v>
      </c>
      <c r="E39" s="52" t="s">
        <v>1543</v>
      </c>
      <c r="F39" s="52" t="s">
        <v>19</v>
      </c>
      <c r="G39" s="52" t="s">
        <v>1138</v>
      </c>
      <c r="H39" s="18">
        <v>769</v>
      </c>
      <c r="I39" s="128">
        <f>IF(tbRegistroSaidas[[#This Row],[DATA DE CAIXA REALIZADO]]="N/A",0,YEAR(tbRegistroSaidas[[#This Row],[DATA DE CAIXA REALIZADO]]))</f>
        <v>2022</v>
      </c>
      <c r="J39" s="128" t="str">
        <f>IF(tbRegistroSaidas[[#This Row],[DATA DE CAIXA REALIZADO]]="N/A","0",UPPER(TEXT(tbRegistroSaidas[[#This Row],[DATA DE CAIXA REALIZADO]],"mmm")))</f>
        <v>NOV</v>
      </c>
      <c r="K39" s="129" t="str">
        <f>IF(tbRegistroSaidas[[#This Row],[DATA DA COMPETÊNCIA]]="N/A","0",UPPER(TEXT(tbRegistroSaidas[[#This Row],[DATA DA COMPETÊNCIA]],"mmm")))</f>
        <v>OUT</v>
      </c>
      <c r="L39" s="79">
        <f>IF(tbRegistroSaidas[[#This Row],[DATA DA COMPETÊNCIA]]="N/A",0,YEAR(tbRegistroSaidas[[#This Row],[DATA DA COMPETÊNCIA]]))</f>
        <v>2022</v>
      </c>
      <c r="M39" s="128" t="str">
        <f>IF(tbRegistroSaidas[[#This Row],[DATA DO CAIXA PREVISTO]]="N/A","0",UPPER(TEXT(tbRegistroSaidas[[#This Row],[DATA DO CAIXA PREVISTO]],"mmm")))</f>
        <v>OUT</v>
      </c>
      <c r="N39" s="128">
        <f>IF(tbRegistroSaidas[[#This Row],[DATA DO CAIXA PREVISTO]]="N/A",0,YEAR(tbRegistroSaidas[[#This Row],[DATA DO CAIXA PREVISTO]]))</f>
        <v>2022</v>
      </c>
    </row>
    <row r="40" spans="1:14" s="5" customFormat="1" ht="14.4" x14ac:dyDescent="0.3">
      <c r="A40" s="49">
        <v>44713</v>
      </c>
      <c r="B40" s="49">
        <f t="shared" si="0"/>
        <v>44682</v>
      </c>
      <c r="C40" s="49">
        <f t="shared" si="1"/>
        <v>44698</v>
      </c>
      <c r="D40" s="52" t="s">
        <v>63</v>
      </c>
      <c r="E40" s="52" t="s">
        <v>1543</v>
      </c>
      <c r="F40" s="52" t="s">
        <v>32</v>
      </c>
      <c r="G40" s="52" t="s">
        <v>1139</v>
      </c>
      <c r="H40" s="18">
        <v>1374</v>
      </c>
      <c r="I40" s="128">
        <f>IF(tbRegistroSaidas[[#This Row],[DATA DE CAIXA REALIZADO]]="N/A",0,YEAR(tbRegistroSaidas[[#This Row],[DATA DE CAIXA REALIZADO]]))</f>
        <v>2022</v>
      </c>
      <c r="J40" s="128" t="str">
        <f>IF(tbRegistroSaidas[[#This Row],[DATA DE CAIXA REALIZADO]]="N/A","0",UPPER(TEXT(tbRegistroSaidas[[#This Row],[DATA DE CAIXA REALIZADO]],"mmm")))</f>
        <v>JUN</v>
      </c>
      <c r="K40" s="129" t="str">
        <f>IF(tbRegistroSaidas[[#This Row],[DATA DA COMPETÊNCIA]]="N/A","0",UPPER(TEXT(tbRegistroSaidas[[#This Row],[DATA DA COMPETÊNCIA]],"mmm")))</f>
        <v>MAI</v>
      </c>
      <c r="L40" s="79">
        <f>IF(tbRegistroSaidas[[#This Row],[DATA DA COMPETÊNCIA]]="N/A",0,YEAR(tbRegistroSaidas[[#This Row],[DATA DA COMPETÊNCIA]]))</f>
        <v>2022</v>
      </c>
      <c r="M40" s="128" t="str">
        <f>IF(tbRegistroSaidas[[#This Row],[DATA DO CAIXA PREVISTO]]="N/A","0",UPPER(TEXT(tbRegistroSaidas[[#This Row],[DATA DO CAIXA PREVISTO]],"mmm")))</f>
        <v>MAI</v>
      </c>
      <c r="N40" s="128">
        <f>IF(tbRegistroSaidas[[#This Row],[DATA DO CAIXA PREVISTO]]="N/A",0,YEAR(tbRegistroSaidas[[#This Row],[DATA DO CAIXA PREVISTO]]))</f>
        <v>2022</v>
      </c>
    </row>
    <row r="41" spans="1:14" s="5" customFormat="1" ht="14.4" x14ac:dyDescent="0.3">
      <c r="A41" s="49">
        <v>45021</v>
      </c>
      <c r="B41" s="49">
        <f t="shared" si="0"/>
        <v>44990</v>
      </c>
      <c r="C41" s="49">
        <f t="shared" si="1"/>
        <v>45006</v>
      </c>
      <c r="D41" s="52" t="s">
        <v>66</v>
      </c>
      <c r="E41" s="52" t="s">
        <v>1543</v>
      </c>
      <c r="F41" s="52" t="s">
        <v>32</v>
      </c>
      <c r="G41" s="52" t="s">
        <v>1140</v>
      </c>
      <c r="H41" s="18">
        <v>852</v>
      </c>
      <c r="I41" s="128">
        <f>IF(tbRegistroSaidas[[#This Row],[DATA DE CAIXA REALIZADO]]="N/A",0,YEAR(tbRegistroSaidas[[#This Row],[DATA DE CAIXA REALIZADO]]))</f>
        <v>2023</v>
      </c>
      <c r="J41" s="128" t="str">
        <f>IF(tbRegistroSaidas[[#This Row],[DATA DE CAIXA REALIZADO]]="N/A","0",UPPER(TEXT(tbRegistroSaidas[[#This Row],[DATA DE CAIXA REALIZADO]],"mmm")))</f>
        <v>ABR</v>
      </c>
      <c r="K41" s="129" t="str">
        <f>IF(tbRegistroSaidas[[#This Row],[DATA DA COMPETÊNCIA]]="N/A","0",UPPER(TEXT(tbRegistroSaidas[[#This Row],[DATA DA COMPETÊNCIA]],"mmm")))</f>
        <v>MAR</v>
      </c>
      <c r="L41" s="79">
        <f>IF(tbRegistroSaidas[[#This Row],[DATA DA COMPETÊNCIA]]="N/A",0,YEAR(tbRegistroSaidas[[#This Row],[DATA DA COMPETÊNCIA]]))</f>
        <v>2023</v>
      </c>
      <c r="M41" s="128" t="str">
        <f>IF(tbRegistroSaidas[[#This Row],[DATA DO CAIXA PREVISTO]]="N/A","0",UPPER(TEXT(tbRegistroSaidas[[#This Row],[DATA DO CAIXA PREVISTO]],"mmm")))</f>
        <v>MAR</v>
      </c>
      <c r="N41" s="128">
        <f>IF(tbRegistroSaidas[[#This Row],[DATA DO CAIXA PREVISTO]]="N/A",0,YEAR(tbRegistroSaidas[[#This Row],[DATA DO CAIXA PREVISTO]]))</f>
        <v>2023</v>
      </c>
    </row>
    <row r="42" spans="1:14" s="5" customFormat="1" ht="14.4" x14ac:dyDescent="0.3">
      <c r="A42" s="49">
        <v>44261</v>
      </c>
      <c r="B42" s="49">
        <f t="shared" si="0"/>
        <v>44230</v>
      </c>
      <c r="C42" s="49">
        <f t="shared" si="1"/>
        <v>44246</v>
      </c>
      <c r="D42" s="52" t="s">
        <v>63</v>
      </c>
      <c r="E42" s="52" t="s">
        <v>1543</v>
      </c>
      <c r="F42" s="52" t="s">
        <v>18</v>
      </c>
      <c r="G42" s="52" t="s">
        <v>1141</v>
      </c>
      <c r="H42" s="18">
        <v>3120</v>
      </c>
      <c r="I42" s="128">
        <f>IF(tbRegistroSaidas[[#This Row],[DATA DE CAIXA REALIZADO]]="N/A",0,YEAR(tbRegistroSaidas[[#This Row],[DATA DE CAIXA REALIZADO]]))</f>
        <v>2021</v>
      </c>
      <c r="J42" s="128" t="str">
        <f>IF(tbRegistroSaidas[[#This Row],[DATA DE CAIXA REALIZADO]]="N/A","0",UPPER(TEXT(tbRegistroSaidas[[#This Row],[DATA DE CAIXA REALIZADO]],"mmm")))</f>
        <v>MAR</v>
      </c>
      <c r="K42" s="129" t="str">
        <f>IF(tbRegistroSaidas[[#This Row],[DATA DA COMPETÊNCIA]]="N/A","0",UPPER(TEXT(tbRegistroSaidas[[#This Row],[DATA DA COMPETÊNCIA]],"mmm")))</f>
        <v>FEV</v>
      </c>
      <c r="L42" s="79">
        <f>IF(tbRegistroSaidas[[#This Row],[DATA DA COMPETÊNCIA]]="N/A",0,YEAR(tbRegistroSaidas[[#This Row],[DATA DA COMPETÊNCIA]]))</f>
        <v>2021</v>
      </c>
      <c r="M42" s="128" t="str">
        <f>IF(tbRegistroSaidas[[#This Row],[DATA DO CAIXA PREVISTO]]="N/A","0",UPPER(TEXT(tbRegistroSaidas[[#This Row],[DATA DO CAIXA PREVISTO]],"mmm")))</f>
        <v>FEV</v>
      </c>
      <c r="N42" s="128">
        <f>IF(tbRegistroSaidas[[#This Row],[DATA DO CAIXA PREVISTO]]="N/A",0,YEAR(tbRegistroSaidas[[#This Row],[DATA DO CAIXA PREVISTO]]))</f>
        <v>2021</v>
      </c>
    </row>
    <row r="43" spans="1:14" s="5" customFormat="1" ht="14.4" x14ac:dyDescent="0.3">
      <c r="A43" s="49">
        <v>45062</v>
      </c>
      <c r="B43" s="49">
        <f t="shared" si="0"/>
        <v>45031</v>
      </c>
      <c r="C43" s="49">
        <f t="shared" si="1"/>
        <v>45047</v>
      </c>
      <c r="D43" s="52" t="s">
        <v>64</v>
      </c>
      <c r="E43" s="52" t="s">
        <v>1543</v>
      </c>
      <c r="F43" s="52" t="s">
        <v>19</v>
      </c>
      <c r="G43" s="52" t="s">
        <v>1142</v>
      </c>
      <c r="H43" s="18">
        <v>3423</v>
      </c>
      <c r="I43" s="128">
        <f>IF(tbRegistroSaidas[[#This Row],[DATA DE CAIXA REALIZADO]]="N/A",0,YEAR(tbRegistroSaidas[[#This Row],[DATA DE CAIXA REALIZADO]]))</f>
        <v>2023</v>
      </c>
      <c r="J43" s="128" t="str">
        <f>IF(tbRegistroSaidas[[#This Row],[DATA DE CAIXA REALIZADO]]="N/A","0",UPPER(TEXT(tbRegistroSaidas[[#This Row],[DATA DE CAIXA REALIZADO]],"mmm")))</f>
        <v>MAI</v>
      </c>
      <c r="K43" s="129" t="str">
        <f>IF(tbRegistroSaidas[[#This Row],[DATA DA COMPETÊNCIA]]="N/A","0",UPPER(TEXT(tbRegistroSaidas[[#This Row],[DATA DA COMPETÊNCIA]],"mmm")))</f>
        <v>ABR</v>
      </c>
      <c r="L43" s="79">
        <f>IF(tbRegistroSaidas[[#This Row],[DATA DA COMPETÊNCIA]]="N/A",0,YEAR(tbRegistroSaidas[[#This Row],[DATA DA COMPETÊNCIA]]))</f>
        <v>2023</v>
      </c>
      <c r="M43" s="128" t="str">
        <f>IF(tbRegistroSaidas[[#This Row],[DATA DO CAIXA PREVISTO]]="N/A","0",UPPER(TEXT(tbRegistroSaidas[[#This Row],[DATA DO CAIXA PREVISTO]],"mmm")))</f>
        <v>MAI</v>
      </c>
      <c r="N43" s="128">
        <f>IF(tbRegistroSaidas[[#This Row],[DATA DO CAIXA PREVISTO]]="N/A",0,YEAR(tbRegistroSaidas[[#This Row],[DATA DO CAIXA PREVISTO]]))</f>
        <v>2023</v>
      </c>
    </row>
    <row r="44" spans="1:14" s="5" customFormat="1" ht="14.4" x14ac:dyDescent="0.3">
      <c r="A44" s="49">
        <v>44790</v>
      </c>
      <c r="B44" s="49">
        <f t="shared" si="0"/>
        <v>44759</v>
      </c>
      <c r="C44" s="49">
        <f t="shared" si="1"/>
        <v>44775</v>
      </c>
      <c r="D44" s="52" t="s">
        <v>67</v>
      </c>
      <c r="E44" s="52" t="s">
        <v>1543</v>
      </c>
      <c r="F44" s="52" t="s">
        <v>18</v>
      </c>
      <c r="G44" s="52" t="s">
        <v>1143</v>
      </c>
      <c r="H44" s="18">
        <v>1515</v>
      </c>
      <c r="I44" s="128">
        <f>IF(tbRegistroSaidas[[#This Row],[DATA DE CAIXA REALIZADO]]="N/A",0,YEAR(tbRegistroSaidas[[#This Row],[DATA DE CAIXA REALIZADO]]))</f>
        <v>2022</v>
      </c>
      <c r="J44" s="128" t="str">
        <f>IF(tbRegistroSaidas[[#This Row],[DATA DE CAIXA REALIZADO]]="N/A","0",UPPER(TEXT(tbRegistroSaidas[[#This Row],[DATA DE CAIXA REALIZADO]],"mmm")))</f>
        <v>AGO</v>
      </c>
      <c r="K44" s="129" t="str">
        <f>IF(tbRegistroSaidas[[#This Row],[DATA DA COMPETÊNCIA]]="N/A","0",UPPER(TEXT(tbRegistroSaidas[[#This Row],[DATA DA COMPETÊNCIA]],"mmm")))</f>
        <v>JUL</v>
      </c>
      <c r="L44" s="79">
        <f>IF(tbRegistroSaidas[[#This Row],[DATA DA COMPETÊNCIA]]="N/A",0,YEAR(tbRegistroSaidas[[#This Row],[DATA DA COMPETÊNCIA]]))</f>
        <v>2022</v>
      </c>
      <c r="M44" s="128" t="str">
        <f>IF(tbRegistroSaidas[[#This Row],[DATA DO CAIXA PREVISTO]]="N/A","0",UPPER(TEXT(tbRegistroSaidas[[#This Row],[DATA DO CAIXA PREVISTO]],"mmm")))</f>
        <v>AGO</v>
      </c>
      <c r="N44" s="128">
        <f>IF(tbRegistroSaidas[[#This Row],[DATA DO CAIXA PREVISTO]]="N/A",0,YEAR(tbRegistroSaidas[[#This Row],[DATA DO CAIXA PREVISTO]]))</f>
        <v>2022</v>
      </c>
    </row>
    <row r="45" spans="1:14" s="5" customFormat="1" ht="14.4" x14ac:dyDescent="0.3">
      <c r="A45" s="49">
        <v>45012</v>
      </c>
      <c r="B45" s="49">
        <f t="shared" si="0"/>
        <v>44981</v>
      </c>
      <c r="C45" s="49">
        <f t="shared" si="1"/>
        <v>44997</v>
      </c>
      <c r="D45" s="52" t="s">
        <v>137</v>
      </c>
      <c r="E45" s="52" t="s">
        <v>1543</v>
      </c>
      <c r="F45" s="52" t="s">
        <v>19</v>
      </c>
      <c r="G45" s="52" t="s">
        <v>1144</v>
      </c>
      <c r="H45" s="18">
        <v>3296</v>
      </c>
      <c r="I45" s="128">
        <f>IF(tbRegistroSaidas[[#This Row],[DATA DE CAIXA REALIZADO]]="N/A",0,YEAR(tbRegistroSaidas[[#This Row],[DATA DE CAIXA REALIZADO]]))</f>
        <v>2023</v>
      </c>
      <c r="J45" s="128" t="str">
        <f>IF(tbRegistroSaidas[[#This Row],[DATA DE CAIXA REALIZADO]]="N/A","0",UPPER(TEXT(tbRegistroSaidas[[#This Row],[DATA DE CAIXA REALIZADO]],"mmm")))</f>
        <v>MAR</v>
      </c>
      <c r="K45" s="129" t="str">
        <f>IF(tbRegistroSaidas[[#This Row],[DATA DA COMPETÊNCIA]]="N/A","0",UPPER(TEXT(tbRegistroSaidas[[#This Row],[DATA DA COMPETÊNCIA]],"mmm")))</f>
        <v>FEV</v>
      </c>
      <c r="L45" s="79">
        <f>IF(tbRegistroSaidas[[#This Row],[DATA DA COMPETÊNCIA]]="N/A",0,YEAR(tbRegistroSaidas[[#This Row],[DATA DA COMPETÊNCIA]]))</f>
        <v>2023</v>
      </c>
      <c r="M45" s="128" t="str">
        <f>IF(tbRegistroSaidas[[#This Row],[DATA DO CAIXA PREVISTO]]="N/A","0",UPPER(TEXT(tbRegistroSaidas[[#This Row],[DATA DO CAIXA PREVISTO]],"mmm")))</f>
        <v>MAR</v>
      </c>
      <c r="N45" s="128">
        <f>IF(tbRegistroSaidas[[#This Row],[DATA DO CAIXA PREVISTO]]="N/A",0,YEAR(tbRegistroSaidas[[#This Row],[DATA DO CAIXA PREVISTO]]))</f>
        <v>2023</v>
      </c>
    </row>
    <row r="46" spans="1:14" s="5" customFormat="1" ht="14.4" x14ac:dyDescent="0.3">
      <c r="A46" s="49">
        <v>44880</v>
      </c>
      <c r="B46" s="49">
        <f t="shared" si="0"/>
        <v>44849</v>
      </c>
      <c r="C46" s="49">
        <f t="shared" si="1"/>
        <v>44865</v>
      </c>
      <c r="D46" s="52" t="s">
        <v>63</v>
      </c>
      <c r="E46" s="52" t="s">
        <v>1543</v>
      </c>
      <c r="F46" s="52" t="s">
        <v>18</v>
      </c>
      <c r="G46" s="52" t="s">
        <v>1145</v>
      </c>
      <c r="H46" s="18">
        <v>1559</v>
      </c>
      <c r="I46" s="128">
        <f>IF(tbRegistroSaidas[[#This Row],[DATA DE CAIXA REALIZADO]]="N/A",0,YEAR(tbRegistroSaidas[[#This Row],[DATA DE CAIXA REALIZADO]]))</f>
        <v>2022</v>
      </c>
      <c r="J46" s="128" t="str">
        <f>IF(tbRegistroSaidas[[#This Row],[DATA DE CAIXA REALIZADO]]="N/A","0",UPPER(TEXT(tbRegistroSaidas[[#This Row],[DATA DE CAIXA REALIZADO]],"mmm")))</f>
        <v>NOV</v>
      </c>
      <c r="K46" s="129" t="str">
        <f>IF(tbRegistroSaidas[[#This Row],[DATA DA COMPETÊNCIA]]="N/A","0",UPPER(TEXT(tbRegistroSaidas[[#This Row],[DATA DA COMPETÊNCIA]],"mmm")))</f>
        <v>OUT</v>
      </c>
      <c r="L46" s="79">
        <f>IF(tbRegistroSaidas[[#This Row],[DATA DA COMPETÊNCIA]]="N/A",0,YEAR(tbRegistroSaidas[[#This Row],[DATA DA COMPETÊNCIA]]))</f>
        <v>2022</v>
      </c>
      <c r="M46" s="128" t="str">
        <f>IF(tbRegistroSaidas[[#This Row],[DATA DO CAIXA PREVISTO]]="N/A","0",UPPER(TEXT(tbRegistroSaidas[[#This Row],[DATA DO CAIXA PREVISTO]],"mmm")))</f>
        <v>OUT</v>
      </c>
      <c r="N46" s="128">
        <f>IF(tbRegistroSaidas[[#This Row],[DATA DO CAIXA PREVISTO]]="N/A",0,YEAR(tbRegistroSaidas[[#This Row],[DATA DO CAIXA PREVISTO]]))</f>
        <v>2022</v>
      </c>
    </row>
    <row r="47" spans="1:14" s="5" customFormat="1" ht="14.4" x14ac:dyDescent="0.3">
      <c r="A47" s="49">
        <v>44904</v>
      </c>
      <c r="B47" s="49">
        <f t="shared" si="0"/>
        <v>44873</v>
      </c>
      <c r="C47" s="49">
        <f t="shared" si="1"/>
        <v>44889</v>
      </c>
      <c r="D47" s="52" t="s">
        <v>63</v>
      </c>
      <c r="E47" s="52" t="s">
        <v>1543</v>
      </c>
      <c r="F47" s="52" t="s">
        <v>16</v>
      </c>
      <c r="G47" s="52" t="s">
        <v>1146</v>
      </c>
      <c r="H47" s="18">
        <v>3432</v>
      </c>
      <c r="I47" s="128">
        <f>IF(tbRegistroSaidas[[#This Row],[DATA DE CAIXA REALIZADO]]="N/A",0,YEAR(tbRegistroSaidas[[#This Row],[DATA DE CAIXA REALIZADO]]))</f>
        <v>2022</v>
      </c>
      <c r="J47" s="128" t="str">
        <f>IF(tbRegistroSaidas[[#This Row],[DATA DE CAIXA REALIZADO]]="N/A","0",UPPER(TEXT(tbRegistroSaidas[[#This Row],[DATA DE CAIXA REALIZADO]],"mmm")))</f>
        <v>DEZ</v>
      </c>
      <c r="K47" s="129" t="str">
        <f>IF(tbRegistroSaidas[[#This Row],[DATA DA COMPETÊNCIA]]="N/A","0",UPPER(TEXT(tbRegistroSaidas[[#This Row],[DATA DA COMPETÊNCIA]],"mmm")))</f>
        <v>NOV</v>
      </c>
      <c r="L47" s="79">
        <f>IF(tbRegistroSaidas[[#This Row],[DATA DA COMPETÊNCIA]]="N/A",0,YEAR(tbRegistroSaidas[[#This Row],[DATA DA COMPETÊNCIA]]))</f>
        <v>2022</v>
      </c>
      <c r="M47" s="128" t="str">
        <f>IF(tbRegistroSaidas[[#This Row],[DATA DO CAIXA PREVISTO]]="N/A","0",UPPER(TEXT(tbRegistroSaidas[[#This Row],[DATA DO CAIXA PREVISTO]],"mmm")))</f>
        <v>NOV</v>
      </c>
      <c r="N47" s="128">
        <f>IF(tbRegistroSaidas[[#This Row],[DATA DO CAIXA PREVISTO]]="N/A",0,YEAR(tbRegistroSaidas[[#This Row],[DATA DO CAIXA PREVISTO]]))</f>
        <v>2022</v>
      </c>
    </row>
    <row r="48" spans="1:14" s="5" customFormat="1" ht="14.4" x14ac:dyDescent="0.3">
      <c r="A48" s="49">
        <v>44570</v>
      </c>
      <c r="B48" s="49">
        <f t="shared" si="0"/>
        <v>44539</v>
      </c>
      <c r="C48" s="49">
        <f t="shared" si="1"/>
        <v>44555</v>
      </c>
      <c r="D48" s="52" t="s">
        <v>65</v>
      </c>
      <c r="E48" s="52" t="s">
        <v>1543</v>
      </c>
      <c r="F48" s="52" t="s">
        <v>16</v>
      </c>
      <c r="G48" s="52" t="s">
        <v>1147</v>
      </c>
      <c r="H48" s="18">
        <v>2466</v>
      </c>
      <c r="I48" s="128">
        <f>IF(tbRegistroSaidas[[#This Row],[DATA DE CAIXA REALIZADO]]="N/A",0,YEAR(tbRegistroSaidas[[#This Row],[DATA DE CAIXA REALIZADO]]))</f>
        <v>2022</v>
      </c>
      <c r="J48" s="128" t="str">
        <f>IF(tbRegistroSaidas[[#This Row],[DATA DE CAIXA REALIZADO]]="N/A","0",UPPER(TEXT(tbRegistroSaidas[[#This Row],[DATA DE CAIXA REALIZADO]],"mmm")))</f>
        <v>JAN</v>
      </c>
      <c r="K48" s="129" t="str">
        <f>IF(tbRegistroSaidas[[#This Row],[DATA DA COMPETÊNCIA]]="N/A","0",UPPER(TEXT(tbRegistroSaidas[[#This Row],[DATA DA COMPETÊNCIA]],"mmm")))</f>
        <v>DEZ</v>
      </c>
      <c r="L48" s="79">
        <f>IF(tbRegistroSaidas[[#This Row],[DATA DA COMPETÊNCIA]]="N/A",0,YEAR(tbRegistroSaidas[[#This Row],[DATA DA COMPETÊNCIA]]))</f>
        <v>2021</v>
      </c>
      <c r="M48" s="128" t="str">
        <f>IF(tbRegistroSaidas[[#This Row],[DATA DO CAIXA PREVISTO]]="N/A","0",UPPER(TEXT(tbRegistroSaidas[[#This Row],[DATA DO CAIXA PREVISTO]],"mmm")))</f>
        <v>DEZ</v>
      </c>
      <c r="N48" s="128">
        <f>IF(tbRegistroSaidas[[#This Row],[DATA DO CAIXA PREVISTO]]="N/A",0,YEAR(tbRegistroSaidas[[#This Row],[DATA DO CAIXA PREVISTO]]))</f>
        <v>2021</v>
      </c>
    </row>
    <row r="49" spans="1:14" s="5" customFormat="1" ht="14.4" x14ac:dyDescent="0.3">
      <c r="A49" s="49">
        <v>44572</v>
      </c>
      <c r="B49" s="49">
        <f t="shared" si="0"/>
        <v>44541</v>
      </c>
      <c r="C49" s="49">
        <f t="shared" si="1"/>
        <v>44557</v>
      </c>
      <c r="D49" s="52" t="s">
        <v>67</v>
      </c>
      <c r="E49" s="52" t="s">
        <v>1543</v>
      </c>
      <c r="F49" s="52" t="s">
        <v>17</v>
      </c>
      <c r="G49" s="52" t="s">
        <v>1148</v>
      </c>
      <c r="H49" s="18">
        <v>1372</v>
      </c>
      <c r="I49" s="128">
        <f>IF(tbRegistroSaidas[[#This Row],[DATA DE CAIXA REALIZADO]]="N/A",0,YEAR(tbRegistroSaidas[[#This Row],[DATA DE CAIXA REALIZADO]]))</f>
        <v>2022</v>
      </c>
      <c r="J49" s="128" t="str">
        <f>IF(tbRegistroSaidas[[#This Row],[DATA DE CAIXA REALIZADO]]="N/A","0",UPPER(TEXT(tbRegistroSaidas[[#This Row],[DATA DE CAIXA REALIZADO]],"mmm")))</f>
        <v>JAN</v>
      </c>
      <c r="K49" s="129" t="str">
        <f>IF(tbRegistroSaidas[[#This Row],[DATA DA COMPETÊNCIA]]="N/A","0",UPPER(TEXT(tbRegistroSaidas[[#This Row],[DATA DA COMPETÊNCIA]],"mmm")))</f>
        <v>DEZ</v>
      </c>
      <c r="L49" s="79">
        <f>IF(tbRegistroSaidas[[#This Row],[DATA DA COMPETÊNCIA]]="N/A",0,YEAR(tbRegistroSaidas[[#This Row],[DATA DA COMPETÊNCIA]]))</f>
        <v>2021</v>
      </c>
      <c r="M49" s="128" t="str">
        <f>IF(tbRegistroSaidas[[#This Row],[DATA DO CAIXA PREVISTO]]="N/A","0",UPPER(TEXT(tbRegistroSaidas[[#This Row],[DATA DO CAIXA PREVISTO]],"mmm")))</f>
        <v>DEZ</v>
      </c>
      <c r="N49" s="128">
        <f>IF(tbRegistroSaidas[[#This Row],[DATA DO CAIXA PREVISTO]]="N/A",0,YEAR(tbRegistroSaidas[[#This Row],[DATA DO CAIXA PREVISTO]]))</f>
        <v>2021</v>
      </c>
    </row>
    <row r="50" spans="1:14" s="5" customFormat="1" ht="14.4" x14ac:dyDescent="0.3">
      <c r="A50" s="49">
        <v>44357</v>
      </c>
      <c r="B50" s="49">
        <f t="shared" si="0"/>
        <v>44326</v>
      </c>
      <c r="C50" s="49">
        <f t="shared" si="1"/>
        <v>44342</v>
      </c>
      <c r="D50" s="52" t="s">
        <v>61</v>
      </c>
      <c r="E50" s="52" t="s">
        <v>1543</v>
      </c>
      <c r="F50" s="52" t="s">
        <v>18</v>
      </c>
      <c r="G50" s="52" t="s">
        <v>1149</v>
      </c>
      <c r="H50" s="18">
        <v>3149</v>
      </c>
      <c r="I50" s="128">
        <f>IF(tbRegistroSaidas[[#This Row],[DATA DE CAIXA REALIZADO]]="N/A",0,YEAR(tbRegistroSaidas[[#This Row],[DATA DE CAIXA REALIZADO]]))</f>
        <v>2021</v>
      </c>
      <c r="J50" s="128" t="str">
        <f>IF(tbRegistroSaidas[[#This Row],[DATA DE CAIXA REALIZADO]]="N/A","0",UPPER(TEXT(tbRegistroSaidas[[#This Row],[DATA DE CAIXA REALIZADO]],"mmm")))</f>
        <v>JUN</v>
      </c>
      <c r="K50" s="129" t="str">
        <f>IF(tbRegistroSaidas[[#This Row],[DATA DA COMPETÊNCIA]]="N/A","0",UPPER(TEXT(tbRegistroSaidas[[#This Row],[DATA DA COMPETÊNCIA]],"mmm")))</f>
        <v>MAI</v>
      </c>
      <c r="L50" s="79">
        <f>IF(tbRegistroSaidas[[#This Row],[DATA DA COMPETÊNCIA]]="N/A",0,YEAR(tbRegistroSaidas[[#This Row],[DATA DA COMPETÊNCIA]]))</f>
        <v>2021</v>
      </c>
      <c r="M50" s="128" t="str">
        <f>IF(tbRegistroSaidas[[#This Row],[DATA DO CAIXA PREVISTO]]="N/A","0",UPPER(TEXT(tbRegistroSaidas[[#This Row],[DATA DO CAIXA PREVISTO]],"mmm")))</f>
        <v>MAI</v>
      </c>
      <c r="N50" s="128">
        <f>IF(tbRegistroSaidas[[#This Row],[DATA DO CAIXA PREVISTO]]="N/A",0,YEAR(tbRegistroSaidas[[#This Row],[DATA DO CAIXA PREVISTO]]))</f>
        <v>2021</v>
      </c>
    </row>
    <row r="51" spans="1:14" s="5" customFormat="1" ht="14.4" x14ac:dyDescent="0.3">
      <c r="A51" s="49">
        <v>44635</v>
      </c>
      <c r="B51" s="49">
        <f t="shared" si="0"/>
        <v>44604</v>
      </c>
      <c r="C51" s="49">
        <f t="shared" si="1"/>
        <v>44620</v>
      </c>
      <c r="D51" s="52" t="s">
        <v>138</v>
      </c>
      <c r="E51" s="52" t="s">
        <v>1543</v>
      </c>
      <c r="F51" s="52" t="s">
        <v>19</v>
      </c>
      <c r="G51" s="52" t="s">
        <v>1150</v>
      </c>
      <c r="H51" s="18">
        <v>1996</v>
      </c>
      <c r="I51" s="128">
        <f>IF(tbRegistroSaidas[[#This Row],[DATA DE CAIXA REALIZADO]]="N/A",0,YEAR(tbRegistroSaidas[[#This Row],[DATA DE CAIXA REALIZADO]]))</f>
        <v>2022</v>
      </c>
      <c r="J51" s="128" t="str">
        <f>IF(tbRegistroSaidas[[#This Row],[DATA DE CAIXA REALIZADO]]="N/A","0",UPPER(TEXT(tbRegistroSaidas[[#This Row],[DATA DE CAIXA REALIZADO]],"mmm")))</f>
        <v>MAR</v>
      </c>
      <c r="K51" s="129" t="str">
        <f>IF(tbRegistroSaidas[[#This Row],[DATA DA COMPETÊNCIA]]="N/A","0",UPPER(TEXT(tbRegistroSaidas[[#This Row],[DATA DA COMPETÊNCIA]],"mmm")))</f>
        <v>FEV</v>
      </c>
      <c r="L51" s="79">
        <f>IF(tbRegistroSaidas[[#This Row],[DATA DA COMPETÊNCIA]]="N/A",0,YEAR(tbRegistroSaidas[[#This Row],[DATA DA COMPETÊNCIA]]))</f>
        <v>2022</v>
      </c>
      <c r="M51" s="128" t="str">
        <f>IF(tbRegistroSaidas[[#This Row],[DATA DO CAIXA PREVISTO]]="N/A","0",UPPER(TEXT(tbRegistroSaidas[[#This Row],[DATA DO CAIXA PREVISTO]],"mmm")))</f>
        <v>FEV</v>
      </c>
      <c r="N51" s="128">
        <f>IF(tbRegistroSaidas[[#This Row],[DATA DO CAIXA PREVISTO]]="N/A",0,YEAR(tbRegistroSaidas[[#This Row],[DATA DO CAIXA PREVISTO]]))</f>
        <v>2022</v>
      </c>
    </row>
    <row r="52" spans="1:14" s="5" customFormat="1" ht="14.4" x14ac:dyDescent="0.3">
      <c r="A52" s="49">
        <v>44421</v>
      </c>
      <c r="B52" s="49">
        <f t="shared" si="0"/>
        <v>44390</v>
      </c>
      <c r="C52" s="49">
        <f t="shared" si="1"/>
        <v>44406</v>
      </c>
      <c r="D52" s="52" t="s">
        <v>66</v>
      </c>
      <c r="E52" s="52" t="s">
        <v>1543</v>
      </c>
      <c r="F52" s="52" t="s">
        <v>32</v>
      </c>
      <c r="G52" s="52" t="s">
        <v>1151</v>
      </c>
      <c r="H52" s="18">
        <v>2630</v>
      </c>
      <c r="I52" s="128">
        <f>IF(tbRegistroSaidas[[#This Row],[DATA DE CAIXA REALIZADO]]="N/A",0,YEAR(tbRegistroSaidas[[#This Row],[DATA DE CAIXA REALIZADO]]))</f>
        <v>2021</v>
      </c>
      <c r="J52" s="128" t="str">
        <f>IF(tbRegistroSaidas[[#This Row],[DATA DE CAIXA REALIZADO]]="N/A","0",UPPER(TEXT(tbRegistroSaidas[[#This Row],[DATA DE CAIXA REALIZADO]],"mmm")))</f>
        <v>AGO</v>
      </c>
      <c r="K52" s="129" t="str">
        <f>IF(tbRegistroSaidas[[#This Row],[DATA DA COMPETÊNCIA]]="N/A","0",UPPER(TEXT(tbRegistroSaidas[[#This Row],[DATA DA COMPETÊNCIA]],"mmm")))</f>
        <v>JUL</v>
      </c>
      <c r="L52" s="79">
        <f>IF(tbRegistroSaidas[[#This Row],[DATA DA COMPETÊNCIA]]="N/A",0,YEAR(tbRegistroSaidas[[#This Row],[DATA DA COMPETÊNCIA]]))</f>
        <v>2021</v>
      </c>
      <c r="M52" s="128" t="str">
        <f>IF(tbRegistroSaidas[[#This Row],[DATA DO CAIXA PREVISTO]]="N/A","0",UPPER(TEXT(tbRegistroSaidas[[#This Row],[DATA DO CAIXA PREVISTO]],"mmm")))</f>
        <v>JUL</v>
      </c>
      <c r="N52" s="128">
        <f>IF(tbRegistroSaidas[[#This Row],[DATA DO CAIXA PREVISTO]]="N/A",0,YEAR(tbRegistroSaidas[[#This Row],[DATA DO CAIXA PREVISTO]]))</f>
        <v>2021</v>
      </c>
    </row>
    <row r="53" spans="1:14" s="5" customFormat="1" ht="14.4" x14ac:dyDescent="0.3">
      <c r="A53" s="49">
        <v>44245</v>
      </c>
      <c r="B53" s="49">
        <f t="shared" si="0"/>
        <v>44214</v>
      </c>
      <c r="C53" s="49">
        <f t="shared" si="1"/>
        <v>44230</v>
      </c>
      <c r="D53" s="52" t="s">
        <v>137</v>
      </c>
      <c r="E53" s="52" t="s">
        <v>1543</v>
      </c>
      <c r="F53" s="52" t="s">
        <v>32</v>
      </c>
      <c r="G53" s="52" t="s">
        <v>1152</v>
      </c>
      <c r="H53" s="18">
        <v>2648</v>
      </c>
      <c r="I53" s="128">
        <f>IF(tbRegistroSaidas[[#This Row],[DATA DE CAIXA REALIZADO]]="N/A",0,YEAR(tbRegistroSaidas[[#This Row],[DATA DE CAIXA REALIZADO]]))</f>
        <v>2021</v>
      </c>
      <c r="J53" s="128" t="str">
        <f>IF(tbRegistroSaidas[[#This Row],[DATA DE CAIXA REALIZADO]]="N/A","0",UPPER(TEXT(tbRegistroSaidas[[#This Row],[DATA DE CAIXA REALIZADO]],"mmm")))</f>
        <v>FEV</v>
      </c>
      <c r="K53" s="129" t="str">
        <f>IF(tbRegistroSaidas[[#This Row],[DATA DA COMPETÊNCIA]]="N/A","0",UPPER(TEXT(tbRegistroSaidas[[#This Row],[DATA DA COMPETÊNCIA]],"mmm")))</f>
        <v>JAN</v>
      </c>
      <c r="L53" s="79">
        <f>IF(tbRegistroSaidas[[#This Row],[DATA DA COMPETÊNCIA]]="N/A",0,YEAR(tbRegistroSaidas[[#This Row],[DATA DA COMPETÊNCIA]]))</f>
        <v>2021</v>
      </c>
      <c r="M53" s="128" t="str">
        <f>IF(tbRegistroSaidas[[#This Row],[DATA DO CAIXA PREVISTO]]="N/A","0",UPPER(TEXT(tbRegistroSaidas[[#This Row],[DATA DO CAIXA PREVISTO]],"mmm")))</f>
        <v>FEV</v>
      </c>
      <c r="N53" s="128">
        <f>IF(tbRegistroSaidas[[#This Row],[DATA DO CAIXA PREVISTO]]="N/A",0,YEAR(tbRegistroSaidas[[#This Row],[DATA DO CAIXA PREVISTO]]))</f>
        <v>2021</v>
      </c>
    </row>
    <row r="54" spans="1:14" s="5" customFormat="1" ht="14.4" x14ac:dyDescent="0.3">
      <c r="A54" s="49">
        <v>44375</v>
      </c>
      <c r="B54" s="49">
        <f t="shared" si="0"/>
        <v>44344</v>
      </c>
      <c r="C54" s="49">
        <f t="shared" si="1"/>
        <v>44360</v>
      </c>
      <c r="D54" s="52" t="s">
        <v>65</v>
      </c>
      <c r="E54" s="52" t="s">
        <v>1543</v>
      </c>
      <c r="F54" s="52" t="s">
        <v>17</v>
      </c>
      <c r="G54" s="52" t="s">
        <v>1153</v>
      </c>
      <c r="H54" s="18">
        <v>1763</v>
      </c>
      <c r="I54" s="128">
        <f>IF(tbRegistroSaidas[[#This Row],[DATA DE CAIXA REALIZADO]]="N/A",0,YEAR(tbRegistroSaidas[[#This Row],[DATA DE CAIXA REALIZADO]]))</f>
        <v>2021</v>
      </c>
      <c r="J54" s="128" t="str">
        <f>IF(tbRegistroSaidas[[#This Row],[DATA DE CAIXA REALIZADO]]="N/A","0",UPPER(TEXT(tbRegistroSaidas[[#This Row],[DATA DE CAIXA REALIZADO]],"mmm")))</f>
        <v>JUN</v>
      </c>
      <c r="K54" s="129" t="str">
        <f>IF(tbRegistroSaidas[[#This Row],[DATA DA COMPETÊNCIA]]="N/A","0",UPPER(TEXT(tbRegistroSaidas[[#This Row],[DATA DA COMPETÊNCIA]],"mmm")))</f>
        <v>MAI</v>
      </c>
      <c r="L54" s="79">
        <f>IF(tbRegistroSaidas[[#This Row],[DATA DA COMPETÊNCIA]]="N/A",0,YEAR(tbRegistroSaidas[[#This Row],[DATA DA COMPETÊNCIA]]))</f>
        <v>2021</v>
      </c>
      <c r="M54" s="128" t="str">
        <f>IF(tbRegistroSaidas[[#This Row],[DATA DO CAIXA PREVISTO]]="N/A","0",UPPER(TEXT(tbRegistroSaidas[[#This Row],[DATA DO CAIXA PREVISTO]],"mmm")))</f>
        <v>JUN</v>
      </c>
      <c r="N54" s="128">
        <f>IF(tbRegistroSaidas[[#This Row],[DATA DO CAIXA PREVISTO]]="N/A",0,YEAR(tbRegistroSaidas[[#This Row],[DATA DO CAIXA PREVISTO]]))</f>
        <v>2021</v>
      </c>
    </row>
    <row r="55" spans="1:14" s="5" customFormat="1" ht="14.4" x14ac:dyDescent="0.3">
      <c r="A55" s="49">
        <v>44364</v>
      </c>
      <c r="B55" s="49">
        <f t="shared" si="0"/>
        <v>44333</v>
      </c>
      <c r="C55" s="49">
        <f t="shared" si="1"/>
        <v>44349</v>
      </c>
      <c r="D55" s="52" t="s">
        <v>64</v>
      </c>
      <c r="E55" s="52" t="s">
        <v>1543</v>
      </c>
      <c r="F55" s="52" t="s">
        <v>18</v>
      </c>
      <c r="G55" s="52" t="s">
        <v>275</v>
      </c>
      <c r="H55" s="18">
        <v>3382</v>
      </c>
      <c r="I55" s="128">
        <f>IF(tbRegistroSaidas[[#This Row],[DATA DE CAIXA REALIZADO]]="N/A",0,YEAR(tbRegistroSaidas[[#This Row],[DATA DE CAIXA REALIZADO]]))</f>
        <v>2021</v>
      </c>
      <c r="J55" s="128" t="str">
        <f>IF(tbRegistroSaidas[[#This Row],[DATA DE CAIXA REALIZADO]]="N/A","0",UPPER(TEXT(tbRegistroSaidas[[#This Row],[DATA DE CAIXA REALIZADO]],"mmm")))</f>
        <v>JUN</v>
      </c>
      <c r="K55" s="129" t="str">
        <f>IF(tbRegistroSaidas[[#This Row],[DATA DA COMPETÊNCIA]]="N/A","0",UPPER(TEXT(tbRegistroSaidas[[#This Row],[DATA DA COMPETÊNCIA]],"mmm")))</f>
        <v>MAI</v>
      </c>
      <c r="L55" s="79">
        <f>IF(tbRegistroSaidas[[#This Row],[DATA DA COMPETÊNCIA]]="N/A",0,YEAR(tbRegistroSaidas[[#This Row],[DATA DA COMPETÊNCIA]]))</f>
        <v>2021</v>
      </c>
      <c r="M55" s="128" t="str">
        <f>IF(tbRegistroSaidas[[#This Row],[DATA DO CAIXA PREVISTO]]="N/A","0",UPPER(TEXT(tbRegistroSaidas[[#This Row],[DATA DO CAIXA PREVISTO]],"mmm")))</f>
        <v>JUN</v>
      </c>
      <c r="N55" s="128">
        <f>IF(tbRegistroSaidas[[#This Row],[DATA DO CAIXA PREVISTO]]="N/A",0,YEAR(tbRegistroSaidas[[#This Row],[DATA DO CAIXA PREVISTO]]))</f>
        <v>2021</v>
      </c>
    </row>
    <row r="56" spans="1:14" s="5" customFormat="1" ht="14.4" x14ac:dyDescent="0.3">
      <c r="A56" s="49">
        <v>44653</v>
      </c>
      <c r="B56" s="49">
        <f t="shared" si="0"/>
        <v>44622</v>
      </c>
      <c r="C56" s="49">
        <f t="shared" si="1"/>
        <v>44638</v>
      </c>
      <c r="D56" s="52" t="s">
        <v>138</v>
      </c>
      <c r="E56" s="52" t="s">
        <v>1543</v>
      </c>
      <c r="F56" s="52" t="s">
        <v>16</v>
      </c>
      <c r="G56" s="52" t="s">
        <v>1154</v>
      </c>
      <c r="H56" s="18">
        <v>3322</v>
      </c>
      <c r="I56" s="128">
        <f>IF(tbRegistroSaidas[[#This Row],[DATA DE CAIXA REALIZADO]]="N/A",0,YEAR(tbRegistroSaidas[[#This Row],[DATA DE CAIXA REALIZADO]]))</f>
        <v>2022</v>
      </c>
      <c r="J56" s="128" t="str">
        <f>IF(tbRegistroSaidas[[#This Row],[DATA DE CAIXA REALIZADO]]="N/A","0",UPPER(TEXT(tbRegistroSaidas[[#This Row],[DATA DE CAIXA REALIZADO]],"mmm")))</f>
        <v>ABR</v>
      </c>
      <c r="K56" s="129" t="str">
        <f>IF(tbRegistroSaidas[[#This Row],[DATA DA COMPETÊNCIA]]="N/A","0",UPPER(TEXT(tbRegistroSaidas[[#This Row],[DATA DA COMPETÊNCIA]],"mmm")))</f>
        <v>MAR</v>
      </c>
      <c r="L56" s="79">
        <f>IF(tbRegistroSaidas[[#This Row],[DATA DA COMPETÊNCIA]]="N/A",0,YEAR(tbRegistroSaidas[[#This Row],[DATA DA COMPETÊNCIA]]))</f>
        <v>2022</v>
      </c>
      <c r="M56" s="128" t="str">
        <f>IF(tbRegistroSaidas[[#This Row],[DATA DO CAIXA PREVISTO]]="N/A","0",UPPER(TEXT(tbRegistroSaidas[[#This Row],[DATA DO CAIXA PREVISTO]],"mmm")))</f>
        <v>MAR</v>
      </c>
      <c r="N56" s="128">
        <f>IF(tbRegistroSaidas[[#This Row],[DATA DO CAIXA PREVISTO]]="N/A",0,YEAR(tbRegistroSaidas[[#This Row],[DATA DO CAIXA PREVISTO]]))</f>
        <v>2022</v>
      </c>
    </row>
    <row r="57" spans="1:14" s="5" customFormat="1" ht="14.4" x14ac:dyDescent="0.3">
      <c r="A57" s="49">
        <v>44798</v>
      </c>
      <c r="B57" s="49">
        <f t="shared" si="0"/>
        <v>44767</v>
      </c>
      <c r="C57" s="49">
        <f t="shared" si="1"/>
        <v>44783</v>
      </c>
      <c r="D57" s="52" t="s">
        <v>67</v>
      </c>
      <c r="E57" s="52" t="s">
        <v>1543</v>
      </c>
      <c r="F57" s="52" t="s">
        <v>18</v>
      </c>
      <c r="G57" s="52" t="s">
        <v>1155</v>
      </c>
      <c r="H57" s="18">
        <v>775</v>
      </c>
      <c r="I57" s="128">
        <f>IF(tbRegistroSaidas[[#This Row],[DATA DE CAIXA REALIZADO]]="N/A",0,YEAR(tbRegistroSaidas[[#This Row],[DATA DE CAIXA REALIZADO]]))</f>
        <v>2022</v>
      </c>
      <c r="J57" s="128" t="str">
        <f>IF(tbRegistroSaidas[[#This Row],[DATA DE CAIXA REALIZADO]]="N/A","0",UPPER(TEXT(tbRegistroSaidas[[#This Row],[DATA DE CAIXA REALIZADO]],"mmm")))</f>
        <v>AGO</v>
      </c>
      <c r="K57" s="129" t="str">
        <f>IF(tbRegistroSaidas[[#This Row],[DATA DA COMPETÊNCIA]]="N/A","0",UPPER(TEXT(tbRegistroSaidas[[#This Row],[DATA DA COMPETÊNCIA]],"mmm")))</f>
        <v>JUL</v>
      </c>
      <c r="L57" s="79">
        <f>IF(tbRegistroSaidas[[#This Row],[DATA DA COMPETÊNCIA]]="N/A",0,YEAR(tbRegistroSaidas[[#This Row],[DATA DA COMPETÊNCIA]]))</f>
        <v>2022</v>
      </c>
      <c r="M57" s="128" t="str">
        <f>IF(tbRegistroSaidas[[#This Row],[DATA DO CAIXA PREVISTO]]="N/A","0",UPPER(TEXT(tbRegistroSaidas[[#This Row],[DATA DO CAIXA PREVISTO]],"mmm")))</f>
        <v>AGO</v>
      </c>
      <c r="N57" s="128">
        <f>IF(tbRegistroSaidas[[#This Row],[DATA DO CAIXA PREVISTO]]="N/A",0,YEAR(tbRegistroSaidas[[#This Row],[DATA DO CAIXA PREVISTO]]))</f>
        <v>2022</v>
      </c>
    </row>
    <row r="58" spans="1:14" s="5" customFormat="1" ht="14.4" x14ac:dyDescent="0.3">
      <c r="A58" s="49">
        <v>45103</v>
      </c>
      <c r="B58" s="49">
        <f t="shared" si="0"/>
        <v>45072</v>
      </c>
      <c r="C58" s="49">
        <f t="shared" si="1"/>
        <v>45088</v>
      </c>
      <c r="D58" s="52" t="s">
        <v>66</v>
      </c>
      <c r="E58" s="52" t="s">
        <v>1543</v>
      </c>
      <c r="F58" s="52" t="s">
        <v>18</v>
      </c>
      <c r="G58" s="52" t="s">
        <v>551</v>
      </c>
      <c r="H58" s="18">
        <v>3337</v>
      </c>
      <c r="I58" s="128">
        <f>IF(tbRegistroSaidas[[#This Row],[DATA DE CAIXA REALIZADO]]="N/A",0,YEAR(tbRegistroSaidas[[#This Row],[DATA DE CAIXA REALIZADO]]))</f>
        <v>2023</v>
      </c>
      <c r="J58" s="128" t="str">
        <f>IF(tbRegistroSaidas[[#This Row],[DATA DE CAIXA REALIZADO]]="N/A","0",UPPER(TEXT(tbRegistroSaidas[[#This Row],[DATA DE CAIXA REALIZADO]],"mmm")))</f>
        <v>JUN</v>
      </c>
      <c r="K58" s="129" t="str">
        <f>IF(tbRegistroSaidas[[#This Row],[DATA DA COMPETÊNCIA]]="N/A","0",UPPER(TEXT(tbRegistroSaidas[[#This Row],[DATA DA COMPETÊNCIA]],"mmm")))</f>
        <v>MAI</v>
      </c>
      <c r="L58" s="79">
        <f>IF(tbRegistroSaidas[[#This Row],[DATA DA COMPETÊNCIA]]="N/A",0,YEAR(tbRegistroSaidas[[#This Row],[DATA DA COMPETÊNCIA]]))</f>
        <v>2023</v>
      </c>
      <c r="M58" s="128" t="str">
        <f>IF(tbRegistroSaidas[[#This Row],[DATA DO CAIXA PREVISTO]]="N/A","0",UPPER(TEXT(tbRegistroSaidas[[#This Row],[DATA DO CAIXA PREVISTO]],"mmm")))</f>
        <v>JUN</v>
      </c>
      <c r="N58" s="128">
        <f>IF(tbRegistroSaidas[[#This Row],[DATA DO CAIXA PREVISTO]]="N/A",0,YEAR(tbRegistroSaidas[[#This Row],[DATA DO CAIXA PREVISTO]]))</f>
        <v>2023</v>
      </c>
    </row>
    <row r="59" spans="1:14" s="5" customFormat="1" ht="14.4" x14ac:dyDescent="0.3">
      <c r="A59" s="49">
        <v>44435</v>
      </c>
      <c r="B59" s="49">
        <f t="shared" si="0"/>
        <v>44404</v>
      </c>
      <c r="C59" s="49">
        <f t="shared" si="1"/>
        <v>44420</v>
      </c>
      <c r="D59" s="52" t="s">
        <v>64</v>
      </c>
      <c r="E59" s="52" t="s">
        <v>1543</v>
      </c>
      <c r="F59" s="52" t="s">
        <v>19</v>
      </c>
      <c r="G59" s="52" t="s">
        <v>1156</v>
      </c>
      <c r="H59" s="18">
        <v>425</v>
      </c>
      <c r="I59" s="128">
        <f>IF(tbRegistroSaidas[[#This Row],[DATA DE CAIXA REALIZADO]]="N/A",0,YEAR(tbRegistroSaidas[[#This Row],[DATA DE CAIXA REALIZADO]]))</f>
        <v>2021</v>
      </c>
      <c r="J59" s="128" t="str">
        <f>IF(tbRegistroSaidas[[#This Row],[DATA DE CAIXA REALIZADO]]="N/A","0",UPPER(TEXT(tbRegistroSaidas[[#This Row],[DATA DE CAIXA REALIZADO]],"mmm")))</f>
        <v>AGO</v>
      </c>
      <c r="K59" s="129" t="str">
        <f>IF(tbRegistroSaidas[[#This Row],[DATA DA COMPETÊNCIA]]="N/A","0",UPPER(TEXT(tbRegistroSaidas[[#This Row],[DATA DA COMPETÊNCIA]],"mmm")))</f>
        <v>JUL</v>
      </c>
      <c r="L59" s="79">
        <f>IF(tbRegistroSaidas[[#This Row],[DATA DA COMPETÊNCIA]]="N/A",0,YEAR(tbRegistroSaidas[[#This Row],[DATA DA COMPETÊNCIA]]))</f>
        <v>2021</v>
      </c>
      <c r="M59" s="128" t="str">
        <f>IF(tbRegistroSaidas[[#This Row],[DATA DO CAIXA PREVISTO]]="N/A","0",UPPER(TEXT(tbRegistroSaidas[[#This Row],[DATA DO CAIXA PREVISTO]],"mmm")))</f>
        <v>AGO</v>
      </c>
      <c r="N59" s="128">
        <f>IF(tbRegistroSaidas[[#This Row],[DATA DO CAIXA PREVISTO]]="N/A",0,YEAR(tbRegistroSaidas[[#This Row],[DATA DO CAIXA PREVISTO]]))</f>
        <v>2021</v>
      </c>
    </row>
    <row r="60" spans="1:14" s="5" customFormat="1" ht="14.4" x14ac:dyDescent="0.3">
      <c r="A60" s="49">
        <v>44221</v>
      </c>
      <c r="B60" s="49">
        <f t="shared" si="0"/>
        <v>44190</v>
      </c>
      <c r="C60" s="49">
        <f t="shared" si="1"/>
        <v>44206</v>
      </c>
      <c r="D60" s="52" t="s">
        <v>65</v>
      </c>
      <c r="E60" s="52" t="s">
        <v>1543</v>
      </c>
      <c r="F60" s="52" t="s">
        <v>16</v>
      </c>
      <c r="G60" s="52" t="s">
        <v>1157</v>
      </c>
      <c r="H60" s="18">
        <v>2909</v>
      </c>
      <c r="I60" s="128">
        <f>IF(tbRegistroSaidas[[#This Row],[DATA DE CAIXA REALIZADO]]="N/A",0,YEAR(tbRegistroSaidas[[#This Row],[DATA DE CAIXA REALIZADO]]))</f>
        <v>2021</v>
      </c>
      <c r="J60" s="128" t="str">
        <f>IF(tbRegistroSaidas[[#This Row],[DATA DE CAIXA REALIZADO]]="N/A","0",UPPER(TEXT(tbRegistroSaidas[[#This Row],[DATA DE CAIXA REALIZADO]],"mmm")))</f>
        <v>JAN</v>
      </c>
      <c r="K60" s="129" t="str">
        <f>IF(tbRegistroSaidas[[#This Row],[DATA DA COMPETÊNCIA]]="N/A","0",UPPER(TEXT(tbRegistroSaidas[[#This Row],[DATA DA COMPETÊNCIA]],"mmm")))</f>
        <v>DEZ</v>
      </c>
      <c r="L60" s="79">
        <f>IF(tbRegistroSaidas[[#This Row],[DATA DA COMPETÊNCIA]]="N/A",0,YEAR(tbRegistroSaidas[[#This Row],[DATA DA COMPETÊNCIA]]))</f>
        <v>2020</v>
      </c>
      <c r="M60" s="128" t="str">
        <f>IF(tbRegistroSaidas[[#This Row],[DATA DO CAIXA PREVISTO]]="N/A","0",UPPER(TEXT(tbRegistroSaidas[[#This Row],[DATA DO CAIXA PREVISTO]],"mmm")))</f>
        <v>JAN</v>
      </c>
      <c r="N60" s="128">
        <f>IF(tbRegistroSaidas[[#This Row],[DATA DO CAIXA PREVISTO]]="N/A",0,YEAR(tbRegistroSaidas[[#This Row],[DATA DO CAIXA PREVISTO]]))</f>
        <v>2021</v>
      </c>
    </row>
    <row r="61" spans="1:14" s="5" customFormat="1" ht="14.4" x14ac:dyDescent="0.3">
      <c r="A61" s="49">
        <v>44262</v>
      </c>
      <c r="B61" s="49">
        <f t="shared" si="0"/>
        <v>44231</v>
      </c>
      <c r="C61" s="49">
        <f t="shared" si="1"/>
        <v>44247</v>
      </c>
      <c r="D61" s="52" t="s">
        <v>66</v>
      </c>
      <c r="E61" s="52" t="s">
        <v>1543</v>
      </c>
      <c r="F61" s="52" t="s">
        <v>19</v>
      </c>
      <c r="G61" s="52" t="s">
        <v>1158</v>
      </c>
      <c r="H61" s="18">
        <v>615</v>
      </c>
      <c r="I61" s="128">
        <f>IF(tbRegistroSaidas[[#This Row],[DATA DE CAIXA REALIZADO]]="N/A",0,YEAR(tbRegistroSaidas[[#This Row],[DATA DE CAIXA REALIZADO]]))</f>
        <v>2021</v>
      </c>
      <c r="J61" s="128" t="str">
        <f>IF(tbRegistroSaidas[[#This Row],[DATA DE CAIXA REALIZADO]]="N/A","0",UPPER(TEXT(tbRegistroSaidas[[#This Row],[DATA DE CAIXA REALIZADO]],"mmm")))</f>
        <v>MAR</v>
      </c>
      <c r="K61" s="129" t="str">
        <f>IF(tbRegistroSaidas[[#This Row],[DATA DA COMPETÊNCIA]]="N/A","0",UPPER(TEXT(tbRegistroSaidas[[#This Row],[DATA DA COMPETÊNCIA]],"mmm")))</f>
        <v>FEV</v>
      </c>
      <c r="L61" s="79">
        <f>IF(tbRegistroSaidas[[#This Row],[DATA DA COMPETÊNCIA]]="N/A",0,YEAR(tbRegistroSaidas[[#This Row],[DATA DA COMPETÊNCIA]]))</f>
        <v>2021</v>
      </c>
      <c r="M61" s="128" t="str">
        <f>IF(tbRegistroSaidas[[#This Row],[DATA DO CAIXA PREVISTO]]="N/A","0",UPPER(TEXT(tbRegistroSaidas[[#This Row],[DATA DO CAIXA PREVISTO]],"mmm")))</f>
        <v>FEV</v>
      </c>
      <c r="N61" s="128">
        <f>IF(tbRegistroSaidas[[#This Row],[DATA DO CAIXA PREVISTO]]="N/A",0,YEAR(tbRegistroSaidas[[#This Row],[DATA DO CAIXA PREVISTO]]))</f>
        <v>2021</v>
      </c>
    </row>
    <row r="62" spans="1:14" s="5" customFormat="1" ht="14.4" x14ac:dyDescent="0.3">
      <c r="A62" s="49">
        <v>44287</v>
      </c>
      <c r="B62" s="49">
        <f t="shared" si="0"/>
        <v>44256</v>
      </c>
      <c r="C62" s="49">
        <f t="shared" si="1"/>
        <v>44272</v>
      </c>
      <c r="D62" s="52" t="s">
        <v>65</v>
      </c>
      <c r="E62" s="52" t="s">
        <v>1543</v>
      </c>
      <c r="F62" s="52" t="s">
        <v>17</v>
      </c>
      <c r="G62" s="52" t="s">
        <v>1159</v>
      </c>
      <c r="H62" s="18">
        <v>2672</v>
      </c>
      <c r="I62" s="128">
        <f>IF(tbRegistroSaidas[[#This Row],[DATA DE CAIXA REALIZADO]]="N/A",0,YEAR(tbRegistroSaidas[[#This Row],[DATA DE CAIXA REALIZADO]]))</f>
        <v>2021</v>
      </c>
      <c r="J62" s="128" t="str">
        <f>IF(tbRegistroSaidas[[#This Row],[DATA DE CAIXA REALIZADO]]="N/A","0",UPPER(TEXT(tbRegistroSaidas[[#This Row],[DATA DE CAIXA REALIZADO]],"mmm")))</f>
        <v>ABR</v>
      </c>
      <c r="K62" s="129" t="str">
        <f>IF(tbRegistroSaidas[[#This Row],[DATA DA COMPETÊNCIA]]="N/A","0",UPPER(TEXT(tbRegistroSaidas[[#This Row],[DATA DA COMPETÊNCIA]],"mmm")))</f>
        <v>MAR</v>
      </c>
      <c r="L62" s="79">
        <f>IF(tbRegistroSaidas[[#This Row],[DATA DA COMPETÊNCIA]]="N/A",0,YEAR(tbRegistroSaidas[[#This Row],[DATA DA COMPETÊNCIA]]))</f>
        <v>2021</v>
      </c>
      <c r="M62" s="128" t="str">
        <f>IF(tbRegistroSaidas[[#This Row],[DATA DO CAIXA PREVISTO]]="N/A","0",UPPER(TEXT(tbRegistroSaidas[[#This Row],[DATA DO CAIXA PREVISTO]],"mmm")))</f>
        <v>MAR</v>
      </c>
      <c r="N62" s="128">
        <f>IF(tbRegistroSaidas[[#This Row],[DATA DO CAIXA PREVISTO]]="N/A",0,YEAR(tbRegistroSaidas[[#This Row],[DATA DO CAIXA PREVISTO]]))</f>
        <v>2021</v>
      </c>
    </row>
    <row r="63" spans="1:14" s="5" customFormat="1" ht="14.4" x14ac:dyDescent="0.3">
      <c r="A63" s="49">
        <v>44234</v>
      </c>
      <c r="B63" s="49">
        <f t="shared" si="0"/>
        <v>44203</v>
      </c>
      <c r="C63" s="49">
        <f t="shared" si="1"/>
        <v>44219</v>
      </c>
      <c r="D63" s="52" t="s">
        <v>63</v>
      </c>
      <c r="E63" s="52" t="s">
        <v>1543</v>
      </c>
      <c r="F63" s="52" t="s">
        <v>19</v>
      </c>
      <c r="G63" s="52" t="s">
        <v>1160</v>
      </c>
      <c r="H63" s="18">
        <v>1100</v>
      </c>
      <c r="I63" s="128">
        <f>IF(tbRegistroSaidas[[#This Row],[DATA DE CAIXA REALIZADO]]="N/A",0,YEAR(tbRegistroSaidas[[#This Row],[DATA DE CAIXA REALIZADO]]))</f>
        <v>2021</v>
      </c>
      <c r="J63" s="128" t="str">
        <f>IF(tbRegistroSaidas[[#This Row],[DATA DE CAIXA REALIZADO]]="N/A","0",UPPER(TEXT(tbRegistroSaidas[[#This Row],[DATA DE CAIXA REALIZADO]],"mmm")))</f>
        <v>FEV</v>
      </c>
      <c r="K63" s="129" t="str">
        <f>IF(tbRegistroSaidas[[#This Row],[DATA DA COMPETÊNCIA]]="N/A","0",UPPER(TEXT(tbRegistroSaidas[[#This Row],[DATA DA COMPETÊNCIA]],"mmm")))</f>
        <v>JAN</v>
      </c>
      <c r="L63" s="79">
        <f>IF(tbRegistroSaidas[[#This Row],[DATA DA COMPETÊNCIA]]="N/A",0,YEAR(tbRegistroSaidas[[#This Row],[DATA DA COMPETÊNCIA]]))</f>
        <v>2021</v>
      </c>
      <c r="M63" s="128" t="str">
        <f>IF(tbRegistroSaidas[[#This Row],[DATA DO CAIXA PREVISTO]]="N/A","0",UPPER(TEXT(tbRegistroSaidas[[#This Row],[DATA DO CAIXA PREVISTO]],"mmm")))</f>
        <v>JAN</v>
      </c>
      <c r="N63" s="128">
        <f>IF(tbRegistroSaidas[[#This Row],[DATA DO CAIXA PREVISTO]]="N/A",0,YEAR(tbRegistroSaidas[[#This Row],[DATA DO CAIXA PREVISTO]]))</f>
        <v>2021</v>
      </c>
    </row>
    <row r="64" spans="1:14" s="5" customFormat="1" ht="14.4" x14ac:dyDescent="0.3">
      <c r="A64" s="49">
        <v>45080</v>
      </c>
      <c r="B64" s="49">
        <f t="shared" si="0"/>
        <v>45049</v>
      </c>
      <c r="C64" s="49">
        <f t="shared" si="1"/>
        <v>45065</v>
      </c>
      <c r="D64" s="52" t="s">
        <v>137</v>
      </c>
      <c r="E64" s="52" t="s">
        <v>1543</v>
      </c>
      <c r="F64" s="52" t="s">
        <v>18</v>
      </c>
      <c r="G64" s="52" t="s">
        <v>1161</v>
      </c>
      <c r="H64" s="18">
        <v>676</v>
      </c>
      <c r="I64" s="128">
        <f>IF(tbRegistroSaidas[[#This Row],[DATA DE CAIXA REALIZADO]]="N/A",0,YEAR(tbRegistroSaidas[[#This Row],[DATA DE CAIXA REALIZADO]]))</f>
        <v>2023</v>
      </c>
      <c r="J64" s="128" t="str">
        <f>IF(tbRegistroSaidas[[#This Row],[DATA DE CAIXA REALIZADO]]="N/A","0",UPPER(TEXT(tbRegistroSaidas[[#This Row],[DATA DE CAIXA REALIZADO]],"mmm")))</f>
        <v>JUN</v>
      </c>
      <c r="K64" s="129" t="str">
        <f>IF(tbRegistroSaidas[[#This Row],[DATA DA COMPETÊNCIA]]="N/A","0",UPPER(TEXT(tbRegistroSaidas[[#This Row],[DATA DA COMPETÊNCIA]],"mmm")))</f>
        <v>MAI</v>
      </c>
      <c r="L64" s="79">
        <f>IF(tbRegistroSaidas[[#This Row],[DATA DA COMPETÊNCIA]]="N/A",0,YEAR(tbRegistroSaidas[[#This Row],[DATA DA COMPETÊNCIA]]))</f>
        <v>2023</v>
      </c>
      <c r="M64" s="128" t="str">
        <f>IF(tbRegistroSaidas[[#This Row],[DATA DO CAIXA PREVISTO]]="N/A","0",UPPER(TEXT(tbRegistroSaidas[[#This Row],[DATA DO CAIXA PREVISTO]],"mmm")))</f>
        <v>MAI</v>
      </c>
      <c r="N64" s="128">
        <f>IF(tbRegistroSaidas[[#This Row],[DATA DO CAIXA PREVISTO]]="N/A",0,YEAR(tbRegistroSaidas[[#This Row],[DATA DO CAIXA PREVISTO]]))</f>
        <v>2023</v>
      </c>
    </row>
    <row r="65" spans="1:14" s="5" customFormat="1" ht="14.4" x14ac:dyDescent="0.3">
      <c r="A65" s="49">
        <v>45112</v>
      </c>
      <c r="B65" s="49">
        <f t="shared" si="0"/>
        <v>45081</v>
      </c>
      <c r="C65" s="49">
        <f t="shared" si="1"/>
        <v>45097</v>
      </c>
      <c r="D65" s="52" t="s">
        <v>67</v>
      </c>
      <c r="E65" s="52" t="s">
        <v>1543</v>
      </c>
      <c r="F65" s="52" t="s">
        <v>17</v>
      </c>
      <c r="G65" s="52" t="s">
        <v>1162</v>
      </c>
      <c r="H65" s="18">
        <v>2784</v>
      </c>
      <c r="I65" s="128">
        <f>IF(tbRegistroSaidas[[#This Row],[DATA DE CAIXA REALIZADO]]="N/A",0,YEAR(tbRegistroSaidas[[#This Row],[DATA DE CAIXA REALIZADO]]))</f>
        <v>2023</v>
      </c>
      <c r="J65" s="128" t="str">
        <f>IF(tbRegistroSaidas[[#This Row],[DATA DE CAIXA REALIZADO]]="N/A","0",UPPER(TEXT(tbRegistroSaidas[[#This Row],[DATA DE CAIXA REALIZADO]],"mmm")))</f>
        <v>JUL</v>
      </c>
      <c r="K65" s="129" t="str">
        <f>IF(tbRegistroSaidas[[#This Row],[DATA DA COMPETÊNCIA]]="N/A","0",UPPER(TEXT(tbRegistroSaidas[[#This Row],[DATA DA COMPETÊNCIA]],"mmm")))</f>
        <v>JUN</v>
      </c>
      <c r="L65" s="79">
        <f>IF(tbRegistroSaidas[[#This Row],[DATA DA COMPETÊNCIA]]="N/A",0,YEAR(tbRegistroSaidas[[#This Row],[DATA DA COMPETÊNCIA]]))</f>
        <v>2023</v>
      </c>
      <c r="M65" s="128" t="str">
        <f>IF(tbRegistroSaidas[[#This Row],[DATA DO CAIXA PREVISTO]]="N/A","0",UPPER(TEXT(tbRegistroSaidas[[#This Row],[DATA DO CAIXA PREVISTO]],"mmm")))</f>
        <v>JUN</v>
      </c>
      <c r="N65" s="128">
        <f>IF(tbRegistroSaidas[[#This Row],[DATA DO CAIXA PREVISTO]]="N/A",0,YEAR(tbRegistroSaidas[[#This Row],[DATA DO CAIXA PREVISTO]]))</f>
        <v>2023</v>
      </c>
    </row>
    <row r="66" spans="1:14" s="5" customFormat="1" ht="14.4" x14ac:dyDescent="0.3">
      <c r="A66" s="49">
        <v>44513</v>
      </c>
      <c r="B66" s="49">
        <f t="shared" si="0"/>
        <v>44482</v>
      </c>
      <c r="C66" s="49">
        <f t="shared" si="1"/>
        <v>44498</v>
      </c>
      <c r="D66" s="52" t="s">
        <v>61</v>
      </c>
      <c r="E66" s="52" t="s">
        <v>1543</v>
      </c>
      <c r="F66" s="52" t="s">
        <v>18</v>
      </c>
      <c r="G66" s="52" t="s">
        <v>1163</v>
      </c>
      <c r="H66" s="18">
        <v>951</v>
      </c>
      <c r="I66" s="128">
        <f>IF(tbRegistroSaidas[[#This Row],[DATA DE CAIXA REALIZADO]]="N/A",0,YEAR(tbRegistroSaidas[[#This Row],[DATA DE CAIXA REALIZADO]]))</f>
        <v>2021</v>
      </c>
      <c r="J66" s="128" t="str">
        <f>IF(tbRegistroSaidas[[#This Row],[DATA DE CAIXA REALIZADO]]="N/A","0",UPPER(TEXT(tbRegistroSaidas[[#This Row],[DATA DE CAIXA REALIZADO]],"mmm")))</f>
        <v>NOV</v>
      </c>
      <c r="K66" s="129" t="str">
        <f>IF(tbRegistroSaidas[[#This Row],[DATA DA COMPETÊNCIA]]="N/A","0",UPPER(TEXT(tbRegistroSaidas[[#This Row],[DATA DA COMPETÊNCIA]],"mmm")))</f>
        <v>OUT</v>
      </c>
      <c r="L66" s="79">
        <f>IF(tbRegistroSaidas[[#This Row],[DATA DA COMPETÊNCIA]]="N/A",0,YEAR(tbRegistroSaidas[[#This Row],[DATA DA COMPETÊNCIA]]))</f>
        <v>2021</v>
      </c>
      <c r="M66" s="128" t="str">
        <f>IF(tbRegistroSaidas[[#This Row],[DATA DO CAIXA PREVISTO]]="N/A","0",UPPER(TEXT(tbRegistroSaidas[[#This Row],[DATA DO CAIXA PREVISTO]],"mmm")))</f>
        <v>OUT</v>
      </c>
      <c r="N66" s="128">
        <f>IF(tbRegistroSaidas[[#This Row],[DATA DO CAIXA PREVISTO]]="N/A",0,YEAR(tbRegistroSaidas[[#This Row],[DATA DO CAIXA PREVISTO]]))</f>
        <v>2021</v>
      </c>
    </row>
    <row r="67" spans="1:14" s="5" customFormat="1" ht="14.4" x14ac:dyDescent="0.3">
      <c r="A67" s="49">
        <v>44334</v>
      </c>
      <c r="B67" s="49">
        <f t="shared" si="0"/>
        <v>44303</v>
      </c>
      <c r="C67" s="49">
        <f t="shared" si="1"/>
        <v>44319</v>
      </c>
      <c r="D67" s="52" t="s">
        <v>137</v>
      </c>
      <c r="E67" s="52" t="s">
        <v>1543</v>
      </c>
      <c r="F67" s="52" t="s">
        <v>17</v>
      </c>
      <c r="G67" s="52" t="s">
        <v>1164</v>
      </c>
      <c r="H67" s="18">
        <v>2829</v>
      </c>
      <c r="I67" s="128">
        <f>IF(tbRegistroSaidas[[#This Row],[DATA DE CAIXA REALIZADO]]="N/A",0,YEAR(tbRegistroSaidas[[#This Row],[DATA DE CAIXA REALIZADO]]))</f>
        <v>2021</v>
      </c>
      <c r="J67" s="128" t="str">
        <f>IF(tbRegistroSaidas[[#This Row],[DATA DE CAIXA REALIZADO]]="N/A","0",UPPER(TEXT(tbRegistroSaidas[[#This Row],[DATA DE CAIXA REALIZADO]],"mmm")))</f>
        <v>MAI</v>
      </c>
      <c r="K67" s="129" t="str">
        <f>IF(tbRegistroSaidas[[#This Row],[DATA DA COMPETÊNCIA]]="N/A","0",UPPER(TEXT(tbRegistroSaidas[[#This Row],[DATA DA COMPETÊNCIA]],"mmm")))</f>
        <v>ABR</v>
      </c>
      <c r="L67" s="79">
        <f>IF(tbRegistroSaidas[[#This Row],[DATA DA COMPETÊNCIA]]="N/A",0,YEAR(tbRegistroSaidas[[#This Row],[DATA DA COMPETÊNCIA]]))</f>
        <v>2021</v>
      </c>
      <c r="M67" s="128" t="str">
        <f>IF(tbRegistroSaidas[[#This Row],[DATA DO CAIXA PREVISTO]]="N/A","0",UPPER(TEXT(tbRegistroSaidas[[#This Row],[DATA DO CAIXA PREVISTO]],"mmm")))</f>
        <v>MAI</v>
      </c>
      <c r="N67" s="128">
        <f>IF(tbRegistroSaidas[[#This Row],[DATA DO CAIXA PREVISTO]]="N/A",0,YEAR(tbRegistroSaidas[[#This Row],[DATA DO CAIXA PREVISTO]]))</f>
        <v>2021</v>
      </c>
    </row>
    <row r="68" spans="1:14" s="5" customFormat="1" ht="14.4" x14ac:dyDescent="0.3">
      <c r="A68" s="49">
        <v>44284</v>
      </c>
      <c r="B68" s="49">
        <f t="shared" si="0"/>
        <v>44253</v>
      </c>
      <c r="C68" s="49">
        <f t="shared" si="1"/>
        <v>44269</v>
      </c>
      <c r="D68" s="52" t="s">
        <v>67</v>
      </c>
      <c r="E68" s="52" t="s">
        <v>1543</v>
      </c>
      <c r="F68" s="52" t="s">
        <v>17</v>
      </c>
      <c r="G68" s="52" t="s">
        <v>763</v>
      </c>
      <c r="H68" s="18">
        <v>2480</v>
      </c>
      <c r="I68" s="128">
        <f>IF(tbRegistroSaidas[[#This Row],[DATA DE CAIXA REALIZADO]]="N/A",0,YEAR(tbRegistroSaidas[[#This Row],[DATA DE CAIXA REALIZADO]]))</f>
        <v>2021</v>
      </c>
      <c r="J68" s="128" t="str">
        <f>IF(tbRegistroSaidas[[#This Row],[DATA DE CAIXA REALIZADO]]="N/A","0",UPPER(TEXT(tbRegistroSaidas[[#This Row],[DATA DE CAIXA REALIZADO]],"mmm")))</f>
        <v>MAR</v>
      </c>
      <c r="K68" s="129" t="str">
        <f>IF(tbRegistroSaidas[[#This Row],[DATA DA COMPETÊNCIA]]="N/A","0",UPPER(TEXT(tbRegistroSaidas[[#This Row],[DATA DA COMPETÊNCIA]],"mmm")))</f>
        <v>FEV</v>
      </c>
      <c r="L68" s="79">
        <f>IF(tbRegistroSaidas[[#This Row],[DATA DA COMPETÊNCIA]]="N/A",0,YEAR(tbRegistroSaidas[[#This Row],[DATA DA COMPETÊNCIA]]))</f>
        <v>2021</v>
      </c>
      <c r="M68" s="128" t="str">
        <f>IF(tbRegistroSaidas[[#This Row],[DATA DO CAIXA PREVISTO]]="N/A","0",UPPER(TEXT(tbRegistroSaidas[[#This Row],[DATA DO CAIXA PREVISTO]],"mmm")))</f>
        <v>MAR</v>
      </c>
      <c r="N68" s="128">
        <f>IF(tbRegistroSaidas[[#This Row],[DATA DO CAIXA PREVISTO]]="N/A",0,YEAR(tbRegistroSaidas[[#This Row],[DATA DO CAIXA PREVISTO]]))</f>
        <v>2021</v>
      </c>
    </row>
    <row r="69" spans="1:14" s="5" customFormat="1" ht="14.4" x14ac:dyDescent="0.3">
      <c r="A69" s="49">
        <v>44902</v>
      </c>
      <c r="B69" s="49">
        <f t="shared" si="0"/>
        <v>44871</v>
      </c>
      <c r="C69" s="49">
        <f t="shared" si="1"/>
        <v>44887</v>
      </c>
      <c r="D69" s="52" t="s">
        <v>66</v>
      </c>
      <c r="E69" s="52" t="s">
        <v>1543</v>
      </c>
      <c r="F69" s="52" t="s">
        <v>17</v>
      </c>
      <c r="G69" s="52" t="s">
        <v>1079</v>
      </c>
      <c r="H69" s="18">
        <v>3437</v>
      </c>
      <c r="I69" s="128">
        <f>IF(tbRegistroSaidas[[#This Row],[DATA DE CAIXA REALIZADO]]="N/A",0,YEAR(tbRegistroSaidas[[#This Row],[DATA DE CAIXA REALIZADO]]))</f>
        <v>2022</v>
      </c>
      <c r="J69" s="128" t="str">
        <f>IF(tbRegistroSaidas[[#This Row],[DATA DE CAIXA REALIZADO]]="N/A","0",UPPER(TEXT(tbRegistroSaidas[[#This Row],[DATA DE CAIXA REALIZADO]],"mmm")))</f>
        <v>DEZ</v>
      </c>
      <c r="K69" s="129" t="str">
        <f>IF(tbRegistroSaidas[[#This Row],[DATA DA COMPETÊNCIA]]="N/A","0",UPPER(TEXT(tbRegistroSaidas[[#This Row],[DATA DA COMPETÊNCIA]],"mmm")))</f>
        <v>NOV</v>
      </c>
      <c r="L69" s="79">
        <f>IF(tbRegistroSaidas[[#This Row],[DATA DA COMPETÊNCIA]]="N/A",0,YEAR(tbRegistroSaidas[[#This Row],[DATA DA COMPETÊNCIA]]))</f>
        <v>2022</v>
      </c>
      <c r="M69" s="128" t="str">
        <f>IF(tbRegistroSaidas[[#This Row],[DATA DO CAIXA PREVISTO]]="N/A","0",UPPER(TEXT(tbRegistroSaidas[[#This Row],[DATA DO CAIXA PREVISTO]],"mmm")))</f>
        <v>NOV</v>
      </c>
      <c r="N69" s="128">
        <f>IF(tbRegistroSaidas[[#This Row],[DATA DO CAIXA PREVISTO]]="N/A",0,YEAR(tbRegistroSaidas[[#This Row],[DATA DO CAIXA PREVISTO]]))</f>
        <v>2022</v>
      </c>
    </row>
    <row r="70" spans="1:14" s="5" customFormat="1" ht="14.4" x14ac:dyDescent="0.3">
      <c r="A70" s="49">
        <v>44613</v>
      </c>
      <c r="B70" s="49">
        <f t="shared" si="0"/>
        <v>44582</v>
      </c>
      <c r="C70" s="49">
        <f t="shared" si="1"/>
        <v>44598</v>
      </c>
      <c r="D70" s="52" t="s">
        <v>138</v>
      </c>
      <c r="E70" s="52" t="s">
        <v>1543</v>
      </c>
      <c r="F70" s="52" t="s">
        <v>17</v>
      </c>
      <c r="G70" s="52" t="s">
        <v>1165</v>
      </c>
      <c r="H70" s="18">
        <v>2211</v>
      </c>
      <c r="I70" s="128">
        <f>IF(tbRegistroSaidas[[#This Row],[DATA DE CAIXA REALIZADO]]="N/A",0,YEAR(tbRegistroSaidas[[#This Row],[DATA DE CAIXA REALIZADO]]))</f>
        <v>2022</v>
      </c>
      <c r="J70" s="128" t="str">
        <f>IF(tbRegistroSaidas[[#This Row],[DATA DE CAIXA REALIZADO]]="N/A","0",UPPER(TEXT(tbRegistroSaidas[[#This Row],[DATA DE CAIXA REALIZADO]],"mmm")))</f>
        <v>FEV</v>
      </c>
      <c r="K70" s="129" t="str">
        <f>IF(tbRegistroSaidas[[#This Row],[DATA DA COMPETÊNCIA]]="N/A","0",UPPER(TEXT(tbRegistroSaidas[[#This Row],[DATA DA COMPETÊNCIA]],"mmm")))</f>
        <v>JAN</v>
      </c>
      <c r="L70" s="79">
        <f>IF(tbRegistroSaidas[[#This Row],[DATA DA COMPETÊNCIA]]="N/A",0,YEAR(tbRegistroSaidas[[#This Row],[DATA DA COMPETÊNCIA]]))</f>
        <v>2022</v>
      </c>
      <c r="M70" s="128" t="str">
        <f>IF(tbRegistroSaidas[[#This Row],[DATA DO CAIXA PREVISTO]]="N/A","0",UPPER(TEXT(tbRegistroSaidas[[#This Row],[DATA DO CAIXA PREVISTO]],"mmm")))</f>
        <v>FEV</v>
      </c>
      <c r="N70" s="128">
        <f>IF(tbRegistroSaidas[[#This Row],[DATA DO CAIXA PREVISTO]]="N/A",0,YEAR(tbRegistroSaidas[[#This Row],[DATA DO CAIXA PREVISTO]]))</f>
        <v>2022</v>
      </c>
    </row>
    <row r="71" spans="1:14" s="5" customFormat="1" ht="14.4" x14ac:dyDescent="0.3">
      <c r="A71" s="49">
        <v>45075</v>
      </c>
      <c r="B71" s="49">
        <f t="shared" si="0"/>
        <v>45044</v>
      </c>
      <c r="C71" s="49">
        <f t="shared" si="1"/>
        <v>45060</v>
      </c>
      <c r="D71" s="52" t="s">
        <v>64</v>
      </c>
      <c r="E71" s="52" t="s">
        <v>1543</v>
      </c>
      <c r="F71" s="52" t="s">
        <v>32</v>
      </c>
      <c r="G71" s="52" t="s">
        <v>1166</v>
      </c>
      <c r="H71" s="18">
        <v>1856</v>
      </c>
      <c r="I71" s="128">
        <f>IF(tbRegistroSaidas[[#This Row],[DATA DE CAIXA REALIZADO]]="N/A",0,YEAR(tbRegistroSaidas[[#This Row],[DATA DE CAIXA REALIZADO]]))</f>
        <v>2023</v>
      </c>
      <c r="J71" s="128" t="str">
        <f>IF(tbRegistroSaidas[[#This Row],[DATA DE CAIXA REALIZADO]]="N/A","0",UPPER(TEXT(tbRegistroSaidas[[#This Row],[DATA DE CAIXA REALIZADO]],"mmm")))</f>
        <v>MAI</v>
      </c>
      <c r="K71" s="129" t="str">
        <f>IF(tbRegistroSaidas[[#This Row],[DATA DA COMPETÊNCIA]]="N/A","0",UPPER(TEXT(tbRegistroSaidas[[#This Row],[DATA DA COMPETÊNCIA]],"mmm")))</f>
        <v>ABR</v>
      </c>
      <c r="L71" s="79">
        <f>IF(tbRegistroSaidas[[#This Row],[DATA DA COMPETÊNCIA]]="N/A",0,YEAR(tbRegistroSaidas[[#This Row],[DATA DA COMPETÊNCIA]]))</f>
        <v>2023</v>
      </c>
      <c r="M71" s="128" t="str">
        <f>IF(tbRegistroSaidas[[#This Row],[DATA DO CAIXA PREVISTO]]="N/A","0",UPPER(TEXT(tbRegistroSaidas[[#This Row],[DATA DO CAIXA PREVISTO]],"mmm")))</f>
        <v>MAI</v>
      </c>
      <c r="N71" s="128">
        <f>IF(tbRegistroSaidas[[#This Row],[DATA DO CAIXA PREVISTO]]="N/A",0,YEAR(tbRegistroSaidas[[#This Row],[DATA DO CAIXA PREVISTO]]))</f>
        <v>2023</v>
      </c>
    </row>
    <row r="72" spans="1:14" s="5" customFormat="1" ht="14.4" x14ac:dyDescent="0.3">
      <c r="A72" s="49">
        <v>45235</v>
      </c>
      <c r="B72" s="49">
        <f t="shared" ref="B72:B135" si="2">A72-31</f>
        <v>45204</v>
      </c>
      <c r="C72" s="49">
        <f t="shared" ref="C72:C135" si="3">A72-B72+B72-15</f>
        <v>45220</v>
      </c>
      <c r="D72" s="52" t="s">
        <v>63</v>
      </c>
      <c r="E72" s="52" t="s">
        <v>1543</v>
      </c>
      <c r="F72" s="52" t="s">
        <v>19</v>
      </c>
      <c r="G72" s="52" t="s">
        <v>1167</v>
      </c>
      <c r="H72" s="18">
        <v>209</v>
      </c>
      <c r="I72" s="128">
        <f>IF(tbRegistroSaidas[[#This Row],[DATA DE CAIXA REALIZADO]]="N/A",0,YEAR(tbRegistroSaidas[[#This Row],[DATA DE CAIXA REALIZADO]]))</f>
        <v>2023</v>
      </c>
      <c r="J72" s="128" t="str">
        <f>IF(tbRegistroSaidas[[#This Row],[DATA DE CAIXA REALIZADO]]="N/A","0",UPPER(TEXT(tbRegistroSaidas[[#This Row],[DATA DE CAIXA REALIZADO]],"mmm")))</f>
        <v>NOV</v>
      </c>
      <c r="K72" s="129" t="str">
        <f>IF(tbRegistroSaidas[[#This Row],[DATA DA COMPETÊNCIA]]="N/A","0",UPPER(TEXT(tbRegistroSaidas[[#This Row],[DATA DA COMPETÊNCIA]],"mmm")))</f>
        <v>OUT</v>
      </c>
      <c r="L72" s="79">
        <f>IF(tbRegistroSaidas[[#This Row],[DATA DA COMPETÊNCIA]]="N/A",0,YEAR(tbRegistroSaidas[[#This Row],[DATA DA COMPETÊNCIA]]))</f>
        <v>2023</v>
      </c>
      <c r="M72" s="128" t="str">
        <f>IF(tbRegistroSaidas[[#This Row],[DATA DO CAIXA PREVISTO]]="N/A","0",UPPER(TEXT(tbRegistroSaidas[[#This Row],[DATA DO CAIXA PREVISTO]],"mmm")))</f>
        <v>OUT</v>
      </c>
      <c r="N72" s="128">
        <f>IF(tbRegistroSaidas[[#This Row],[DATA DO CAIXA PREVISTO]]="N/A",0,YEAR(tbRegistroSaidas[[#This Row],[DATA DO CAIXA PREVISTO]]))</f>
        <v>2023</v>
      </c>
    </row>
    <row r="73" spans="1:14" s="5" customFormat="1" ht="14.4" x14ac:dyDescent="0.3">
      <c r="A73" s="49">
        <v>44722</v>
      </c>
      <c r="B73" s="49">
        <f t="shared" si="2"/>
        <v>44691</v>
      </c>
      <c r="C73" s="49">
        <f t="shared" si="3"/>
        <v>44707</v>
      </c>
      <c r="D73" s="52" t="s">
        <v>65</v>
      </c>
      <c r="E73" s="52" t="s">
        <v>1543</v>
      </c>
      <c r="F73" s="52" t="s">
        <v>17</v>
      </c>
      <c r="G73" s="52" t="s">
        <v>1168</v>
      </c>
      <c r="H73" s="18">
        <v>3437</v>
      </c>
      <c r="I73" s="128">
        <f>IF(tbRegistroSaidas[[#This Row],[DATA DE CAIXA REALIZADO]]="N/A",0,YEAR(tbRegistroSaidas[[#This Row],[DATA DE CAIXA REALIZADO]]))</f>
        <v>2022</v>
      </c>
      <c r="J73" s="128" t="str">
        <f>IF(tbRegistroSaidas[[#This Row],[DATA DE CAIXA REALIZADO]]="N/A","0",UPPER(TEXT(tbRegistroSaidas[[#This Row],[DATA DE CAIXA REALIZADO]],"mmm")))</f>
        <v>JUN</v>
      </c>
      <c r="K73" s="129" t="str">
        <f>IF(tbRegistroSaidas[[#This Row],[DATA DA COMPETÊNCIA]]="N/A","0",UPPER(TEXT(tbRegistroSaidas[[#This Row],[DATA DA COMPETÊNCIA]],"mmm")))</f>
        <v>MAI</v>
      </c>
      <c r="L73" s="79">
        <f>IF(tbRegistroSaidas[[#This Row],[DATA DA COMPETÊNCIA]]="N/A",0,YEAR(tbRegistroSaidas[[#This Row],[DATA DA COMPETÊNCIA]]))</f>
        <v>2022</v>
      </c>
      <c r="M73" s="128" t="str">
        <f>IF(tbRegistroSaidas[[#This Row],[DATA DO CAIXA PREVISTO]]="N/A","0",UPPER(TEXT(tbRegistroSaidas[[#This Row],[DATA DO CAIXA PREVISTO]],"mmm")))</f>
        <v>MAI</v>
      </c>
      <c r="N73" s="128">
        <f>IF(tbRegistroSaidas[[#This Row],[DATA DO CAIXA PREVISTO]]="N/A",0,YEAR(tbRegistroSaidas[[#This Row],[DATA DO CAIXA PREVISTO]]))</f>
        <v>2022</v>
      </c>
    </row>
    <row r="74" spans="1:14" s="5" customFormat="1" ht="14.4" x14ac:dyDescent="0.3">
      <c r="A74" s="49">
        <v>45211</v>
      </c>
      <c r="B74" s="49">
        <f t="shared" si="2"/>
        <v>45180</v>
      </c>
      <c r="C74" s="49">
        <f t="shared" si="3"/>
        <v>45196</v>
      </c>
      <c r="D74" s="52" t="s">
        <v>66</v>
      </c>
      <c r="E74" s="52" t="s">
        <v>1543</v>
      </c>
      <c r="F74" s="52" t="s">
        <v>18</v>
      </c>
      <c r="G74" s="52" t="s">
        <v>1169</v>
      </c>
      <c r="H74" s="18">
        <v>2483</v>
      </c>
      <c r="I74" s="128">
        <f>IF(tbRegistroSaidas[[#This Row],[DATA DE CAIXA REALIZADO]]="N/A",0,YEAR(tbRegistroSaidas[[#This Row],[DATA DE CAIXA REALIZADO]]))</f>
        <v>2023</v>
      </c>
      <c r="J74" s="128" t="str">
        <f>IF(tbRegistroSaidas[[#This Row],[DATA DE CAIXA REALIZADO]]="N/A","0",UPPER(TEXT(tbRegistroSaidas[[#This Row],[DATA DE CAIXA REALIZADO]],"mmm")))</f>
        <v>OUT</v>
      </c>
      <c r="K74" s="129" t="str">
        <f>IF(tbRegistroSaidas[[#This Row],[DATA DA COMPETÊNCIA]]="N/A","0",UPPER(TEXT(tbRegistroSaidas[[#This Row],[DATA DA COMPETÊNCIA]],"mmm")))</f>
        <v>SET</v>
      </c>
      <c r="L74" s="79">
        <f>IF(tbRegistroSaidas[[#This Row],[DATA DA COMPETÊNCIA]]="N/A",0,YEAR(tbRegistroSaidas[[#This Row],[DATA DA COMPETÊNCIA]]))</f>
        <v>2023</v>
      </c>
      <c r="M74" s="128" t="str">
        <f>IF(tbRegistroSaidas[[#This Row],[DATA DO CAIXA PREVISTO]]="N/A","0",UPPER(TEXT(tbRegistroSaidas[[#This Row],[DATA DO CAIXA PREVISTO]],"mmm")))</f>
        <v>SET</v>
      </c>
      <c r="N74" s="128">
        <f>IF(tbRegistroSaidas[[#This Row],[DATA DO CAIXA PREVISTO]]="N/A",0,YEAR(tbRegistroSaidas[[#This Row],[DATA DO CAIXA PREVISTO]]))</f>
        <v>2023</v>
      </c>
    </row>
    <row r="75" spans="1:14" s="5" customFormat="1" ht="14.4" x14ac:dyDescent="0.3">
      <c r="A75" s="49">
        <v>44538</v>
      </c>
      <c r="B75" s="49">
        <f t="shared" si="2"/>
        <v>44507</v>
      </c>
      <c r="C75" s="49">
        <f t="shared" si="3"/>
        <v>44523</v>
      </c>
      <c r="D75" s="52" t="s">
        <v>137</v>
      </c>
      <c r="E75" s="52" t="s">
        <v>1543</v>
      </c>
      <c r="F75" s="52" t="s">
        <v>17</v>
      </c>
      <c r="G75" s="52" t="s">
        <v>1170</v>
      </c>
      <c r="H75" s="18">
        <v>238</v>
      </c>
      <c r="I75" s="128">
        <f>IF(tbRegistroSaidas[[#This Row],[DATA DE CAIXA REALIZADO]]="N/A",0,YEAR(tbRegistroSaidas[[#This Row],[DATA DE CAIXA REALIZADO]]))</f>
        <v>2021</v>
      </c>
      <c r="J75" s="128" t="str">
        <f>IF(tbRegistroSaidas[[#This Row],[DATA DE CAIXA REALIZADO]]="N/A","0",UPPER(TEXT(tbRegistroSaidas[[#This Row],[DATA DE CAIXA REALIZADO]],"mmm")))</f>
        <v>DEZ</v>
      </c>
      <c r="K75" s="129" t="str">
        <f>IF(tbRegistroSaidas[[#This Row],[DATA DA COMPETÊNCIA]]="N/A","0",UPPER(TEXT(tbRegistroSaidas[[#This Row],[DATA DA COMPETÊNCIA]],"mmm")))</f>
        <v>NOV</v>
      </c>
      <c r="L75" s="79">
        <f>IF(tbRegistroSaidas[[#This Row],[DATA DA COMPETÊNCIA]]="N/A",0,YEAR(tbRegistroSaidas[[#This Row],[DATA DA COMPETÊNCIA]]))</f>
        <v>2021</v>
      </c>
      <c r="M75" s="128" t="str">
        <f>IF(tbRegistroSaidas[[#This Row],[DATA DO CAIXA PREVISTO]]="N/A","0",UPPER(TEXT(tbRegistroSaidas[[#This Row],[DATA DO CAIXA PREVISTO]],"mmm")))</f>
        <v>NOV</v>
      </c>
      <c r="N75" s="128">
        <f>IF(tbRegistroSaidas[[#This Row],[DATA DO CAIXA PREVISTO]]="N/A",0,YEAR(tbRegistroSaidas[[#This Row],[DATA DO CAIXA PREVISTO]]))</f>
        <v>2021</v>
      </c>
    </row>
    <row r="76" spans="1:14" s="5" customFormat="1" ht="14.4" x14ac:dyDescent="0.3">
      <c r="A76" s="49">
        <v>44643</v>
      </c>
      <c r="B76" s="49">
        <f t="shared" si="2"/>
        <v>44612</v>
      </c>
      <c r="C76" s="49">
        <f t="shared" si="3"/>
        <v>44628</v>
      </c>
      <c r="D76" s="52" t="s">
        <v>137</v>
      </c>
      <c r="E76" s="52" t="s">
        <v>1543</v>
      </c>
      <c r="F76" s="52" t="s">
        <v>19</v>
      </c>
      <c r="G76" s="52" t="s">
        <v>1171</v>
      </c>
      <c r="H76" s="18">
        <v>2832</v>
      </c>
      <c r="I76" s="128">
        <f>IF(tbRegistroSaidas[[#This Row],[DATA DE CAIXA REALIZADO]]="N/A",0,YEAR(tbRegistroSaidas[[#This Row],[DATA DE CAIXA REALIZADO]]))</f>
        <v>2022</v>
      </c>
      <c r="J76" s="128" t="str">
        <f>IF(tbRegistroSaidas[[#This Row],[DATA DE CAIXA REALIZADO]]="N/A","0",UPPER(TEXT(tbRegistroSaidas[[#This Row],[DATA DE CAIXA REALIZADO]],"mmm")))</f>
        <v>MAR</v>
      </c>
      <c r="K76" s="129" t="str">
        <f>IF(tbRegistroSaidas[[#This Row],[DATA DA COMPETÊNCIA]]="N/A","0",UPPER(TEXT(tbRegistroSaidas[[#This Row],[DATA DA COMPETÊNCIA]],"mmm")))</f>
        <v>FEV</v>
      </c>
      <c r="L76" s="79">
        <f>IF(tbRegistroSaidas[[#This Row],[DATA DA COMPETÊNCIA]]="N/A",0,YEAR(tbRegistroSaidas[[#This Row],[DATA DA COMPETÊNCIA]]))</f>
        <v>2022</v>
      </c>
      <c r="M76" s="128" t="str">
        <f>IF(tbRegistroSaidas[[#This Row],[DATA DO CAIXA PREVISTO]]="N/A","0",UPPER(TEXT(tbRegistroSaidas[[#This Row],[DATA DO CAIXA PREVISTO]],"mmm")))</f>
        <v>MAR</v>
      </c>
      <c r="N76" s="128">
        <f>IF(tbRegistroSaidas[[#This Row],[DATA DO CAIXA PREVISTO]]="N/A",0,YEAR(tbRegistroSaidas[[#This Row],[DATA DO CAIXA PREVISTO]]))</f>
        <v>2022</v>
      </c>
    </row>
    <row r="77" spans="1:14" s="5" customFormat="1" ht="14.4" x14ac:dyDescent="0.3">
      <c r="A77" s="49">
        <v>44928</v>
      </c>
      <c r="B77" s="49">
        <f t="shared" si="2"/>
        <v>44897</v>
      </c>
      <c r="C77" s="49">
        <f t="shared" si="3"/>
        <v>44913</v>
      </c>
      <c r="D77" s="52" t="s">
        <v>65</v>
      </c>
      <c r="E77" s="52" t="s">
        <v>1543</v>
      </c>
      <c r="F77" s="52" t="s">
        <v>17</v>
      </c>
      <c r="G77" s="52" t="s">
        <v>1172</v>
      </c>
      <c r="H77" s="18">
        <v>1173</v>
      </c>
      <c r="I77" s="128">
        <f>IF(tbRegistroSaidas[[#This Row],[DATA DE CAIXA REALIZADO]]="N/A",0,YEAR(tbRegistroSaidas[[#This Row],[DATA DE CAIXA REALIZADO]]))</f>
        <v>2023</v>
      </c>
      <c r="J77" s="128" t="str">
        <f>IF(tbRegistroSaidas[[#This Row],[DATA DE CAIXA REALIZADO]]="N/A","0",UPPER(TEXT(tbRegistroSaidas[[#This Row],[DATA DE CAIXA REALIZADO]],"mmm")))</f>
        <v>JAN</v>
      </c>
      <c r="K77" s="129" t="str">
        <f>IF(tbRegistroSaidas[[#This Row],[DATA DA COMPETÊNCIA]]="N/A","0",UPPER(TEXT(tbRegistroSaidas[[#This Row],[DATA DA COMPETÊNCIA]],"mmm")))</f>
        <v>DEZ</v>
      </c>
      <c r="L77" s="79">
        <f>IF(tbRegistroSaidas[[#This Row],[DATA DA COMPETÊNCIA]]="N/A",0,YEAR(tbRegistroSaidas[[#This Row],[DATA DA COMPETÊNCIA]]))</f>
        <v>2022</v>
      </c>
      <c r="M77" s="128" t="str">
        <f>IF(tbRegistroSaidas[[#This Row],[DATA DO CAIXA PREVISTO]]="N/A","0",UPPER(TEXT(tbRegistroSaidas[[#This Row],[DATA DO CAIXA PREVISTO]],"mmm")))</f>
        <v>DEZ</v>
      </c>
      <c r="N77" s="128">
        <f>IF(tbRegistroSaidas[[#This Row],[DATA DO CAIXA PREVISTO]]="N/A",0,YEAR(tbRegistroSaidas[[#This Row],[DATA DO CAIXA PREVISTO]]))</f>
        <v>2022</v>
      </c>
    </row>
    <row r="78" spans="1:14" s="5" customFormat="1" ht="14.4" x14ac:dyDescent="0.3">
      <c r="A78" s="49">
        <v>44300</v>
      </c>
      <c r="B78" s="49">
        <f t="shared" si="2"/>
        <v>44269</v>
      </c>
      <c r="C78" s="49">
        <f t="shared" si="3"/>
        <v>44285</v>
      </c>
      <c r="D78" s="52" t="s">
        <v>138</v>
      </c>
      <c r="E78" s="52" t="s">
        <v>1543</v>
      </c>
      <c r="F78" s="52" t="s">
        <v>16</v>
      </c>
      <c r="G78" s="52" t="s">
        <v>1173</v>
      </c>
      <c r="H78" s="18">
        <v>1438</v>
      </c>
      <c r="I78" s="128">
        <f>IF(tbRegistroSaidas[[#This Row],[DATA DE CAIXA REALIZADO]]="N/A",0,YEAR(tbRegistroSaidas[[#This Row],[DATA DE CAIXA REALIZADO]]))</f>
        <v>2021</v>
      </c>
      <c r="J78" s="128" t="str">
        <f>IF(tbRegistroSaidas[[#This Row],[DATA DE CAIXA REALIZADO]]="N/A","0",UPPER(TEXT(tbRegistroSaidas[[#This Row],[DATA DE CAIXA REALIZADO]],"mmm")))</f>
        <v>ABR</v>
      </c>
      <c r="K78" s="129" t="str">
        <f>IF(tbRegistroSaidas[[#This Row],[DATA DA COMPETÊNCIA]]="N/A","0",UPPER(TEXT(tbRegistroSaidas[[#This Row],[DATA DA COMPETÊNCIA]],"mmm")))</f>
        <v>MAR</v>
      </c>
      <c r="L78" s="79">
        <f>IF(tbRegistroSaidas[[#This Row],[DATA DA COMPETÊNCIA]]="N/A",0,YEAR(tbRegistroSaidas[[#This Row],[DATA DA COMPETÊNCIA]]))</f>
        <v>2021</v>
      </c>
      <c r="M78" s="128" t="str">
        <f>IF(tbRegistroSaidas[[#This Row],[DATA DO CAIXA PREVISTO]]="N/A","0",UPPER(TEXT(tbRegistroSaidas[[#This Row],[DATA DO CAIXA PREVISTO]],"mmm")))</f>
        <v>MAR</v>
      </c>
      <c r="N78" s="128">
        <f>IF(tbRegistroSaidas[[#This Row],[DATA DO CAIXA PREVISTO]]="N/A",0,YEAR(tbRegistroSaidas[[#This Row],[DATA DO CAIXA PREVISTO]]))</f>
        <v>2021</v>
      </c>
    </row>
    <row r="79" spans="1:14" s="5" customFormat="1" ht="14.4" x14ac:dyDescent="0.3">
      <c r="A79" s="49">
        <v>44555</v>
      </c>
      <c r="B79" s="49">
        <f t="shared" si="2"/>
        <v>44524</v>
      </c>
      <c r="C79" s="49">
        <f t="shared" si="3"/>
        <v>44540</v>
      </c>
      <c r="D79" s="52" t="s">
        <v>137</v>
      </c>
      <c r="E79" s="52" t="s">
        <v>1543</v>
      </c>
      <c r="F79" s="52" t="s">
        <v>19</v>
      </c>
      <c r="G79" s="52" t="s">
        <v>1174</v>
      </c>
      <c r="H79" s="18">
        <v>3877</v>
      </c>
      <c r="I79" s="128">
        <f>IF(tbRegistroSaidas[[#This Row],[DATA DE CAIXA REALIZADO]]="N/A",0,YEAR(tbRegistroSaidas[[#This Row],[DATA DE CAIXA REALIZADO]]))</f>
        <v>2021</v>
      </c>
      <c r="J79" s="128" t="str">
        <f>IF(tbRegistroSaidas[[#This Row],[DATA DE CAIXA REALIZADO]]="N/A","0",UPPER(TEXT(tbRegistroSaidas[[#This Row],[DATA DE CAIXA REALIZADO]],"mmm")))</f>
        <v>DEZ</v>
      </c>
      <c r="K79" s="129" t="str">
        <f>IF(tbRegistroSaidas[[#This Row],[DATA DA COMPETÊNCIA]]="N/A","0",UPPER(TEXT(tbRegistroSaidas[[#This Row],[DATA DA COMPETÊNCIA]],"mmm")))</f>
        <v>NOV</v>
      </c>
      <c r="L79" s="79">
        <f>IF(tbRegistroSaidas[[#This Row],[DATA DA COMPETÊNCIA]]="N/A",0,YEAR(tbRegistroSaidas[[#This Row],[DATA DA COMPETÊNCIA]]))</f>
        <v>2021</v>
      </c>
      <c r="M79" s="128" t="str">
        <f>IF(tbRegistroSaidas[[#This Row],[DATA DO CAIXA PREVISTO]]="N/A","0",UPPER(TEXT(tbRegistroSaidas[[#This Row],[DATA DO CAIXA PREVISTO]],"mmm")))</f>
        <v>DEZ</v>
      </c>
      <c r="N79" s="128">
        <f>IF(tbRegistroSaidas[[#This Row],[DATA DO CAIXA PREVISTO]]="N/A",0,YEAR(tbRegistroSaidas[[#This Row],[DATA DO CAIXA PREVISTO]]))</f>
        <v>2021</v>
      </c>
    </row>
    <row r="80" spans="1:14" s="5" customFormat="1" ht="14.4" x14ac:dyDescent="0.3">
      <c r="A80" s="49">
        <v>44741</v>
      </c>
      <c r="B80" s="49">
        <f t="shared" si="2"/>
        <v>44710</v>
      </c>
      <c r="C80" s="49">
        <f t="shared" si="3"/>
        <v>44726</v>
      </c>
      <c r="D80" s="52" t="s">
        <v>137</v>
      </c>
      <c r="E80" s="52" t="s">
        <v>1543</v>
      </c>
      <c r="F80" s="52" t="s">
        <v>32</v>
      </c>
      <c r="G80" s="52" t="s">
        <v>1175</v>
      </c>
      <c r="H80" s="18">
        <v>2115</v>
      </c>
      <c r="I80" s="128">
        <f>IF(tbRegistroSaidas[[#This Row],[DATA DE CAIXA REALIZADO]]="N/A",0,YEAR(tbRegistroSaidas[[#This Row],[DATA DE CAIXA REALIZADO]]))</f>
        <v>2022</v>
      </c>
      <c r="J80" s="128" t="str">
        <f>IF(tbRegistroSaidas[[#This Row],[DATA DE CAIXA REALIZADO]]="N/A","0",UPPER(TEXT(tbRegistroSaidas[[#This Row],[DATA DE CAIXA REALIZADO]],"mmm")))</f>
        <v>JUN</v>
      </c>
      <c r="K80" s="129" t="str">
        <f>IF(tbRegistroSaidas[[#This Row],[DATA DA COMPETÊNCIA]]="N/A","0",UPPER(TEXT(tbRegistroSaidas[[#This Row],[DATA DA COMPETÊNCIA]],"mmm")))</f>
        <v>MAI</v>
      </c>
      <c r="L80" s="79">
        <f>IF(tbRegistroSaidas[[#This Row],[DATA DA COMPETÊNCIA]]="N/A",0,YEAR(tbRegistroSaidas[[#This Row],[DATA DA COMPETÊNCIA]]))</f>
        <v>2022</v>
      </c>
      <c r="M80" s="128" t="str">
        <f>IF(tbRegistroSaidas[[#This Row],[DATA DO CAIXA PREVISTO]]="N/A","0",UPPER(TEXT(tbRegistroSaidas[[#This Row],[DATA DO CAIXA PREVISTO]],"mmm")))</f>
        <v>JUN</v>
      </c>
      <c r="N80" s="128">
        <f>IF(tbRegistroSaidas[[#This Row],[DATA DO CAIXA PREVISTO]]="N/A",0,YEAR(tbRegistroSaidas[[#This Row],[DATA DO CAIXA PREVISTO]]))</f>
        <v>2022</v>
      </c>
    </row>
    <row r="81" spans="1:14" s="5" customFormat="1" ht="14.4" x14ac:dyDescent="0.3">
      <c r="A81" s="49">
        <v>44439</v>
      </c>
      <c r="B81" s="49">
        <f t="shared" si="2"/>
        <v>44408</v>
      </c>
      <c r="C81" s="49">
        <f t="shared" si="3"/>
        <v>44424</v>
      </c>
      <c r="D81" s="52" t="s">
        <v>63</v>
      </c>
      <c r="E81" s="52" t="s">
        <v>1543</v>
      </c>
      <c r="F81" s="52" t="s">
        <v>19</v>
      </c>
      <c r="G81" s="52" t="s">
        <v>1176</v>
      </c>
      <c r="H81" s="18">
        <v>2427</v>
      </c>
      <c r="I81" s="128">
        <f>IF(tbRegistroSaidas[[#This Row],[DATA DE CAIXA REALIZADO]]="N/A",0,YEAR(tbRegistroSaidas[[#This Row],[DATA DE CAIXA REALIZADO]]))</f>
        <v>2021</v>
      </c>
      <c r="J81" s="128" t="str">
        <f>IF(tbRegistroSaidas[[#This Row],[DATA DE CAIXA REALIZADO]]="N/A","0",UPPER(TEXT(tbRegistroSaidas[[#This Row],[DATA DE CAIXA REALIZADO]],"mmm")))</f>
        <v>AGO</v>
      </c>
      <c r="K81" s="129" t="str">
        <f>IF(tbRegistroSaidas[[#This Row],[DATA DA COMPETÊNCIA]]="N/A","0",UPPER(TEXT(tbRegistroSaidas[[#This Row],[DATA DA COMPETÊNCIA]],"mmm")))</f>
        <v>JUL</v>
      </c>
      <c r="L81" s="79">
        <f>IF(tbRegistroSaidas[[#This Row],[DATA DA COMPETÊNCIA]]="N/A",0,YEAR(tbRegistroSaidas[[#This Row],[DATA DA COMPETÊNCIA]]))</f>
        <v>2021</v>
      </c>
      <c r="M81" s="128" t="str">
        <f>IF(tbRegistroSaidas[[#This Row],[DATA DO CAIXA PREVISTO]]="N/A","0",UPPER(TEXT(tbRegistroSaidas[[#This Row],[DATA DO CAIXA PREVISTO]],"mmm")))</f>
        <v>AGO</v>
      </c>
      <c r="N81" s="128">
        <f>IF(tbRegistroSaidas[[#This Row],[DATA DO CAIXA PREVISTO]]="N/A",0,YEAR(tbRegistroSaidas[[#This Row],[DATA DO CAIXA PREVISTO]]))</f>
        <v>2021</v>
      </c>
    </row>
    <row r="82" spans="1:14" s="5" customFormat="1" ht="14.4" x14ac:dyDescent="0.3">
      <c r="A82" s="49">
        <v>44829</v>
      </c>
      <c r="B82" s="49">
        <f t="shared" si="2"/>
        <v>44798</v>
      </c>
      <c r="C82" s="49">
        <f t="shared" si="3"/>
        <v>44814</v>
      </c>
      <c r="D82" s="52" t="s">
        <v>65</v>
      </c>
      <c r="E82" s="52" t="s">
        <v>1543</v>
      </c>
      <c r="F82" s="52" t="s">
        <v>18</v>
      </c>
      <c r="G82" s="52" t="s">
        <v>1177</v>
      </c>
      <c r="H82" s="18">
        <v>2097</v>
      </c>
      <c r="I82" s="128">
        <f>IF(tbRegistroSaidas[[#This Row],[DATA DE CAIXA REALIZADO]]="N/A",0,YEAR(tbRegistroSaidas[[#This Row],[DATA DE CAIXA REALIZADO]]))</f>
        <v>2022</v>
      </c>
      <c r="J82" s="128" t="str">
        <f>IF(tbRegistroSaidas[[#This Row],[DATA DE CAIXA REALIZADO]]="N/A","0",UPPER(TEXT(tbRegistroSaidas[[#This Row],[DATA DE CAIXA REALIZADO]],"mmm")))</f>
        <v>SET</v>
      </c>
      <c r="K82" s="129" t="str">
        <f>IF(tbRegistroSaidas[[#This Row],[DATA DA COMPETÊNCIA]]="N/A","0",UPPER(TEXT(tbRegistroSaidas[[#This Row],[DATA DA COMPETÊNCIA]],"mmm")))</f>
        <v>AGO</v>
      </c>
      <c r="L82" s="79">
        <f>IF(tbRegistroSaidas[[#This Row],[DATA DA COMPETÊNCIA]]="N/A",0,YEAR(tbRegistroSaidas[[#This Row],[DATA DA COMPETÊNCIA]]))</f>
        <v>2022</v>
      </c>
      <c r="M82" s="128" t="str">
        <f>IF(tbRegistroSaidas[[#This Row],[DATA DO CAIXA PREVISTO]]="N/A","0",UPPER(TEXT(tbRegistroSaidas[[#This Row],[DATA DO CAIXA PREVISTO]],"mmm")))</f>
        <v>SET</v>
      </c>
      <c r="N82" s="128">
        <f>IF(tbRegistroSaidas[[#This Row],[DATA DO CAIXA PREVISTO]]="N/A",0,YEAR(tbRegistroSaidas[[#This Row],[DATA DO CAIXA PREVISTO]]))</f>
        <v>2022</v>
      </c>
    </row>
    <row r="83" spans="1:14" s="5" customFormat="1" ht="14.4" x14ac:dyDescent="0.3">
      <c r="A83" s="49">
        <v>44666</v>
      </c>
      <c r="B83" s="49">
        <f t="shared" si="2"/>
        <v>44635</v>
      </c>
      <c r="C83" s="49">
        <f t="shared" si="3"/>
        <v>44651</v>
      </c>
      <c r="D83" s="52" t="s">
        <v>63</v>
      </c>
      <c r="E83" s="52" t="s">
        <v>1543</v>
      </c>
      <c r="F83" s="52" t="s">
        <v>18</v>
      </c>
      <c r="G83" s="52" t="s">
        <v>1178</v>
      </c>
      <c r="H83" s="18">
        <v>2379</v>
      </c>
      <c r="I83" s="128">
        <f>IF(tbRegistroSaidas[[#This Row],[DATA DE CAIXA REALIZADO]]="N/A",0,YEAR(tbRegistroSaidas[[#This Row],[DATA DE CAIXA REALIZADO]]))</f>
        <v>2022</v>
      </c>
      <c r="J83" s="128" t="str">
        <f>IF(tbRegistroSaidas[[#This Row],[DATA DE CAIXA REALIZADO]]="N/A","0",UPPER(TEXT(tbRegistroSaidas[[#This Row],[DATA DE CAIXA REALIZADO]],"mmm")))</f>
        <v>ABR</v>
      </c>
      <c r="K83" s="129" t="str">
        <f>IF(tbRegistroSaidas[[#This Row],[DATA DA COMPETÊNCIA]]="N/A","0",UPPER(TEXT(tbRegistroSaidas[[#This Row],[DATA DA COMPETÊNCIA]],"mmm")))</f>
        <v>MAR</v>
      </c>
      <c r="L83" s="79">
        <f>IF(tbRegistroSaidas[[#This Row],[DATA DA COMPETÊNCIA]]="N/A",0,YEAR(tbRegistroSaidas[[#This Row],[DATA DA COMPETÊNCIA]]))</f>
        <v>2022</v>
      </c>
      <c r="M83" s="128" t="str">
        <f>IF(tbRegistroSaidas[[#This Row],[DATA DO CAIXA PREVISTO]]="N/A","0",UPPER(TEXT(tbRegistroSaidas[[#This Row],[DATA DO CAIXA PREVISTO]],"mmm")))</f>
        <v>MAR</v>
      </c>
      <c r="N83" s="128">
        <f>IF(tbRegistroSaidas[[#This Row],[DATA DO CAIXA PREVISTO]]="N/A",0,YEAR(tbRegistroSaidas[[#This Row],[DATA DO CAIXA PREVISTO]]))</f>
        <v>2022</v>
      </c>
    </row>
    <row r="84" spans="1:14" s="5" customFormat="1" ht="14.4" x14ac:dyDescent="0.3">
      <c r="A84" s="49">
        <v>44857</v>
      </c>
      <c r="B84" s="49">
        <f t="shared" si="2"/>
        <v>44826</v>
      </c>
      <c r="C84" s="49">
        <f t="shared" si="3"/>
        <v>44842</v>
      </c>
      <c r="D84" s="52" t="s">
        <v>63</v>
      </c>
      <c r="E84" s="52" t="s">
        <v>1543</v>
      </c>
      <c r="F84" s="52" t="s">
        <v>16</v>
      </c>
      <c r="G84" s="52" t="s">
        <v>1179</v>
      </c>
      <c r="H84" s="18">
        <v>3966</v>
      </c>
      <c r="I84" s="128">
        <f>IF(tbRegistroSaidas[[#This Row],[DATA DE CAIXA REALIZADO]]="N/A",0,YEAR(tbRegistroSaidas[[#This Row],[DATA DE CAIXA REALIZADO]]))</f>
        <v>2022</v>
      </c>
      <c r="J84" s="128" t="str">
        <f>IF(tbRegistroSaidas[[#This Row],[DATA DE CAIXA REALIZADO]]="N/A","0",UPPER(TEXT(tbRegistroSaidas[[#This Row],[DATA DE CAIXA REALIZADO]],"mmm")))</f>
        <v>OUT</v>
      </c>
      <c r="K84" s="129" t="str">
        <f>IF(tbRegistroSaidas[[#This Row],[DATA DA COMPETÊNCIA]]="N/A","0",UPPER(TEXT(tbRegistroSaidas[[#This Row],[DATA DA COMPETÊNCIA]],"mmm")))</f>
        <v>SET</v>
      </c>
      <c r="L84" s="79">
        <f>IF(tbRegistroSaidas[[#This Row],[DATA DA COMPETÊNCIA]]="N/A",0,YEAR(tbRegistroSaidas[[#This Row],[DATA DA COMPETÊNCIA]]))</f>
        <v>2022</v>
      </c>
      <c r="M84" s="128" t="str">
        <f>IF(tbRegistroSaidas[[#This Row],[DATA DO CAIXA PREVISTO]]="N/A","0",UPPER(TEXT(tbRegistroSaidas[[#This Row],[DATA DO CAIXA PREVISTO]],"mmm")))</f>
        <v>OUT</v>
      </c>
      <c r="N84" s="128">
        <f>IF(tbRegistroSaidas[[#This Row],[DATA DO CAIXA PREVISTO]]="N/A",0,YEAR(tbRegistroSaidas[[#This Row],[DATA DO CAIXA PREVISTO]]))</f>
        <v>2022</v>
      </c>
    </row>
    <row r="85" spans="1:14" s="5" customFormat="1" ht="14.4" x14ac:dyDescent="0.3">
      <c r="A85" s="49">
        <v>45057</v>
      </c>
      <c r="B85" s="49">
        <f t="shared" si="2"/>
        <v>45026</v>
      </c>
      <c r="C85" s="49">
        <f t="shared" si="3"/>
        <v>45042</v>
      </c>
      <c r="D85" s="52" t="s">
        <v>137</v>
      </c>
      <c r="E85" s="52" t="s">
        <v>1543</v>
      </c>
      <c r="F85" s="52" t="s">
        <v>18</v>
      </c>
      <c r="G85" s="52" t="s">
        <v>1180</v>
      </c>
      <c r="H85" s="18">
        <v>1239</v>
      </c>
      <c r="I85" s="128">
        <f>IF(tbRegistroSaidas[[#This Row],[DATA DE CAIXA REALIZADO]]="N/A",0,YEAR(tbRegistroSaidas[[#This Row],[DATA DE CAIXA REALIZADO]]))</f>
        <v>2023</v>
      </c>
      <c r="J85" s="128" t="str">
        <f>IF(tbRegistroSaidas[[#This Row],[DATA DE CAIXA REALIZADO]]="N/A","0",UPPER(TEXT(tbRegistroSaidas[[#This Row],[DATA DE CAIXA REALIZADO]],"mmm")))</f>
        <v>MAI</v>
      </c>
      <c r="K85" s="129" t="str">
        <f>IF(tbRegistroSaidas[[#This Row],[DATA DA COMPETÊNCIA]]="N/A","0",UPPER(TEXT(tbRegistroSaidas[[#This Row],[DATA DA COMPETÊNCIA]],"mmm")))</f>
        <v>ABR</v>
      </c>
      <c r="L85" s="79">
        <f>IF(tbRegistroSaidas[[#This Row],[DATA DA COMPETÊNCIA]]="N/A",0,YEAR(tbRegistroSaidas[[#This Row],[DATA DA COMPETÊNCIA]]))</f>
        <v>2023</v>
      </c>
      <c r="M85" s="128" t="str">
        <f>IF(tbRegistroSaidas[[#This Row],[DATA DO CAIXA PREVISTO]]="N/A","0",UPPER(TEXT(tbRegistroSaidas[[#This Row],[DATA DO CAIXA PREVISTO]],"mmm")))</f>
        <v>ABR</v>
      </c>
      <c r="N85" s="128">
        <f>IF(tbRegistroSaidas[[#This Row],[DATA DO CAIXA PREVISTO]]="N/A",0,YEAR(tbRegistroSaidas[[#This Row],[DATA DO CAIXA PREVISTO]]))</f>
        <v>2023</v>
      </c>
    </row>
    <row r="86" spans="1:14" s="5" customFormat="1" ht="14.4" x14ac:dyDescent="0.3">
      <c r="A86" s="49">
        <v>44624</v>
      </c>
      <c r="B86" s="49">
        <f t="shared" si="2"/>
        <v>44593</v>
      </c>
      <c r="C86" s="49">
        <f t="shared" si="3"/>
        <v>44609</v>
      </c>
      <c r="D86" s="52" t="s">
        <v>64</v>
      </c>
      <c r="E86" s="52" t="s">
        <v>1543</v>
      </c>
      <c r="F86" s="52" t="s">
        <v>19</v>
      </c>
      <c r="G86" s="52" t="s">
        <v>1181</v>
      </c>
      <c r="H86" s="18">
        <v>3446</v>
      </c>
      <c r="I86" s="128">
        <f>IF(tbRegistroSaidas[[#This Row],[DATA DE CAIXA REALIZADO]]="N/A",0,YEAR(tbRegistroSaidas[[#This Row],[DATA DE CAIXA REALIZADO]]))</f>
        <v>2022</v>
      </c>
      <c r="J86" s="128" t="str">
        <f>IF(tbRegistroSaidas[[#This Row],[DATA DE CAIXA REALIZADO]]="N/A","0",UPPER(TEXT(tbRegistroSaidas[[#This Row],[DATA DE CAIXA REALIZADO]],"mmm")))</f>
        <v>MAR</v>
      </c>
      <c r="K86" s="129" t="str">
        <f>IF(tbRegistroSaidas[[#This Row],[DATA DA COMPETÊNCIA]]="N/A","0",UPPER(TEXT(tbRegistroSaidas[[#This Row],[DATA DA COMPETÊNCIA]],"mmm")))</f>
        <v>FEV</v>
      </c>
      <c r="L86" s="79">
        <f>IF(tbRegistroSaidas[[#This Row],[DATA DA COMPETÊNCIA]]="N/A",0,YEAR(tbRegistroSaidas[[#This Row],[DATA DA COMPETÊNCIA]]))</f>
        <v>2022</v>
      </c>
      <c r="M86" s="128" t="str">
        <f>IF(tbRegistroSaidas[[#This Row],[DATA DO CAIXA PREVISTO]]="N/A","0",UPPER(TEXT(tbRegistroSaidas[[#This Row],[DATA DO CAIXA PREVISTO]],"mmm")))</f>
        <v>FEV</v>
      </c>
      <c r="N86" s="128">
        <f>IF(tbRegistroSaidas[[#This Row],[DATA DO CAIXA PREVISTO]]="N/A",0,YEAR(tbRegistroSaidas[[#This Row],[DATA DO CAIXA PREVISTO]]))</f>
        <v>2022</v>
      </c>
    </row>
    <row r="87" spans="1:14" s="5" customFormat="1" ht="14.4" x14ac:dyDescent="0.3">
      <c r="A87" s="49">
        <v>45118</v>
      </c>
      <c r="B87" s="49">
        <f t="shared" si="2"/>
        <v>45087</v>
      </c>
      <c r="C87" s="49">
        <f t="shared" si="3"/>
        <v>45103</v>
      </c>
      <c r="D87" s="52" t="s">
        <v>61</v>
      </c>
      <c r="E87" s="52" t="s">
        <v>1543</v>
      </c>
      <c r="F87" s="52" t="s">
        <v>16</v>
      </c>
      <c r="G87" s="52" t="s">
        <v>1182</v>
      </c>
      <c r="H87" s="18">
        <v>697</v>
      </c>
      <c r="I87" s="128">
        <f>IF(tbRegistroSaidas[[#This Row],[DATA DE CAIXA REALIZADO]]="N/A",0,YEAR(tbRegistroSaidas[[#This Row],[DATA DE CAIXA REALIZADO]]))</f>
        <v>2023</v>
      </c>
      <c r="J87" s="128" t="str">
        <f>IF(tbRegistroSaidas[[#This Row],[DATA DE CAIXA REALIZADO]]="N/A","0",UPPER(TEXT(tbRegistroSaidas[[#This Row],[DATA DE CAIXA REALIZADO]],"mmm")))</f>
        <v>JUL</v>
      </c>
      <c r="K87" s="129" t="str">
        <f>IF(tbRegistroSaidas[[#This Row],[DATA DA COMPETÊNCIA]]="N/A","0",UPPER(TEXT(tbRegistroSaidas[[#This Row],[DATA DA COMPETÊNCIA]],"mmm")))</f>
        <v>JUN</v>
      </c>
      <c r="L87" s="79">
        <f>IF(tbRegistroSaidas[[#This Row],[DATA DA COMPETÊNCIA]]="N/A",0,YEAR(tbRegistroSaidas[[#This Row],[DATA DA COMPETÊNCIA]]))</f>
        <v>2023</v>
      </c>
      <c r="M87" s="128" t="str">
        <f>IF(tbRegistroSaidas[[#This Row],[DATA DO CAIXA PREVISTO]]="N/A","0",UPPER(TEXT(tbRegistroSaidas[[#This Row],[DATA DO CAIXA PREVISTO]],"mmm")))</f>
        <v>JUN</v>
      </c>
      <c r="N87" s="128">
        <f>IF(tbRegistroSaidas[[#This Row],[DATA DO CAIXA PREVISTO]]="N/A",0,YEAR(tbRegistroSaidas[[#This Row],[DATA DO CAIXA PREVISTO]]))</f>
        <v>2023</v>
      </c>
    </row>
    <row r="88" spans="1:14" s="5" customFormat="1" ht="14.4" x14ac:dyDescent="0.3">
      <c r="A88" s="49">
        <v>45097</v>
      </c>
      <c r="B88" s="49">
        <f t="shared" si="2"/>
        <v>45066</v>
      </c>
      <c r="C88" s="49">
        <f t="shared" si="3"/>
        <v>45082</v>
      </c>
      <c r="D88" s="52" t="s">
        <v>137</v>
      </c>
      <c r="E88" s="52" t="s">
        <v>1543</v>
      </c>
      <c r="F88" s="52" t="s">
        <v>32</v>
      </c>
      <c r="G88" s="52" t="s">
        <v>1183</v>
      </c>
      <c r="H88" s="18">
        <v>3800</v>
      </c>
      <c r="I88" s="128">
        <f>IF(tbRegistroSaidas[[#This Row],[DATA DE CAIXA REALIZADO]]="N/A",0,YEAR(tbRegistroSaidas[[#This Row],[DATA DE CAIXA REALIZADO]]))</f>
        <v>2023</v>
      </c>
      <c r="J88" s="128" t="str">
        <f>IF(tbRegistroSaidas[[#This Row],[DATA DE CAIXA REALIZADO]]="N/A","0",UPPER(TEXT(tbRegistroSaidas[[#This Row],[DATA DE CAIXA REALIZADO]],"mmm")))</f>
        <v>JUN</v>
      </c>
      <c r="K88" s="129" t="str">
        <f>IF(tbRegistroSaidas[[#This Row],[DATA DA COMPETÊNCIA]]="N/A","0",UPPER(TEXT(tbRegistroSaidas[[#This Row],[DATA DA COMPETÊNCIA]],"mmm")))</f>
        <v>MAI</v>
      </c>
      <c r="L88" s="79">
        <f>IF(tbRegistroSaidas[[#This Row],[DATA DA COMPETÊNCIA]]="N/A",0,YEAR(tbRegistroSaidas[[#This Row],[DATA DA COMPETÊNCIA]]))</f>
        <v>2023</v>
      </c>
      <c r="M88" s="128" t="str">
        <f>IF(tbRegistroSaidas[[#This Row],[DATA DO CAIXA PREVISTO]]="N/A","0",UPPER(TEXT(tbRegistroSaidas[[#This Row],[DATA DO CAIXA PREVISTO]],"mmm")))</f>
        <v>JUN</v>
      </c>
      <c r="N88" s="128">
        <f>IF(tbRegistroSaidas[[#This Row],[DATA DO CAIXA PREVISTO]]="N/A",0,YEAR(tbRegistroSaidas[[#This Row],[DATA DO CAIXA PREVISTO]]))</f>
        <v>2023</v>
      </c>
    </row>
    <row r="89" spans="1:14" s="5" customFormat="1" ht="14.4" x14ac:dyDescent="0.3">
      <c r="A89" s="49">
        <v>45136</v>
      </c>
      <c r="B89" s="49">
        <f t="shared" si="2"/>
        <v>45105</v>
      </c>
      <c r="C89" s="49">
        <f t="shared" si="3"/>
        <v>45121</v>
      </c>
      <c r="D89" s="52" t="s">
        <v>64</v>
      </c>
      <c r="E89" s="52" t="s">
        <v>1543</v>
      </c>
      <c r="F89" s="52" t="s">
        <v>19</v>
      </c>
      <c r="G89" s="52" t="s">
        <v>487</v>
      </c>
      <c r="H89" s="18">
        <v>3161</v>
      </c>
      <c r="I89" s="128">
        <f>IF(tbRegistroSaidas[[#This Row],[DATA DE CAIXA REALIZADO]]="N/A",0,YEAR(tbRegistroSaidas[[#This Row],[DATA DE CAIXA REALIZADO]]))</f>
        <v>2023</v>
      </c>
      <c r="J89" s="128" t="str">
        <f>IF(tbRegistroSaidas[[#This Row],[DATA DE CAIXA REALIZADO]]="N/A","0",UPPER(TEXT(tbRegistroSaidas[[#This Row],[DATA DE CAIXA REALIZADO]],"mmm")))</f>
        <v>JUL</v>
      </c>
      <c r="K89" s="129" t="str">
        <f>IF(tbRegistroSaidas[[#This Row],[DATA DA COMPETÊNCIA]]="N/A","0",UPPER(TEXT(tbRegistroSaidas[[#This Row],[DATA DA COMPETÊNCIA]],"mmm")))</f>
        <v>JUN</v>
      </c>
      <c r="L89" s="79">
        <f>IF(tbRegistroSaidas[[#This Row],[DATA DA COMPETÊNCIA]]="N/A",0,YEAR(tbRegistroSaidas[[#This Row],[DATA DA COMPETÊNCIA]]))</f>
        <v>2023</v>
      </c>
      <c r="M89" s="128" t="str">
        <f>IF(tbRegistroSaidas[[#This Row],[DATA DO CAIXA PREVISTO]]="N/A","0",UPPER(TEXT(tbRegistroSaidas[[#This Row],[DATA DO CAIXA PREVISTO]],"mmm")))</f>
        <v>JUL</v>
      </c>
      <c r="N89" s="128">
        <f>IF(tbRegistroSaidas[[#This Row],[DATA DO CAIXA PREVISTO]]="N/A",0,YEAR(tbRegistroSaidas[[#This Row],[DATA DO CAIXA PREVISTO]]))</f>
        <v>2023</v>
      </c>
    </row>
    <row r="90" spans="1:14" s="5" customFormat="1" ht="14.4" x14ac:dyDescent="0.3">
      <c r="A90" s="49">
        <v>44329</v>
      </c>
      <c r="B90" s="49">
        <f t="shared" si="2"/>
        <v>44298</v>
      </c>
      <c r="C90" s="49">
        <f t="shared" si="3"/>
        <v>44314</v>
      </c>
      <c r="D90" s="52" t="s">
        <v>67</v>
      </c>
      <c r="E90" s="52" t="s">
        <v>1543</v>
      </c>
      <c r="F90" s="52" t="s">
        <v>32</v>
      </c>
      <c r="G90" s="52" t="s">
        <v>1184</v>
      </c>
      <c r="H90" s="18">
        <v>2533</v>
      </c>
      <c r="I90" s="128">
        <f>IF(tbRegistroSaidas[[#This Row],[DATA DE CAIXA REALIZADO]]="N/A",0,YEAR(tbRegistroSaidas[[#This Row],[DATA DE CAIXA REALIZADO]]))</f>
        <v>2021</v>
      </c>
      <c r="J90" s="128" t="str">
        <f>IF(tbRegistroSaidas[[#This Row],[DATA DE CAIXA REALIZADO]]="N/A","0",UPPER(TEXT(tbRegistroSaidas[[#This Row],[DATA DE CAIXA REALIZADO]],"mmm")))</f>
        <v>MAI</v>
      </c>
      <c r="K90" s="129" t="str">
        <f>IF(tbRegistroSaidas[[#This Row],[DATA DA COMPETÊNCIA]]="N/A","0",UPPER(TEXT(tbRegistroSaidas[[#This Row],[DATA DA COMPETÊNCIA]],"mmm")))</f>
        <v>ABR</v>
      </c>
      <c r="L90" s="79">
        <f>IF(tbRegistroSaidas[[#This Row],[DATA DA COMPETÊNCIA]]="N/A",0,YEAR(tbRegistroSaidas[[#This Row],[DATA DA COMPETÊNCIA]]))</f>
        <v>2021</v>
      </c>
      <c r="M90" s="128" t="str">
        <f>IF(tbRegistroSaidas[[#This Row],[DATA DO CAIXA PREVISTO]]="N/A","0",UPPER(TEXT(tbRegistroSaidas[[#This Row],[DATA DO CAIXA PREVISTO]],"mmm")))</f>
        <v>ABR</v>
      </c>
      <c r="N90" s="128">
        <f>IF(tbRegistroSaidas[[#This Row],[DATA DO CAIXA PREVISTO]]="N/A",0,YEAR(tbRegistroSaidas[[#This Row],[DATA DO CAIXA PREVISTO]]))</f>
        <v>2021</v>
      </c>
    </row>
    <row r="91" spans="1:14" s="5" customFormat="1" ht="14.4" x14ac:dyDescent="0.3">
      <c r="A91" s="49">
        <v>44502</v>
      </c>
      <c r="B91" s="49">
        <f t="shared" si="2"/>
        <v>44471</v>
      </c>
      <c r="C91" s="49">
        <f t="shared" si="3"/>
        <v>44487</v>
      </c>
      <c r="D91" s="52" t="s">
        <v>66</v>
      </c>
      <c r="E91" s="52" t="s">
        <v>1543</v>
      </c>
      <c r="F91" s="52" t="s">
        <v>16</v>
      </c>
      <c r="G91" s="52" t="s">
        <v>1185</v>
      </c>
      <c r="H91" s="18">
        <v>1556</v>
      </c>
      <c r="I91" s="128">
        <f>IF(tbRegistroSaidas[[#This Row],[DATA DE CAIXA REALIZADO]]="N/A",0,YEAR(tbRegistroSaidas[[#This Row],[DATA DE CAIXA REALIZADO]]))</f>
        <v>2021</v>
      </c>
      <c r="J91" s="128" t="str">
        <f>IF(tbRegistroSaidas[[#This Row],[DATA DE CAIXA REALIZADO]]="N/A","0",UPPER(TEXT(tbRegistroSaidas[[#This Row],[DATA DE CAIXA REALIZADO]],"mmm")))</f>
        <v>NOV</v>
      </c>
      <c r="K91" s="129" t="str">
        <f>IF(tbRegistroSaidas[[#This Row],[DATA DA COMPETÊNCIA]]="N/A","0",UPPER(TEXT(tbRegistroSaidas[[#This Row],[DATA DA COMPETÊNCIA]],"mmm")))</f>
        <v>OUT</v>
      </c>
      <c r="L91" s="79">
        <f>IF(tbRegistroSaidas[[#This Row],[DATA DA COMPETÊNCIA]]="N/A",0,YEAR(tbRegistroSaidas[[#This Row],[DATA DA COMPETÊNCIA]]))</f>
        <v>2021</v>
      </c>
      <c r="M91" s="128" t="str">
        <f>IF(tbRegistroSaidas[[#This Row],[DATA DO CAIXA PREVISTO]]="N/A","0",UPPER(TEXT(tbRegistroSaidas[[#This Row],[DATA DO CAIXA PREVISTO]],"mmm")))</f>
        <v>OUT</v>
      </c>
      <c r="N91" s="128">
        <f>IF(tbRegistroSaidas[[#This Row],[DATA DO CAIXA PREVISTO]]="N/A",0,YEAR(tbRegistroSaidas[[#This Row],[DATA DO CAIXA PREVISTO]]))</f>
        <v>2021</v>
      </c>
    </row>
    <row r="92" spans="1:14" s="5" customFormat="1" ht="14.4" x14ac:dyDescent="0.3">
      <c r="A92" s="49">
        <v>45191</v>
      </c>
      <c r="B92" s="49">
        <f t="shared" si="2"/>
        <v>45160</v>
      </c>
      <c r="C92" s="49">
        <f t="shared" si="3"/>
        <v>45176</v>
      </c>
      <c r="D92" s="52" t="s">
        <v>137</v>
      </c>
      <c r="E92" s="52" t="s">
        <v>1543</v>
      </c>
      <c r="F92" s="52" t="s">
        <v>19</v>
      </c>
      <c r="G92" s="52" t="s">
        <v>1186</v>
      </c>
      <c r="H92" s="18">
        <v>2332</v>
      </c>
      <c r="I92" s="128">
        <f>IF(tbRegistroSaidas[[#This Row],[DATA DE CAIXA REALIZADO]]="N/A",0,YEAR(tbRegistroSaidas[[#This Row],[DATA DE CAIXA REALIZADO]]))</f>
        <v>2023</v>
      </c>
      <c r="J92" s="128" t="str">
        <f>IF(tbRegistroSaidas[[#This Row],[DATA DE CAIXA REALIZADO]]="N/A","0",UPPER(TEXT(tbRegistroSaidas[[#This Row],[DATA DE CAIXA REALIZADO]],"mmm")))</f>
        <v>SET</v>
      </c>
      <c r="K92" s="129" t="str">
        <f>IF(tbRegistroSaidas[[#This Row],[DATA DA COMPETÊNCIA]]="N/A","0",UPPER(TEXT(tbRegistroSaidas[[#This Row],[DATA DA COMPETÊNCIA]],"mmm")))</f>
        <v>AGO</v>
      </c>
      <c r="L92" s="79">
        <f>IF(tbRegistroSaidas[[#This Row],[DATA DA COMPETÊNCIA]]="N/A",0,YEAR(tbRegistroSaidas[[#This Row],[DATA DA COMPETÊNCIA]]))</f>
        <v>2023</v>
      </c>
      <c r="M92" s="128" t="str">
        <f>IF(tbRegistroSaidas[[#This Row],[DATA DO CAIXA PREVISTO]]="N/A","0",UPPER(TEXT(tbRegistroSaidas[[#This Row],[DATA DO CAIXA PREVISTO]],"mmm")))</f>
        <v>SET</v>
      </c>
      <c r="N92" s="128">
        <f>IF(tbRegistroSaidas[[#This Row],[DATA DO CAIXA PREVISTO]]="N/A",0,YEAR(tbRegistroSaidas[[#This Row],[DATA DO CAIXA PREVISTO]]))</f>
        <v>2023</v>
      </c>
    </row>
    <row r="93" spans="1:14" s="5" customFormat="1" ht="14.4" x14ac:dyDescent="0.3">
      <c r="A93" s="49">
        <v>45209</v>
      </c>
      <c r="B93" s="49">
        <f t="shared" si="2"/>
        <v>45178</v>
      </c>
      <c r="C93" s="49">
        <f t="shared" si="3"/>
        <v>45194</v>
      </c>
      <c r="D93" s="52" t="s">
        <v>64</v>
      </c>
      <c r="E93" s="52" t="s">
        <v>1543</v>
      </c>
      <c r="F93" s="52" t="s">
        <v>16</v>
      </c>
      <c r="G93" s="52" t="s">
        <v>1187</v>
      </c>
      <c r="H93" s="18">
        <v>3657</v>
      </c>
      <c r="I93" s="128">
        <f>IF(tbRegistroSaidas[[#This Row],[DATA DE CAIXA REALIZADO]]="N/A",0,YEAR(tbRegistroSaidas[[#This Row],[DATA DE CAIXA REALIZADO]]))</f>
        <v>2023</v>
      </c>
      <c r="J93" s="128" t="str">
        <f>IF(tbRegistroSaidas[[#This Row],[DATA DE CAIXA REALIZADO]]="N/A","0",UPPER(TEXT(tbRegistroSaidas[[#This Row],[DATA DE CAIXA REALIZADO]],"mmm")))</f>
        <v>OUT</v>
      </c>
      <c r="K93" s="129" t="str">
        <f>IF(tbRegistroSaidas[[#This Row],[DATA DA COMPETÊNCIA]]="N/A","0",UPPER(TEXT(tbRegistroSaidas[[#This Row],[DATA DA COMPETÊNCIA]],"mmm")))</f>
        <v>SET</v>
      </c>
      <c r="L93" s="79">
        <f>IF(tbRegistroSaidas[[#This Row],[DATA DA COMPETÊNCIA]]="N/A",0,YEAR(tbRegistroSaidas[[#This Row],[DATA DA COMPETÊNCIA]]))</f>
        <v>2023</v>
      </c>
      <c r="M93" s="128" t="str">
        <f>IF(tbRegistroSaidas[[#This Row],[DATA DO CAIXA PREVISTO]]="N/A","0",UPPER(TEXT(tbRegistroSaidas[[#This Row],[DATA DO CAIXA PREVISTO]],"mmm")))</f>
        <v>SET</v>
      </c>
      <c r="N93" s="128">
        <f>IF(tbRegistroSaidas[[#This Row],[DATA DO CAIXA PREVISTO]]="N/A",0,YEAR(tbRegistroSaidas[[#This Row],[DATA DO CAIXA PREVISTO]]))</f>
        <v>2023</v>
      </c>
    </row>
    <row r="94" spans="1:14" s="5" customFormat="1" ht="14.4" x14ac:dyDescent="0.3">
      <c r="A94" s="49">
        <v>44559</v>
      </c>
      <c r="B94" s="49">
        <f t="shared" si="2"/>
        <v>44528</v>
      </c>
      <c r="C94" s="49">
        <f t="shared" si="3"/>
        <v>44544</v>
      </c>
      <c r="D94" s="52" t="s">
        <v>66</v>
      </c>
      <c r="E94" s="52" t="s">
        <v>1543</v>
      </c>
      <c r="F94" s="52" t="s">
        <v>32</v>
      </c>
      <c r="G94" s="52" t="s">
        <v>1188</v>
      </c>
      <c r="H94" s="18">
        <v>2341</v>
      </c>
      <c r="I94" s="128">
        <f>IF(tbRegistroSaidas[[#This Row],[DATA DE CAIXA REALIZADO]]="N/A",0,YEAR(tbRegistroSaidas[[#This Row],[DATA DE CAIXA REALIZADO]]))</f>
        <v>2021</v>
      </c>
      <c r="J94" s="128" t="str">
        <f>IF(tbRegistroSaidas[[#This Row],[DATA DE CAIXA REALIZADO]]="N/A","0",UPPER(TEXT(tbRegistroSaidas[[#This Row],[DATA DE CAIXA REALIZADO]],"mmm")))</f>
        <v>DEZ</v>
      </c>
      <c r="K94" s="129" t="str">
        <f>IF(tbRegistroSaidas[[#This Row],[DATA DA COMPETÊNCIA]]="N/A","0",UPPER(TEXT(tbRegistroSaidas[[#This Row],[DATA DA COMPETÊNCIA]],"mmm")))</f>
        <v>NOV</v>
      </c>
      <c r="L94" s="79">
        <f>IF(tbRegistroSaidas[[#This Row],[DATA DA COMPETÊNCIA]]="N/A",0,YEAR(tbRegistroSaidas[[#This Row],[DATA DA COMPETÊNCIA]]))</f>
        <v>2021</v>
      </c>
      <c r="M94" s="128" t="str">
        <f>IF(tbRegistroSaidas[[#This Row],[DATA DO CAIXA PREVISTO]]="N/A","0",UPPER(TEXT(tbRegistroSaidas[[#This Row],[DATA DO CAIXA PREVISTO]],"mmm")))</f>
        <v>DEZ</v>
      </c>
      <c r="N94" s="128">
        <f>IF(tbRegistroSaidas[[#This Row],[DATA DO CAIXA PREVISTO]]="N/A",0,YEAR(tbRegistroSaidas[[#This Row],[DATA DO CAIXA PREVISTO]]))</f>
        <v>2021</v>
      </c>
    </row>
    <row r="95" spans="1:14" s="5" customFormat="1" ht="14.4" x14ac:dyDescent="0.3">
      <c r="A95" s="49">
        <v>44970</v>
      </c>
      <c r="B95" s="49">
        <f t="shared" si="2"/>
        <v>44939</v>
      </c>
      <c r="C95" s="49">
        <f t="shared" si="3"/>
        <v>44955</v>
      </c>
      <c r="D95" s="52" t="s">
        <v>61</v>
      </c>
      <c r="E95" s="52" t="s">
        <v>1543</v>
      </c>
      <c r="F95" s="52" t="s">
        <v>17</v>
      </c>
      <c r="G95" s="52" t="s">
        <v>1189</v>
      </c>
      <c r="H95" s="18">
        <v>650</v>
      </c>
      <c r="I95" s="128">
        <f>IF(tbRegistroSaidas[[#This Row],[DATA DE CAIXA REALIZADO]]="N/A",0,YEAR(tbRegistroSaidas[[#This Row],[DATA DE CAIXA REALIZADO]]))</f>
        <v>2023</v>
      </c>
      <c r="J95" s="128" t="str">
        <f>IF(tbRegistroSaidas[[#This Row],[DATA DE CAIXA REALIZADO]]="N/A","0",UPPER(TEXT(tbRegistroSaidas[[#This Row],[DATA DE CAIXA REALIZADO]],"mmm")))</f>
        <v>FEV</v>
      </c>
      <c r="K95" s="129" t="str">
        <f>IF(tbRegistroSaidas[[#This Row],[DATA DA COMPETÊNCIA]]="N/A","0",UPPER(TEXT(tbRegistroSaidas[[#This Row],[DATA DA COMPETÊNCIA]],"mmm")))</f>
        <v>JAN</v>
      </c>
      <c r="L95" s="79">
        <f>IF(tbRegistroSaidas[[#This Row],[DATA DA COMPETÊNCIA]]="N/A",0,YEAR(tbRegistroSaidas[[#This Row],[DATA DA COMPETÊNCIA]]))</f>
        <v>2023</v>
      </c>
      <c r="M95" s="128" t="str">
        <f>IF(tbRegistroSaidas[[#This Row],[DATA DO CAIXA PREVISTO]]="N/A","0",UPPER(TEXT(tbRegistroSaidas[[#This Row],[DATA DO CAIXA PREVISTO]],"mmm")))</f>
        <v>JAN</v>
      </c>
      <c r="N95" s="128">
        <f>IF(tbRegistroSaidas[[#This Row],[DATA DO CAIXA PREVISTO]]="N/A",0,YEAR(tbRegistroSaidas[[#This Row],[DATA DO CAIXA PREVISTO]]))</f>
        <v>2023</v>
      </c>
    </row>
    <row r="96" spans="1:14" s="5" customFormat="1" ht="14.4" x14ac:dyDescent="0.3">
      <c r="A96" s="49">
        <v>44611</v>
      </c>
      <c r="B96" s="49">
        <f t="shared" si="2"/>
        <v>44580</v>
      </c>
      <c r="C96" s="49">
        <f t="shared" si="3"/>
        <v>44596</v>
      </c>
      <c r="D96" s="52" t="s">
        <v>63</v>
      </c>
      <c r="E96" s="52" t="s">
        <v>1543</v>
      </c>
      <c r="F96" s="52" t="s">
        <v>18</v>
      </c>
      <c r="G96" s="52" t="s">
        <v>1190</v>
      </c>
      <c r="H96" s="18">
        <v>856</v>
      </c>
      <c r="I96" s="128">
        <f>IF(tbRegistroSaidas[[#This Row],[DATA DE CAIXA REALIZADO]]="N/A",0,YEAR(tbRegistroSaidas[[#This Row],[DATA DE CAIXA REALIZADO]]))</f>
        <v>2022</v>
      </c>
      <c r="J96" s="128" t="str">
        <f>IF(tbRegistroSaidas[[#This Row],[DATA DE CAIXA REALIZADO]]="N/A","0",UPPER(TEXT(tbRegistroSaidas[[#This Row],[DATA DE CAIXA REALIZADO]],"mmm")))</f>
        <v>FEV</v>
      </c>
      <c r="K96" s="129" t="str">
        <f>IF(tbRegistroSaidas[[#This Row],[DATA DA COMPETÊNCIA]]="N/A","0",UPPER(TEXT(tbRegistroSaidas[[#This Row],[DATA DA COMPETÊNCIA]],"mmm")))</f>
        <v>JAN</v>
      </c>
      <c r="L96" s="79">
        <f>IF(tbRegistroSaidas[[#This Row],[DATA DA COMPETÊNCIA]]="N/A",0,YEAR(tbRegistroSaidas[[#This Row],[DATA DA COMPETÊNCIA]]))</f>
        <v>2022</v>
      </c>
      <c r="M96" s="128" t="str">
        <f>IF(tbRegistroSaidas[[#This Row],[DATA DO CAIXA PREVISTO]]="N/A","0",UPPER(TEXT(tbRegistroSaidas[[#This Row],[DATA DO CAIXA PREVISTO]],"mmm")))</f>
        <v>FEV</v>
      </c>
      <c r="N96" s="128">
        <f>IF(tbRegistroSaidas[[#This Row],[DATA DO CAIXA PREVISTO]]="N/A",0,YEAR(tbRegistroSaidas[[#This Row],[DATA DO CAIXA PREVISTO]]))</f>
        <v>2022</v>
      </c>
    </row>
    <row r="97" spans="1:14" s="5" customFormat="1" ht="14.4" x14ac:dyDescent="0.3">
      <c r="A97" s="49">
        <v>45132</v>
      </c>
      <c r="B97" s="49">
        <f t="shared" si="2"/>
        <v>45101</v>
      </c>
      <c r="C97" s="49">
        <f t="shared" si="3"/>
        <v>45117</v>
      </c>
      <c r="D97" s="52" t="s">
        <v>61</v>
      </c>
      <c r="E97" s="52" t="s">
        <v>1543</v>
      </c>
      <c r="F97" s="52" t="s">
        <v>16</v>
      </c>
      <c r="G97" s="52" t="s">
        <v>1191</v>
      </c>
      <c r="H97" s="18">
        <v>1406</v>
      </c>
      <c r="I97" s="128">
        <f>IF(tbRegistroSaidas[[#This Row],[DATA DE CAIXA REALIZADO]]="N/A",0,YEAR(tbRegistroSaidas[[#This Row],[DATA DE CAIXA REALIZADO]]))</f>
        <v>2023</v>
      </c>
      <c r="J97" s="128" t="str">
        <f>IF(tbRegistroSaidas[[#This Row],[DATA DE CAIXA REALIZADO]]="N/A","0",UPPER(TEXT(tbRegistroSaidas[[#This Row],[DATA DE CAIXA REALIZADO]],"mmm")))</f>
        <v>JUL</v>
      </c>
      <c r="K97" s="129" t="str">
        <f>IF(tbRegistroSaidas[[#This Row],[DATA DA COMPETÊNCIA]]="N/A","0",UPPER(TEXT(tbRegistroSaidas[[#This Row],[DATA DA COMPETÊNCIA]],"mmm")))</f>
        <v>JUN</v>
      </c>
      <c r="L97" s="79">
        <f>IF(tbRegistroSaidas[[#This Row],[DATA DA COMPETÊNCIA]]="N/A",0,YEAR(tbRegistroSaidas[[#This Row],[DATA DA COMPETÊNCIA]]))</f>
        <v>2023</v>
      </c>
      <c r="M97" s="128" t="str">
        <f>IF(tbRegistroSaidas[[#This Row],[DATA DO CAIXA PREVISTO]]="N/A","0",UPPER(TEXT(tbRegistroSaidas[[#This Row],[DATA DO CAIXA PREVISTO]],"mmm")))</f>
        <v>JUL</v>
      </c>
      <c r="N97" s="128">
        <f>IF(tbRegistroSaidas[[#This Row],[DATA DO CAIXA PREVISTO]]="N/A",0,YEAR(tbRegistroSaidas[[#This Row],[DATA DO CAIXA PREVISTO]]))</f>
        <v>2023</v>
      </c>
    </row>
    <row r="98" spans="1:14" s="5" customFormat="1" ht="14.4" x14ac:dyDescent="0.3">
      <c r="A98" s="49">
        <v>44654</v>
      </c>
      <c r="B98" s="49">
        <f t="shared" si="2"/>
        <v>44623</v>
      </c>
      <c r="C98" s="49">
        <f t="shared" si="3"/>
        <v>44639</v>
      </c>
      <c r="D98" s="52" t="s">
        <v>138</v>
      </c>
      <c r="E98" s="52" t="s">
        <v>1543</v>
      </c>
      <c r="F98" s="52" t="s">
        <v>19</v>
      </c>
      <c r="G98" s="52" t="s">
        <v>1192</v>
      </c>
      <c r="H98" s="18">
        <v>3353</v>
      </c>
      <c r="I98" s="128">
        <f>IF(tbRegistroSaidas[[#This Row],[DATA DE CAIXA REALIZADO]]="N/A",0,YEAR(tbRegistroSaidas[[#This Row],[DATA DE CAIXA REALIZADO]]))</f>
        <v>2022</v>
      </c>
      <c r="J98" s="128" t="str">
        <f>IF(tbRegistroSaidas[[#This Row],[DATA DE CAIXA REALIZADO]]="N/A","0",UPPER(TEXT(tbRegistroSaidas[[#This Row],[DATA DE CAIXA REALIZADO]],"mmm")))</f>
        <v>ABR</v>
      </c>
      <c r="K98" s="129" t="str">
        <f>IF(tbRegistroSaidas[[#This Row],[DATA DA COMPETÊNCIA]]="N/A","0",UPPER(TEXT(tbRegistroSaidas[[#This Row],[DATA DA COMPETÊNCIA]],"mmm")))</f>
        <v>MAR</v>
      </c>
      <c r="L98" s="79">
        <f>IF(tbRegistroSaidas[[#This Row],[DATA DA COMPETÊNCIA]]="N/A",0,YEAR(tbRegistroSaidas[[#This Row],[DATA DA COMPETÊNCIA]]))</f>
        <v>2022</v>
      </c>
      <c r="M98" s="128" t="str">
        <f>IF(tbRegistroSaidas[[#This Row],[DATA DO CAIXA PREVISTO]]="N/A","0",UPPER(TEXT(tbRegistroSaidas[[#This Row],[DATA DO CAIXA PREVISTO]],"mmm")))</f>
        <v>MAR</v>
      </c>
      <c r="N98" s="128">
        <f>IF(tbRegistroSaidas[[#This Row],[DATA DO CAIXA PREVISTO]]="N/A",0,YEAR(tbRegistroSaidas[[#This Row],[DATA DO CAIXA PREVISTO]]))</f>
        <v>2022</v>
      </c>
    </row>
    <row r="99" spans="1:14" s="5" customFormat="1" ht="14.4" x14ac:dyDescent="0.3">
      <c r="A99" s="49">
        <v>45018</v>
      </c>
      <c r="B99" s="49">
        <f t="shared" si="2"/>
        <v>44987</v>
      </c>
      <c r="C99" s="49">
        <f t="shared" si="3"/>
        <v>45003</v>
      </c>
      <c r="D99" s="52" t="s">
        <v>63</v>
      </c>
      <c r="E99" s="52" t="s">
        <v>1543</v>
      </c>
      <c r="F99" s="52" t="s">
        <v>16</v>
      </c>
      <c r="G99" s="52" t="s">
        <v>1186</v>
      </c>
      <c r="H99" s="18">
        <v>420</v>
      </c>
      <c r="I99" s="128">
        <f>IF(tbRegistroSaidas[[#This Row],[DATA DE CAIXA REALIZADO]]="N/A",0,YEAR(tbRegistroSaidas[[#This Row],[DATA DE CAIXA REALIZADO]]))</f>
        <v>2023</v>
      </c>
      <c r="J99" s="128" t="str">
        <f>IF(tbRegistroSaidas[[#This Row],[DATA DE CAIXA REALIZADO]]="N/A","0",UPPER(TEXT(tbRegistroSaidas[[#This Row],[DATA DE CAIXA REALIZADO]],"mmm")))</f>
        <v>ABR</v>
      </c>
      <c r="K99" s="129" t="str">
        <f>IF(tbRegistroSaidas[[#This Row],[DATA DA COMPETÊNCIA]]="N/A","0",UPPER(TEXT(tbRegistroSaidas[[#This Row],[DATA DA COMPETÊNCIA]],"mmm")))</f>
        <v>MAR</v>
      </c>
      <c r="L99" s="79">
        <f>IF(tbRegistroSaidas[[#This Row],[DATA DA COMPETÊNCIA]]="N/A",0,YEAR(tbRegistroSaidas[[#This Row],[DATA DA COMPETÊNCIA]]))</f>
        <v>2023</v>
      </c>
      <c r="M99" s="128" t="str">
        <f>IF(tbRegistroSaidas[[#This Row],[DATA DO CAIXA PREVISTO]]="N/A","0",UPPER(TEXT(tbRegistroSaidas[[#This Row],[DATA DO CAIXA PREVISTO]],"mmm")))</f>
        <v>MAR</v>
      </c>
      <c r="N99" s="128">
        <f>IF(tbRegistroSaidas[[#This Row],[DATA DO CAIXA PREVISTO]]="N/A",0,YEAR(tbRegistroSaidas[[#This Row],[DATA DO CAIXA PREVISTO]]))</f>
        <v>2023</v>
      </c>
    </row>
    <row r="100" spans="1:14" s="5" customFormat="1" ht="14.4" x14ac:dyDescent="0.3">
      <c r="A100" s="49">
        <v>44274</v>
      </c>
      <c r="B100" s="49">
        <f t="shared" si="2"/>
        <v>44243</v>
      </c>
      <c r="C100" s="49">
        <f t="shared" si="3"/>
        <v>44259</v>
      </c>
      <c r="D100" s="52" t="s">
        <v>61</v>
      </c>
      <c r="E100" s="52" t="s">
        <v>1543</v>
      </c>
      <c r="F100" s="52" t="s">
        <v>17</v>
      </c>
      <c r="G100" s="52" t="s">
        <v>1193</v>
      </c>
      <c r="H100" s="18">
        <v>1138</v>
      </c>
      <c r="I100" s="128">
        <f>IF(tbRegistroSaidas[[#This Row],[DATA DE CAIXA REALIZADO]]="N/A",0,YEAR(tbRegistroSaidas[[#This Row],[DATA DE CAIXA REALIZADO]]))</f>
        <v>2021</v>
      </c>
      <c r="J100" s="128" t="str">
        <f>IF(tbRegistroSaidas[[#This Row],[DATA DE CAIXA REALIZADO]]="N/A","0",UPPER(TEXT(tbRegistroSaidas[[#This Row],[DATA DE CAIXA REALIZADO]],"mmm")))</f>
        <v>MAR</v>
      </c>
      <c r="K100" s="129" t="str">
        <f>IF(tbRegistroSaidas[[#This Row],[DATA DA COMPETÊNCIA]]="N/A","0",UPPER(TEXT(tbRegistroSaidas[[#This Row],[DATA DA COMPETÊNCIA]],"mmm")))</f>
        <v>FEV</v>
      </c>
      <c r="L100" s="79">
        <f>IF(tbRegistroSaidas[[#This Row],[DATA DA COMPETÊNCIA]]="N/A",0,YEAR(tbRegistroSaidas[[#This Row],[DATA DA COMPETÊNCIA]]))</f>
        <v>2021</v>
      </c>
      <c r="M100" s="128" t="str">
        <f>IF(tbRegistroSaidas[[#This Row],[DATA DO CAIXA PREVISTO]]="N/A","0",UPPER(TEXT(tbRegistroSaidas[[#This Row],[DATA DO CAIXA PREVISTO]],"mmm")))</f>
        <v>MAR</v>
      </c>
      <c r="N100" s="128">
        <f>IF(tbRegistroSaidas[[#This Row],[DATA DO CAIXA PREVISTO]]="N/A",0,YEAR(tbRegistroSaidas[[#This Row],[DATA DO CAIXA PREVISTO]]))</f>
        <v>2021</v>
      </c>
    </row>
    <row r="101" spans="1:14" s="5" customFormat="1" ht="14.4" x14ac:dyDescent="0.3">
      <c r="A101" s="49">
        <v>44565</v>
      </c>
      <c r="B101" s="49">
        <f t="shared" si="2"/>
        <v>44534</v>
      </c>
      <c r="C101" s="49">
        <f t="shared" si="3"/>
        <v>44550</v>
      </c>
      <c r="D101" s="52" t="s">
        <v>63</v>
      </c>
      <c r="E101" s="52" t="s">
        <v>1543</v>
      </c>
      <c r="F101" s="52" t="s">
        <v>18</v>
      </c>
      <c r="G101" s="52" t="s">
        <v>1194</v>
      </c>
      <c r="H101" s="18">
        <v>748</v>
      </c>
      <c r="I101" s="128">
        <f>IF(tbRegistroSaidas[[#This Row],[DATA DE CAIXA REALIZADO]]="N/A",0,YEAR(tbRegistroSaidas[[#This Row],[DATA DE CAIXA REALIZADO]]))</f>
        <v>2022</v>
      </c>
      <c r="J101" s="128" t="str">
        <f>IF(tbRegistroSaidas[[#This Row],[DATA DE CAIXA REALIZADO]]="N/A","0",UPPER(TEXT(tbRegistroSaidas[[#This Row],[DATA DE CAIXA REALIZADO]],"mmm")))</f>
        <v>JAN</v>
      </c>
      <c r="K101" s="129" t="str">
        <f>IF(tbRegistroSaidas[[#This Row],[DATA DA COMPETÊNCIA]]="N/A","0",UPPER(TEXT(tbRegistroSaidas[[#This Row],[DATA DA COMPETÊNCIA]],"mmm")))</f>
        <v>DEZ</v>
      </c>
      <c r="L101" s="79">
        <f>IF(tbRegistroSaidas[[#This Row],[DATA DA COMPETÊNCIA]]="N/A",0,YEAR(tbRegistroSaidas[[#This Row],[DATA DA COMPETÊNCIA]]))</f>
        <v>2021</v>
      </c>
      <c r="M101" s="128" t="str">
        <f>IF(tbRegistroSaidas[[#This Row],[DATA DO CAIXA PREVISTO]]="N/A","0",UPPER(TEXT(tbRegistroSaidas[[#This Row],[DATA DO CAIXA PREVISTO]],"mmm")))</f>
        <v>DEZ</v>
      </c>
      <c r="N101" s="128">
        <f>IF(tbRegistroSaidas[[#This Row],[DATA DO CAIXA PREVISTO]]="N/A",0,YEAR(tbRegistroSaidas[[#This Row],[DATA DO CAIXA PREVISTO]]))</f>
        <v>2021</v>
      </c>
    </row>
    <row r="102" spans="1:14" s="5" customFormat="1" ht="14.4" x14ac:dyDescent="0.3">
      <c r="A102" s="49">
        <v>44522</v>
      </c>
      <c r="B102" s="49">
        <f t="shared" si="2"/>
        <v>44491</v>
      </c>
      <c r="C102" s="49">
        <f t="shared" si="3"/>
        <v>44507</v>
      </c>
      <c r="D102" s="52" t="s">
        <v>61</v>
      </c>
      <c r="E102" s="52" t="s">
        <v>1543</v>
      </c>
      <c r="F102" s="52" t="s">
        <v>17</v>
      </c>
      <c r="G102" s="52" t="s">
        <v>1195</v>
      </c>
      <c r="H102" s="18">
        <v>992</v>
      </c>
      <c r="I102" s="128">
        <f>IF(tbRegistroSaidas[[#This Row],[DATA DE CAIXA REALIZADO]]="N/A",0,YEAR(tbRegistroSaidas[[#This Row],[DATA DE CAIXA REALIZADO]]))</f>
        <v>2021</v>
      </c>
      <c r="J102" s="128" t="str">
        <f>IF(tbRegistroSaidas[[#This Row],[DATA DE CAIXA REALIZADO]]="N/A","0",UPPER(TEXT(tbRegistroSaidas[[#This Row],[DATA DE CAIXA REALIZADO]],"mmm")))</f>
        <v>NOV</v>
      </c>
      <c r="K102" s="129" t="str">
        <f>IF(tbRegistroSaidas[[#This Row],[DATA DA COMPETÊNCIA]]="N/A","0",UPPER(TEXT(tbRegistroSaidas[[#This Row],[DATA DA COMPETÊNCIA]],"mmm")))</f>
        <v>OUT</v>
      </c>
      <c r="L102" s="79">
        <f>IF(tbRegistroSaidas[[#This Row],[DATA DA COMPETÊNCIA]]="N/A",0,YEAR(tbRegistroSaidas[[#This Row],[DATA DA COMPETÊNCIA]]))</f>
        <v>2021</v>
      </c>
      <c r="M102" s="128" t="str">
        <f>IF(tbRegistroSaidas[[#This Row],[DATA DO CAIXA PREVISTO]]="N/A","0",UPPER(TEXT(tbRegistroSaidas[[#This Row],[DATA DO CAIXA PREVISTO]],"mmm")))</f>
        <v>NOV</v>
      </c>
      <c r="N102" s="128">
        <f>IF(tbRegistroSaidas[[#This Row],[DATA DO CAIXA PREVISTO]]="N/A",0,YEAR(tbRegistroSaidas[[#This Row],[DATA DO CAIXA PREVISTO]]))</f>
        <v>2021</v>
      </c>
    </row>
    <row r="103" spans="1:14" s="5" customFormat="1" ht="14.4" x14ac:dyDescent="0.3">
      <c r="A103" s="49">
        <v>44340</v>
      </c>
      <c r="B103" s="49">
        <f t="shared" si="2"/>
        <v>44309</v>
      </c>
      <c r="C103" s="49">
        <f t="shared" si="3"/>
        <v>44325</v>
      </c>
      <c r="D103" s="52" t="s">
        <v>61</v>
      </c>
      <c r="E103" s="52" t="s">
        <v>1543</v>
      </c>
      <c r="F103" s="52" t="s">
        <v>32</v>
      </c>
      <c r="G103" s="52" t="s">
        <v>1196</v>
      </c>
      <c r="H103" s="18">
        <v>1537</v>
      </c>
      <c r="I103" s="128">
        <f>IF(tbRegistroSaidas[[#This Row],[DATA DE CAIXA REALIZADO]]="N/A",0,YEAR(tbRegistroSaidas[[#This Row],[DATA DE CAIXA REALIZADO]]))</f>
        <v>2021</v>
      </c>
      <c r="J103" s="128" t="str">
        <f>IF(tbRegistroSaidas[[#This Row],[DATA DE CAIXA REALIZADO]]="N/A","0",UPPER(TEXT(tbRegistroSaidas[[#This Row],[DATA DE CAIXA REALIZADO]],"mmm")))</f>
        <v>MAI</v>
      </c>
      <c r="K103" s="129" t="str">
        <f>IF(tbRegistroSaidas[[#This Row],[DATA DA COMPETÊNCIA]]="N/A","0",UPPER(TEXT(tbRegistroSaidas[[#This Row],[DATA DA COMPETÊNCIA]],"mmm")))</f>
        <v>ABR</v>
      </c>
      <c r="L103" s="79">
        <f>IF(tbRegistroSaidas[[#This Row],[DATA DA COMPETÊNCIA]]="N/A",0,YEAR(tbRegistroSaidas[[#This Row],[DATA DA COMPETÊNCIA]]))</f>
        <v>2021</v>
      </c>
      <c r="M103" s="128" t="str">
        <f>IF(tbRegistroSaidas[[#This Row],[DATA DO CAIXA PREVISTO]]="N/A","0",UPPER(TEXT(tbRegistroSaidas[[#This Row],[DATA DO CAIXA PREVISTO]],"mmm")))</f>
        <v>MAI</v>
      </c>
      <c r="N103" s="128">
        <f>IF(tbRegistroSaidas[[#This Row],[DATA DO CAIXA PREVISTO]]="N/A",0,YEAR(tbRegistroSaidas[[#This Row],[DATA DO CAIXA PREVISTO]]))</f>
        <v>2021</v>
      </c>
    </row>
    <row r="104" spans="1:14" s="5" customFormat="1" ht="14.4" x14ac:dyDescent="0.3">
      <c r="A104" s="49">
        <v>44217</v>
      </c>
      <c r="B104" s="49">
        <f t="shared" si="2"/>
        <v>44186</v>
      </c>
      <c r="C104" s="49">
        <f t="shared" si="3"/>
        <v>44202</v>
      </c>
      <c r="D104" s="52" t="s">
        <v>64</v>
      </c>
      <c r="E104" s="52" t="s">
        <v>1543</v>
      </c>
      <c r="F104" s="52" t="s">
        <v>18</v>
      </c>
      <c r="G104" s="52" t="s">
        <v>1118</v>
      </c>
      <c r="H104" s="18">
        <v>3390</v>
      </c>
      <c r="I104" s="128">
        <f>IF(tbRegistroSaidas[[#This Row],[DATA DE CAIXA REALIZADO]]="N/A",0,YEAR(tbRegistroSaidas[[#This Row],[DATA DE CAIXA REALIZADO]]))</f>
        <v>2021</v>
      </c>
      <c r="J104" s="128" t="str">
        <f>IF(tbRegistroSaidas[[#This Row],[DATA DE CAIXA REALIZADO]]="N/A","0",UPPER(TEXT(tbRegistroSaidas[[#This Row],[DATA DE CAIXA REALIZADO]],"mmm")))</f>
        <v>JAN</v>
      </c>
      <c r="K104" s="129" t="str">
        <f>IF(tbRegistroSaidas[[#This Row],[DATA DA COMPETÊNCIA]]="N/A","0",UPPER(TEXT(tbRegistroSaidas[[#This Row],[DATA DA COMPETÊNCIA]],"mmm")))</f>
        <v>DEZ</v>
      </c>
      <c r="L104" s="79">
        <f>IF(tbRegistroSaidas[[#This Row],[DATA DA COMPETÊNCIA]]="N/A",0,YEAR(tbRegistroSaidas[[#This Row],[DATA DA COMPETÊNCIA]]))</f>
        <v>2020</v>
      </c>
      <c r="M104" s="128" t="str">
        <f>IF(tbRegistroSaidas[[#This Row],[DATA DO CAIXA PREVISTO]]="N/A","0",UPPER(TEXT(tbRegistroSaidas[[#This Row],[DATA DO CAIXA PREVISTO]],"mmm")))</f>
        <v>JAN</v>
      </c>
      <c r="N104" s="128">
        <f>IF(tbRegistroSaidas[[#This Row],[DATA DO CAIXA PREVISTO]]="N/A",0,YEAR(tbRegistroSaidas[[#This Row],[DATA DO CAIXA PREVISTO]]))</f>
        <v>2021</v>
      </c>
    </row>
    <row r="105" spans="1:14" s="5" customFormat="1" ht="14.4" x14ac:dyDescent="0.3">
      <c r="A105" s="49">
        <v>45033</v>
      </c>
      <c r="B105" s="49">
        <f t="shared" si="2"/>
        <v>45002</v>
      </c>
      <c r="C105" s="49">
        <f t="shared" si="3"/>
        <v>45018</v>
      </c>
      <c r="D105" s="52" t="s">
        <v>61</v>
      </c>
      <c r="E105" s="52" t="s">
        <v>1543</v>
      </c>
      <c r="F105" s="52" t="s">
        <v>19</v>
      </c>
      <c r="G105" s="52" t="s">
        <v>1197</v>
      </c>
      <c r="H105" s="18">
        <v>552</v>
      </c>
      <c r="I105" s="128">
        <f>IF(tbRegistroSaidas[[#This Row],[DATA DE CAIXA REALIZADO]]="N/A",0,YEAR(tbRegistroSaidas[[#This Row],[DATA DE CAIXA REALIZADO]]))</f>
        <v>2023</v>
      </c>
      <c r="J105" s="128" t="str">
        <f>IF(tbRegistroSaidas[[#This Row],[DATA DE CAIXA REALIZADO]]="N/A","0",UPPER(TEXT(tbRegistroSaidas[[#This Row],[DATA DE CAIXA REALIZADO]],"mmm")))</f>
        <v>ABR</v>
      </c>
      <c r="K105" s="129" t="str">
        <f>IF(tbRegistroSaidas[[#This Row],[DATA DA COMPETÊNCIA]]="N/A","0",UPPER(TEXT(tbRegistroSaidas[[#This Row],[DATA DA COMPETÊNCIA]],"mmm")))</f>
        <v>MAR</v>
      </c>
      <c r="L105" s="79">
        <f>IF(tbRegistroSaidas[[#This Row],[DATA DA COMPETÊNCIA]]="N/A",0,YEAR(tbRegistroSaidas[[#This Row],[DATA DA COMPETÊNCIA]]))</f>
        <v>2023</v>
      </c>
      <c r="M105" s="128" t="str">
        <f>IF(tbRegistroSaidas[[#This Row],[DATA DO CAIXA PREVISTO]]="N/A","0",UPPER(TEXT(tbRegistroSaidas[[#This Row],[DATA DO CAIXA PREVISTO]],"mmm")))</f>
        <v>ABR</v>
      </c>
      <c r="N105" s="128">
        <f>IF(tbRegistroSaidas[[#This Row],[DATA DO CAIXA PREVISTO]]="N/A",0,YEAR(tbRegistroSaidas[[#This Row],[DATA DO CAIXA PREVISTO]]))</f>
        <v>2023</v>
      </c>
    </row>
    <row r="106" spans="1:14" s="5" customFormat="1" ht="14.4" x14ac:dyDescent="0.3">
      <c r="A106" s="49">
        <v>45066</v>
      </c>
      <c r="B106" s="49">
        <f t="shared" si="2"/>
        <v>45035</v>
      </c>
      <c r="C106" s="49">
        <f t="shared" si="3"/>
        <v>45051</v>
      </c>
      <c r="D106" s="52" t="s">
        <v>63</v>
      </c>
      <c r="E106" s="52" t="s">
        <v>1543</v>
      </c>
      <c r="F106" s="52" t="s">
        <v>16</v>
      </c>
      <c r="G106" s="52" t="s">
        <v>1198</v>
      </c>
      <c r="H106" s="18">
        <v>2281</v>
      </c>
      <c r="I106" s="128">
        <f>IF(tbRegistroSaidas[[#This Row],[DATA DE CAIXA REALIZADO]]="N/A",0,YEAR(tbRegistroSaidas[[#This Row],[DATA DE CAIXA REALIZADO]]))</f>
        <v>2023</v>
      </c>
      <c r="J106" s="128" t="str">
        <f>IF(tbRegistroSaidas[[#This Row],[DATA DE CAIXA REALIZADO]]="N/A","0",UPPER(TEXT(tbRegistroSaidas[[#This Row],[DATA DE CAIXA REALIZADO]],"mmm")))</f>
        <v>MAI</v>
      </c>
      <c r="K106" s="129" t="str">
        <f>IF(tbRegistroSaidas[[#This Row],[DATA DA COMPETÊNCIA]]="N/A","0",UPPER(TEXT(tbRegistroSaidas[[#This Row],[DATA DA COMPETÊNCIA]],"mmm")))</f>
        <v>ABR</v>
      </c>
      <c r="L106" s="79">
        <f>IF(tbRegistroSaidas[[#This Row],[DATA DA COMPETÊNCIA]]="N/A",0,YEAR(tbRegistroSaidas[[#This Row],[DATA DA COMPETÊNCIA]]))</f>
        <v>2023</v>
      </c>
      <c r="M106" s="128" t="str">
        <f>IF(tbRegistroSaidas[[#This Row],[DATA DO CAIXA PREVISTO]]="N/A","0",UPPER(TEXT(tbRegistroSaidas[[#This Row],[DATA DO CAIXA PREVISTO]],"mmm")))</f>
        <v>MAI</v>
      </c>
      <c r="N106" s="128">
        <f>IF(tbRegistroSaidas[[#This Row],[DATA DO CAIXA PREVISTO]]="N/A",0,YEAR(tbRegistroSaidas[[#This Row],[DATA DO CAIXA PREVISTO]]))</f>
        <v>2023</v>
      </c>
    </row>
    <row r="107" spans="1:14" s="5" customFormat="1" ht="14.4" x14ac:dyDescent="0.3">
      <c r="A107" s="49">
        <v>44260</v>
      </c>
      <c r="B107" s="49">
        <f t="shared" si="2"/>
        <v>44229</v>
      </c>
      <c r="C107" s="49">
        <f t="shared" si="3"/>
        <v>44245</v>
      </c>
      <c r="D107" s="52" t="s">
        <v>63</v>
      </c>
      <c r="E107" s="52" t="s">
        <v>1543</v>
      </c>
      <c r="F107" s="52" t="s">
        <v>19</v>
      </c>
      <c r="G107" s="52" t="s">
        <v>1199</v>
      </c>
      <c r="H107" s="18">
        <v>2726</v>
      </c>
      <c r="I107" s="128">
        <f>IF(tbRegistroSaidas[[#This Row],[DATA DE CAIXA REALIZADO]]="N/A",0,YEAR(tbRegistroSaidas[[#This Row],[DATA DE CAIXA REALIZADO]]))</f>
        <v>2021</v>
      </c>
      <c r="J107" s="128" t="str">
        <f>IF(tbRegistroSaidas[[#This Row],[DATA DE CAIXA REALIZADO]]="N/A","0",UPPER(TEXT(tbRegistroSaidas[[#This Row],[DATA DE CAIXA REALIZADO]],"mmm")))</f>
        <v>MAR</v>
      </c>
      <c r="K107" s="129" t="str">
        <f>IF(tbRegistroSaidas[[#This Row],[DATA DA COMPETÊNCIA]]="N/A","0",UPPER(TEXT(tbRegistroSaidas[[#This Row],[DATA DA COMPETÊNCIA]],"mmm")))</f>
        <v>FEV</v>
      </c>
      <c r="L107" s="79">
        <f>IF(tbRegistroSaidas[[#This Row],[DATA DA COMPETÊNCIA]]="N/A",0,YEAR(tbRegistroSaidas[[#This Row],[DATA DA COMPETÊNCIA]]))</f>
        <v>2021</v>
      </c>
      <c r="M107" s="128" t="str">
        <f>IF(tbRegistroSaidas[[#This Row],[DATA DO CAIXA PREVISTO]]="N/A","0",UPPER(TEXT(tbRegistroSaidas[[#This Row],[DATA DO CAIXA PREVISTO]],"mmm")))</f>
        <v>FEV</v>
      </c>
      <c r="N107" s="128">
        <f>IF(tbRegistroSaidas[[#This Row],[DATA DO CAIXA PREVISTO]]="N/A",0,YEAR(tbRegistroSaidas[[#This Row],[DATA DO CAIXA PREVISTO]]))</f>
        <v>2021</v>
      </c>
    </row>
    <row r="108" spans="1:14" s="5" customFormat="1" ht="14.4" x14ac:dyDescent="0.3">
      <c r="A108" s="49">
        <v>44692</v>
      </c>
      <c r="B108" s="49">
        <f t="shared" si="2"/>
        <v>44661</v>
      </c>
      <c r="C108" s="49">
        <f t="shared" si="3"/>
        <v>44677</v>
      </c>
      <c r="D108" s="52" t="s">
        <v>64</v>
      </c>
      <c r="E108" s="52" t="s">
        <v>1543</v>
      </c>
      <c r="F108" s="52" t="s">
        <v>32</v>
      </c>
      <c r="G108" s="52" t="s">
        <v>1200</v>
      </c>
      <c r="H108" s="18">
        <v>3740</v>
      </c>
      <c r="I108" s="128">
        <f>IF(tbRegistroSaidas[[#This Row],[DATA DE CAIXA REALIZADO]]="N/A",0,YEAR(tbRegistroSaidas[[#This Row],[DATA DE CAIXA REALIZADO]]))</f>
        <v>2022</v>
      </c>
      <c r="J108" s="128" t="str">
        <f>IF(tbRegistroSaidas[[#This Row],[DATA DE CAIXA REALIZADO]]="N/A","0",UPPER(TEXT(tbRegistroSaidas[[#This Row],[DATA DE CAIXA REALIZADO]],"mmm")))</f>
        <v>MAI</v>
      </c>
      <c r="K108" s="129" t="str">
        <f>IF(tbRegistroSaidas[[#This Row],[DATA DA COMPETÊNCIA]]="N/A","0",UPPER(TEXT(tbRegistroSaidas[[#This Row],[DATA DA COMPETÊNCIA]],"mmm")))</f>
        <v>ABR</v>
      </c>
      <c r="L108" s="79">
        <f>IF(tbRegistroSaidas[[#This Row],[DATA DA COMPETÊNCIA]]="N/A",0,YEAR(tbRegistroSaidas[[#This Row],[DATA DA COMPETÊNCIA]]))</f>
        <v>2022</v>
      </c>
      <c r="M108" s="128" t="str">
        <f>IF(tbRegistroSaidas[[#This Row],[DATA DO CAIXA PREVISTO]]="N/A","0",UPPER(TEXT(tbRegistroSaidas[[#This Row],[DATA DO CAIXA PREVISTO]],"mmm")))</f>
        <v>ABR</v>
      </c>
      <c r="N108" s="128">
        <f>IF(tbRegistroSaidas[[#This Row],[DATA DO CAIXA PREVISTO]]="N/A",0,YEAR(tbRegistroSaidas[[#This Row],[DATA DO CAIXA PREVISTO]]))</f>
        <v>2022</v>
      </c>
    </row>
    <row r="109" spans="1:14" s="5" customFormat="1" ht="14.4" x14ac:dyDescent="0.3">
      <c r="A109" s="49">
        <v>44326</v>
      </c>
      <c r="B109" s="49">
        <f t="shared" si="2"/>
        <v>44295</v>
      </c>
      <c r="C109" s="49">
        <f t="shared" si="3"/>
        <v>44311</v>
      </c>
      <c r="D109" s="52" t="s">
        <v>61</v>
      </c>
      <c r="E109" s="52" t="s">
        <v>1543</v>
      </c>
      <c r="F109" s="52" t="s">
        <v>32</v>
      </c>
      <c r="G109" s="52" t="s">
        <v>1201</v>
      </c>
      <c r="H109" s="18">
        <v>3259</v>
      </c>
      <c r="I109" s="128">
        <f>IF(tbRegistroSaidas[[#This Row],[DATA DE CAIXA REALIZADO]]="N/A",0,YEAR(tbRegistroSaidas[[#This Row],[DATA DE CAIXA REALIZADO]]))</f>
        <v>2021</v>
      </c>
      <c r="J109" s="128" t="str">
        <f>IF(tbRegistroSaidas[[#This Row],[DATA DE CAIXA REALIZADO]]="N/A","0",UPPER(TEXT(tbRegistroSaidas[[#This Row],[DATA DE CAIXA REALIZADO]],"mmm")))</f>
        <v>MAI</v>
      </c>
      <c r="K109" s="129" t="str">
        <f>IF(tbRegistroSaidas[[#This Row],[DATA DA COMPETÊNCIA]]="N/A","0",UPPER(TEXT(tbRegistroSaidas[[#This Row],[DATA DA COMPETÊNCIA]],"mmm")))</f>
        <v>ABR</v>
      </c>
      <c r="L109" s="79">
        <f>IF(tbRegistroSaidas[[#This Row],[DATA DA COMPETÊNCIA]]="N/A",0,YEAR(tbRegistroSaidas[[#This Row],[DATA DA COMPETÊNCIA]]))</f>
        <v>2021</v>
      </c>
      <c r="M109" s="128" t="str">
        <f>IF(tbRegistroSaidas[[#This Row],[DATA DO CAIXA PREVISTO]]="N/A","0",UPPER(TEXT(tbRegistroSaidas[[#This Row],[DATA DO CAIXA PREVISTO]],"mmm")))</f>
        <v>ABR</v>
      </c>
      <c r="N109" s="128">
        <f>IF(tbRegistroSaidas[[#This Row],[DATA DO CAIXA PREVISTO]]="N/A",0,YEAR(tbRegistroSaidas[[#This Row],[DATA DO CAIXA PREVISTO]]))</f>
        <v>2021</v>
      </c>
    </row>
    <row r="110" spans="1:14" s="5" customFormat="1" ht="14.4" x14ac:dyDescent="0.3">
      <c r="A110" s="49">
        <v>45028</v>
      </c>
      <c r="B110" s="49">
        <f t="shared" si="2"/>
        <v>44997</v>
      </c>
      <c r="C110" s="49">
        <f t="shared" si="3"/>
        <v>45013</v>
      </c>
      <c r="D110" s="52" t="s">
        <v>64</v>
      </c>
      <c r="E110" s="52" t="s">
        <v>1543</v>
      </c>
      <c r="F110" s="52" t="s">
        <v>18</v>
      </c>
      <c r="G110" s="52" t="s">
        <v>1202</v>
      </c>
      <c r="H110" s="18">
        <v>3117</v>
      </c>
      <c r="I110" s="128">
        <f>IF(tbRegistroSaidas[[#This Row],[DATA DE CAIXA REALIZADO]]="N/A",0,YEAR(tbRegistroSaidas[[#This Row],[DATA DE CAIXA REALIZADO]]))</f>
        <v>2023</v>
      </c>
      <c r="J110" s="128" t="str">
        <f>IF(tbRegistroSaidas[[#This Row],[DATA DE CAIXA REALIZADO]]="N/A","0",UPPER(TEXT(tbRegistroSaidas[[#This Row],[DATA DE CAIXA REALIZADO]],"mmm")))</f>
        <v>ABR</v>
      </c>
      <c r="K110" s="129" t="str">
        <f>IF(tbRegistroSaidas[[#This Row],[DATA DA COMPETÊNCIA]]="N/A","0",UPPER(TEXT(tbRegistroSaidas[[#This Row],[DATA DA COMPETÊNCIA]],"mmm")))</f>
        <v>MAR</v>
      </c>
      <c r="L110" s="79">
        <f>IF(tbRegistroSaidas[[#This Row],[DATA DA COMPETÊNCIA]]="N/A",0,YEAR(tbRegistroSaidas[[#This Row],[DATA DA COMPETÊNCIA]]))</f>
        <v>2023</v>
      </c>
      <c r="M110" s="128" t="str">
        <f>IF(tbRegistroSaidas[[#This Row],[DATA DO CAIXA PREVISTO]]="N/A","0",UPPER(TEXT(tbRegistroSaidas[[#This Row],[DATA DO CAIXA PREVISTO]],"mmm")))</f>
        <v>MAR</v>
      </c>
      <c r="N110" s="128">
        <f>IF(tbRegistroSaidas[[#This Row],[DATA DO CAIXA PREVISTO]]="N/A",0,YEAR(tbRegistroSaidas[[#This Row],[DATA DO CAIXA PREVISTO]]))</f>
        <v>2023</v>
      </c>
    </row>
    <row r="111" spans="1:14" s="5" customFormat="1" ht="14.4" x14ac:dyDescent="0.3">
      <c r="A111" s="49">
        <v>44386</v>
      </c>
      <c r="B111" s="49">
        <f t="shared" si="2"/>
        <v>44355</v>
      </c>
      <c r="C111" s="49">
        <f t="shared" si="3"/>
        <v>44371</v>
      </c>
      <c r="D111" s="52" t="s">
        <v>65</v>
      </c>
      <c r="E111" s="52" t="s">
        <v>1543</v>
      </c>
      <c r="F111" s="52" t="s">
        <v>17</v>
      </c>
      <c r="G111" s="52" t="s">
        <v>1203</v>
      </c>
      <c r="H111" s="18">
        <v>493</v>
      </c>
      <c r="I111" s="128">
        <f>IF(tbRegistroSaidas[[#This Row],[DATA DE CAIXA REALIZADO]]="N/A",0,YEAR(tbRegistroSaidas[[#This Row],[DATA DE CAIXA REALIZADO]]))</f>
        <v>2021</v>
      </c>
      <c r="J111" s="128" t="str">
        <f>IF(tbRegistroSaidas[[#This Row],[DATA DE CAIXA REALIZADO]]="N/A","0",UPPER(TEXT(tbRegistroSaidas[[#This Row],[DATA DE CAIXA REALIZADO]],"mmm")))</f>
        <v>JUL</v>
      </c>
      <c r="K111" s="129" t="str">
        <f>IF(tbRegistroSaidas[[#This Row],[DATA DA COMPETÊNCIA]]="N/A","0",UPPER(TEXT(tbRegistroSaidas[[#This Row],[DATA DA COMPETÊNCIA]],"mmm")))</f>
        <v>JUN</v>
      </c>
      <c r="L111" s="79">
        <f>IF(tbRegistroSaidas[[#This Row],[DATA DA COMPETÊNCIA]]="N/A",0,YEAR(tbRegistroSaidas[[#This Row],[DATA DA COMPETÊNCIA]]))</f>
        <v>2021</v>
      </c>
      <c r="M111" s="128" t="str">
        <f>IF(tbRegistroSaidas[[#This Row],[DATA DO CAIXA PREVISTO]]="N/A","0",UPPER(TEXT(tbRegistroSaidas[[#This Row],[DATA DO CAIXA PREVISTO]],"mmm")))</f>
        <v>JUN</v>
      </c>
      <c r="N111" s="128">
        <f>IF(tbRegistroSaidas[[#This Row],[DATA DO CAIXA PREVISTO]]="N/A",0,YEAR(tbRegistroSaidas[[#This Row],[DATA DO CAIXA PREVISTO]]))</f>
        <v>2021</v>
      </c>
    </row>
    <row r="112" spans="1:14" s="5" customFormat="1" ht="14.4" x14ac:dyDescent="0.3">
      <c r="A112" s="49">
        <v>44495</v>
      </c>
      <c r="B112" s="49">
        <f t="shared" si="2"/>
        <v>44464</v>
      </c>
      <c r="C112" s="49">
        <f t="shared" si="3"/>
        <v>44480</v>
      </c>
      <c r="D112" s="52" t="s">
        <v>137</v>
      </c>
      <c r="E112" s="52" t="s">
        <v>1543</v>
      </c>
      <c r="F112" s="52" t="s">
        <v>18</v>
      </c>
      <c r="G112" s="52" t="s">
        <v>1204</v>
      </c>
      <c r="H112" s="18">
        <v>1178</v>
      </c>
      <c r="I112" s="128">
        <f>IF(tbRegistroSaidas[[#This Row],[DATA DE CAIXA REALIZADO]]="N/A",0,YEAR(tbRegistroSaidas[[#This Row],[DATA DE CAIXA REALIZADO]]))</f>
        <v>2021</v>
      </c>
      <c r="J112" s="128" t="str">
        <f>IF(tbRegistroSaidas[[#This Row],[DATA DE CAIXA REALIZADO]]="N/A","0",UPPER(TEXT(tbRegistroSaidas[[#This Row],[DATA DE CAIXA REALIZADO]],"mmm")))</f>
        <v>OUT</v>
      </c>
      <c r="K112" s="129" t="str">
        <f>IF(tbRegistroSaidas[[#This Row],[DATA DA COMPETÊNCIA]]="N/A","0",UPPER(TEXT(tbRegistroSaidas[[#This Row],[DATA DA COMPETÊNCIA]],"mmm")))</f>
        <v>SET</v>
      </c>
      <c r="L112" s="79">
        <f>IF(tbRegistroSaidas[[#This Row],[DATA DA COMPETÊNCIA]]="N/A",0,YEAR(tbRegistroSaidas[[#This Row],[DATA DA COMPETÊNCIA]]))</f>
        <v>2021</v>
      </c>
      <c r="M112" s="128" t="str">
        <f>IF(tbRegistroSaidas[[#This Row],[DATA DO CAIXA PREVISTO]]="N/A","0",UPPER(TEXT(tbRegistroSaidas[[#This Row],[DATA DO CAIXA PREVISTO]],"mmm")))</f>
        <v>OUT</v>
      </c>
      <c r="N112" s="128">
        <f>IF(tbRegistroSaidas[[#This Row],[DATA DO CAIXA PREVISTO]]="N/A",0,YEAR(tbRegistroSaidas[[#This Row],[DATA DO CAIXA PREVISTO]]))</f>
        <v>2021</v>
      </c>
    </row>
    <row r="113" spans="1:14" s="5" customFormat="1" ht="14.4" x14ac:dyDescent="0.3">
      <c r="A113" s="49">
        <v>44211</v>
      </c>
      <c r="B113" s="49">
        <f t="shared" si="2"/>
        <v>44180</v>
      </c>
      <c r="C113" s="49">
        <f t="shared" si="3"/>
        <v>44196</v>
      </c>
      <c r="D113" s="52" t="s">
        <v>138</v>
      </c>
      <c r="E113" s="52" t="s">
        <v>1543</v>
      </c>
      <c r="F113" s="52" t="s">
        <v>17</v>
      </c>
      <c r="G113" s="52" t="s">
        <v>1205</v>
      </c>
      <c r="H113" s="18">
        <v>1166</v>
      </c>
      <c r="I113" s="128">
        <f>IF(tbRegistroSaidas[[#This Row],[DATA DE CAIXA REALIZADO]]="N/A",0,YEAR(tbRegistroSaidas[[#This Row],[DATA DE CAIXA REALIZADO]]))</f>
        <v>2021</v>
      </c>
      <c r="J113" s="128" t="str">
        <f>IF(tbRegistroSaidas[[#This Row],[DATA DE CAIXA REALIZADO]]="N/A","0",UPPER(TEXT(tbRegistroSaidas[[#This Row],[DATA DE CAIXA REALIZADO]],"mmm")))</f>
        <v>JAN</v>
      </c>
      <c r="K113" s="129" t="str">
        <f>IF(tbRegistroSaidas[[#This Row],[DATA DA COMPETÊNCIA]]="N/A","0",UPPER(TEXT(tbRegistroSaidas[[#This Row],[DATA DA COMPETÊNCIA]],"mmm")))</f>
        <v>DEZ</v>
      </c>
      <c r="L113" s="79">
        <f>IF(tbRegistroSaidas[[#This Row],[DATA DA COMPETÊNCIA]]="N/A",0,YEAR(tbRegistroSaidas[[#This Row],[DATA DA COMPETÊNCIA]]))</f>
        <v>2020</v>
      </c>
      <c r="M113" s="128" t="str">
        <f>IF(tbRegistroSaidas[[#This Row],[DATA DO CAIXA PREVISTO]]="N/A","0",UPPER(TEXT(tbRegistroSaidas[[#This Row],[DATA DO CAIXA PREVISTO]],"mmm")))</f>
        <v>DEZ</v>
      </c>
      <c r="N113" s="128">
        <f>IF(tbRegistroSaidas[[#This Row],[DATA DO CAIXA PREVISTO]]="N/A",0,YEAR(tbRegistroSaidas[[#This Row],[DATA DO CAIXA PREVISTO]]))</f>
        <v>2020</v>
      </c>
    </row>
    <row r="114" spans="1:14" s="5" customFormat="1" ht="14.4" x14ac:dyDescent="0.3">
      <c r="A114" s="49">
        <v>44569</v>
      </c>
      <c r="B114" s="49">
        <f t="shared" si="2"/>
        <v>44538</v>
      </c>
      <c r="C114" s="49">
        <f t="shared" si="3"/>
        <v>44554</v>
      </c>
      <c r="D114" s="52" t="s">
        <v>138</v>
      </c>
      <c r="E114" s="52" t="s">
        <v>1543</v>
      </c>
      <c r="F114" s="52" t="s">
        <v>19</v>
      </c>
      <c r="G114" s="52" t="s">
        <v>278</v>
      </c>
      <c r="H114" s="18">
        <v>3669</v>
      </c>
      <c r="I114" s="128">
        <f>IF(tbRegistroSaidas[[#This Row],[DATA DE CAIXA REALIZADO]]="N/A",0,YEAR(tbRegistroSaidas[[#This Row],[DATA DE CAIXA REALIZADO]]))</f>
        <v>2022</v>
      </c>
      <c r="J114" s="128" t="str">
        <f>IF(tbRegistroSaidas[[#This Row],[DATA DE CAIXA REALIZADO]]="N/A","0",UPPER(TEXT(tbRegistroSaidas[[#This Row],[DATA DE CAIXA REALIZADO]],"mmm")))</f>
        <v>JAN</v>
      </c>
      <c r="K114" s="129" t="str">
        <f>IF(tbRegistroSaidas[[#This Row],[DATA DA COMPETÊNCIA]]="N/A","0",UPPER(TEXT(tbRegistroSaidas[[#This Row],[DATA DA COMPETÊNCIA]],"mmm")))</f>
        <v>DEZ</v>
      </c>
      <c r="L114" s="79">
        <f>IF(tbRegistroSaidas[[#This Row],[DATA DA COMPETÊNCIA]]="N/A",0,YEAR(tbRegistroSaidas[[#This Row],[DATA DA COMPETÊNCIA]]))</f>
        <v>2021</v>
      </c>
      <c r="M114" s="128" t="str">
        <f>IF(tbRegistroSaidas[[#This Row],[DATA DO CAIXA PREVISTO]]="N/A","0",UPPER(TEXT(tbRegistroSaidas[[#This Row],[DATA DO CAIXA PREVISTO]],"mmm")))</f>
        <v>DEZ</v>
      </c>
      <c r="N114" s="128">
        <f>IF(tbRegistroSaidas[[#This Row],[DATA DO CAIXA PREVISTO]]="N/A",0,YEAR(tbRegistroSaidas[[#This Row],[DATA DO CAIXA PREVISTO]]))</f>
        <v>2021</v>
      </c>
    </row>
    <row r="115" spans="1:14" s="5" customFormat="1" ht="14.4" x14ac:dyDescent="0.3">
      <c r="A115" s="49">
        <v>44723</v>
      </c>
      <c r="B115" s="49">
        <f t="shared" si="2"/>
        <v>44692</v>
      </c>
      <c r="C115" s="49">
        <f t="shared" si="3"/>
        <v>44708</v>
      </c>
      <c r="D115" s="52" t="s">
        <v>65</v>
      </c>
      <c r="E115" s="52" t="s">
        <v>1543</v>
      </c>
      <c r="F115" s="52" t="s">
        <v>16</v>
      </c>
      <c r="G115" s="52" t="s">
        <v>1206</v>
      </c>
      <c r="H115" s="18">
        <v>3225</v>
      </c>
      <c r="I115" s="128">
        <f>IF(tbRegistroSaidas[[#This Row],[DATA DE CAIXA REALIZADO]]="N/A",0,YEAR(tbRegistroSaidas[[#This Row],[DATA DE CAIXA REALIZADO]]))</f>
        <v>2022</v>
      </c>
      <c r="J115" s="128" t="str">
        <f>IF(tbRegistroSaidas[[#This Row],[DATA DE CAIXA REALIZADO]]="N/A","0",UPPER(TEXT(tbRegistroSaidas[[#This Row],[DATA DE CAIXA REALIZADO]],"mmm")))</f>
        <v>JUN</v>
      </c>
      <c r="K115" s="129" t="str">
        <f>IF(tbRegistroSaidas[[#This Row],[DATA DA COMPETÊNCIA]]="N/A","0",UPPER(TEXT(tbRegistroSaidas[[#This Row],[DATA DA COMPETÊNCIA]],"mmm")))</f>
        <v>MAI</v>
      </c>
      <c r="L115" s="79">
        <f>IF(tbRegistroSaidas[[#This Row],[DATA DA COMPETÊNCIA]]="N/A",0,YEAR(tbRegistroSaidas[[#This Row],[DATA DA COMPETÊNCIA]]))</f>
        <v>2022</v>
      </c>
      <c r="M115" s="128" t="str">
        <f>IF(tbRegistroSaidas[[#This Row],[DATA DO CAIXA PREVISTO]]="N/A","0",UPPER(TEXT(tbRegistroSaidas[[#This Row],[DATA DO CAIXA PREVISTO]],"mmm")))</f>
        <v>MAI</v>
      </c>
      <c r="N115" s="128">
        <f>IF(tbRegistroSaidas[[#This Row],[DATA DO CAIXA PREVISTO]]="N/A",0,YEAR(tbRegistroSaidas[[#This Row],[DATA DO CAIXA PREVISTO]]))</f>
        <v>2022</v>
      </c>
    </row>
    <row r="116" spans="1:14" s="5" customFormat="1" ht="14.4" x14ac:dyDescent="0.3">
      <c r="A116" s="49">
        <v>44805</v>
      </c>
      <c r="B116" s="49">
        <f t="shared" si="2"/>
        <v>44774</v>
      </c>
      <c r="C116" s="49">
        <f t="shared" si="3"/>
        <v>44790</v>
      </c>
      <c r="D116" s="52" t="s">
        <v>61</v>
      </c>
      <c r="E116" s="52" t="s">
        <v>1543</v>
      </c>
      <c r="F116" s="52" t="s">
        <v>17</v>
      </c>
      <c r="G116" s="52" t="s">
        <v>1207</v>
      </c>
      <c r="H116" s="18">
        <v>1966</v>
      </c>
      <c r="I116" s="128">
        <f>IF(tbRegistroSaidas[[#This Row],[DATA DE CAIXA REALIZADO]]="N/A",0,YEAR(tbRegistroSaidas[[#This Row],[DATA DE CAIXA REALIZADO]]))</f>
        <v>2022</v>
      </c>
      <c r="J116" s="128" t="str">
        <f>IF(tbRegistroSaidas[[#This Row],[DATA DE CAIXA REALIZADO]]="N/A","0",UPPER(TEXT(tbRegistroSaidas[[#This Row],[DATA DE CAIXA REALIZADO]],"mmm")))</f>
        <v>SET</v>
      </c>
      <c r="K116" s="129" t="str">
        <f>IF(tbRegistroSaidas[[#This Row],[DATA DA COMPETÊNCIA]]="N/A","0",UPPER(TEXT(tbRegistroSaidas[[#This Row],[DATA DA COMPETÊNCIA]],"mmm")))</f>
        <v>AGO</v>
      </c>
      <c r="L116" s="79">
        <f>IF(tbRegistroSaidas[[#This Row],[DATA DA COMPETÊNCIA]]="N/A",0,YEAR(tbRegistroSaidas[[#This Row],[DATA DA COMPETÊNCIA]]))</f>
        <v>2022</v>
      </c>
      <c r="M116" s="128" t="str">
        <f>IF(tbRegistroSaidas[[#This Row],[DATA DO CAIXA PREVISTO]]="N/A","0",UPPER(TEXT(tbRegistroSaidas[[#This Row],[DATA DO CAIXA PREVISTO]],"mmm")))</f>
        <v>AGO</v>
      </c>
      <c r="N116" s="128">
        <f>IF(tbRegistroSaidas[[#This Row],[DATA DO CAIXA PREVISTO]]="N/A",0,YEAR(tbRegistroSaidas[[#This Row],[DATA DO CAIXA PREVISTO]]))</f>
        <v>2022</v>
      </c>
    </row>
    <row r="117" spans="1:14" s="5" customFormat="1" ht="14.4" x14ac:dyDescent="0.3">
      <c r="A117" s="49">
        <v>44756</v>
      </c>
      <c r="B117" s="49">
        <f t="shared" si="2"/>
        <v>44725</v>
      </c>
      <c r="C117" s="49">
        <f t="shared" si="3"/>
        <v>44741</v>
      </c>
      <c r="D117" s="52" t="s">
        <v>138</v>
      </c>
      <c r="E117" s="52" t="s">
        <v>1543</v>
      </c>
      <c r="F117" s="52" t="s">
        <v>18</v>
      </c>
      <c r="G117" s="52" t="s">
        <v>1208</v>
      </c>
      <c r="H117" s="18">
        <v>3588</v>
      </c>
      <c r="I117" s="128">
        <f>IF(tbRegistroSaidas[[#This Row],[DATA DE CAIXA REALIZADO]]="N/A",0,YEAR(tbRegistroSaidas[[#This Row],[DATA DE CAIXA REALIZADO]]))</f>
        <v>2022</v>
      </c>
      <c r="J117" s="128" t="str">
        <f>IF(tbRegistroSaidas[[#This Row],[DATA DE CAIXA REALIZADO]]="N/A","0",UPPER(TEXT(tbRegistroSaidas[[#This Row],[DATA DE CAIXA REALIZADO]],"mmm")))</f>
        <v>JUL</v>
      </c>
      <c r="K117" s="129" t="str">
        <f>IF(tbRegistroSaidas[[#This Row],[DATA DA COMPETÊNCIA]]="N/A","0",UPPER(TEXT(tbRegistroSaidas[[#This Row],[DATA DA COMPETÊNCIA]],"mmm")))</f>
        <v>JUN</v>
      </c>
      <c r="L117" s="79">
        <f>IF(tbRegistroSaidas[[#This Row],[DATA DA COMPETÊNCIA]]="N/A",0,YEAR(tbRegistroSaidas[[#This Row],[DATA DA COMPETÊNCIA]]))</f>
        <v>2022</v>
      </c>
      <c r="M117" s="128" t="str">
        <f>IF(tbRegistroSaidas[[#This Row],[DATA DO CAIXA PREVISTO]]="N/A","0",UPPER(TEXT(tbRegistroSaidas[[#This Row],[DATA DO CAIXA PREVISTO]],"mmm")))</f>
        <v>JUN</v>
      </c>
      <c r="N117" s="128">
        <f>IF(tbRegistroSaidas[[#This Row],[DATA DO CAIXA PREVISTO]]="N/A",0,YEAR(tbRegistroSaidas[[#This Row],[DATA DO CAIXA PREVISTO]]))</f>
        <v>2022</v>
      </c>
    </row>
    <row r="118" spans="1:14" s="5" customFormat="1" ht="14.4" x14ac:dyDescent="0.3">
      <c r="A118" s="49">
        <v>44433</v>
      </c>
      <c r="B118" s="49">
        <f t="shared" si="2"/>
        <v>44402</v>
      </c>
      <c r="C118" s="49">
        <f t="shared" si="3"/>
        <v>44418</v>
      </c>
      <c r="D118" s="52" t="s">
        <v>63</v>
      </c>
      <c r="E118" s="52" t="s">
        <v>1543</v>
      </c>
      <c r="F118" s="52" t="s">
        <v>18</v>
      </c>
      <c r="G118" s="52" t="s">
        <v>1209</v>
      </c>
      <c r="H118" s="18">
        <v>3390</v>
      </c>
      <c r="I118" s="128">
        <f>IF(tbRegistroSaidas[[#This Row],[DATA DE CAIXA REALIZADO]]="N/A",0,YEAR(tbRegistroSaidas[[#This Row],[DATA DE CAIXA REALIZADO]]))</f>
        <v>2021</v>
      </c>
      <c r="J118" s="128" t="str">
        <f>IF(tbRegistroSaidas[[#This Row],[DATA DE CAIXA REALIZADO]]="N/A","0",UPPER(TEXT(tbRegistroSaidas[[#This Row],[DATA DE CAIXA REALIZADO]],"mmm")))</f>
        <v>AGO</v>
      </c>
      <c r="K118" s="129" t="str">
        <f>IF(tbRegistroSaidas[[#This Row],[DATA DA COMPETÊNCIA]]="N/A","0",UPPER(TEXT(tbRegistroSaidas[[#This Row],[DATA DA COMPETÊNCIA]],"mmm")))</f>
        <v>JUL</v>
      </c>
      <c r="L118" s="79">
        <f>IF(tbRegistroSaidas[[#This Row],[DATA DA COMPETÊNCIA]]="N/A",0,YEAR(tbRegistroSaidas[[#This Row],[DATA DA COMPETÊNCIA]]))</f>
        <v>2021</v>
      </c>
      <c r="M118" s="128" t="str">
        <f>IF(tbRegistroSaidas[[#This Row],[DATA DO CAIXA PREVISTO]]="N/A","0",UPPER(TEXT(tbRegistroSaidas[[#This Row],[DATA DO CAIXA PREVISTO]],"mmm")))</f>
        <v>AGO</v>
      </c>
      <c r="N118" s="128">
        <f>IF(tbRegistroSaidas[[#This Row],[DATA DO CAIXA PREVISTO]]="N/A",0,YEAR(tbRegistroSaidas[[#This Row],[DATA DO CAIXA PREVISTO]]))</f>
        <v>2021</v>
      </c>
    </row>
    <row r="119" spans="1:14" s="5" customFormat="1" ht="14.4" x14ac:dyDescent="0.3">
      <c r="A119" s="49">
        <v>44631</v>
      </c>
      <c r="B119" s="49">
        <f t="shared" si="2"/>
        <v>44600</v>
      </c>
      <c r="C119" s="49">
        <f t="shared" si="3"/>
        <v>44616</v>
      </c>
      <c r="D119" s="52" t="s">
        <v>66</v>
      </c>
      <c r="E119" s="52" t="s">
        <v>1543</v>
      </c>
      <c r="F119" s="52" t="s">
        <v>19</v>
      </c>
      <c r="G119" s="52" t="s">
        <v>1210</v>
      </c>
      <c r="H119" s="18">
        <v>3127</v>
      </c>
      <c r="I119" s="128">
        <f>IF(tbRegistroSaidas[[#This Row],[DATA DE CAIXA REALIZADO]]="N/A",0,YEAR(tbRegistroSaidas[[#This Row],[DATA DE CAIXA REALIZADO]]))</f>
        <v>2022</v>
      </c>
      <c r="J119" s="128" t="str">
        <f>IF(tbRegistroSaidas[[#This Row],[DATA DE CAIXA REALIZADO]]="N/A","0",UPPER(TEXT(tbRegistroSaidas[[#This Row],[DATA DE CAIXA REALIZADO]],"mmm")))</f>
        <v>MAR</v>
      </c>
      <c r="K119" s="129" t="str">
        <f>IF(tbRegistroSaidas[[#This Row],[DATA DA COMPETÊNCIA]]="N/A","0",UPPER(TEXT(tbRegistroSaidas[[#This Row],[DATA DA COMPETÊNCIA]],"mmm")))</f>
        <v>FEV</v>
      </c>
      <c r="L119" s="79">
        <f>IF(tbRegistroSaidas[[#This Row],[DATA DA COMPETÊNCIA]]="N/A",0,YEAR(tbRegistroSaidas[[#This Row],[DATA DA COMPETÊNCIA]]))</f>
        <v>2022</v>
      </c>
      <c r="M119" s="128" t="str">
        <f>IF(tbRegistroSaidas[[#This Row],[DATA DO CAIXA PREVISTO]]="N/A","0",UPPER(TEXT(tbRegistroSaidas[[#This Row],[DATA DO CAIXA PREVISTO]],"mmm")))</f>
        <v>FEV</v>
      </c>
      <c r="N119" s="128">
        <f>IF(tbRegistroSaidas[[#This Row],[DATA DO CAIXA PREVISTO]]="N/A",0,YEAR(tbRegistroSaidas[[#This Row],[DATA DO CAIXA PREVISTO]]))</f>
        <v>2022</v>
      </c>
    </row>
    <row r="120" spans="1:14" s="5" customFormat="1" ht="14.4" x14ac:dyDescent="0.3">
      <c r="A120" s="49">
        <v>44399</v>
      </c>
      <c r="B120" s="49">
        <f t="shared" si="2"/>
        <v>44368</v>
      </c>
      <c r="C120" s="49">
        <f t="shared" si="3"/>
        <v>44384</v>
      </c>
      <c r="D120" s="52" t="s">
        <v>67</v>
      </c>
      <c r="E120" s="52" t="s">
        <v>1543</v>
      </c>
      <c r="F120" s="52" t="s">
        <v>17</v>
      </c>
      <c r="G120" s="52" t="s">
        <v>1211</v>
      </c>
      <c r="H120" s="18">
        <v>1554</v>
      </c>
      <c r="I120" s="128">
        <f>IF(tbRegistroSaidas[[#This Row],[DATA DE CAIXA REALIZADO]]="N/A",0,YEAR(tbRegistroSaidas[[#This Row],[DATA DE CAIXA REALIZADO]]))</f>
        <v>2021</v>
      </c>
      <c r="J120" s="128" t="str">
        <f>IF(tbRegistroSaidas[[#This Row],[DATA DE CAIXA REALIZADO]]="N/A","0",UPPER(TEXT(tbRegistroSaidas[[#This Row],[DATA DE CAIXA REALIZADO]],"mmm")))</f>
        <v>JUL</v>
      </c>
      <c r="K120" s="129" t="str">
        <f>IF(tbRegistroSaidas[[#This Row],[DATA DA COMPETÊNCIA]]="N/A","0",UPPER(TEXT(tbRegistroSaidas[[#This Row],[DATA DA COMPETÊNCIA]],"mmm")))</f>
        <v>JUN</v>
      </c>
      <c r="L120" s="79">
        <f>IF(tbRegistroSaidas[[#This Row],[DATA DA COMPETÊNCIA]]="N/A",0,YEAR(tbRegistroSaidas[[#This Row],[DATA DA COMPETÊNCIA]]))</f>
        <v>2021</v>
      </c>
      <c r="M120" s="128" t="str">
        <f>IF(tbRegistroSaidas[[#This Row],[DATA DO CAIXA PREVISTO]]="N/A","0",UPPER(TEXT(tbRegistroSaidas[[#This Row],[DATA DO CAIXA PREVISTO]],"mmm")))</f>
        <v>JUL</v>
      </c>
      <c r="N120" s="128">
        <f>IF(tbRegistroSaidas[[#This Row],[DATA DO CAIXA PREVISTO]]="N/A",0,YEAR(tbRegistroSaidas[[#This Row],[DATA DO CAIXA PREVISTO]]))</f>
        <v>2021</v>
      </c>
    </row>
    <row r="121" spans="1:14" s="5" customFormat="1" ht="14.4" x14ac:dyDescent="0.3">
      <c r="A121" s="49">
        <v>45245</v>
      </c>
      <c r="B121" s="49">
        <f t="shared" si="2"/>
        <v>45214</v>
      </c>
      <c r="C121" s="49">
        <f t="shared" si="3"/>
        <v>45230</v>
      </c>
      <c r="D121" s="52" t="s">
        <v>138</v>
      </c>
      <c r="E121" s="52" t="s">
        <v>1543</v>
      </c>
      <c r="F121" s="52" t="s">
        <v>19</v>
      </c>
      <c r="G121" s="52" t="s">
        <v>862</v>
      </c>
      <c r="H121" s="18">
        <v>2944</v>
      </c>
      <c r="I121" s="128">
        <f>IF(tbRegistroSaidas[[#This Row],[DATA DE CAIXA REALIZADO]]="N/A",0,YEAR(tbRegistroSaidas[[#This Row],[DATA DE CAIXA REALIZADO]]))</f>
        <v>2023</v>
      </c>
      <c r="J121" s="128" t="str">
        <f>IF(tbRegistroSaidas[[#This Row],[DATA DE CAIXA REALIZADO]]="N/A","0",UPPER(TEXT(tbRegistroSaidas[[#This Row],[DATA DE CAIXA REALIZADO]],"mmm")))</f>
        <v>NOV</v>
      </c>
      <c r="K121" s="129" t="str">
        <f>IF(tbRegistroSaidas[[#This Row],[DATA DA COMPETÊNCIA]]="N/A","0",UPPER(TEXT(tbRegistroSaidas[[#This Row],[DATA DA COMPETÊNCIA]],"mmm")))</f>
        <v>OUT</v>
      </c>
      <c r="L121" s="79">
        <f>IF(tbRegistroSaidas[[#This Row],[DATA DA COMPETÊNCIA]]="N/A",0,YEAR(tbRegistroSaidas[[#This Row],[DATA DA COMPETÊNCIA]]))</f>
        <v>2023</v>
      </c>
      <c r="M121" s="128" t="str">
        <f>IF(tbRegistroSaidas[[#This Row],[DATA DO CAIXA PREVISTO]]="N/A","0",UPPER(TEXT(tbRegistroSaidas[[#This Row],[DATA DO CAIXA PREVISTO]],"mmm")))</f>
        <v>OUT</v>
      </c>
      <c r="N121" s="128">
        <f>IF(tbRegistroSaidas[[#This Row],[DATA DO CAIXA PREVISTO]]="N/A",0,YEAR(tbRegistroSaidas[[#This Row],[DATA DO CAIXA PREVISTO]]))</f>
        <v>2023</v>
      </c>
    </row>
    <row r="122" spans="1:14" s="5" customFormat="1" ht="14.4" x14ac:dyDescent="0.3">
      <c r="A122" s="49">
        <v>44549</v>
      </c>
      <c r="B122" s="49">
        <f t="shared" si="2"/>
        <v>44518</v>
      </c>
      <c r="C122" s="49">
        <f t="shared" si="3"/>
        <v>44534</v>
      </c>
      <c r="D122" s="52" t="s">
        <v>66</v>
      </c>
      <c r="E122" s="52" t="s">
        <v>1543</v>
      </c>
      <c r="F122" s="52" t="s">
        <v>19</v>
      </c>
      <c r="G122" s="52" t="s">
        <v>1212</v>
      </c>
      <c r="H122" s="18">
        <v>207</v>
      </c>
      <c r="I122" s="128">
        <f>IF(tbRegistroSaidas[[#This Row],[DATA DE CAIXA REALIZADO]]="N/A",0,YEAR(tbRegistroSaidas[[#This Row],[DATA DE CAIXA REALIZADO]]))</f>
        <v>2021</v>
      </c>
      <c r="J122" s="128" t="str">
        <f>IF(tbRegistroSaidas[[#This Row],[DATA DE CAIXA REALIZADO]]="N/A","0",UPPER(TEXT(tbRegistroSaidas[[#This Row],[DATA DE CAIXA REALIZADO]],"mmm")))</f>
        <v>DEZ</v>
      </c>
      <c r="K122" s="129" t="str">
        <f>IF(tbRegistroSaidas[[#This Row],[DATA DA COMPETÊNCIA]]="N/A","0",UPPER(TEXT(tbRegistroSaidas[[#This Row],[DATA DA COMPETÊNCIA]],"mmm")))</f>
        <v>NOV</v>
      </c>
      <c r="L122" s="79">
        <f>IF(tbRegistroSaidas[[#This Row],[DATA DA COMPETÊNCIA]]="N/A",0,YEAR(tbRegistroSaidas[[#This Row],[DATA DA COMPETÊNCIA]]))</f>
        <v>2021</v>
      </c>
      <c r="M122" s="128" t="str">
        <f>IF(tbRegistroSaidas[[#This Row],[DATA DO CAIXA PREVISTO]]="N/A","0",UPPER(TEXT(tbRegistroSaidas[[#This Row],[DATA DO CAIXA PREVISTO]],"mmm")))</f>
        <v>DEZ</v>
      </c>
      <c r="N122" s="128">
        <f>IF(tbRegistroSaidas[[#This Row],[DATA DO CAIXA PREVISTO]]="N/A",0,YEAR(tbRegistroSaidas[[#This Row],[DATA DO CAIXA PREVISTO]]))</f>
        <v>2021</v>
      </c>
    </row>
    <row r="123" spans="1:14" s="5" customFormat="1" ht="14.4" x14ac:dyDescent="0.3">
      <c r="A123" s="49">
        <v>44212</v>
      </c>
      <c r="B123" s="49">
        <f t="shared" si="2"/>
        <v>44181</v>
      </c>
      <c r="C123" s="49">
        <f t="shared" si="3"/>
        <v>44197</v>
      </c>
      <c r="D123" s="52" t="s">
        <v>61</v>
      </c>
      <c r="E123" s="52" t="s">
        <v>1543</v>
      </c>
      <c r="F123" s="52" t="s">
        <v>18</v>
      </c>
      <c r="G123" s="52" t="s">
        <v>1213</v>
      </c>
      <c r="H123" s="18">
        <v>1326</v>
      </c>
      <c r="I123" s="128">
        <f>IF(tbRegistroSaidas[[#This Row],[DATA DE CAIXA REALIZADO]]="N/A",0,YEAR(tbRegistroSaidas[[#This Row],[DATA DE CAIXA REALIZADO]]))</f>
        <v>2021</v>
      </c>
      <c r="J123" s="128" t="str">
        <f>IF(tbRegistroSaidas[[#This Row],[DATA DE CAIXA REALIZADO]]="N/A","0",UPPER(TEXT(tbRegistroSaidas[[#This Row],[DATA DE CAIXA REALIZADO]],"mmm")))</f>
        <v>JAN</v>
      </c>
      <c r="K123" s="129" t="str">
        <f>IF(tbRegistroSaidas[[#This Row],[DATA DA COMPETÊNCIA]]="N/A","0",UPPER(TEXT(tbRegistroSaidas[[#This Row],[DATA DA COMPETÊNCIA]],"mmm")))</f>
        <v>DEZ</v>
      </c>
      <c r="L123" s="79">
        <f>IF(tbRegistroSaidas[[#This Row],[DATA DA COMPETÊNCIA]]="N/A",0,YEAR(tbRegistroSaidas[[#This Row],[DATA DA COMPETÊNCIA]]))</f>
        <v>2020</v>
      </c>
      <c r="M123" s="128" t="str">
        <f>IF(tbRegistroSaidas[[#This Row],[DATA DO CAIXA PREVISTO]]="N/A","0",UPPER(TEXT(tbRegistroSaidas[[#This Row],[DATA DO CAIXA PREVISTO]],"mmm")))</f>
        <v>JAN</v>
      </c>
      <c r="N123" s="128">
        <f>IF(tbRegistroSaidas[[#This Row],[DATA DO CAIXA PREVISTO]]="N/A",0,YEAR(tbRegistroSaidas[[#This Row],[DATA DO CAIXA PREVISTO]]))</f>
        <v>2021</v>
      </c>
    </row>
    <row r="124" spans="1:14" s="5" customFormat="1" ht="14.4" x14ac:dyDescent="0.3">
      <c r="A124" s="49">
        <v>45044</v>
      </c>
      <c r="B124" s="49">
        <f t="shared" si="2"/>
        <v>45013</v>
      </c>
      <c r="C124" s="49">
        <f t="shared" si="3"/>
        <v>45029</v>
      </c>
      <c r="D124" s="52" t="s">
        <v>64</v>
      </c>
      <c r="E124" s="52" t="s">
        <v>1543</v>
      </c>
      <c r="F124" s="52" t="s">
        <v>16</v>
      </c>
      <c r="G124" s="52" t="s">
        <v>471</v>
      </c>
      <c r="H124" s="18">
        <v>2760</v>
      </c>
      <c r="I124" s="128">
        <f>IF(tbRegistroSaidas[[#This Row],[DATA DE CAIXA REALIZADO]]="N/A",0,YEAR(tbRegistroSaidas[[#This Row],[DATA DE CAIXA REALIZADO]]))</f>
        <v>2023</v>
      </c>
      <c r="J124" s="128" t="str">
        <f>IF(tbRegistroSaidas[[#This Row],[DATA DE CAIXA REALIZADO]]="N/A","0",UPPER(TEXT(tbRegistroSaidas[[#This Row],[DATA DE CAIXA REALIZADO]],"mmm")))</f>
        <v>ABR</v>
      </c>
      <c r="K124" s="129" t="str">
        <f>IF(tbRegistroSaidas[[#This Row],[DATA DA COMPETÊNCIA]]="N/A","0",UPPER(TEXT(tbRegistroSaidas[[#This Row],[DATA DA COMPETÊNCIA]],"mmm")))</f>
        <v>MAR</v>
      </c>
      <c r="L124" s="79">
        <f>IF(tbRegistroSaidas[[#This Row],[DATA DA COMPETÊNCIA]]="N/A",0,YEAR(tbRegistroSaidas[[#This Row],[DATA DA COMPETÊNCIA]]))</f>
        <v>2023</v>
      </c>
      <c r="M124" s="128" t="str">
        <f>IF(tbRegistroSaidas[[#This Row],[DATA DO CAIXA PREVISTO]]="N/A","0",UPPER(TEXT(tbRegistroSaidas[[#This Row],[DATA DO CAIXA PREVISTO]],"mmm")))</f>
        <v>ABR</v>
      </c>
      <c r="N124" s="128">
        <f>IF(tbRegistroSaidas[[#This Row],[DATA DO CAIXA PREVISTO]]="N/A",0,YEAR(tbRegistroSaidas[[#This Row],[DATA DO CAIXA PREVISTO]]))</f>
        <v>2023</v>
      </c>
    </row>
    <row r="125" spans="1:14" s="5" customFormat="1" ht="14.4" x14ac:dyDescent="0.3">
      <c r="A125" s="49">
        <v>44866</v>
      </c>
      <c r="B125" s="49">
        <f t="shared" si="2"/>
        <v>44835</v>
      </c>
      <c r="C125" s="49">
        <f t="shared" si="3"/>
        <v>44851</v>
      </c>
      <c r="D125" s="52" t="s">
        <v>66</v>
      </c>
      <c r="E125" s="52" t="s">
        <v>1543</v>
      </c>
      <c r="F125" s="52" t="s">
        <v>17</v>
      </c>
      <c r="G125" s="52" t="s">
        <v>1214</v>
      </c>
      <c r="H125" s="18">
        <v>597</v>
      </c>
      <c r="I125" s="128">
        <f>IF(tbRegistroSaidas[[#This Row],[DATA DE CAIXA REALIZADO]]="N/A",0,YEAR(tbRegistroSaidas[[#This Row],[DATA DE CAIXA REALIZADO]]))</f>
        <v>2022</v>
      </c>
      <c r="J125" s="128" t="str">
        <f>IF(tbRegistroSaidas[[#This Row],[DATA DE CAIXA REALIZADO]]="N/A","0",UPPER(TEXT(tbRegistroSaidas[[#This Row],[DATA DE CAIXA REALIZADO]],"mmm")))</f>
        <v>NOV</v>
      </c>
      <c r="K125" s="129" t="str">
        <f>IF(tbRegistroSaidas[[#This Row],[DATA DA COMPETÊNCIA]]="N/A","0",UPPER(TEXT(tbRegistroSaidas[[#This Row],[DATA DA COMPETÊNCIA]],"mmm")))</f>
        <v>OUT</v>
      </c>
      <c r="L125" s="79">
        <f>IF(tbRegistroSaidas[[#This Row],[DATA DA COMPETÊNCIA]]="N/A",0,YEAR(tbRegistroSaidas[[#This Row],[DATA DA COMPETÊNCIA]]))</f>
        <v>2022</v>
      </c>
      <c r="M125" s="128" t="str">
        <f>IF(tbRegistroSaidas[[#This Row],[DATA DO CAIXA PREVISTO]]="N/A","0",UPPER(TEXT(tbRegistroSaidas[[#This Row],[DATA DO CAIXA PREVISTO]],"mmm")))</f>
        <v>OUT</v>
      </c>
      <c r="N125" s="128">
        <f>IF(tbRegistroSaidas[[#This Row],[DATA DO CAIXA PREVISTO]]="N/A",0,YEAR(tbRegistroSaidas[[#This Row],[DATA DO CAIXA PREVISTO]]))</f>
        <v>2022</v>
      </c>
    </row>
    <row r="126" spans="1:14" s="5" customFormat="1" ht="14.4" x14ac:dyDescent="0.3">
      <c r="A126" s="49">
        <v>44756</v>
      </c>
      <c r="B126" s="49">
        <f t="shared" si="2"/>
        <v>44725</v>
      </c>
      <c r="C126" s="49">
        <f t="shared" si="3"/>
        <v>44741</v>
      </c>
      <c r="D126" s="52" t="s">
        <v>61</v>
      </c>
      <c r="E126" s="52" t="s">
        <v>1543</v>
      </c>
      <c r="F126" s="52" t="s">
        <v>19</v>
      </c>
      <c r="G126" s="52" t="s">
        <v>1215</v>
      </c>
      <c r="H126" s="18">
        <v>737</v>
      </c>
      <c r="I126" s="128">
        <f>IF(tbRegistroSaidas[[#This Row],[DATA DE CAIXA REALIZADO]]="N/A",0,YEAR(tbRegistroSaidas[[#This Row],[DATA DE CAIXA REALIZADO]]))</f>
        <v>2022</v>
      </c>
      <c r="J126" s="128" t="str">
        <f>IF(tbRegistroSaidas[[#This Row],[DATA DE CAIXA REALIZADO]]="N/A","0",UPPER(TEXT(tbRegistroSaidas[[#This Row],[DATA DE CAIXA REALIZADO]],"mmm")))</f>
        <v>JUL</v>
      </c>
      <c r="K126" s="129" t="str">
        <f>IF(tbRegistroSaidas[[#This Row],[DATA DA COMPETÊNCIA]]="N/A","0",UPPER(TEXT(tbRegistroSaidas[[#This Row],[DATA DA COMPETÊNCIA]],"mmm")))</f>
        <v>JUN</v>
      </c>
      <c r="L126" s="79">
        <f>IF(tbRegistroSaidas[[#This Row],[DATA DA COMPETÊNCIA]]="N/A",0,YEAR(tbRegistroSaidas[[#This Row],[DATA DA COMPETÊNCIA]]))</f>
        <v>2022</v>
      </c>
      <c r="M126" s="128" t="str">
        <f>IF(tbRegistroSaidas[[#This Row],[DATA DO CAIXA PREVISTO]]="N/A","0",UPPER(TEXT(tbRegistroSaidas[[#This Row],[DATA DO CAIXA PREVISTO]],"mmm")))</f>
        <v>JUN</v>
      </c>
      <c r="N126" s="128">
        <f>IF(tbRegistroSaidas[[#This Row],[DATA DO CAIXA PREVISTO]]="N/A",0,YEAR(tbRegistroSaidas[[#This Row],[DATA DO CAIXA PREVISTO]]))</f>
        <v>2022</v>
      </c>
    </row>
    <row r="127" spans="1:14" s="5" customFormat="1" ht="14.4" x14ac:dyDescent="0.3">
      <c r="A127" s="49">
        <v>44951</v>
      </c>
      <c r="B127" s="49">
        <f t="shared" si="2"/>
        <v>44920</v>
      </c>
      <c r="C127" s="49">
        <f t="shared" si="3"/>
        <v>44936</v>
      </c>
      <c r="D127" s="52" t="s">
        <v>66</v>
      </c>
      <c r="E127" s="52" t="s">
        <v>1543</v>
      </c>
      <c r="F127" s="52" t="s">
        <v>32</v>
      </c>
      <c r="G127" s="52" t="s">
        <v>1216</v>
      </c>
      <c r="H127" s="18">
        <v>701</v>
      </c>
      <c r="I127" s="128">
        <f>IF(tbRegistroSaidas[[#This Row],[DATA DE CAIXA REALIZADO]]="N/A",0,YEAR(tbRegistroSaidas[[#This Row],[DATA DE CAIXA REALIZADO]]))</f>
        <v>2023</v>
      </c>
      <c r="J127" s="128" t="str">
        <f>IF(tbRegistroSaidas[[#This Row],[DATA DE CAIXA REALIZADO]]="N/A","0",UPPER(TEXT(tbRegistroSaidas[[#This Row],[DATA DE CAIXA REALIZADO]],"mmm")))</f>
        <v>JAN</v>
      </c>
      <c r="K127" s="129" t="str">
        <f>IF(tbRegistroSaidas[[#This Row],[DATA DA COMPETÊNCIA]]="N/A","0",UPPER(TEXT(tbRegistroSaidas[[#This Row],[DATA DA COMPETÊNCIA]],"mmm")))</f>
        <v>DEZ</v>
      </c>
      <c r="L127" s="79">
        <f>IF(tbRegistroSaidas[[#This Row],[DATA DA COMPETÊNCIA]]="N/A",0,YEAR(tbRegistroSaidas[[#This Row],[DATA DA COMPETÊNCIA]]))</f>
        <v>2022</v>
      </c>
      <c r="M127" s="128" t="str">
        <f>IF(tbRegistroSaidas[[#This Row],[DATA DO CAIXA PREVISTO]]="N/A","0",UPPER(TEXT(tbRegistroSaidas[[#This Row],[DATA DO CAIXA PREVISTO]],"mmm")))</f>
        <v>JAN</v>
      </c>
      <c r="N127" s="128">
        <f>IF(tbRegistroSaidas[[#This Row],[DATA DO CAIXA PREVISTO]]="N/A",0,YEAR(tbRegistroSaidas[[#This Row],[DATA DO CAIXA PREVISTO]]))</f>
        <v>2023</v>
      </c>
    </row>
    <row r="128" spans="1:14" s="5" customFormat="1" ht="14.4" x14ac:dyDescent="0.3">
      <c r="A128" s="49">
        <v>45274</v>
      </c>
      <c r="B128" s="49">
        <f t="shared" si="2"/>
        <v>45243</v>
      </c>
      <c r="C128" s="49">
        <f t="shared" si="3"/>
        <v>45259</v>
      </c>
      <c r="D128" s="52" t="s">
        <v>61</v>
      </c>
      <c r="E128" s="52" t="s">
        <v>1543</v>
      </c>
      <c r="F128" s="52" t="s">
        <v>16</v>
      </c>
      <c r="G128" s="52" t="s">
        <v>1217</v>
      </c>
      <c r="H128" s="18">
        <v>340</v>
      </c>
      <c r="I128" s="128">
        <f>IF(tbRegistroSaidas[[#This Row],[DATA DE CAIXA REALIZADO]]="N/A",0,YEAR(tbRegistroSaidas[[#This Row],[DATA DE CAIXA REALIZADO]]))</f>
        <v>2023</v>
      </c>
      <c r="J128" s="128" t="str">
        <f>IF(tbRegistroSaidas[[#This Row],[DATA DE CAIXA REALIZADO]]="N/A","0",UPPER(TEXT(tbRegistroSaidas[[#This Row],[DATA DE CAIXA REALIZADO]],"mmm")))</f>
        <v>DEZ</v>
      </c>
      <c r="K128" s="129" t="str">
        <f>IF(tbRegistroSaidas[[#This Row],[DATA DA COMPETÊNCIA]]="N/A","0",UPPER(TEXT(tbRegistroSaidas[[#This Row],[DATA DA COMPETÊNCIA]],"mmm")))</f>
        <v>NOV</v>
      </c>
      <c r="L128" s="79">
        <f>IF(tbRegistroSaidas[[#This Row],[DATA DA COMPETÊNCIA]]="N/A",0,YEAR(tbRegistroSaidas[[#This Row],[DATA DA COMPETÊNCIA]]))</f>
        <v>2023</v>
      </c>
      <c r="M128" s="128" t="str">
        <f>IF(tbRegistroSaidas[[#This Row],[DATA DO CAIXA PREVISTO]]="N/A","0",UPPER(TEXT(tbRegistroSaidas[[#This Row],[DATA DO CAIXA PREVISTO]],"mmm")))</f>
        <v>NOV</v>
      </c>
      <c r="N128" s="128">
        <f>IF(tbRegistroSaidas[[#This Row],[DATA DO CAIXA PREVISTO]]="N/A",0,YEAR(tbRegistroSaidas[[#This Row],[DATA DO CAIXA PREVISTO]]))</f>
        <v>2023</v>
      </c>
    </row>
    <row r="129" spans="1:14" s="5" customFormat="1" ht="14.4" x14ac:dyDescent="0.3">
      <c r="A129" s="49">
        <v>44670</v>
      </c>
      <c r="B129" s="49">
        <f t="shared" si="2"/>
        <v>44639</v>
      </c>
      <c r="C129" s="49">
        <f t="shared" si="3"/>
        <v>44655</v>
      </c>
      <c r="D129" s="52" t="s">
        <v>137</v>
      </c>
      <c r="E129" s="52" t="s">
        <v>1543</v>
      </c>
      <c r="F129" s="52" t="s">
        <v>16</v>
      </c>
      <c r="G129" s="52" t="s">
        <v>1218</v>
      </c>
      <c r="H129" s="18">
        <v>903</v>
      </c>
      <c r="I129" s="128">
        <f>IF(tbRegistroSaidas[[#This Row],[DATA DE CAIXA REALIZADO]]="N/A",0,YEAR(tbRegistroSaidas[[#This Row],[DATA DE CAIXA REALIZADO]]))</f>
        <v>2022</v>
      </c>
      <c r="J129" s="128" t="str">
        <f>IF(tbRegistroSaidas[[#This Row],[DATA DE CAIXA REALIZADO]]="N/A","0",UPPER(TEXT(tbRegistroSaidas[[#This Row],[DATA DE CAIXA REALIZADO]],"mmm")))</f>
        <v>ABR</v>
      </c>
      <c r="K129" s="129" t="str">
        <f>IF(tbRegistroSaidas[[#This Row],[DATA DA COMPETÊNCIA]]="N/A","0",UPPER(TEXT(tbRegistroSaidas[[#This Row],[DATA DA COMPETÊNCIA]],"mmm")))</f>
        <v>MAR</v>
      </c>
      <c r="L129" s="79">
        <f>IF(tbRegistroSaidas[[#This Row],[DATA DA COMPETÊNCIA]]="N/A",0,YEAR(tbRegistroSaidas[[#This Row],[DATA DA COMPETÊNCIA]]))</f>
        <v>2022</v>
      </c>
      <c r="M129" s="128" t="str">
        <f>IF(tbRegistroSaidas[[#This Row],[DATA DO CAIXA PREVISTO]]="N/A","0",UPPER(TEXT(tbRegistroSaidas[[#This Row],[DATA DO CAIXA PREVISTO]],"mmm")))</f>
        <v>ABR</v>
      </c>
      <c r="N129" s="128">
        <f>IF(tbRegistroSaidas[[#This Row],[DATA DO CAIXA PREVISTO]]="N/A",0,YEAR(tbRegistroSaidas[[#This Row],[DATA DO CAIXA PREVISTO]]))</f>
        <v>2022</v>
      </c>
    </row>
    <row r="130" spans="1:14" s="5" customFormat="1" ht="14.4" x14ac:dyDescent="0.3">
      <c r="A130" s="49">
        <v>44626</v>
      </c>
      <c r="B130" s="49">
        <f t="shared" si="2"/>
        <v>44595</v>
      </c>
      <c r="C130" s="49">
        <f t="shared" si="3"/>
        <v>44611</v>
      </c>
      <c r="D130" s="52" t="s">
        <v>65</v>
      </c>
      <c r="E130" s="52" t="s">
        <v>1543</v>
      </c>
      <c r="F130" s="52" t="s">
        <v>32</v>
      </c>
      <c r="G130" s="52" t="s">
        <v>1219</v>
      </c>
      <c r="H130" s="18">
        <v>2956</v>
      </c>
      <c r="I130" s="128">
        <f>IF(tbRegistroSaidas[[#This Row],[DATA DE CAIXA REALIZADO]]="N/A",0,YEAR(tbRegistroSaidas[[#This Row],[DATA DE CAIXA REALIZADO]]))</f>
        <v>2022</v>
      </c>
      <c r="J130" s="128" t="str">
        <f>IF(tbRegistroSaidas[[#This Row],[DATA DE CAIXA REALIZADO]]="N/A","0",UPPER(TEXT(tbRegistroSaidas[[#This Row],[DATA DE CAIXA REALIZADO]],"mmm")))</f>
        <v>MAR</v>
      </c>
      <c r="K130" s="129" t="str">
        <f>IF(tbRegistroSaidas[[#This Row],[DATA DA COMPETÊNCIA]]="N/A","0",UPPER(TEXT(tbRegistroSaidas[[#This Row],[DATA DA COMPETÊNCIA]],"mmm")))</f>
        <v>FEV</v>
      </c>
      <c r="L130" s="79">
        <f>IF(tbRegistroSaidas[[#This Row],[DATA DA COMPETÊNCIA]]="N/A",0,YEAR(tbRegistroSaidas[[#This Row],[DATA DA COMPETÊNCIA]]))</f>
        <v>2022</v>
      </c>
      <c r="M130" s="128" t="str">
        <f>IF(tbRegistroSaidas[[#This Row],[DATA DO CAIXA PREVISTO]]="N/A","0",UPPER(TEXT(tbRegistroSaidas[[#This Row],[DATA DO CAIXA PREVISTO]],"mmm")))</f>
        <v>FEV</v>
      </c>
      <c r="N130" s="128">
        <f>IF(tbRegistroSaidas[[#This Row],[DATA DO CAIXA PREVISTO]]="N/A",0,YEAR(tbRegistroSaidas[[#This Row],[DATA DO CAIXA PREVISTO]]))</f>
        <v>2022</v>
      </c>
    </row>
    <row r="131" spans="1:14" s="5" customFormat="1" ht="14.4" x14ac:dyDescent="0.3">
      <c r="A131" s="49">
        <v>44733</v>
      </c>
      <c r="B131" s="49">
        <f t="shared" si="2"/>
        <v>44702</v>
      </c>
      <c r="C131" s="49">
        <f t="shared" si="3"/>
        <v>44718</v>
      </c>
      <c r="D131" s="52" t="s">
        <v>65</v>
      </c>
      <c r="E131" s="52" t="s">
        <v>1543</v>
      </c>
      <c r="F131" s="52" t="s">
        <v>18</v>
      </c>
      <c r="G131" s="52" t="s">
        <v>1220</v>
      </c>
      <c r="H131" s="18">
        <v>1641</v>
      </c>
      <c r="I131" s="128">
        <f>IF(tbRegistroSaidas[[#This Row],[DATA DE CAIXA REALIZADO]]="N/A",0,YEAR(tbRegistroSaidas[[#This Row],[DATA DE CAIXA REALIZADO]]))</f>
        <v>2022</v>
      </c>
      <c r="J131" s="128" t="str">
        <f>IF(tbRegistroSaidas[[#This Row],[DATA DE CAIXA REALIZADO]]="N/A","0",UPPER(TEXT(tbRegistroSaidas[[#This Row],[DATA DE CAIXA REALIZADO]],"mmm")))</f>
        <v>JUN</v>
      </c>
      <c r="K131" s="129" t="str">
        <f>IF(tbRegistroSaidas[[#This Row],[DATA DA COMPETÊNCIA]]="N/A","0",UPPER(TEXT(tbRegistroSaidas[[#This Row],[DATA DA COMPETÊNCIA]],"mmm")))</f>
        <v>MAI</v>
      </c>
      <c r="L131" s="79">
        <f>IF(tbRegistroSaidas[[#This Row],[DATA DA COMPETÊNCIA]]="N/A",0,YEAR(tbRegistroSaidas[[#This Row],[DATA DA COMPETÊNCIA]]))</f>
        <v>2022</v>
      </c>
      <c r="M131" s="128" t="str">
        <f>IF(tbRegistroSaidas[[#This Row],[DATA DO CAIXA PREVISTO]]="N/A","0",UPPER(TEXT(tbRegistroSaidas[[#This Row],[DATA DO CAIXA PREVISTO]],"mmm")))</f>
        <v>JUN</v>
      </c>
      <c r="N131" s="128">
        <f>IF(tbRegistroSaidas[[#This Row],[DATA DO CAIXA PREVISTO]]="N/A",0,YEAR(tbRegistroSaidas[[#This Row],[DATA DO CAIXA PREVISTO]]))</f>
        <v>2022</v>
      </c>
    </row>
    <row r="132" spans="1:14" s="5" customFormat="1" ht="14.4" x14ac:dyDescent="0.3">
      <c r="A132" s="49">
        <v>44567</v>
      </c>
      <c r="B132" s="49">
        <f t="shared" si="2"/>
        <v>44536</v>
      </c>
      <c r="C132" s="49">
        <f t="shared" si="3"/>
        <v>44552</v>
      </c>
      <c r="D132" s="52" t="s">
        <v>138</v>
      </c>
      <c r="E132" s="52" t="s">
        <v>1543</v>
      </c>
      <c r="F132" s="52" t="s">
        <v>18</v>
      </c>
      <c r="G132" s="52" t="s">
        <v>1221</v>
      </c>
      <c r="H132" s="18">
        <v>218</v>
      </c>
      <c r="I132" s="128">
        <f>IF(tbRegistroSaidas[[#This Row],[DATA DE CAIXA REALIZADO]]="N/A",0,YEAR(tbRegistroSaidas[[#This Row],[DATA DE CAIXA REALIZADO]]))</f>
        <v>2022</v>
      </c>
      <c r="J132" s="128" t="str">
        <f>IF(tbRegistroSaidas[[#This Row],[DATA DE CAIXA REALIZADO]]="N/A","0",UPPER(TEXT(tbRegistroSaidas[[#This Row],[DATA DE CAIXA REALIZADO]],"mmm")))</f>
        <v>JAN</v>
      </c>
      <c r="K132" s="129" t="str">
        <f>IF(tbRegistroSaidas[[#This Row],[DATA DA COMPETÊNCIA]]="N/A","0",UPPER(TEXT(tbRegistroSaidas[[#This Row],[DATA DA COMPETÊNCIA]],"mmm")))</f>
        <v>DEZ</v>
      </c>
      <c r="L132" s="79">
        <f>IF(tbRegistroSaidas[[#This Row],[DATA DA COMPETÊNCIA]]="N/A",0,YEAR(tbRegistroSaidas[[#This Row],[DATA DA COMPETÊNCIA]]))</f>
        <v>2021</v>
      </c>
      <c r="M132" s="128" t="str">
        <f>IF(tbRegistroSaidas[[#This Row],[DATA DO CAIXA PREVISTO]]="N/A","0",UPPER(TEXT(tbRegistroSaidas[[#This Row],[DATA DO CAIXA PREVISTO]],"mmm")))</f>
        <v>DEZ</v>
      </c>
      <c r="N132" s="128">
        <f>IF(tbRegistroSaidas[[#This Row],[DATA DO CAIXA PREVISTO]]="N/A",0,YEAR(tbRegistroSaidas[[#This Row],[DATA DO CAIXA PREVISTO]]))</f>
        <v>2021</v>
      </c>
    </row>
    <row r="133" spans="1:14" s="5" customFormat="1" ht="14.4" x14ac:dyDescent="0.3">
      <c r="A133" s="49">
        <v>44359</v>
      </c>
      <c r="B133" s="49">
        <f t="shared" si="2"/>
        <v>44328</v>
      </c>
      <c r="C133" s="49">
        <f t="shared" si="3"/>
        <v>44344</v>
      </c>
      <c r="D133" s="52" t="s">
        <v>61</v>
      </c>
      <c r="E133" s="52" t="s">
        <v>1543</v>
      </c>
      <c r="F133" s="52" t="s">
        <v>17</v>
      </c>
      <c r="G133" s="52" t="s">
        <v>1222</v>
      </c>
      <c r="H133" s="18">
        <v>2595</v>
      </c>
      <c r="I133" s="128">
        <f>IF(tbRegistroSaidas[[#This Row],[DATA DE CAIXA REALIZADO]]="N/A",0,YEAR(tbRegistroSaidas[[#This Row],[DATA DE CAIXA REALIZADO]]))</f>
        <v>2021</v>
      </c>
      <c r="J133" s="128" t="str">
        <f>IF(tbRegistroSaidas[[#This Row],[DATA DE CAIXA REALIZADO]]="N/A","0",UPPER(TEXT(tbRegistroSaidas[[#This Row],[DATA DE CAIXA REALIZADO]],"mmm")))</f>
        <v>JUN</v>
      </c>
      <c r="K133" s="129" t="str">
        <f>IF(tbRegistroSaidas[[#This Row],[DATA DA COMPETÊNCIA]]="N/A","0",UPPER(TEXT(tbRegistroSaidas[[#This Row],[DATA DA COMPETÊNCIA]],"mmm")))</f>
        <v>MAI</v>
      </c>
      <c r="L133" s="79">
        <f>IF(tbRegistroSaidas[[#This Row],[DATA DA COMPETÊNCIA]]="N/A",0,YEAR(tbRegistroSaidas[[#This Row],[DATA DA COMPETÊNCIA]]))</f>
        <v>2021</v>
      </c>
      <c r="M133" s="128" t="str">
        <f>IF(tbRegistroSaidas[[#This Row],[DATA DO CAIXA PREVISTO]]="N/A","0",UPPER(TEXT(tbRegistroSaidas[[#This Row],[DATA DO CAIXA PREVISTO]],"mmm")))</f>
        <v>MAI</v>
      </c>
      <c r="N133" s="128">
        <f>IF(tbRegistroSaidas[[#This Row],[DATA DO CAIXA PREVISTO]]="N/A",0,YEAR(tbRegistroSaidas[[#This Row],[DATA DO CAIXA PREVISTO]]))</f>
        <v>2021</v>
      </c>
    </row>
    <row r="134" spans="1:14" s="5" customFormat="1" ht="14.4" x14ac:dyDescent="0.3">
      <c r="A134" s="49">
        <v>44633</v>
      </c>
      <c r="B134" s="49">
        <f t="shared" si="2"/>
        <v>44602</v>
      </c>
      <c r="C134" s="49">
        <f t="shared" si="3"/>
        <v>44618</v>
      </c>
      <c r="D134" s="52" t="s">
        <v>61</v>
      </c>
      <c r="E134" s="52" t="s">
        <v>1543</v>
      </c>
      <c r="F134" s="52" t="s">
        <v>19</v>
      </c>
      <c r="G134" s="52" t="s">
        <v>1223</v>
      </c>
      <c r="H134" s="18">
        <v>3628</v>
      </c>
      <c r="I134" s="128">
        <f>IF(tbRegistroSaidas[[#This Row],[DATA DE CAIXA REALIZADO]]="N/A",0,YEAR(tbRegistroSaidas[[#This Row],[DATA DE CAIXA REALIZADO]]))</f>
        <v>2022</v>
      </c>
      <c r="J134" s="128" t="str">
        <f>IF(tbRegistroSaidas[[#This Row],[DATA DE CAIXA REALIZADO]]="N/A","0",UPPER(TEXT(tbRegistroSaidas[[#This Row],[DATA DE CAIXA REALIZADO]],"mmm")))</f>
        <v>MAR</v>
      </c>
      <c r="K134" s="129" t="str">
        <f>IF(tbRegistroSaidas[[#This Row],[DATA DA COMPETÊNCIA]]="N/A","0",UPPER(TEXT(tbRegistroSaidas[[#This Row],[DATA DA COMPETÊNCIA]],"mmm")))</f>
        <v>FEV</v>
      </c>
      <c r="L134" s="79">
        <f>IF(tbRegistroSaidas[[#This Row],[DATA DA COMPETÊNCIA]]="N/A",0,YEAR(tbRegistroSaidas[[#This Row],[DATA DA COMPETÊNCIA]]))</f>
        <v>2022</v>
      </c>
      <c r="M134" s="128" t="str">
        <f>IF(tbRegistroSaidas[[#This Row],[DATA DO CAIXA PREVISTO]]="N/A","0",UPPER(TEXT(tbRegistroSaidas[[#This Row],[DATA DO CAIXA PREVISTO]],"mmm")))</f>
        <v>FEV</v>
      </c>
      <c r="N134" s="128">
        <f>IF(tbRegistroSaidas[[#This Row],[DATA DO CAIXA PREVISTO]]="N/A",0,YEAR(tbRegistroSaidas[[#This Row],[DATA DO CAIXA PREVISTO]]))</f>
        <v>2022</v>
      </c>
    </row>
    <row r="135" spans="1:14" s="5" customFormat="1" ht="14.4" x14ac:dyDescent="0.3">
      <c r="A135" s="49">
        <v>44538</v>
      </c>
      <c r="B135" s="49">
        <f t="shared" si="2"/>
        <v>44507</v>
      </c>
      <c r="C135" s="49">
        <f t="shared" si="3"/>
        <v>44523</v>
      </c>
      <c r="D135" s="52" t="s">
        <v>63</v>
      </c>
      <c r="E135" s="52" t="s">
        <v>1543</v>
      </c>
      <c r="F135" s="52" t="s">
        <v>32</v>
      </c>
      <c r="G135" s="52" t="s">
        <v>1224</v>
      </c>
      <c r="H135" s="18">
        <v>2313</v>
      </c>
      <c r="I135" s="128">
        <f>IF(tbRegistroSaidas[[#This Row],[DATA DE CAIXA REALIZADO]]="N/A",0,YEAR(tbRegistroSaidas[[#This Row],[DATA DE CAIXA REALIZADO]]))</f>
        <v>2021</v>
      </c>
      <c r="J135" s="128" t="str">
        <f>IF(tbRegistroSaidas[[#This Row],[DATA DE CAIXA REALIZADO]]="N/A","0",UPPER(TEXT(tbRegistroSaidas[[#This Row],[DATA DE CAIXA REALIZADO]],"mmm")))</f>
        <v>DEZ</v>
      </c>
      <c r="K135" s="129" t="str">
        <f>IF(tbRegistroSaidas[[#This Row],[DATA DA COMPETÊNCIA]]="N/A","0",UPPER(TEXT(tbRegistroSaidas[[#This Row],[DATA DA COMPETÊNCIA]],"mmm")))</f>
        <v>NOV</v>
      </c>
      <c r="L135" s="79">
        <f>IF(tbRegistroSaidas[[#This Row],[DATA DA COMPETÊNCIA]]="N/A",0,YEAR(tbRegistroSaidas[[#This Row],[DATA DA COMPETÊNCIA]]))</f>
        <v>2021</v>
      </c>
      <c r="M135" s="128" t="str">
        <f>IF(tbRegistroSaidas[[#This Row],[DATA DO CAIXA PREVISTO]]="N/A","0",UPPER(TEXT(tbRegistroSaidas[[#This Row],[DATA DO CAIXA PREVISTO]],"mmm")))</f>
        <v>NOV</v>
      </c>
      <c r="N135" s="128">
        <f>IF(tbRegistroSaidas[[#This Row],[DATA DO CAIXA PREVISTO]]="N/A",0,YEAR(tbRegistroSaidas[[#This Row],[DATA DO CAIXA PREVISTO]]))</f>
        <v>2021</v>
      </c>
    </row>
    <row r="136" spans="1:14" s="5" customFormat="1" ht="14.4" x14ac:dyDescent="0.3">
      <c r="A136" s="49">
        <v>45222</v>
      </c>
      <c r="B136" s="49">
        <f t="shared" ref="B136:B199" si="4">A136-31</f>
        <v>45191</v>
      </c>
      <c r="C136" s="49">
        <f t="shared" ref="C136:C199" si="5">A136-B136+B136-15</f>
        <v>45207</v>
      </c>
      <c r="D136" s="52" t="s">
        <v>61</v>
      </c>
      <c r="E136" s="52" t="s">
        <v>1543</v>
      </c>
      <c r="F136" s="52" t="s">
        <v>17</v>
      </c>
      <c r="G136" s="52" t="s">
        <v>1225</v>
      </c>
      <c r="H136" s="18">
        <v>2934</v>
      </c>
      <c r="I136" s="128">
        <f>IF(tbRegistroSaidas[[#This Row],[DATA DE CAIXA REALIZADO]]="N/A",0,YEAR(tbRegistroSaidas[[#This Row],[DATA DE CAIXA REALIZADO]]))</f>
        <v>2023</v>
      </c>
      <c r="J136" s="128" t="str">
        <f>IF(tbRegistroSaidas[[#This Row],[DATA DE CAIXA REALIZADO]]="N/A","0",UPPER(TEXT(tbRegistroSaidas[[#This Row],[DATA DE CAIXA REALIZADO]],"mmm")))</f>
        <v>OUT</v>
      </c>
      <c r="K136" s="129" t="str">
        <f>IF(tbRegistroSaidas[[#This Row],[DATA DA COMPETÊNCIA]]="N/A","0",UPPER(TEXT(tbRegistroSaidas[[#This Row],[DATA DA COMPETÊNCIA]],"mmm")))</f>
        <v>SET</v>
      </c>
      <c r="L136" s="79">
        <f>IF(tbRegistroSaidas[[#This Row],[DATA DA COMPETÊNCIA]]="N/A",0,YEAR(tbRegistroSaidas[[#This Row],[DATA DA COMPETÊNCIA]]))</f>
        <v>2023</v>
      </c>
      <c r="M136" s="128" t="str">
        <f>IF(tbRegistroSaidas[[#This Row],[DATA DO CAIXA PREVISTO]]="N/A","0",UPPER(TEXT(tbRegistroSaidas[[#This Row],[DATA DO CAIXA PREVISTO]],"mmm")))</f>
        <v>OUT</v>
      </c>
      <c r="N136" s="128">
        <f>IF(tbRegistroSaidas[[#This Row],[DATA DO CAIXA PREVISTO]]="N/A",0,YEAR(tbRegistroSaidas[[#This Row],[DATA DO CAIXA PREVISTO]]))</f>
        <v>2023</v>
      </c>
    </row>
    <row r="137" spans="1:14" s="5" customFormat="1" ht="14.4" x14ac:dyDescent="0.3">
      <c r="A137" s="49">
        <v>44994</v>
      </c>
      <c r="B137" s="49">
        <f t="shared" si="4"/>
        <v>44963</v>
      </c>
      <c r="C137" s="49">
        <f t="shared" si="5"/>
        <v>44979</v>
      </c>
      <c r="D137" s="52" t="s">
        <v>63</v>
      </c>
      <c r="E137" s="52" t="s">
        <v>1543</v>
      </c>
      <c r="F137" s="52" t="s">
        <v>32</v>
      </c>
      <c r="G137" s="52" t="s">
        <v>1226</v>
      </c>
      <c r="H137" s="18">
        <v>576</v>
      </c>
      <c r="I137" s="128">
        <f>IF(tbRegistroSaidas[[#This Row],[DATA DE CAIXA REALIZADO]]="N/A",0,YEAR(tbRegistroSaidas[[#This Row],[DATA DE CAIXA REALIZADO]]))</f>
        <v>2023</v>
      </c>
      <c r="J137" s="128" t="str">
        <f>IF(tbRegistroSaidas[[#This Row],[DATA DE CAIXA REALIZADO]]="N/A","0",UPPER(TEXT(tbRegistroSaidas[[#This Row],[DATA DE CAIXA REALIZADO]],"mmm")))</f>
        <v>MAR</v>
      </c>
      <c r="K137" s="129" t="str">
        <f>IF(tbRegistroSaidas[[#This Row],[DATA DA COMPETÊNCIA]]="N/A","0",UPPER(TEXT(tbRegistroSaidas[[#This Row],[DATA DA COMPETÊNCIA]],"mmm")))</f>
        <v>FEV</v>
      </c>
      <c r="L137" s="79">
        <f>IF(tbRegistroSaidas[[#This Row],[DATA DA COMPETÊNCIA]]="N/A",0,YEAR(tbRegistroSaidas[[#This Row],[DATA DA COMPETÊNCIA]]))</f>
        <v>2023</v>
      </c>
      <c r="M137" s="128" t="str">
        <f>IF(tbRegistroSaidas[[#This Row],[DATA DO CAIXA PREVISTO]]="N/A","0",UPPER(TEXT(tbRegistroSaidas[[#This Row],[DATA DO CAIXA PREVISTO]],"mmm")))</f>
        <v>FEV</v>
      </c>
      <c r="N137" s="128">
        <f>IF(tbRegistroSaidas[[#This Row],[DATA DO CAIXA PREVISTO]]="N/A",0,YEAR(tbRegistroSaidas[[#This Row],[DATA DO CAIXA PREVISTO]]))</f>
        <v>2023</v>
      </c>
    </row>
    <row r="138" spans="1:14" s="5" customFormat="1" ht="14.4" x14ac:dyDescent="0.3">
      <c r="A138" s="49">
        <v>44266</v>
      </c>
      <c r="B138" s="49">
        <f t="shared" si="4"/>
        <v>44235</v>
      </c>
      <c r="C138" s="49">
        <f t="shared" si="5"/>
        <v>44251</v>
      </c>
      <c r="D138" s="52" t="s">
        <v>137</v>
      </c>
      <c r="E138" s="52" t="s">
        <v>1543</v>
      </c>
      <c r="F138" s="52" t="s">
        <v>19</v>
      </c>
      <c r="G138" s="52" t="s">
        <v>1227</v>
      </c>
      <c r="H138" s="18">
        <v>2741</v>
      </c>
      <c r="I138" s="128">
        <f>IF(tbRegistroSaidas[[#This Row],[DATA DE CAIXA REALIZADO]]="N/A",0,YEAR(tbRegistroSaidas[[#This Row],[DATA DE CAIXA REALIZADO]]))</f>
        <v>2021</v>
      </c>
      <c r="J138" s="128" t="str">
        <f>IF(tbRegistroSaidas[[#This Row],[DATA DE CAIXA REALIZADO]]="N/A","0",UPPER(TEXT(tbRegistroSaidas[[#This Row],[DATA DE CAIXA REALIZADO]],"mmm")))</f>
        <v>MAR</v>
      </c>
      <c r="K138" s="129" t="str">
        <f>IF(tbRegistroSaidas[[#This Row],[DATA DA COMPETÊNCIA]]="N/A","0",UPPER(TEXT(tbRegistroSaidas[[#This Row],[DATA DA COMPETÊNCIA]],"mmm")))</f>
        <v>FEV</v>
      </c>
      <c r="L138" s="79">
        <f>IF(tbRegistroSaidas[[#This Row],[DATA DA COMPETÊNCIA]]="N/A",0,YEAR(tbRegistroSaidas[[#This Row],[DATA DA COMPETÊNCIA]]))</f>
        <v>2021</v>
      </c>
      <c r="M138" s="128" t="str">
        <f>IF(tbRegistroSaidas[[#This Row],[DATA DO CAIXA PREVISTO]]="N/A","0",UPPER(TEXT(tbRegistroSaidas[[#This Row],[DATA DO CAIXA PREVISTO]],"mmm")))</f>
        <v>FEV</v>
      </c>
      <c r="N138" s="128">
        <f>IF(tbRegistroSaidas[[#This Row],[DATA DO CAIXA PREVISTO]]="N/A",0,YEAR(tbRegistroSaidas[[#This Row],[DATA DO CAIXA PREVISTO]]))</f>
        <v>2021</v>
      </c>
    </row>
    <row r="139" spans="1:14" s="5" customFormat="1" ht="14.4" x14ac:dyDescent="0.3">
      <c r="A139" s="49">
        <v>44921</v>
      </c>
      <c r="B139" s="49">
        <f t="shared" si="4"/>
        <v>44890</v>
      </c>
      <c r="C139" s="49">
        <f t="shared" si="5"/>
        <v>44906</v>
      </c>
      <c r="D139" s="52" t="s">
        <v>137</v>
      </c>
      <c r="E139" s="52" t="s">
        <v>1543</v>
      </c>
      <c r="F139" s="52" t="s">
        <v>32</v>
      </c>
      <c r="G139" s="52" t="s">
        <v>1228</v>
      </c>
      <c r="H139" s="18">
        <v>1015</v>
      </c>
      <c r="I139" s="128">
        <f>IF(tbRegistroSaidas[[#This Row],[DATA DE CAIXA REALIZADO]]="N/A",0,YEAR(tbRegistroSaidas[[#This Row],[DATA DE CAIXA REALIZADO]]))</f>
        <v>2022</v>
      </c>
      <c r="J139" s="128" t="str">
        <f>IF(tbRegistroSaidas[[#This Row],[DATA DE CAIXA REALIZADO]]="N/A","0",UPPER(TEXT(tbRegistroSaidas[[#This Row],[DATA DE CAIXA REALIZADO]],"mmm")))</f>
        <v>DEZ</v>
      </c>
      <c r="K139" s="129" t="str">
        <f>IF(tbRegistroSaidas[[#This Row],[DATA DA COMPETÊNCIA]]="N/A","0",UPPER(TEXT(tbRegistroSaidas[[#This Row],[DATA DA COMPETÊNCIA]],"mmm")))</f>
        <v>NOV</v>
      </c>
      <c r="L139" s="79">
        <f>IF(tbRegistroSaidas[[#This Row],[DATA DA COMPETÊNCIA]]="N/A",0,YEAR(tbRegistroSaidas[[#This Row],[DATA DA COMPETÊNCIA]]))</f>
        <v>2022</v>
      </c>
      <c r="M139" s="128" t="str">
        <f>IF(tbRegistroSaidas[[#This Row],[DATA DO CAIXA PREVISTO]]="N/A","0",UPPER(TEXT(tbRegistroSaidas[[#This Row],[DATA DO CAIXA PREVISTO]],"mmm")))</f>
        <v>DEZ</v>
      </c>
      <c r="N139" s="128">
        <f>IF(tbRegistroSaidas[[#This Row],[DATA DO CAIXA PREVISTO]]="N/A",0,YEAR(tbRegistroSaidas[[#This Row],[DATA DO CAIXA PREVISTO]]))</f>
        <v>2022</v>
      </c>
    </row>
    <row r="140" spans="1:14" s="5" customFormat="1" ht="14.4" x14ac:dyDescent="0.3">
      <c r="A140" s="49">
        <v>45276</v>
      </c>
      <c r="B140" s="49">
        <f t="shared" si="4"/>
        <v>45245</v>
      </c>
      <c r="C140" s="49">
        <f t="shared" si="5"/>
        <v>45261</v>
      </c>
      <c r="D140" s="52" t="s">
        <v>67</v>
      </c>
      <c r="E140" s="52" t="s">
        <v>1543</v>
      </c>
      <c r="F140" s="52" t="s">
        <v>18</v>
      </c>
      <c r="G140" s="52" t="s">
        <v>716</v>
      </c>
      <c r="H140" s="18">
        <v>3601</v>
      </c>
      <c r="I140" s="128">
        <f>IF(tbRegistroSaidas[[#This Row],[DATA DE CAIXA REALIZADO]]="N/A",0,YEAR(tbRegistroSaidas[[#This Row],[DATA DE CAIXA REALIZADO]]))</f>
        <v>2023</v>
      </c>
      <c r="J140" s="128" t="str">
        <f>IF(tbRegistroSaidas[[#This Row],[DATA DE CAIXA REALIZADO]]="N/A","0",UPPER(TEXT(tbRegistroSaidas[[#This Row],[DATA DE CAIXA REALIZADO]],"mmm")))</f>
        <v>DEZ</v>
      </c>
      <c r="K140" s="129" t="str">
        <f>IF(tbRegistroSaidas[[#This Row],[DATA DA COMPETÊNCIA]]="N/A","0",UPPER(TEXT(tbRegistroSaidas[[#This Row],[DATA DA COMPETÊNCIA]],"mmm")))</f>
        <v>NOV</v>
      </c>
      <c r="L140" s="79">
        <f>IF(tbRegistroSaidas[[#This Row],[DATA DA COMPETÊNCIA]]="N/A",0,YEAR(tbRegistroSaidas[[#This Row],[DATA DA COMPETÊNCIA]]))</f>
        <v>2023</v>
      </c>
      <c r="M140" s="128" t="str">
        <f>IF(tbRegistroSaidas[[#This Row],[DATA DO CAIXA PREVISTO]]="N/A","0",UPPER(TEXT(tbRegistroSaidas[[#This Row],[DATA DO CAIXA PREVISTO]],"mmm")))</f>
        <v>DEZ</v>
      </c>
      <c r="N140" s="128">
        <f>IF(tbRegistroSaidas[[#This Row],[DATA DO CAIXA PREVISTO]]="N/A",0,YEAR(tbRegistroSaidas[[#This Row],[DATA DO CAIXA PREVISTO]]))</f>
        <v>2023</v>
      </c>
    </row>
    <row r="141" spans="1:14" s="5" customFormat="1" ht="14.4" x14ac:dyDescent="0.3">
      <c r="A141" s="49">
        <v>44749</v>
      </c>
      <c r="B141" s="49">
        <f t="shared" si="4"/>
        <v>44718</v>
      </c>
      <c r="C141" s="49">
        <f t="shared" si="5"/>
        <v>44734</v>
      </c>
      <c r="D141" s="52" t="s">
        <v>65</v>
      </c>
      <c r="E141" s="52" t="s">
        <v>1543</v>
      </c>
      <c r="F141" s="52" t="s">
        <v>19</v>
      </c>
      <c r="G141" s="52" t="s">
        <v>1229</v>
      </c>
      <c r="H141" s="18">
        <v>3097</v>
      </c>
      <c r="I141" s="128">
        <f>IF(tbRegistroSaidas[[#This Row],[DATA DE CAIXA REALIZADO]]="N/A",0,YEAR(tbRegistroSaidas[[#This Row],[DATA DE CAIXA REALIZADO]]))</f>
        <v>2022</v>
      </c>
      <c r="J141" s="128" t="str">
        <f>IF(tbRegistroSaidas[[#This Row],[DATA DE CAIXA REALIZADO]]="N/A","0",UPPER(TEXT(tbRegistroSaidas[[#This Row],[DATA DE CAIXA REALIZADO]],"mmm")))</f>
        <v>JUL</v>
      </c>
      <c r="K141" s="129" t="str">
        <f>IF(tbRegistroSaidas[[#This Row],[DATA DA COMPETÊNCIA]]="N/A","0",UPPER(TEXT(tbRegistroSaidas[[#This Row],[DATA DA COMPETÊNCIA]],"mmm")))</f>
        <v>JUN</v>
      </c>
      <c r="L141" s="79">
        <f>IF(tbRegistroSaidas[[#This Row],[DATA DA COMPETÊNCIA]]="N/A",0,YEAR(tbRegistroSaidas[[#This Row],[DATA DA COMPETÊNCIA]]))</f>
        <v>2022</v>
      </c>
      <c r="M141" s="128" t="str">
        <f>IF(tbRegistroSaidas[[#This Row],[DATA DO CAIXA PREVISTO]]="N/A","0",UPPER(TEXT(tbRegistroSaidas[[#This Row],[DATA DO CAIXA PREVISTO]],"mmm")))</f>
        <v>JUN</v>
      </c>
      <c r="N141" s="128">
        <f>IF(tbRegistroSaidas[[#This Row],[DATA DO CAIXA PREVISTO]]="N/A",0,YEAR(tbRegistroSaidas[[#This Row],[DATA DO CAIXA PREVISTO]]))</f>
        <v>2022</v>
      </c>
    </row>
    <row r="142" spans="1:14" s="5" customFormat="1" ht="14.4" x14ac:dyDescent="0.3">
      <c r="A142" s="49">
        <v>45191</v>
      </c>
      <c r="B142" s="49">
        <f t="shared" si="4"/>
        <v>45160</v>
      </c>
      <c r="C142" s="49">
        <f t="shared" si="5"/>
        <v>45176</v>
      </c>
      <c r="D142" s="52" t="s">
        <v>61</v>
      </c>
      <c r="E142" s="52" t="s">
        <v>1543</v>
      </c>
      <c r="F142" s="52" t="s">
        <v>32</v>
      </c>
      <c r="G142" s="52" t="s">
        <v>1230</v>
      </c>
      <c r="H142" s="18">
        <v>3309</v>
      </c>
      <c r="I142" s="128">
        <f>IF(tbRegistroSaidas[[#This Row],[DATA DE CAIXA REALIZADO]]="N/A",0,YEAR(tbRegistroSaidas[[#This Row],[DATA DE CAIXA REALIZADO]]))</f>
        <v>2023</v>
      </c>
      <c r="J142" s="128" t="str">
        <f>IF(tbRegistroSaidas[[#This Row],[DATA DE CAIXA REALIZADO]]="N/A","0",UPPER(TEXT(tbRegistroSaidas[[#This Row],[DATA DE CAIXA REALIZADO]],"mmm")))</f>
        <v>SET</v>
      </c>
      <c r="K142" s="129" t="str">
        <f>IF(tbRegistroSaidas[[#This Row],[DATA DA COMPETÊNCIA]]="N/A","0",UPPER(TEXT(tbRegistroSaidas[[#This Row],[DATA DA COMPETÊNCIA]],"mmm")))</f>
        <v>AGO</v>
      </c>
      <c r="L142" s="79">
        <f>IF(tbRegistroSaidas[[#This Row],[DATA DA COMPETÊNCIA]]="N/A",0,YEAR(tbRegistroSaidas[[#This Row],[DATA DA COMPETÊNCIA]]))</f>
        <v>2023</v>
      </c>
      <c r="M142" s="128" t="str">
        <f>IF(tbRegistroSaidas[[#This Row],[DATA DO CAIXA PREVISTO]]="N/A","0",UPPER(TEXT(tbRegistroSaidas[[#This Row],[DATA DO CAIXA PREVISTO]],"mmm")))</f>
        <v>SET</v>
      </c>
      <c r="N142" s="128">
        <f>IF(tbRegistroSaidas[[#This Row],[DATA DO CAIXA PREVISTO]]="N/A",0,YEAR(tbRegistroSaidas[[#This Row],[DATA DO CAIXA PREVISTO]]))</f>
        <v>2023</v>
      </c>
    </row>
    <row r="143" spans="1:14" s="5" customFormat="1" ht="14.4" x14ac:dyDescent="0.3">
      <c r="A143" s="49">
        <v>45291</v>
      </c>
      <c r="B143" s="49">
        <f t="shared" si="4"/>
        <v>45260</v>
      </c>
      <c r="C143" s="49">
        <f t="shared" si="5"/>
        <v>45276</v>
      </c>
      <c r="D143" s="52" t="s">
        <v>63</v>
      </c>
      <c r="E143" s="52" t="s">
        <v>1543</v>
      </c>
      <c r="F143" s="52" t="s">
        <v>16</v>
      </c>
      <c r="G143" s="52" t="s">
        <v>1231</v>
      </c>
      <c r="H143" s="18">
        <v>1446</v>
      </c>
      <c r="I143" s="128">
        <f>IF(tbRegistroSaidas[[#This Row],[DATA DE CAIXA REALIZADO]]="N/A",0,YEAR(tbRegistroSaidas[[#This Row],[DATA DE CAIXA REALIZADO]]))</f>
        <v>2023</v>
      </c>
      <c r="J143" s="128" t="str">
        <f>IF(tbRegistroSaidas[[#This Row],[DATA DE CAIXA REALIZADO]]="N/A","0",UPPER(TEXT(tbRegistroSaidas[[#This Row],[DATA DE CAIXA REALIZADO]],"mmm")))</f>
        <v>DEZ</v>
      </c>
      <c r="K143" s="129" t="str">
        <f>IF(tbRegistroSaidas[[#This Row],[DATA DA COMPETÊNCIA]]="N/A","0",UPPER(TEXT(tbRegistroSaidas[[#This Row],[DATA DA COMPETÊNCIA]],"mmm")))</f>
        <v>NOV</v>
      </c>
      <c r="L143" s="79">
        <f>IF(tbRegistroSaidas[[#This Row],[DATA DA COMPETÊNCIA]]="N/A",0,YEAR(tbRegistroSaidas[[#This Row],[DATA DA COMPETÊNCIA]]))</f>
        <v>2023</v>
      </c>
      <c r="M143" s="128" t="str">
        <f>IF(tbRegistroSaidas[[#This Row],[DATA DO CAIXA PREVISTO]]="N/A","0",UPPER(TEXT(tbRegistroSaidas[[#This Row],[DATA DO CAIXA PREVISTO]],"mmm")))</f>
        <v>DEZ</v>
      </c>
      <c r="N143" s="128">
        <f>IF(tbRegistroSaidas[[#This Row],[DATA DO CAIXA PREVISTO]]="N/A",0,YEAR(tbRegistroSaidas[[#This Row],[DATA DO CAIXA PREVISTO]]))</f>
        <v>2023</v>
      </c>
    </row>
    <row r="144" spans="1:14" s="5" customFormat="1" ht="14.4" x14ac:dyDescent="0.3">
      <c r="A144" s="49">
        <v>44643</v>
      </c>
      <c r="B144" s="49">
        <f t="shared" si="4"/>
        <v>44612</v>
      </c>
      <c r="C144" s="49">
        <f t="shared" si="5"/>
        <v>44628</v>
      </c>
      <c r="D144" s="52" t="s">
        <v>65</v>
      </c>
      <c r="E144" s="52" t="s">
        <v>1543</v>
      </c>
      <c r="F144" s="52" t="s">
        <v>16</v>
      </c>
      <c r="G144" s="52" t="s">
        <v>1232</v>
      </c>
      <c r="H144" s="18">
        <v>1500</v>
      </c>
      <c r="I144" s="128">
        <f>IF(tbRegistroSaidas[[#This Row],[DATA DE CAIXA REALIZADO]]="N/A",0,YEAR(tbRegistroSaidas[[#This Row],[DATA DE CAIXA REALIZADO]]))</f>
        <v>2022</v>
      </c>
      <c r="J144" s="128" t="str">
        <f>IF(tbRegistroSaidas[[#This Row],[DATA DE CAIXA REALIZADO]]="N/A","0",UPPER(TEXT(tbRegistroSaidas[[#This Row],[DATA DE CAIXA REALIZADO]],"mmm")))</f>
        <v>MAR</v>
      </c>
      <c r="K144" s="129" t="str">
        <f>IF(tbRegistroSaidas[[#This Row],[DATA DA COMPETÊNCIA]]="N/A","0",UPPER(TEXT(tbRegistroSaidas[[#This Row],[DATA DA COMPETÊNCIA]],"mmm")))</f>
        <v>FEV</v>
      </c>
      <c r="L144" s="79">
        <f>IF(tbRegistroSaidas[[#This Row],[DATA DA COMPETÊNCIA]]="N/A",0,YEAR(tbRegistroSaidas[[#This Row],[DATA DA COMPETÊNCIA]]))</f>
        <v>2022</v>
      </c>
      <c r="M144" s="128" t="str">
        <f>IF(tbRegistroSaidas[[#This Row],[DATA DO CAIXA PREVISTO]]="N/A","0",UPPER(TEXT(tbRegistroSaidas[[#This Row],[DATA DO CAIXA PREVISTO]],"mmm")))</f>
        <v>MAR</v>
      </c>
      <c r="N144" s="128">
        <f>IF(tbRegistroSaidas[[#This Row],[DATA DO CAIXA PREVISTO]]="N/A",0,YEAR(tbRegistroSaidas[[#This Row],[DATA DO CAIXA PREVISTO]]))</f>
        <v>2022</v>
      </c>
    </row>
    <row r="145" spans="1:14" s="5" customFormat="1" ht="14.4" x14ac:dyDescent="0.3">
      <c r="A145" s="49">
        <v>44929</v>
      </c>
      <c r="B145" s="49">
        <f t="shared" si="4"/>
        <v>44898</v>
      </c>
      <c r="C145" s="49">
        <f t="shared" si="5"/>
        <v>44914</v>
      </c>
      <c r="D145" s="52" t="s">
        <v>61</v>
      </c>
      <c r="E145" s="52" t="s">
        <v>1543</v>
      </c>
      <c r="F145" s="52" t="s">
        <v>19</v>
      </c>
      <c r="G145" s="52" t="s">
        <v>1233</v>
      </c>
      <c r="H145" s="18">
        <v>2594</v>
      </c>
      <c r="I145" s="128">
        <f>IF(tbRegistroSaidas[[#This Row],[DATA DE CAIXA REALIZADO]]="N/A",0,YEAR(tbRegistroSaidas[[#This Row],[DATA DE CAIXA REALIZADO]]))</f>
        <v>2023</v>
      </c>
      <c r="J145" s="128" t="str">
        <f>IF(tbRegistroSaidas[[#This Row],[DATA DE CAIXA REALIZADO]]="N/A","0",UPPER(TEXT(tbRegistroSaidas[[#This Row],[DATA DE CAIXA REALIZADO]],"mmm")))</f>
        <v>JAN</v>
      </c>
      <c r="K145" s="129" t="str">
        <f>IF(tbRegistroSaidas[[#This Row],[DATA DA COMPETÊNCIA]]="N/A","0",UPPER(TEXT(tbRegistroSaidas[[#This Row],[DATA DA COMPETÊNCIA]],"mmm")))</f>
        <v>DEZ</v>
      </c>
      <c r="L145" s="79">
        <f>IF(tbRegistroSaidas[[#This Row],[DATA DA COMPETÊNCIA]]="N/A",0,YEAR(tbRegistroSaidas[[#This Row],[DATA DA COMPETÊNCIA]]))</f>
        <v>2022</v>
      </c>
      <c r="M145" s="128" t="str">
        <f>IF(tbRegistroSaidas[[#This Row],[DATA DO CAIXA PREVISTO]]="N/A","0",UPPER(TEXT(tbRegistroSaidas[[#This Row],[DATA DO CAIXA PREVISTO]],"mmm")))</f>
        <v>DEZ</v>
      </c>
      <c r="N145" s="128">
        <f>IF(tbRegistroSaidas[[#This Row],[DATA DO CAIXA PREVISTO]]="N/A",0,YEAR(tbRegistroSaidas[[#This Row],[DATA DO CAIXA PREVISTO]]))</f>
        <v>2022</v>
      </c>
    </row>
    <row r="146" spans="1:14" s="5" customFormat="1" ht="14.4" x14ac:dyDescent="0.3">
      <c r="A146" s="49">
        <v>45074</v>
      </c>
      <c r="B146" s="49">
        <f t="shared" si="4"/>
        <v>45043</v>
      </c>
      <c r="C146" s="49">
        <f t="shared" si="5"/>
        <v>45059</v>
      </c>
      <c r="D146" s="52" t="s">
        <v>61</v>
      </c>
      <c r="E146" s="52" t="s">
        <v>1543</v>
      </c>
      <c r="F146" s="52" t="s">
        <v>18</v>
      </c>
      <c r="G146" s="52" t="s">
        <v>546</v>
      </c>
      <c r="H146" s="18">
        <v>2974</v>
      </c>
      <c r="I146" s="128">
        <f>IF(tbRegistroSaidas[[#This Row],[DATA DE CAIXA REALIZADO]]="N/A",0,YEAR(tbRegistroSaidas[[#This Row],[DATA DE CAIXA REALIZADO]]))</f>
        <v>2023</v>
      </c>
      <c r="J146" s="128" t="str">
        <f>IF(tbRegistroSaidas[[#This Row],[DATA DE CAIXA REALIZADO]]="N/A","0",UPPER(TEXT(tbRegistroSaidas[[#This Row],[DATA DE CAIXA REALIZADO]],"mmm")))</f>
        <v>MAI</v>
      </c>
      <c r="K146" s="129" t="str">
        <f>IF(tbRegistroSaidas[[#This Row],[DATA DA COMPETÊNCIA]]="N/A","0",UPPER(TEXT(tbRegistroSaidas[[#This Row],[DATA DA COMPETÊNCIA]],"mmm")))</f>
        <v>ABR</v>
      </c>
      <c r="L146" s="79">
        <f>IF(tbRegistroSaidas[[#This Row],[DATA DA COMPETÊNCIA]]="N/A",0,YEAR(tbRegistroSaidas[[#This Row],[DATA DA COMPETÊNCIA]]))</f>
        <v>2023</v>
      </c>
      <c r="M146" s="128" t="str">
        <f>IF(tbRegistroSaidas[[#This Row],[DATA DO CAIXA PREVISTO]]="N/A","0",UPPER(TEXT(tbRegistroSaidas[[#This Row],[DATA DO CAIXA PREVISTO]],"mmm")))</f>
        <v>MAI</v>
      </c>
      <c r="N146" s="128">
        <f>IF(tbRegistroSaidas[[#This Row],[DATA DO CAIXA PREVISTO]]="N/A",0,YEAR(tbRegistroSaidas[[#This Row],[DATA DO CAIXA PREVISTO]]))</f>
        <v>2023</v>
      </c>
    </row>
    <row r="147" spans="1:14" s="5" customFormat="1" ht="14.4" x14ac:dyDescent="0.3">
      <c r="A147" s="49">
        <v>44831</v>
      </c>
      <c r="B147" s="49">
        <f t="shared" si="4"/>
        <v>44800</v>
      </c>
      <c r="C147" s="49">
        <f t="shared" si="5"/>
        <v>44816</v>
      </c>
      <c r="D147" s="52" t="s">
        <v>65</v>
      </c>
      <c r="E147" s="52" t="s">
        <v>1543</v>
      </c>
      <c r="F147" s="52" t="s">
        <v>17</v>
      </c>
      <c r="G147" s="52" t="s">
        <v>1234</v>
      </c>
      <c r="H147" s="18">
        <v>2977</v>
      </c>
      <c r="I147" s="128">
        <f>IF(tbRegistroSaidas[[#This Row],[DATA DE CAIXA REALIZADO]]="N/A",0,YEAR(tbRegistroSaidas[[#This Row],[DATA DE CAIXA REALIZADO]]))</f>
        <v>2022</v>
      </c>
      <c r="J147" s="128" t="str">
        <f>IF(tbRegistroSaidas[[#This Row],[DATA DE CAIXA REALIZADO]]="N/A","0",UPPER(TEXT(tbRegistroSaidas[[#This Row],[DATA DE CAIXA REALIZADO]],"mmm")))</f>
        <v>SET</v>
      </c>
      <c r="K147" s="129" t="str">
        <f>IF(tbRegistroSaidas[[#This Row],[DATA DA COMPETÊNCIA]]="N/A","0",UPPER(TEXT(tbRegistroSaidas[[#This Row],[DATA DA COMPETÊNCIA]],"mmm")))</f>
        <v>AGO</v>
      </c>
      <c r="L147" s="79">
        <f>IF(tbRegistroSaidas[[#This Row],[DATA DA COMPETÊNCIA]]="N/A",0,YEAR(tbRegistroSaidas[[#This Row],[DATA DA COMPETÊNCIA]]))</f>
        <v>2022</v>
      </c>
      <c r="M147" s="128" t="str">
        <f>IF(tbRegistroSaidas[[#This Row],[DATA DO CAIXA PREVISTO]]="N/A","0",UPPER(TEXT(tbRegistroSaidas[[#This Row],[DATA DO CAIXA PREVISTO]],"mmm")))</f>
        <v>SET</v>
      </c>
      <c r="N147" s="128">
        <f>IF(tbRegistroSaidas[[#This Row],[DATA DO CAIXA PREVISTO]]="N/A",0,YEAR(tbRegistroSaidas[[#This Row],[DATA DO CAIXA PREVISTO]]))</f>
        <v>2022</v>
      </c>
    </row>
    <row r="148" spans="1:14" s="5" customFormat="1" ht="14.4" x14ac:dyDescent="0.3">
      <c r="A148" s="49">
        <v>44493</v>
      </c>
      <c r="B148" s="49">
        <f t="shared" si="4"/>
        <v>44462</v>
      </c>
      <c r="C148" s="49">
        <f t="shared" si="5"/>
        <v>44478</v>
      </c>
      <c r="D148" s="52" t="s">
        <v>67</v>
      </c>
      <c r="E148" s="52" t="s">
        <v>1543</v>
      </c>
      <c r="F148" s="52" t="s">
        <v>18</v>
      </c>
      <c r="G148" s="52" t="s">
        <v>1142</v>
      </c>
      <c r="H148" s="18">
        <v>1326</v>
      </c>
      <c r="I148" s="128">
        <f>IF(tbRegistroSaidas[[#This Row],[DATA DE CAIXA REALIZADO]]="N/A",0,YEAR(tbRegistroSaidas[[#This Row],[DATA DE CAIXA REALIZADO]]))</f>
        <v>2021</v>
      </c>
      <c r="J148" s="128" t="str">
        <f>IF(tbRegistroSaidas[[#This Row],[DATA DE CAIXA REALIZADO]]="N/A","0",UPPER(TEXT(tbRegistroSaidas[[#This Row],[DATA DE CAIXA REALIZADO]],"mmm")))</f>
        <v>OUT</v>
      </c>
      <c r="K148" s="129" t="str">
        <f>IF(tbRegistroSaidas[[#This Row],[DATA DA COMPETÊNCIA]]="N/A","0",UPPER(TEXT(tbRegistroSaidas[[#This Row],[DATA DA COMPETÊNCIA]],"mmm")))</f>
        <v>SET</v>
      </c>
      <c r="L148" s="79">
        <f>IF(tbRegistroSaidas[[#This Row],[DATA DA COMPETÊNCIA]]="N/A",0,YEAR(tbRegistroSaidas[[#This Row],[DATA DA COMPETÊNCIA]]))</f>
        <v>2021</v>
      </c>
      <c r="M148" s="128" t="str">
        <f>IF(tbRegistroSaidas[[#This Row],[DATA DO CAIXA PREVISTO]]="N/A","0",UPPER(TEXT(tbRegistroSaidas[[#This Row],[DATA DO CAIXA PREVISTO]],"mmm")))</f>
        <v>OUT</v>
      </c>
      <c r="N148" s="128">
        <f>IF(tbRegistroSaidas[[#This Row],[DATA DO CAIXA PREVISTO]]="N/A",0,YEAR(tbRegistroSaidas[[#This Row],[DATA DO CAIXA PREVISTO]]))</f>
        <v>2021</v>
      </c>
    </row>
    <row r="149" spans="1:14" s="5" customFormat="1" ht="14.4" x14ac:dyDescent="0.3">
      <c r="A149" s="49">
        <v>45227</v>
      </c>
      <c r="B149" s="49">
        <f t="shared" si="4"/>
        <v>45196</v>
      </c>
      <c r="C149" s="49">
        <f t="shared" si="5"/>
        <v>45212</v>
      </c>
      <c r="D149" s="52" t="s">
        <v>137</v>
      </c>
      <c r="E149" s="52" t="s">
        <v>1543</v>
      </c>
      <c r="F149" s="52" t="s">
        <v>19</v>
      </c>
      <c r="G149" s="52" t="s">
        <v>1235</v>
      </c>
      <c r="H149" s="18">
        <v>2924</v>
      </c>
      <c r="I149" s="128">
        <f>IF(tbRegistroSaidas[[#This Row],[DATA DE CAIXA REALIZADO]]="N/A",0,YEAR(tbRegistroSaidas[[#This Row],[DATA DE CAIXA REALIZADO]]))</f>
        <v>2023</v>
      </c>
      <c r="J149" s="128" t="str">
        <f>IF(tbRegistroSaidas[[#This Row],[DATA DE CAIXA REALIZADO]]="N/A","0",UPPER(TEXT(tbRegistroSaidas[[#This Row],[DATA DE CAIXA REALIZADO]],"mmm")))</f>
        <v>OUT</v>
      </c>
      <c r="K149" s="129" t="str">
        <f>IF(tbRegistroSaidas[[#This Row],[DATA DA COMPETÊNCIA]]="N/A","0",UPPER(TEXT(tbRegistroSaidas[[#This Row],[DATA DA COMPETÊNCIA]],"mmm")))</f>
        <v>SET</v>
      </c>
      <c r="L149" s="79">
        <f>IF(tbRegistroSaidas[[#This Row],[DATA DA COMPETÊNCIA]]="N/A",0,YEAR(tbRegistroSaidas[[#This Row],[DATA DA COMPETÊNCIA]]))</f>
        <v>2023</v>
      </c>
      <c r="M149" s="128" t="str">
        <f>IF(tbRegistroSaidas[[#This Row],[DATA DO CAIXA PREVISTO]]="N/A","0",UPPER(TEXT(tbRegistroSaidas[[#This Row],[DATA DO CAIXA PREVISTO]],"mmm")))</f>
        <v>OUT</v>
      </c>
      <c r="N149" s="128">
        <f>IF(tbRegistroSaidas[[#This Row],[DATA DO CAIXA PREVISTO]]="N/A",0,YEAR(tbRegistroSaidas[[#This Row],[DATA DO CAIXA PREVISTO]]))</f>
        <v>2023</v>
      </c>
    </row>
    <row r="150" spans="1:14" s="5" customFormat="1" ht="14.4" x14ac:dyDescent="0.3">
      <c r="A150" s="49">
        <v>44402</v>
      </c>
      <c r="B150" s="49">
        <f t="shared" si="4"/>
        <v>44371</v>
      </c>
      <c r="C150" s="49">
        <f t="shared" si="5"/>
        <v>44387</v>
      </c>
      <c r="D150" s="52" t="s">
        <v>137</v>
      </c>
      <c r="E150" s="52" t="s">
        <v>1543</v>
      </c>
      <c r="F150" s="52" t="s">
        <v>32</v>
      </c>
      <c r="G150" s="52" t="s">
        <v>784</v>
      </c>
      <c r="H150" s="18">
        <v>651</v>
      </c>
      <c r="I150" s="128">
        <f>IF(tbRegistroSaidas[[#This Row],[DATA DE CAIXA REALIZADO]]="N/A",0,YEAR(tbRegistroSaidas[[#This Row],[DATA DE CAIXA REALIZADO]]))</f>
        <v>2021</v>
      </c>
      <c r="J150" s="128" t="str">
        <f>IF(tbRegistroSaidas[[#This Row],[DATA DE CAIXA REALIZADO]]="N/A","0",UPPER(TEXT(tbRegistroSaidas[[#This Row],[DATA DE CAIXA REALIZADO]],"mmm")))</f>
        <v>JUL</v>
      </c>
      <c r="K150" s="129" t="str">
        <f>IF(tbRegistroSaidas[[#This Row],[DATA DA COMPETÊNCIA]]="N/A","0",UPPER(TEXT(tbRegistroSaidas[[#This Row],[DATA DA COMPETÊNCIA]],"mmm")))</f>
        <v>JUN</v>
      </c>
      <c r="L150" s="79">
        <f>IF(tbRegistroSaidas[[#This Row],[DATA DA COMPETÊNCIA]]="N/A",0,YEAR(tbRegistroSaidas[[#This Row],[DATA DA COMPETÊNCIA]]))</f>
        <v>2021</v>
      </c>
      <c r="M150" s="128" t="str">
        <f>IF(tbRegistroSaidas[[#This Row],[DATA DO CAIXA PREVISTO]]="N/A","0",UPPER(TEXT(tbRegistroSaidas[[#This Row],[DATA DO CAIXA PREVISTO]],"mmm")))</f>
        <v>JUL</v>
      </c>
      <c r="N150" s="128">
        <f>IF(tbRegistroSaidas[[#This Row],[DATA DO CAIXA PREVISTO]]="N/A",0,YEAR(tbRegistroSaidas[[#This Row],[DATA DO CAIXA PREVISTO]]))</f>
        <v>2021</v>
      </c>
    </row>
    <row r="151" spans="1:14" s="5" customFormat="1" ht="14.4" x14ac:dyDescent="0.3">
      <c r="A151" s="49">
        <v>45089</v>
      </c>
      <c r="B151" s="49">
        <f t="shared" si="4"/>
        <v>45058</v>
      </c>
      <c r="C151" s="49">
        <f t="shared" si="5"/>
        <v>45074</v>
      </c>
      <c r="D151" s="52" t="s">
        <v>61</v>
      </c>
      <c r="E151" s="52" t="s">
        <v>1543</v>
      </c>
      <c r="F151" s="52" t="s">
        <v>17</v>
      </c>
      <c r="G151" s="52" t="s">
        <v>161</v>
      </c>
      <c r="H151" s="18">
        <v>2859</v>
      </c>
      <c r="I151" s="128">
        <f>IF(tbRegistroSaidas[[#This Row],[DATA DE CAIXA REALIZADO]]="N/A",0,YEAR(tbRegistroSaidas[[#This Row],[DATA DE CAIXA REALIZADO]]))</f>
        <v>2023</v>
      </c>
      <c r="J151" s="128" t="str">
        <f>IF(tbRegistroSaidas[[#This Row],[DATA DE CAIXA REALIZADO]]="N/A","0",UPPER(TEXT(tbRegistroSaidas[[#This Row],[DATA DE CAIXA REALIZADO]],"mmm")))</f>
        <v>JUN</v>
      </c>
      <c r="K151" s="129" t="str">
        <f>IF(tbRegistroSaidas[[#This Row],[DATA DA COMPETÊNCIA]]="N/A","0",UPPER(TEXT(tbRegistroSaidas[[#This Row],[DATA DA COMPETÊNCIA]],"mmm")))</f>
        <v>MAI</v>
      </c>
      <c r="L151" s="79">
        <f>IF(tbRegistroSaidas[[#This Row],[DATA DA COMPETÊNCIA]]="N/A",0,YEAR(tbRegistroSaidas[[#This Row],[DATA DA COMPETÊNCIA]]))</f>
        <v>2023</v>
      </c>
      <c r="M151" s="128" t="str">
        <f>IF(tbRegistroSaidas[[#This Row],[DATA DO CAIXA PREVISTO]]="N/A","0",UPPER(TEXT(tbRegistroSaidas[[#This Row],[DATA DO CAIXA PREVISTO]],"mmm")))</f>
        <v>MAI</v>
      </c>
      <c r="N151" s="128">
        <f>IF(tbRegistroSaidas[[#This Row],[DATA DO CAIXA PREVISTO]]="N/A",0,YEAR(tbRegistroSaidas[[#This Row],[DATA DO CAIXA PREVISTO]]))</f>
        <v>2023</v>
      </c>
    </row>
    <row r="152" spans="1:14" s="5" customFormat="1" ht="14.4" x14ac:dyDescent="0.3">
      <c r="A152" s="49">
        <v>44907</v>
      </c>
      <c r="B152" s="49">
        <f t="shared" si="4"/>
        <v>44876</v>
      </c>
      <c r="C152" s="49">
        <f t="shared" si="5"/>
        <v>44892</v>
      </c>
      <c r="D152" s="52" t="s">
        <v>61</v>
      </c>
      <c r="E152" s="52" t="s">
        <v>1543</v>
      </c>
      <c r="F152" s="52" t="s">
        <v>32</v>
      </c>
      <c r="G152" s="52" t="s">
        <v>1236</v>
      </c>
      <c r="H152" s="18">
        <v>1503</v>
      </c>
      <c r="I152" s="128">
        <f>IF(tbRegistroSaidas[[#This Row],[DATA DE CAIXA REALIZADO]]="N/A",0,YEAR(tbRegistroSaidas[[#This Row],[DATA DE CAIXA REALIZADO]]))</f>
        <v>2022</v>
      </c>
      <c r="J152" s="128" t="str">
        <f>IF(tbRegistroSaidas[[#This Row],[DATA DE CAIXA REALIZADO]]="N/A","0",UPPER(TEXT(tbRegistroSaidas[[#This Row],[DATA DE CAIXA REALIZADO]],"mmm")))</f>
        <v>DEZ</v>
      </c>
      <c r="K152" s="129" t="str">
        <f>IF(tbRegistroSaidas[[#This Row],[DATA DA COMPETÊNCIA]]="N/A","0",UPPER(TEXT(tbRegistroSaidas[[#This Row],[DATA DA COMPETÊNCIA]],"mmm")))</f>
        <v>NOV</v>
      </c>
      <c r="L152" s="79">
        <f>IF(tbRegistroSaidas[[#This Row],[DATA DA COMPETÊNCIA]]="N/A",0,YEAR(tbRegistroSaidas[[#This Row],[DATA DA COMPETÊNCIA]]))</f>
        <v>2022</v>
      </c>
      <c r="M152" s="128" t="str">
        <f>IF(tbRegistroSaidas[[#This Row],[DATA DO CAIXA PREVISTO]]="N/A","0",UPPER(TEXT(tbRegistroSaidas[[#This Row],[DATA DO CAIXA PREVISTO]],"mmm")))</f>
        <v>NOV</v>
      </c>
      <c r="N152" s="128">
        <f>IF(tbRegistroSaidas[[#This Row],[DATA DO CAIXA PREVISTO]]="N/A",0,YEAR(tbRegistroSaidas[[#This Row],[DATA DO CAIXA PREVISTO]]))</f>
        <v>2022</v>
      </c>
    </row>
    <row r="153" spans="1:14" s="5" customFormat="1" ht="14.4" x14ac:dyDescent="0.3">
      <c r="A153" s="49">
        <v>44715</v>
      </c>
      <c r="B153" s="49">
        <f t="shared" si="4"/>
        <v>44684</v>
      </c>
      <c r="C153" s="49">
        <f t="shared" si="5"/>
        <v>44700</v>
      </c>
      <c r="D153" s="52" t="s">
        <v>137</v>
      </c>
      <c r="E153" s="52" t="s">
        <v>1543</v>
      </c>
      <c r="F153" s="52" t="s">
        <v>18</v>
      </c>
      <c r="G153" s="52" t="s">
        <v>1237</v>
      </c>
      <c r="H153" s="18">
        <v>2866</v>
      </c>
      <c r="I153" s="128">
        <f>IF(tbRegistroSaidas[[#This Row],[DATA DE CAIXA REALIZADO]]="N/A",0,YEAR(tbRegistroSaidas[[#This Row],[DATA DE CAIXA REALIZADO]]))</f>
        <v>2022</v>
      </c>
      <c r="J153" s="128" t="str">
        <f>IF(tbRegistroSaidas[[#This Row],[DATA DE CAIXA REALIZADO]]="N/A","0",UPPER(TEXT(tbRegistroSaidas[[#This Row],[DATA DE CAIXA REALIZADO]],"mmm")))</f>
        <v>JUN</v>
      </c>
      <c r="K153" s="129" t="str">
        <f>IF(tbRegistroSaidas[[#This Row],[DATA DA COMPETÊNCIA]]="N/A","0",UPPER(TEXT(tbRegistroSaidas[[#This Row],[DATA DA COMPETÊNCIA]],"mmm")))</f>
        <v>MAI</v>
      </c>
      <c r="L153" s="79">
        <f>IF(tbRegistroSaidas[[#This Row],[DATA DA COMPETÊNCIA]]="N/A",0,YEAR(tbRegistroSaidas[[#This Row],[DATA DA COMPETÊNCIA]]))</f>
        <v>2022</v>
      </c>
      <c r="M153" s="128" t="str">
        <f>IF(tbRegistroSaidas[[#This Row],[DATA DO CAIXA PREVISTO]]="N/A","0",UPPER(TEXT(tbRegistroSaidas[[#This Row],[DATA DO CAIXA PREVISTO]],"mmm")))</f>
        <v>MAI</v>
      </c>
      <c r="N153" s="128">
        <f>IF(tbRegistroSaidas[[#This Row],[DATA DO CAIXA PREVISTO]]="N/A",0,YEAR(tbRegistroSaidas[[#This Row],[DATA DO CAIXA PREVISTO]]))</f>
        <v>2022</v>
      </c>
    </row>
    <row r="154" spans="1:14" s="5" customFormat="1" ht="14.4" x14ac:dyDescent="0.3">
      <c r="A154" s="49">
        <v>44816</v>
      </c>
      <c r="B154" s="49">
        <f t="shared" si="4"/>
        <v>44785</v>
      </c>
      <c r="C154" s="49">
        <f t="shared" si="5"/>
        <v>44801</v>
      </c>
      <c r="D154" s="52" t="s">
        <v>63</v>
      </c>
      <c r="E154" s="52" t="s">
        <v>1543</v>
      </c>
      <c r="F154" s="52" t="s">
        <v>19</v>
      </c>
      <c r="G154" s="52" t="s">
        <v>1238</v>
      </c>
      <c r="H154" s="18">
        <v>1237</v>
      </c>
      <c r="I154" s="128">
        <f>IF(tbRegistroSaidas[[#This Row],[DATA DE CAIXA REALIZADO]]="N/A",0,YEAR(tbRegistroSaidas[[#This Row],[DATA DE CAIXA REALIZADO]]))</f>
        <v>2022</v>
      </c>
      <c r="J154" s="128" t="str">
        <f>IF(tbRegistroSaidas[[#This Row],[DATA DE CAIXA REALIZADO]]="N/A","0",UPPER(TEXT(tbRegistroSaidas[[#This Row],[DATA DE CAIXA REALIZADO]],"mmm")))</f>
        <v>SET</v>
      </c>
      <c r="K154" s="129" t="str">
        <f>IF(tbRegistroSaidas[[#This Row],[DATA DA COMPETÊNCIA]]="N/A","0",UPPER(TEXT(tbRegistroSaidas[[#This Row],[DATA DA COMPETÊNCIA]],"mmm")))</f>
        <v>AGO</v>
      </c>
      <c r="L154" s="79">
        <f>IF(tbRegistroSaidas[[#This Row],[DATA DA COMPETÊNCIA]]="N/A",0,YEAR(tbRegistroSaidas[[#This Row],[DATA DA COMPETÊNCIA]]))</f>
        <v>2022</v>
      </c>
      <c r="M154" s="128" t="str">
        <f>IF(tbRegistroSaidas[[#This Row],[DATA DO CAIXA PREVISTO]]="N/A","0",UPPER(TEXT(tbRegistroSaidas[[#This Row],[DATA DO CAIXA PREVISTO]],"mmm")))</f>
        <v>AGO</v>
      </c>
      <c r="N154" s="128">
        <f>IF(tbRegistroSaidas[[#This Row],[DATA DO CAIXA PREVISTO]]="N/A",0,YEAR(tbRegistroSaidas[[#This Row],[DATA DO CAIXA PREVISTO]]))</f>
        <v>2022</v>
      </c>
    </row>
    <row r="155" spans="1:14" s="5" customFormat="1" ht="14.4" x14ac:dyDescent="0.3">
      <c r="A155" s="49">
        <v>44779</v>
      </c>
      <c r="B155" s="49">
        <f t="shared" si="4"/>
        <v>44748</v>
      </c>
      <c r="C155" s="49">
        <f t="shared" si="5"/>
        <v>44764</v>
      </c>
      <c r="D155" s="52" t="s">
        <v>63</v>
      </c>
      <c r="E155" s="52" t="s">
        <v>1543</v>
      </c>
      <c r="F155" s="52" t="s">
        <v>19</v>
      </c>
      <c r="G155" s="52" t="s">
        <v>1239</v>
      </c>
      <c r="H155" s="18">
        <v>416</v>
      </c>
      <c r="I155" s="128">
        <f>IF(tbRegistroSaidas[[#This Row],[DATA DE CAIXA REALIZADO]]="N/A",0,YEAR(tbRegistroSaidas[[#This Row],[DATA DE CAIXA REALIZADO]]))</f>
        <v>2022</v>
      </c>
      <c r="J155" s="128" t="str">
        <f>IF(tbRegistroSaidas[[#This Row],[DATA DE CAIXA REALIZADO]]="N/A","0",UPPER(TEXT(tbRegistroSaidas[[#This Row],[DATA DE CAIXA REALIZADO]],"mmm")))</f>
        <v>AGO</v>
      </c>
      <c r="K155" s="129" t="str">
        <f>IF(tbRegistroSaidas[[#This Row],[DATA DA COMPETÊNCIA]]="N/A","0",UPPER(TEXT(tbRegistroSaidas[[#This Row],[DATA DA COMPETÊNCIA]],"mmm")))</f>
        <v>JUL</v>
      </c>
      <c r="L155" s="79">
        <f>IF(tbRegistroSaidas[[#This Row],[DATA DA COMPETÊNCIA]]="N/A",0,YEAR(tbRegistroSaidas[[#This Row],[DATA DA COMPETÊNCIA]]))</f>
        <v>2022</v>
      </c>
      <c r="M155" s="128" t="str">
        <f>IF(tbRegistroSaidas[[#This Row],[DATA DO CAIXA PREVISTO]]="N/A","0",UPPER(TEXT(tbRegistroSaidas[[#This Row],[DATA DO CAIXA PREVISTO]],"mmm")))</f>
        <v>JUL</v>
      </c>
      <c r="N155" s="128">
        <f>IF(tbRegistroSaidas[[#This Row],[DATA DO CAIXA PREVISTO]]="N/A",0,YEAR(tbRegistroSaidas[[#This Row],[DATA DO CAIXA PREVISTO]]))</f>
        <v>2022</v>
      </c>
    </row>
    <row r="156" spans="1:14" s="5" customFormat="1" ht="14.4" x14ac:dyDescent="0.3">
      <c r="A156" s="49">
        <v>44283</v>
      </c>
      <c r="B156" s="49">
        <f t="shared" si="4"/>
        <v>44252</v>
      </c>
      <c r="C156" s="49">
        <f t="shared" si="5"/>
        <v>44268</v>
      </c>
      <c r="D156" s="52" t="s">
        <v>67</v>
      </c>
      <c r="E156" s="52" t="s">
        <v>1543</v>
      </c>
      <c r="F156" s="52" t="s">
        <v>17</v>
      </c>
      <c r="G156" s="52" t="s">
        <v>1240</v>
      </c>
      <c r="H156" s="18">
        <v>231</v>
      </c>
      <c r="I156" s="128">
        <f>IF(tbRegistroSaidas[[#This Row],[DATA DE CAIXA REALIZADO]]="N/A",0,YEAR(tbRegistroSaidas[[#This Row],[DATA DE CAIXA REALIZADO]]))</f>
        <v>2021</v>
      </c>
      <c r="J156" s="128" t="str">
        <f>IF(tbRegistroSaidas[[#This Row],[DATA DE CAIXA REALIZADO]]="N/A","0",UPPER(TEXT(tbRegistroSaidas[[#This Row],[DATA DE CAIXA REALIZADO]],"mmm")))</f>
        <v>MAR</v>
      </c>
      <c r="K156" s="129" t="str">
        <f>IF(tbRegistroSaidas[[#This Row],[DATA DA COMPETÊNCIA]]="N/A","0",UPPER(TEXT(tbRegistroSaidas[[#This Row],[DATA DA COMPETÊNCIA]],"mmm")))</f>
        <v>FEV</v>
      </c>
      <c r="L156" s="79">
        <f>IF(tbRegistroSaidas[[#This Row],[DATA DA COMPETÊNCIA]]="N/A",0,YEAR(tbRegistroSaidas[[#This Row],[DATA DA COMPETÊNCIA]]))</f>
        <v>2021</v>
      </c>
      <c r="M156" s="128" t="str">
        <f>IF(tbRegistroSaidas[[#This Row],[DATA DO CAIXA PREVISTO]]="N/A","0",UPPER(TEXT(tbRegistroSaidas[[#This Row],[DATA DO CAIXA PREVISTO]],"mmm")))</f>
        <v>MAR</v>
      </c>
      <c r="N156" s="128">
        <f>IF(tbRegistroSaidas[[#This Row],[DATA DO CAIXA PREVISTO]]="N/A",0,YEAR(tbRegistroSaidas[[#This Row],[DATA DO CAIXA PREVISTO]]))</f>
        <v>2021</v>
      </c>
    </row>
    <row r="157" spans="1:14" s="5" customFormat="1" ht="14.4" x14ac:dyDescent="0.3">
      <c r="A157" s="49">
        <v>45054</v>
      </c>
      <c r="B157" s="49">
        <f t="shared" si="4"/>
        <v>45023</v>
      </c>
      <c r="C157" s="49">
        <f t="shared" si="5"/>
        <v>45039</v>
      </c>
      <c r="D157" s="52" t="s">
        <v>63</v>
      </c>
      <c r="E157" s="52" t="s">
        <v>1543</v>
      </c>
      <c r="F157" s="52" t="s">
        <v>32</v>
      </c>
      <c r="G157" s="52" t="s">
        <v>1241</v>
      </c>
      <c r="H157" s="18">
        <v>604</v>
      </c>
      <c r="I157" s="128">
        <f>IF(tbRegistroSaidas[[#This Row],[DATA DE CAIXA REALIZADO]]="N/A",0,YEAR(tbRegistroSaidas[[#This Row],[DATA DE CAIXA REALIZADO]]))</f>
        <v>2023</v>
      </c>
      <c r="J157" s="128" t="str">
        <f>IF(tbRegistroSaidas[[#This Row],[DATA DE CAIXA REALIZADO]]="N/A","0",UPPER(TEXT(tbRegistroSaidas[[#This Row],[DATA DE CAIXA REALIZADO]],"mmm")))</f>
        <v>MAI</v>
      </c>
      <c r="K157" s="129" t="str">
        <f>IF(tbRegistroSaidas[[#This Row],[DATA DA COMPETÊNCIA]]="N/A","0",UPPER(TEXT(tbRegistroSaidas[[#This Row],[DATA DA COMPETÊNCIA]],"mmm")))</f>
        <v>ABR</v>
      </c>
      <c r="L157" s="79">
        <f>IF(tbRegistroSaidas[[#This Row],[DATA DA COMPETÊNCIA]]="N/A",0,YEAR(tbRegistroSaidas[[#This Row],[DATA DA COMPETÊNCIA]]))</f>
        <v>2023</v>
      </c>
      <c r="M157" s="128" t="str">
        <f>IF(tbRegistroSaidas[[#This Row],[DATA DO CAIXA PREVISTO]]="N/A","0",UPPER(TEXT(tbRegistroSaidas[[#This Row],[DATA DO CAIXA PREVISTO]],"mmm")))</f>
        <v>ABR</v>
      </c>
      <c r="N157" s="128">
        <f>IF(tbRegistroSaidas[[#This Row],[DATA DO CAIXA PREVISTO]]="N/A",0,YEAR(tbRegistroSaidas[[#This Row],[DATA DO CAIXA PREVISTO]]))</f>
        <v>2023</v>
      </c>
    </row>
    <row r="158" spans="1:14" s="5" customFormat="1" ht="14.4" x14ac:dyDescent="0.3">
      <c r="A158" s="49">
        <v>44530</v>
      </c>
      <c r="B158" s="49">
        <f t="shared" si="4"/>
        <v>44499</v>
      </c>
      <c r="C158" s="49">
        <f t="shared" si="5"/>
        <v>44515</v>
      </c>
      <c r="D158" s="52" t="s">
        <v>65</v>
      </c>
      <c r="E158" s="52" t="s">
        <v>1543</v>
      </c>
      <c r="F158" s="52" t="s">
        <v>16</v>
      </c>
      <c r="G158" s="52" t="s">
        <v>1242</v>
      </c>
      <c r="H158" s="18">
        <v>293</v>
      </c>
      <c r="I158" s="128">
        <f>IF(tbRegistroSaidas[[#This Row],[DATA DE CAIXA REALIZADO]]="N/A",0,YEAR(tbRegistroSaidas[[#This Row],[DATA DE CAIXA REALIZADO]]))</f>
        <v>2021</v>
      </c>
      <c r="J158" s="128" t="str">
        <f>IF(tbRegistroSaidas[[#This Row],[DATA DE CAIXA REALIZADO]]="N/A","0",UPPER(TEXT(tbRegistroSaidas[[#This Row],[DATA DE CAIXA REALIZADO]],"mmm")))</f>
        <v>NOV</v>
      </c>
      <c r="K158" s="129" t="str">
        <f>IF(tbRegistroSaidas[[#This Row],[DATA DA COMPETÊNCIA]]="N/A","0",UPPER(TEXT(tbRegistroSaidas[[#This Row],[DATA DA COMPETÊNCIA]],"mmm")))</f>
        <v>OUT</v>
      </c>
      <c r="L158" s="79">
        <f>IF(tbRegistroSaidas[[#This Row],[DATA DA COMPETÊNCIA]]="N/A",0,YEAR(tbRegistroSaidas[[#This Row],[DATA DA COMPETÊNCIA]]))</f>
        <v>2021</v>
      </c>
      <c r="M158" s="128" t="str">
        <f>IF(tbRegistroSaidas[[#This Row],[DATA DO CAIXA PREVISTO]]="N/A","0",UPPER(TEXT(tbRegistroSaidas[[#This Row],[DATA DO CAIXA PREVISTO]],"mmm")))</f>
        <v>NOV</v>
      </c>
      <c r="N158" s="128">
        <f>IF(tbRegistroSaidas[[#This Row],[DATA DO CAIXA PREVISTO]]="N/A",0,YEAR(tbRegistroSaidas[[#This Row],[DATA DO CAIXA PREVISTO]]))</f>
        <v>2021</v>
      </c>
    </row>
    <row r="159" spans="1:14" s="5" customFormat="1" ht="14.4" x14ac:dyDescent="0.3">
      <c r="A159" s="49">
        <v>44586</v>
      </c>
      <c r="B159" s="49">
        <f t="shared" si="4"/>
        <v>44555</v>
      </c>
      <c r="C159" s="49">
        <f t="shared" si="5"/>
        <v>44571</v>
      </c>
      <c r="D159" s="52" t="s">
        <v>61</v>
      </c>
      <c r="E159" s="52" t="s">
        <v>1543</v>
      </c>
      <c r="F159" s="52" t="s">
        <v>18</v>
      </c>
      <c r="G159" s="52" t="s">
        <v>1243</v>
      </c>
      <c r="H159" s="18">
        <v>1874</v>
      </c>
      <c r="I159" s="128">
        <f>IF(tbRegistroSaidas[[#This Row],[DATA DE CAIXA REALIZADO]]="N/A",0,YEAR(tbRegistroSaidas[[#This Row],[DATA DE CAIXA REALIZADO]]))</f>
        <v>2022</v>
      </c>
      <c r="J159" s="128" t="str">
        <f>IF(tbRegistroSaidas[[#This Row],[DATA DE CAIXA REALIZADO]]="N/A","0",UPPER(TEXT(tbRegistroSaidas[[#This Row],[DATA DE CAIXA REALIZADO]],"mmm")))</f>
        <v>JAN</v>
      </c>
      <c r="K159" s="129" t="str">
        <f>IF(tbRegistroSaidas[[#This Row],[DATA DA COMPETÊNCIA]]="N/A","0",UPPER(TEXT(tbRegistroSaidas[[#This Row],[DATA DA COMPETÊNCIA]],"mmm")))</f>
        <v>DEZ</v>
      </c>
      <c r="L159" s="79">
        <f>IF(tbRegistroSaidas[[#This Row],[DATA DA COMPETÊNCIA]]="N/A",0,YEAR(tbRegistroSaidas[[#This Row],[DATA DA COMPETÊNCIA]]))</f>
        <v>2021</v>
      </c>
      <c r="M159" s="128" t="str">
        <f>IF(tbRegistroSaidas[[#This Row],[DATA DO CAIXA PREVISTO]]="N/A","0",UPPER(TEXT(tbRegistroSaidas[[#This Row],[DATA DO CAIXA PREVISTO]],"mmm")))</f>
        <v>JAN</v>
      </c>
      <c r="N159" s="128">
        <f>IF(tbRegistroSaidas[[#This Row],[DATA DO CAIXA PREVISTO]]="N/A",0,YEAR(tbRegistroSaidas[[#This Row],[DATA DO CAIXA PREVISTO]]))</f>
        <v>2022</v>
      </c>
    </row>
    <row r="160" spans="1:14" s="5" customFormat="1" ht="14.4" x14ac:dyDescent="0.3">
      <c r="A160" s="49">
        <v>44248</v>
      </c>
      <c r="B160" s="49">
        <f t="shared" si="4"/>
        <v>44217</v>
      </c>
      <c r="C160" s="49">
        <f t="shared" si="5"/>
        <v>44233</v>
      </c>
      <c r="D160" s="52" t="s">
        <v>66</v>
      </c>
      <c r="E160" s="52" t="s">
        <v>1543</v>
      </c>
      <c r="F160" s="52" t="s">
        <v>18</v>
      </c>
      <c r="G160" s="52" t="s">
        <v>181</v>
      </c>
      <c r="H160" s="18">
        <v>1801</v>
      </c>
      <c r="I160" s="128">
        <f>IF(tbRegistroSaidas[[#This Row],[DATA DE CAIXA REALIZADO]]="N/A",0,YEAR(tbRegistroSaidas[[#This Row],[DATA DE CAIXA REALIZADO]]))</f>
        <v>2021</v>
      </c>
      <c r="J160" s="128" t="str">
        <f>IF(tbRegistroSaidas[[#This Row],[DATA DE CAIXA REALIZADO]]="N/A","0",UPPER(TEXT(tbRegistroSaidas[[#This Row],[DATA DE CAIXA REALIZADO]],"mmm")))</f>
        <v>FEV</v>
      </c>
      <c r="K160" s="129" t="str">
        <f>IF(tbRegistroSaidas[[#This Row],[DATA DA COMPETÊNCIA]]="N/A","0",UPPER(TEXT(tbRegistroSaidas[[#This Row],[DATA DA COMPETÊNCIA]],"mmm")))</f>
        <v>JAN</v>
      </c>
      <c r="L160" s="79">
        <f>IF(tbRegistroSaidas[[#This Row],[DATA DA COMPETÊNCIA]]="N/A",0,YEAR(tbRegistroSaidas[[#This Row],[DATA DA COMPETÊNCIA]]))</f>
        <v>2021</v>
      </c>
      <c r="M160" s="128" t="str">
        <f>IF(tbRegistroSaidas[[#This Row],[DATA DO CAIXA PREVISTO]]="N/A","0",UPPER(TEXT(tbRegistroSaidas[[#This Row],[DATA DO CAIXA PREVISTO]],"mmm")))</f>
        <v>FEV</v>
      </c>
      <c r="N160" s="128">
        <f>IF(tbRegistroSaidas[[#This Row],[DATA DO CAIXA PREVISTO]]="N/A",0,YEAR(tbRegistroSaidas[[#This Row],[DATA DO CAIXA PREVISTO]]))</f>
        <v>2021</v>
      </c>
    </row>
    <row r="161" spans="1:14" s="5" customFormat="1" ht="14.4" x14ac:dyDescent="0.3">
      <c r="A161" s="49">
        <v>44957</v>
      </c>
      <c r="B161" s="49">
        <f t="shared" si="4"/>
        <v>44926</v>
      </c>
      <c r="C161" s="49">
        <f t="shared" si="5"/>
        <v>44942</v>
      </c>
      <c r="D161" s="52" t="s">
        <v>66</v>
      </c>
      <c r="E161" s="52" t="s">
        <v>1543</v>
      </c>
      <c r="F161" s="52" t="s">
        <v>32</v>
      </c>
      <c r="G161" s="52" t="s">
        <v>1244</v>
      </c>
      <c r="H161" s="18">
        <v>2262</v>
      </c>
      <c r="I161" s="128">
        <f>IF(tbRegistroSaidas[[#This Row],[DATA DE CAIXA REALIZADO]]="N/A",0,YEAR(tbRegistroSaidas[[#This Row],[DATA DE CAIXA REALIZADO]]))</f>
        <v>2023</v>
      </c>
      <c r="J161" s="128" t="str">
        <f>IF(tbRegistroSaidas[[#This Row],[DATA DE CAIXA REALIZADO]]="N/A","0",UPPER(TEXT(tbRegistroSaidas[[#This Row],[DATA DE CAIXA REALIZADO]],"mmm")))</f>
        <v>JAN</v>
      </c>
      <c r="K161" s="129" t="str">
        <f>IF(tbRegistroSaidas[[#This Row],[DATA DA COMPETÊNCIA]]="N/A","0",UPPER(TEXT(tbRegistroSaidas[[#This Row],[DATA DA COMPETÊNCIA]],"mmm")))</f>
        <v>DEZ</v>
      </c>
      <c r="L161" s="79">
        <f>IF(tbRegistroSaidas[[#This Row],[DATA DA COMPETÊNCIA]]="N/A",0,YEAR(tbRegistroSaidas[[#This Row],[DATA DA COMPETÊNCIA]]))</f>
        <v>2022</v>
      </c>
      <c r="M161" s="128" t="str">
        <f>IF(tbRegistroSaidas[[#This Row],[DATA DO CAIXA PREVISTO]]="N/A","0",UPPER(TEXT(tbRegistroSaidas[[#This Row],[DATA DO CAIXA PREVISTO]],"mmm")))</f>
        <v>JAN</v>
      </c>
      <c r="N161" s="128">
        <f>IF(tbRegistroSaidas[[#This Row],[DATA DO CAIXA PREVISTO]]="N/A",0,YEAR(tbRegistroSaidas[[#This Row],[DATA DO CAIXA PREVISTO]]))</f>
        <v>2023</v>
      </c>
    </row>
    <row r="162" spans="1:14" s="5" customFormat="1" ht="14.4" x14ac:dyDescent="0.3">
      <c r="A162" s="49">
        <v>44849</v>
      </c>
      <c r="B162" s="49">
        <f t="shared" si="4"/>
        <v>44818</v>
      </c>
      <c r="C162" s="49">
        <f t="shared" si="5"/>
        <v>44834</v>
      </c>
      <c r="D162" s="52" t="s">
        <v>67</v>
      </c>
      <c r="E162" s="52" t="s">
        <v>1543</v>
      </c>
      <c r="F162" s="52" t="s">
        <v>32</v>
      </c>
      <c r="G162" s="52" t="s">
        <v>1245</v>
      </c>
      <c r="H162" s="18">
        <v>871</v>
      </c>
      <c r="I162" s="128">
        <f>IF(tbRegistroSaidas[[#This Row],[DATA DE CAIXA REALIZADO]]="N/A",0,YEAR(tbRegistroSaidas[[#This Row],[DATA DE CAIXA REALIZADO]]))</f>
        <v>2022</v>
      </c>
      <c r="J162" s="128" t="str">
        <f>IF(tbRegistroSaidas[[#This Row],[DATA DE CAIXA REALIZADO]]="N/A","0",UPPER(TEXT(tbRegistroSaidas[[#This Row],[DATA DE CAIXA REALIZADO]],"mmm")))</f>
        <v>OUT</v>
      </c>
      <c r="K162" s="129" t="str">
        <f>IF(tbRegistroSaidas[[#This Row],[DATA DA COMPETÊNCIA]]="N/A","0",UPPER(TEXT(tbRegistroSaidas[[#This Row],[DATA DA COMPETÊNCIA]],"mmm")))</f>
        <v>SET</v>
      </c>
      <c r="L162" s="79">
        <f>IF(tbRegistroSaidas[[#This Row],[DATA DA COMPETÊNCIA]]="N/A",0,YEAR(tbRegistroSaidas[[#This Row],[DATA DA COMPETÊNCIA]]))</f>
        <v>2022</v>
      </c>
      <c r="M162" s="128" t="str">
        <f>IF(tbRegistroSaidas[[#This Row],[DATA DO CAIXA PREVISTO]]="N/A","0",UPPER(TEXT(tbRegistroSaidas[[#This Row],[DATA DO CAIXA PREVISTO]],"mmm")))</f>
        <v>SET</v>
      </c>
      <c r="N162" s="128">
        <f>IF(tbRegistroSaidas[[#This Row],[DATA DO CAIXA PREVISTO]]="N/A",0,YEAR(tbRegistroSaidas[[#This Row],[DATA DO CAIXA PREVISTO]]))</f>
        <v>2022</v>
      </c>
    </row>
    <row r="163" spans="1:14" s="5" customFormat="1" ht="14.4" x14ac:dyDescent="0.3">
      <c r="A163" s="49">
        <v>45185</v>
      </c>
      <c r="B163" s="49">
        <f t="shared" si="4"/>
        <v>45154</v>
      </c>
      <c r="C163" s="49">
        <f t="shared" si="5"/>
        <v>45170</v>
      </c>
      <c r="D163" s="52" t="s">
        <v>65</v>
      </c>
      <c r="E163" s="52" t="s">
        <v>1543</v>
      </c>
      <c r="F163" s="52" t="s">
        <v>16</v>
      </c>
      <c r="G163" s="52" t="s">
        <v>1246</v>
      </c>
      <c r="H163" s="18">
        <v>3798</v>
      </c>
      <c r="I163" s="128">
        <f>IF(tbRegistroSaidas[[#This Row],[DATA DE CAIXA REALIZADO]]="N/A",0,YEAR(tbRegistroSaidas[[#This Row],[DATA DE CAIXA REALIZADO]]))</f>
        <v>2023</v>
      </c>
      <c r="J163" s="128" t="str">
        <f>IF(tbRegistroSaidas[[#This Row],[DATA DE CAIXA REALIZADO]]="N/A","0",UPPER(TEXT(tbRegistroSaidas[[#This Row],[DATA DE CAIXA REALIZADO]],"mmm")))</f>
        <v>SET</v>
      </c>
      <c r="K163" s="129" t="str">
        <f>IF(tbRegistroSaidas[[#This Row],[DATA DA COMPETÊNCIA]]="N/A","0",UPPER(TEXT(tbRegistroSaidas[[#This Row],[DATA DA COMPETÊNCIA]],"mmm")))</f>
        <v>AGO</v>
      </c>
      <c r="L163" s="79">
        <f>IF(tbRegistroSaidas[[#This Row],[DATA DA COMPETÊNCIA]]="N/A",0,YEAR(tbRegistroSaidas[[#This Row],[DATA DA COMPETÊNCIA]]))</f>
        <v>2023</v>
      </c>
      <c r="M163" s="128" t="str">
        <f>IF(tbRegistroSaidas[[#This Row],[DATA DO CAIXA PREVISTO]]="N/A","0",UPPER(TEXT(tbRegistroSaidas[[#This Row],[DATA DO CAIXA PREVISTO]],"mmm")))</f>
        <v>SET</v>
      </c>
      <c r="N163" s="128">
        <f>IF(tbRegistroSaidas[[#This Row],[DATA DO CAIXA PREVISTO]]="N/A",0,YEAR(tbRegistroSaidas[[#This Row],[DATA DO CAIXA PREVISTO]]))</f>
        <v>2023</v>
      </c>
    </row>
    <row r="164" spans="1:14" s="5" customFormat="1" ht="14.4" x14ac:dyDescent="0.3">
      <c r="A164" s="49">
        <v>44773</v>
      </c>
      <c r="B164" s="49">
        <f t="shared" si="4"/>
        <v>44742</v>
      </c>
      <c r="C164" s="49">
        <f t="shared" si="5"/>
        <v>44758</v>
      </c>
      <c r="D164" s="52" t="s">
        <v>67</v>
      </c>
      <c r="E164" s="52" t="s">
        <v>1543</v>
      </c>
      <c r="F164" s="52" t="s">
        <v>16</v>
      </c>
      <c r="G164" s="52" t="s">
        <v>1247</v>
      </c>
      <c r="H164" s="18">
        <v>931</v>
      </c>
      <c r="I164" s="128">
        <f>IF(tbRegistroSaidas[[#This Row],[DATA DE CAIXA REALIZADO]]="N/A",0,YEAR(tbRegistroSaidas[[#This Row],[DATA DE CAIXA REALIZADO]]))</f>
        <v>2022</v>
      </c>
      <c r="J164" s="128" t="str">
        <f>IF(tbRegistroSaidas[[#This Row],[DATA DE CAIXA REALIZADO]]="N/A","0",UPPER(TEXT(tbRegistroSaidas[[#This Row],[DATA DE CAIXA REALIZADO]],"mmm")))</f>
        <v>JUL</v>
      </c>
      <c r="K164" s="129" t="str">
        <f>IF(tbRegistroSaidas[[#This Row],[DATA DA COMPETÊNCIA]]="N/A","0",UPPER(TEXT(tbRegistroSaidas[[#This Row],[DATA DA COMPETÊNCIA]],"mmm")))</f>
        <v>JUN</v>
      </c>
      <c r="L164" s="79">
        <f>IF(tbRegistroSaidas[[#This Row],[DATA DA COMPETÊNCIA]]="N/A",0,YEAR(tbRegistroSaidas[[#This Row],[DATA DA COMPETÊNCIA]]))</f>
        <v>2022</v>
      </c>
      <c r="M164" s="128" t="str">
        <f>IF(tbRegistroSaidas[[#This Row],[DATA DO CAIXA PREVISTO]]="N/A","0",UPPER(TEXT(tbRegistroSaidas[[#This Row],[DATA DO CAIXA PREVISTO]],"mmm")))</f>
        <v>JUL</v>
      </c>
      <c r="N164" s="128">
        <f>IF(tbRegistroSaidas[[#This Row],[DATA DO CAIXA PREVISTO]]="N/A",0,YEAR(tbRegistroSaidas[[#This Row],[DATA DO CAIXA PREVISTO]]))</f>
        <v>2022</v>
      </c>
    </row>
    <row r="165" spans="1:14" s="5" customFormat="1" ht="14.4" x14ac:dyDescent="0.3">
      <c r="A165" s="49">
        <v>44335</v>
      </c>
      <c r="B165" s="49">
        <f t="shared" si="4"/>
        <v>44304</v>
      </c>
      <c r="C165" s="49">
        <f t="shared" si="5"/>
        <v>44320</v>
      </c>
      <c r="D165" s="52" t="s">
        <v>65</v>
      </c>
      <c r="E165" s="52" t="s">
        <v>1543</v>
      </c>
      <c r="F165" s="52" t="s">
        <v>16</v>
      </c>
      <c r="G165" s="52" t="s">
        <v>1248</v>
      </c>
      <c r="H165" s="18">
        <v>741</v>
      </c>
      <c r="I165" s="128">
        <f>IF(tbRegistroSaidas[[#This Row],[DATA DE CAIXA REALIZADO]]="N/A",0,YEAR(tbRegistroSaidas[[#This Row],[DATA DE CAIXA REALIZADO]]))</f>
        <v>2021</v>
      </c>
      <c r="J165" s="128" t="str">
        <f>IF(tbRegistroSaidas[[#This Row],[DATA DE CAIXA REALIZADO]]="N/A","0",UPPER(TEXT(tbRegistroSaidas[[#This Row],[DATA DE CAIXA REALIZADO]],"mmm")))</f>
        <v>MAI</v>
      </c>
      <c r="K165" s="129" t="str">
        <f>IF(tbRegistroSaidas[[#This Row],[DATA DA COMPETÊNCIA]]="N/A","0",UPPER(TEXT(tbRegistroSaidas[[#This Row],[DATA DA COMPETÊNCIA]],"mmm")))</f>
        <v>ABR</v>
      </c>
      <c r="L165" s="79">
        <f>IF(tbRegistroSaidas[[#This Row],[DATA DA COMPETÊNCIA]]="N/A",0,YEAR(tbRegistroSaidas[[#This Row],[DATA DA COMPETÊNCIA]]))</f>
        <v>2021</v>
      </c>
      <c r="M165" s="128" t="str">
        <f>IF(tbRegistroSaidas[[#This Row],[DATA DO CAIXA PREVISTO]]="N/A","0",UPPER(TEXT(tbRegistroSaidas[[#This Row],[DATA DO CAIXA PREVISTO]],"mmm")))</f>
        <v>MAI</v>
      </c>
      <c r="N165" s="128">
        <f>IF(tbRegistroSaidas[[#This Row],[DATA DO CAIXA PREVISTO]]="N/A",0,YEAR(tbRegistroSaidas[[#This Row],[DATA DO CAIXA PREVISTO]]))</f>
        <v>2021</v>
      </c>
    </row>
    <row r="166" spans="1:14" s="5" customFormat="1" ht="14.4" x14ac:dyDescent="0.3">
      <c r="A166" s="49">
        <v>44526</v>
      </c>
      <c r="B166" s="49">
        <f t="shared" si="4"/>
        <v>44495</v>
      </c>
      <c r="C166" s="49">
        <f t="shared" si="5"/>
        <v>44511</v>
      </c>
      <c r="D166" s="52" t="s">
        <v>138</v>
      </c>
      <c r="E166" s="52" t="s">
        <v>1543</v>
      </c>
      <c r="F166" s="52" t="s">
        <v>19</v>
      </c>
      <c r="G166" s="52" t="s">
        <v>1249</v>
      </c>
      <c r="H166" s="18">
        <v>266</v>
      </c>
      <c r="I166" s="128">
        <f>IF(tbRegistroSaidas[[#This Row],[DATA DE CAIXA REALIZADO]]="N/A",0,YEAR(tbRegistroSaidas[[#This Row],[DATA DE CAIXA REALIZADO]]))</f>
        <v>2021</v>
      </c>
      <c r="J166" s="128" t="str">
        <f>IF(tbRegistroSaidas[[#This Row],[DATA DE CAIXA REALIZADO]]="N/A","0",UPPER(TEXT(tbRegistroSaidas[[#This Row],[DATA DE CAIXA REALIZADO]],"mmm")))</f>
        <v>NOV</v>
      </c>
      <c r="K166" s="129" t="str">
        <f>IF(tbRegistroSaidas[[#This Row],[DATA DA COMPETÊNCIA]]="N/A","0",UPPER(TEXT(tbRegistroSaidas[[#This Row],[DATA DA COMPETÊNCIA]],"mmm")))</f>
        <v>OUT</v>
      </c>
      <c r="L166" s="79">
        <f>IF(tbRegistroSaidas[[#This Row],[DATA DA COMPETÊNCIA]]="N/A",0,YEAR(tbRegistroSaidas[[#This Row],[DATA DA COMPETÊNCIA]]))</f>
        <v>2021</v>
      </c>
      <c r="M166" s="128" t="str">
        <f>IF(tbRegistroSaidas[[#This Row],[DATA DO CAIXA PREVISTO]]="N/A","0",UPPER(TEXT(tbRegistroSaidas[[#This Row],[DATA DO CAIXA PREVISTO]],"mmm")))</f>
        <v>NOV</v>
      </c>
      <c r="N166" s="128">
        <f>IF(tbRegistroSaidas[[#This Row],[DATA DO CAIXA PREVISTO]]="N/A",0,YEAR(tbRegistroSaidas[[#This Row],[DATA DO CAIXA PREVISTO]]))</f>
        <v>2021</v>
      </c>
    </row>
    <row r="167" spans="1:14" s="5" customFormat="1" ht="14.4" x14ac:dyDescent="0.3">
      <c r="A167" s="49">
        <v>44203</v>
      </c>
      <c r="B167" s="49">
        <f t="shared" si="4"/>
        <v>44172</v>
      </c>
      <c r="C167" s="49">
        <f t="shared" si="5"/>
        <v>44188</v>
      </c>
      <c r="D167" s="52" t="s">
        <v>61</v>
      </c>
      <c r="E167" s="52" t="s">
        <v>1543</v>
      </c>
      <c r="F167" s="52" t="s">
        <v>19</v>
      </c>
      <c r="G167" s="52" t="s">
        <v>1250</v>
      </c>
      <c r="H167" s="18">
        <v>1399</v>
      </c>
      <c r="I167" s="128">
        <f>IF(tbRegistroSaidas[[#This Row],[DATA DE CAIXA REALIZADO]]="N/A",0,YEAR(tbRegistroSaidas[[#This Row],[DATA DE CAIXA REALIZADO]]))</f>
        <v>2021</v>
      </c>
      <c r="J167" s="128" t="str">
        <f>IF(tbRegistroSaidas[[#This Row],[DATA DE CAIXA REALIZADO]]="N/A","0",UPPER(TEXT(tbRegistroSaidas[[#This Row],[DATA DE CAIXA REALIZADO]],"mmm")))</f>
        <v>JAN</v>
      </c>
      <c r="K167" s="129" t="str">
        <f>IF(tbRegistroSaidas[[#This Row],[DATA DA COMPETÊNCIA]]="N/A","0",UPPER(TEXT(tbRegistroSaidas[[#This Row],[DATA DA COMPETÊNCIA]],"mmm")))</f>
        <v>DEZ</v>
      </c>
      <c r="L167" s="79">
        <f>IF(tbRegistroSaidas[[#This Row],[DATA DA COMPETÊNCIA]]="N/A",0,YEAR(tbRegistroSaidas[[#This Row],[DATA DA COMPETÊNCIA]]))</f>
        <v>2020</v>
      </c>
      <c r="M167" s="128" t="str">
        <f>IF(tbRegistroSaidas[[#This Row],[DATA DO CAIXA PREVISTO]]="N/A","0",UPPER(TEXT(tbRegistroSaidas[[#This Row],[DATA DO CAIXA PREVISTO]],"mmm")))</f>
        <v>DEZ</v>
      </c>
      <c r="N167" s="128">
        <f>IF(tbRegistroSaidas[[#This Row],[DATA DO CAIXA PREVISTO]]="N/A",0,YEAR(tbRegistroSaidas[[#This Row],[DATA DO CAIXA PREVISTO]]))</f>
        <v>2020</v>
      </c>
    </row>
    <row r="168" spans="1:14" s="5" customFormat="1" ht="14.4" x14ac:dyDescent="0.3">
      <c r="A168" s="49">
        <v>44741</v>
      </c>
      <c r="B168" s="49">
        <f t="shared" si="4"/>
        <v>44710</v>
      </c>
      <c r="C168" s="49">
        <f t="shared" si="5"/>
        <v>44726</v>
      </c>
      <c r="D168" s="52" t="s">
        <v>65</v>
      </c>
      <c r="E168" s="52" t="s">
        <v>1543</v>
      </c>
      <c r="F168" s="52" t="s">
        <v>18</v>
      </c>
      <c r="G168" s="52" t="s">
        <v>1251</v>
      </c>
      <c r="H168" s="18">
        <v>808</v>
      </c>
      <c r="I168" s="128">
        <f>IF(tbRegistroSaidas[[#This Row],[DATA DE CAIXA REALIZADO]]="N/A",0,YEAR(tbRegistroSaidas[[#This Row],[DATA DE CAIXA REALIZADO]]))</f>
        <v>2022</v>
      </c>
      <c r="J168" s="128" t="str">
        <f>IF(tbRegistroSaidas[[#This Row],[DATA DE CAIXA REALIZADO]]="N/A","0",UPPER(TEXT(tbRegistroSaidas[[#This Row],[DATA DE CAIXA REALIZADO]],"mmm")))</f>
        <v>JUN</v>
      </c>
      <c r="K168" s="129" t="str">
        <f>IF(tbRegistroSaidas[[#This Row],[DATA DA COMPETÊNCIA]]="N/A","0",UPPER(TEXT(tbRegistroSaidas[[#This Row],[DATA DA COMPETÊNCIA]],"mmm")))</f>
        <v>MAI</v>
      </c>
      <c r="L168" s="79">
        <f>IF(tbRegistroSaidas[[#This Row],[DATA DA COMPETÊNCIA]]="N/A",0,YEAR(tbRegistroSaidas[[#This Row],[DATA DA COMPETÊNCIA]]))</f>
        <v>2022</v>
      </c>
      <c r="M168" s="128" t="str">
        <f>IF(tbRegistroSaidas[[#This Row],[DATA DO CAIXA PREVISTO]]="N/A","0",UPPER(TEXT(tbRegistroSaidas[[#This Row],[DATA DO CAIXA PREVISTO]],"mmm")))</f>
        <v>JUN</v>
      </c>
      <c r="N168" s="128">
        <f>IF(tbRegistroSaidas[[#This Row],[DATA DO CAIXA PREVISTO]]="N/A",0,YEAR(tbRegistroSaidas[[#This Row],[DATA DO CAIXA PREVISTO]]))</f>
        <v>2022</v>
      </c>
    </row>
    <row r="169" spans="1:14" s="5" customFormat="1" ht="14.4" x14ac:dyDescent="0.3">
      <c r="A169" s="49">
        <v>44689</v>
      </c>
      <c r="B169" s="49">
        <f t="shared" si="4"/>
        <v>44658</v>
      </c>
      <c r="C169" s="49">
        <f t="shared" si="5"/>
        <v>44674</v>
      </c>
      <c r="D169" s="52" t="s">
        <v>67</v>
      </c>
      <c r="E169" s="52" t="s">
        <v>1543</v>
      </c>
      <c r="F169" s="52" t="s">
        <v>19</v>
      </c>
      <c r="G169" s="52" t="s">
        <v>1252</v>
      </c>
      <c r="H169" s="18">
        <v>679</v>
      </c>
      <c r="I169" s="128">
        <f>IF(tbRegistroSaidas[[#This Row],[DATA DE CAIXA REALIZADO]]="N/A",0,YEAR(tbRegistroSaidas[[#This Row],[DATA DE CAIXA REALIZADO]]))</f>
        <v>2022</v>
      </c>
      <c r="J169" s="128" t="str">
        <f>IF(tbRegistroSaidas[[#This Row],[DATA DE CAIXA REALIZADO]]="N/A","0",UPPER(TEXT(tbRegistroSaidas[[#This Row],[DATA DE CAIXA REALIZADO]],"mmm")))</f>
        <v>MAI</v>
      </c>
      <c r="K169" s="129" t="str">
        <f>IF(tbRegistroSaidas[[#This Row],[DATA DA COMPETÊNCIA]]="N/A","0",UPPER(TEXT(tbRegistroSaidas[[#This Row],[DATA DA COMPETÊNCIA]],"mmm")))</f>
        <v>ABR</v>
      </c>
      <c r="L169" s="79">
        <f>IF(tbRegistroSaidas[[#This Row],[DATA DA COMPETÊNCIA]]="N/A",0,YEAR(tbRegistroSaidas[[#This Row],[DATA DA COMPETÊNCIA]]))</f>
        <v>2022</v>
      </c>
      <c r="M169" s="128" t="str">
        <f>IF(tbRegistroSaidas[[#This Row],[DATA DO CAIXA PREVISTO]]="N/A","0",UPPER(TEXT(tbRegistroSaidas[[#This Row],[DATA DO CAIXA PREVISTO]],"mmm")))</f>
        <v>ABR</v>
      </c>
      <c r="N169" s="128">
        <f>IF(tbRegistroSaidas[[#This Row],[DATA DO CAIXA PREVISTO]]="N/A",0,YEAR(tbRegistroSaidas[[#This Row],[DATA DO CAIXA PREVISTO]]))</f>
        <v>2022</v>
      </c>
    </row>
    <row r="170" spans="1:14" s="5" customFormat="1" ht="14.4" x14ac:dyDescent="0.3">
      <c r="A170" s="49">
        <v>44475</v>
      </c>
      <c r="B170" s="49">
        <f t="shared" si="4"/>
        <v>44444</v>
      </c>
      <c r="C170" s="49">
        <f t="shared" si="5"/>
        <v>44460</v>
      </c>
      <c r="D170" s="52" t="s">
        <v>63</v>
      </c>
      <c r="E170" s="52" t="s">
        <v>1543</v>
      </c>
      <c r="F170" s="52" t="s">
        <v>19</v>
      </c>
      <c r="G170" s="52" t="s">
        <v>1253</v>
      </c>
      <c r="H170" s="18">
        <v>3185</v>
      </c>
      <c r="I170" s="128">
        <f>IF(tbRegistroSaidas[[#This Row],[DATA DE CAIXA REALIZADO]]="N/A",0,YEAR(tbRegistroSaidas[[#This Row],[DATA DE CAIXA REALIZADO]]))</f>
        <v>2021</v>
      </c>
      <c r="J170" s="128" t="str">
        <f>IF(tbRegistroSaidas[[#This Row],[DATA DE CAIXA REALIZADO]]="N/A","0",UPPER(TEXT(tbRegistroSaidas[[#This Row],[DATA DE CAIXA REALIZADO]],"mmm")))</f>
        <v>OUT</v>
      </c>
      <c r="K170" s="129" t="str">
        <f>IF(tbRegistroSaidas[[#This Row],[DATA DA COMPETÊNCIA]]="N/A","0",UPPER(TEXT(tbRegistroSaidas[[#This Row],[DATA DA COMPETÊNCIA]],"mmm")))</f>
        <v>SET</v>
      </c>
      <c r="L170" s="79">
        <f>IF(tbRegistroSaidas[[#This Row],[DATA DA COMPETÊNCIA]]="N/A",0,YEAR(tbRegistroSaidas[[#This Row],[DATA DA COMPETÊNCIA]]))</f>
        <v>2021</v>
      </c>
      <c r="M170" s="128" t="str">
        <f>IF(tbRegistroSaidas[[#This Row],[DATA DO CAIXA PREVISTO]]="N/A","0",UPPER(TEXT(tbRegistroSaidas[[#This Row],[DATA DO CAIXA PREVISTO]],"mmm")))</f>
        <v>SET</v>
      </c>
      <c r="N170" s="128">
        <f>IF(tbRegistroSaidas[[#This Row],[DATA DO CAIXA PREVISTO]]="N/A",0,YEAR(tbRegistroSaidas[[#This Row],[DATA DO CAIXA PREVISTO]]))</f>
        <v>2021</v>
      </c>
    </row>
    <row r="171" spans="1:14" s="5" customFormat="1" ht="14.4" x14ac:dyDescent="0.3">
      <c r="A171" s="49">
        <v>44742</v>
      </c>
      <c r="B171" s="49">
        <f t="shared" si="4"/>
        <v>44711</v>
      </c>
      <c r="C171" s="49">
        <f t="shared" si="5"/>
        <v>44727</v>
      </c>
      <c r="D171" s="52" t="s">
        <v>64</v>
      </c>
      <c r="E171" s="52" t="s">
        <v>1543</v>
      </c>
      <c r="F171" s="52" t="s">
        <v>18</v>
      </c>
      <c r="G171" s="52" t="s">
        <v>1254</v>
      </c>
      <c r="H171" s="18">
        <v>2939</v>
      </c>
      <c r="I171" s="128">
        <f>IF(tbRegistroSaidas[[#This Row],[DATA DE CAIXA REALIZADO]]="N/A",0,YEAR(tbRegistroSaidas[[#This Row],[DATA DE CAIXA REALIZADO]]))</f>
        <v>2022</v>
      </c>
      <c r="J171" s="128" t="str">
        <f>IF(tbRegistroSaidas[[#This Row],[DATA DE CAIXA REALIZADO]]="N/A","0",UPPER(TEXT(tbRegistroSaidas[[#This Row],[DATA DE CAIXA REALIZADO]],"mmm")))</f>
        <v>JUN</v>
      </c>
      <c r="K171" s="129" t="str">
        <f>IF(tbRegistroSaidas[[#This Row],[DATA DA COMPETÊNCIA]]="N/A","0",UPPER(TEXT(tbRegistroSaidas[[#This Row],[DATA DA COMPETÊNCIA]],"mmm")))</f>
        <v>MAI</v>
      </c>
      <c r="L171" s="79">
        <f>IF(tbRegistroSaidas[[#This Row],[DATA DA COMPETÊNCIA]]="N/A",0,YEAR(tbRegistroSaidas[[#This Row],[DATA DA COMPETÊNCIA]]))</f>
        <v>2022</v>
      </c>
      <c r="M171" s="128" t="str">
        <f>IF(tbRegistroSaidas[[#This Row],[DATA DO CAIXA PREVISTO]]="N/A","0",UPPER(TEXT(tbRegistroSaidas[[#This Row],[DATA DO CAIXA PREVISTO]],"mmm")))</f>
        <v>JUN</v>
      </c>
      <c r="N171" s="128">
        <f>IF(tbRegistroSaidas[[#This Row],[DATA DO CAIXA PREVISTO]]="N/A",0,YEAR(tbRegistroSaidas[[#This Row],[DATA DO CAIXA PREVISTO]]))</f>
        <v>2022</v>
      </c>
    </row>
    <row r="172" spans="1:14" s="5" customFormat="1" ht="14.4" x14ac:dyDescent="0.3">
      <c r="A172" s="49">
        <v>44756</v>
      </c>
      <c r="B172" s="49">
        <f t="shared" si="4"/>
        <v>44725</v>
      </c>
      <c r="C172" s="49">
        <f t="shared" si="5"/>
        <v>44741</v>
      </c>
      <c r="D172" s="52" t="s">
        <v>61</v>
      </c>
      <c r="E172" s="52" t="s">
        <v>1543</v>
      </c>
      <c r="F172" s="52" t="s">
        <v>17</v>
      </c>
      <c r="G172" s="52" t="s">
        <v>1001</v>
      </c>
      <c r="H172" s="18">
        <v>2668</v>
      </c>
      <c r="I172" s="128">
        <f>IF(tbRegistroSaidas[[#This Row],[DATA DE CAIXA REALIZADO]]="N/A",0,YEAR(tbRegistroSaidas[[#This Row],[DATA DE CAIXA REALIZADO]]))</f>
        <v>2022</v>
      </c>
      <c r="J172" s="128" t="str">
        <f>IF(tbRegistroSaidas[[#This Row],[DATA DE CAIXA REALIZADO]]="N/A","0",UPPER(TEXT(tbRegistroSaidas[[#This Row],[DATA DE CAIXA REALIZADO]],"mmm")))</f>
        <v>JUL</v>
      </c>
      <c r="K172" s="129" t="str">
        <f>IF(tbRegistroSaidas[[#This Row],[DATA DA COMPETÊNCIA]]="N/A","0",UPPER(TEXT(tbRegistroSaidas[[#This Row],[DATA DA COMPETÊNCIA]],"mmm")))</f>
        <v>JUN</v>
      </c>
      <c r="L172" s="79">
        <f>IF(tbRegistroSaidas[[#This Row],[DATA DA COMPETÊNCIA]]="N/A",0,YEAR(tbRegistroSaidas[[#This Row],[DATA DA COMPETÊNCIA]]))</f>
        <v>2022</v>
      </c>
      <c r="M172" s="128" t="str">
        <f>IF(tbRegistroSaidas[[#This Row],[DATA DO CAIXA PREVISTO]]="N/A","0",UPPER(TEXT(tbRegistroSaidas[[#This Row],[DATA DO CAIXA PREVISTO]],"mmm")))</f>
        <v>JUN</v>
      </c>
      <c r="N172" s="128">
        <f>IF(tbRegistroSaidas[[#This Row],[DATA DO CAIXA PREVISTO]]="N/A",0,YEAR(tbRegistroSaidas[[#This Row],[DATA DO CAIXA PREVISTO]]))</f>
        <v>2022</v>
      </c>
    </row>
    <row r="173" spans="1:14" s="5" customFormat="1" ht="14.4" x14ac:dyDescent="0.3">
      <c r="A173" s="49">
        <v>44333</v>
      </c>
      <c r="B173" s="49">
        <f t="shared" si="4"/>
        <v>44302</v>
      </c>
      <c r="C173" s="49">
        <f t="shared" si="5"/>
        <v>44318</v>
      </c>
      <c r="D173" s="52" t="s">
        <v>66</v>
      </c>
      <c r="E173" s="52" t="s">
        <v>1543</v>
      </c>
      <c r="F173" s="52" t="s">
        <v>19</v>
      </c>
      <c r="G173" s="52" t="s">
        <v>1096</v>
      </c>
      <c r="H173" s="18">
        <v>3545</v>
      </c>
      <c r="I173" s="128">
        <f>IF(tbRegistroSaidas[[#This Row],[DATA DE CAIXA REALIZADO]]="N/A",0,YEAR(tbRegistroSaidas[[#This Row],[DATA DE CAIXA REALIZADO]]))</f>
        <v>2021</v>
      </c>
      <c r="J173" s="128" t="str">
        <f>IF(tbRegistroSaidas[[#This Row],[DATA DE CAIXA REALIZADO]]="N/A","0",UPPER(TEXT(tbRegistroSaidas[[#This Row],[DATA DE CAIXA REALIZADO]],"mmm")))</f>
        <v>MAI</v>
      </c>
      <c r="K173" s="129" t="str">
        <f>IF(tbRegistroSaidas[[#This Row],[DATA DA COMPETÊNCIA]]="N/A","0",UPPER(TEXT(tbRegistroSaidas[[#This Row],[DATA DA COMPETÊNCIA]],"mmm")))</f>
        <v>ABR</v>
      </c>
      <c r="L173" s="79">
        <f>IF(tbRegistroSaidas[[#This Row],[DATA DA COMPETÊNCIA]]="N/A",0,YEAR(tbRegistroSaidas[[#This Row],[DATA DA COMPETÊNCIA]]))</f>
        <v>2021</v>
      </c>
      <c r="M173" s="128" t="str">
        <f>IF(tbRegistroSaidas[[#This Row],[DATA DO CAIXA PREVISTO]]="N/A","0",UPPER(TEXT(tbRegistroSaidas[[#This Row],[DATA DO CAIXA PREVISTO]],"mmm")))</f>
        <v>MAI</v>
      </c>
      <c r="N173" s="128">
        <f>IF(tbRegistroSaidas[[#This Row],[DATA DO CAIXA PREVISTO]]="N/A",0,YEAR(tbRegistroSaidas[[#This Row],[DATA DO CAIXA PREVISTO]]))</f>
        <v>2021</v>
      </c>
    </row>
    <row r="174" spans="1:14" s="5" customFormat="1" ht="14.4" x14ac:dyDescent="0.3">
      <c r="A174" s="49">
        <v>44486</v>
      </c>
      <c r="B174" s="49">
        <f t="shared" si="4"/>
        <v>44455</v>
      </c>
      <c r="C174" s="49">
        <f t="shared" si="5"/>
        <v>44471</v>
      </c>
      <c r="D174" s="52" t="s">
        <v>67</v>
      </c>
      <c r="E174" s="52" t="s">
        <v>1543</v>
      </c>
      <c r="F174" s="52" t="s">
        <v>19</v>
      </c>
      <c r="G174" s="52" t="s">
        <v>1255</v>
      </c>
      <c r="H174" s="18">
        <v>3674</v>
      </c>
      <c r="I174" s="128">
        <f>IF(tbRegistroSaidas[[#This Row],[DATA DE CAIXA REALIZADO]]="N/A",0,YEAR(tbRegistroSaidas[[#This Row],[DATA DE CAIXA REALIZADO]]))</f>
        <v>2021</v>
      </c>
      <c r="J174" s="128" t="str">
        <f>IF(tbRegistroSaidas[[#This Row],[DATA DE CAIXA REALIZADO]]="N/A","0",UPPER(TEXT(tbRegistroSaidas[[#This Row],[DATA DE CAIXA REALIZADO]],"mmm")))</f>
        <v>OUT</v>
      </c>
      <c r="K174" s="129" t="str">
        <f>IF(tbRegistroSaidas[[#This Row],[DATA DA COMPETÊNCIA]]="N/A","0",UPPER(TEXT(tbRegistroSaidas[[#This Row],[DATA DA COMPETÊNCIA]],"mmm")))</f>
        <v>SET</v>
      </c>
      <c r="L174" s="79">
        <f>IF(tbRegistroSaidas[[#This Row],[DATA DA COMPETÊNCIA]]="N/A",0,YEAR(tbRegistroSaidas[[#This Row],[DATA DA COMPETÊNCIA]]))</f>
        <v>2021</v>
      </c>
      <c r="M174" s="128" t="str">
        <f>IF(tbRegistroSaidas[[#This Row],[DATA DO CAIXA PREVISTO]]="N/A","0",UPPER(TEXT(tbRegistroSaidas[[#This Row],[DATA DO CAIXA PREVISTO]],"mmm")))</f>
        <v>OUT</v>
      </c>
      <c r="N174" s="128">
        <f>IF(tbRegistroSaidas[[#This Row],[DATA DO CAIXA PREVISTO]]="N/A",0,YEAR(tbRegistroSaidas[[#This Row],[DATA DO CAIXA PREVISTO]]))</f>
        <v>2021</v>
      </c>
    </row>
    <row r="175" spans="1:14" s="5" customFormat="1" ht="14.4" x14ac:dyDescent="0.3">
      <c r="A175" s="49">
        <v>44768</v>
      </c>
      <c r="B175" s="49">
        <f t="shared" si="4"/>
        <v>44737</v>
      </c>
      <c r="C175" s="49">
        <f t="shared" si="5"/>
        <v>44753</v>
      </c>
      <c r="D175" s="52" t="s">
        <v>66</v>
      </c>
      <c r="E175" s="52" t="s">
        <v>1543</v>
      </c>
      <c r="F175" s="52" t="s">
        <v>16</v>
      </c>
      <c r="G175" s="52" t="s">
        <v>1256</v>
      </c>
      <c r="H175" s="18">
        <v>2327</v>
      </c>
      <c r="I175" s="128">
        <f>IF(tbRegistroSaidas[[#This Row],[DATA DE CAIXA REALIZADO]]="N/A",0,YEAR(tbRegistroSaidas[[#This Row],[DATA DE CAIXA REALIZADO]]))</f>
        <v>2022</v>
      </c>
      <c r="J175" s="128" t="str">
        <f>IF(tbRegistroSaidas[[#This Row],[DATA DE CAIXA REALIZADO]]="N/A","0",UPPER(TEXT(tbRegistroSaidas[[#This Row],[DATA DE CAIXA REALIZADO]],"mmm")))</f>
        <v>JUL</v>
      </c>
      <c r="K175" s="129" t="str">
        <f>IF(tbRegistroSaidas[[#This Row],[DATA DA COMPETÊNCIA]]="N/A","0",UPPER(TEXT(tbRegistroSaidas[[#This Row],[DATA DA COMPETÊNCIA]],"mmm")))</f>
        <v>JUN</v>
      </c>
      <c r="L175" s="79">
        <f>IF(tbRegistroSaidas[[#This Row],[DATA DA COMPETÊNCIA]]="N/A",0,YEAR(tbRegistroSaidas[[#This Row],[DATA DA COMPETÊNCIA]]))</f>
        <v>2022</v>
      </c>
      <c r="M175" s="128" t="str">
        <f>IF(tbRegistroSaidas[[#This Row],[DATA DO CAIXA PREVISTO]]="N/A","0",UPPER(TEXT(tbRegistroSaidas[[#This Row],[DATA DO CAIXA PREVISTO]],"mmm")))</f>
        <v>JUL</v>
      </c>
      <c r="N175" s="128">
        <f>IF(tbRegistroSaidas[[#This Row],[DATA DO CAIXA PREVISTO]]="N/A",0,YEAR(tbRegistroSaidas[[#This Row],[DATA DO CAIXA PREVISTO]]))</f>
        <v>2022</v>
      </c>
    </row>
    <row r="176" spans="1:14" s="5" customFormat="1" ht="14.4" x14ac:dyDescent="0.3">
      <c r="A176" s="49">
        <v>44269</v>
      </c>
      <c r="B176" s="49">
        <f t="shared" si="4"/>
        <v>44238</v>
      </c>
      <c r="C176" s="49">
        <f t="shared" si="5"/>
        <v>44254</v>
      </c>
      <c r="D176" s="52" t="s">
        <v>67</v>
      </c>
      <c r="E176" s="52" t="s">
        <v>1543</v>
      </c>
      <c r="F176" s="52" t="s">
        <v>32</v>
      </c>
      <c r="G176" s="52" t="s">
        <v>1257</v>
      </c>
      <c r="H176" s="18">
        <v>2601</v>
      </c>
      <c r="I176" s="128">
        <f>IF(tbRegistroSaidas[[#This Row],[DATA DE CAIXA REALIZADO]]="N/A",0,YEAR(tbRegistroSaidas[[#This Row],[DATA DE CAIXA REALIZADO]]))</f>
        <v>2021</v>
      </c>
      <c r="J176" s="128" t="str">
        <f>IF(tbRegistroSaidas[[#This Row],[DATA DE CAIXA REALIZADO]]="N/A","0",UPPER(TEXT(tbRegistroSaidas[[#This Row],[DATA DE CAIXA REALIZADO]],"mmm")))</f>
        <v>MAR</v>
      </c>
      <c r="K176" s="129" t="str">
        <f>IF(tbRegistroSaidas[[#This Row],[DATA DA COMPETÊNCIA]]="N/A","0",UPPER(TEXT(tbRegistroSaidas[[#This Row],[DATA DA COMPETÊNCIA]],"mmm")))</f>
        <v>FEV</v>
      </c>
      <c r="L176" s="79">
        <f>IF(tbRegistroSaidas[[#This Row],[DATA DA COMPETÊNCIA]]="N/A",0,YEAR(tbRegistroSaidas[[#This Row],[DATA DA COMPETÊNCIA]]))</f>
        <v>2021</v>
      </c>
      <c r="M176" s="128" t="str">
        <f>IF(tbRegistroSaidas[[#This Row],[DATA DO CAIXA PREVISTO]]="N/A","0",UPPER(TEXT(tbRegistroSaidas[[#This Row],[DATA DO CAIXA PREVISTO]],"mmm")))</f>
        <v>FEV</v>
      </c>
      <c r="N176" s="128">
        <f>IF(tbRegistroSaidas[[#This Row],[DATA DO CAIXA PREVISTO]]="N/A",0,YEAR(tbRegistroSaidas[[#This Row],[DATA DO CAIXA PREVISTO]]))</f>
        <v>2021</v>
      </c>
    </row>
    <row r="177" spans="1:14" s="5" customFormat="1" ht="14.4" x14ac:dyDescent="0.3">
      <c r="A177" s="49">
        <v>44409</v>
      </c>
      <c r="B177" s="49">
        <f t="shared" si="4"/>
        <v>44378</v>
      </c>
      <c r="C177" s="49">
        <f t="shared" si="5"/>
        <v>44394</v>
      </c>
      <c r="D177" s="52" t="s">
        <v>67</v>
      </c>
      <c r="E177" s="52" t="s">
        <v>1543</v>
      </c>
      <c r="F177" s="52" t="s">
        <v>16</v>
      </c>
      <c r="G177" s="52" t="s">
        <v>1258</v>
      </c>
      <c r="H177" s="18">
        <v>2262</v>
      </c>
      <c r="I177" s="128">
        <f>IF(tbRegistroSaidas[[#This Row],[DATA DE CAIXA REALIZADO]]="N/A",0,YEAR(tbRegistroSaidas[[#This Row],[DATA DE CAIXA REALIZADO]]))</f>
        <v>2021</v>
      </c>
      <c r="J177" s="128" t="str">
        <f>IF(tbRegistroSaidas[[#This Row],[DATA DE CAIXA REALIZADO]]="N/A","0",UPPER(TEXT(tbRegistroSaidas[[#This Row],[DATA DE CAIXA REALIZADO]],"mmm")))</f>
        <v>AGO</v>
      </c>
      <c r="K177" s="129" t="str">
        <f>IF(tbRegistroSaidas[[#This Row],[DATA DA COMPETÊNCIA]]="N/A","0",UPPER(TEXT(tbRegistroSaidas[[#This Row],[DATA DA COMPETÊNCIA]],"mmm")))</f>
        <v>JUL</v>
      </c>
      <c r="L177" s="79">
        <f>IF(tbRegistroSaidas[[#This Row],[DATA DA COMPETÊNCIA]]="N/A",0,YEAR(tbRegistroSaidas[[#This Row],[DATA DA COMPETÊNCIA]]))</f>
        <v>2021</v>
      </c>
      <c r="M177" s="128" t="str">
        <f>IF(tbRegistroSaidas[[#This Row],[DATA DO CAIXA PREVISTO]]="N/A","0",UPPER(TEXT(tbRegistroSaidas[[#This Row],[DATA DO CAIXA PREVISTO]],"mmm")))</f>
        <v>JUL</v>
      </c>
      <c r="N177" s="128">
        <f>IF(tbRegistroSaidas[[#This Row],[DATA DO CAIXA PREVISTO]]="N/A",0,YEAR(tbRegistroSaidas[[#This Row],[DATA DO CAIXA PREVISTO]]))</f>
        <v>2021</v>
      </c>
    </row>
    <row r="178" spans="1:14" s="5" customFormat="1" ht="14.4" x14ac:dyDescent="0.3">
      <c r="A178" s="49">
        <v>45221</v>
      </c>
      <c r="B178" s="49">
        <f t="shared" si="4"/>
        <v>45190</v>
      </c>
      <c r="C178" s="49">
        <f t="shared" si="5"/>
        <v>45206</v>
      </c>
      <c r="D178" s="52" t="s">
        <v>138</v>
      </c>
      <c r="E178" s="52" t="s">
        <v>1543</v>
      </c>
      <c r="F178" s="52" t="s">
        <v>19</v>
      </c>
      <c r="G178" s="52" t="s">
        <v>1259</v>
      </c>
      <c r="H178" s="18">
        <v>2465</v>
      </c>
      <c r="I178" s="128">
        <f>IF(tbRegistroSaidas[[#This Row],[DATA DE CAIXA REALIZADO]]="N/A",0,YEAR(tbRegistroSaidas[[#This Row],[DATA DE CAIXA REALIZADO]]))</f>
        <v>2023</v>
      </c>
      <c r="J178" s="128" t="str">
        <f>IF(tbRegistroSaidas[[#This Row],[DATA DE CAIXA REALIZADO]]="N/A","0",UPPER(TEXT(tbRegistroSaidas[[#This Row],[DATA DE CAIXA REALIZADO]],"mmm")))</f>
        <v>OUT</v>
      </c>
      <c r="K178" s="129" t="str">
        <f>IF(tbRegistroSaidas[[#This Row],[DATA DA COMPETÊNCIA]]="N/A","0",UPPER(TEXT(tbRegistroSaidas[[#This Row],[DATA DA COMPETÊNCIA]],"mmm")))</f>
        <v>SET</v>
      </c>
      <c r="L178" s="79">
        <f>IF(tbRegistroSaidas[[#This Row],[DATA DA COMPETÊNCIA]]="N/A",0,YEAR(tbRegistroSaidas[[#This Row],[DATA DA COMPETÊNCIA]]))</f>
        <v>2023</v>
      </c>
      <c r="M178" s="128" t="str">
        <f>IF(tbRegistroSaidas[[#This Row],[DATA DO CAIXA PREVISTO]]="N/A","0",UPPER(TEXT(tbRegistroSaidas[[#This Row],[DATA DO CAIXA PREVISTO]],"mmm")))</f>
        <v>OUT</v>
      </c>
      <c r="N178" s="128">
        <f>IF(tbRegistroSaidas[[#This Row],[DATA DO CAIXA PREVISTO]]="N/A",0,YEAR(tbRegistroSaidas[[#This Row],[DATA DO CAIXA PREVISTO]]))</f>
        <v>2023</v>
      </c>
    </row>
    <row r="179" spans="1:14" s="5" customFormat="1" ht="14.4" x14ac:dyDescent="0.3">
      <c r="A179" s="49">
        <v>44747</v>
      </c>
      <c r="B179" s="49">
        <f t="shared" si="4"/>
        <v>44716</v>
      </c>
      <c r="C179" s="49">
        <f t="shared" si="5"/>
        <v>44732</v>
      </c>
      <c r="D179" s="52" t="s">
        <v>64</v>
      </c>
      <c r="E179" s="52" t="s">
        <v>1543</v>
      </c>
      <c r="F179" s="52" t="s">
        <v>18</v>
      </c>
      <c r="G179" s="52" t="s">
        <v>1260</v>
      </c>
      <c r="H179" s="18">
        <v>512</v>
      </c>
      <c r="I179" s="128">
        <f>IF(tbRegistroSaidas[[#This Row],[DATA DE CAIXA REALIZADO]]="N/A",0,YEAR(tbRegistroSaidas[[#This Row],[DATA DE CAIXA REALIZADO]]))</f>
        <v>2022</v>
      </c>
      <c r="J179" s="128" t="str">
        <f>IF(tbRegistroSaidas[[#This Row],[DATA DE CAIXA REALIZADO]]="N/A","0",UPPER(TEXT(tbRegistroSaidas[[#This Row],[DATA DE CAIXA REALIZADO]],"mmm")))</f>
        <v>JUL</v>
      </c>
      <c r="K179" s="129" t="str">
        <f>IF(tbRegistroSaidas[[#This Row],[DATA DA COMPETÊNCIA]]="N/A","0",UPPER(TEXT(tbRegistroSaidas[[#This Row],[DATA DA COMPETÊNCIA]],"mmm")))</f>
        <v>JUN</v>
      </c>
      <c r="L179" s="79">
        <f>IF(tbRegistroSaidas[[#This Row],[DATA DA COMPETÊNCIA]]="N/A",0,YEAR(tbRegistroSaidas[[#This Row],[DATA DA COMPETÊNCIA]]))</f>
        <v>2022</v>
      </c>
      <c r="M179" s="128" t="str">
        <f>IF(tbRegistroSaidas[[#This Row],[DATA DO CAIXA PREVISTO]]="N/A","0",UPPER(TEXT(tbRegistroSaidas[[#This Row],[DATA DO CAIXA PREVISTO]],"mmm")))</f>
        <v>JUN</v>
      </c>
      <c r="N179" s="128">
        <f>IF(tbRegistroSaidas[[#This Row],[DATA DO CAIXA PREVISTO]]="N/A",0,YEAR(tbRegistroSaidas[[#This Row],[DATA DO CAIXA PREVISTO]]))</f>
        <v>2022</v>
      </c>
    </row>
    <row r="180" spans="1:14" s="5" customFormat="1" ht="14.4" x14ac:dyDescent="0.3">
      <c r="A180" s="49">
        <v>45028</v>
      </c>
      <c r="B180" s="49">
        <f t="shared" si="4"/>
        <v>44997</v>
      </c>
      <c r="C180" s="49">
        <f t="shared" si="5"/>
        <v>45013</v>
      </c>
      <c r="D180" s="52" t="s">
        <v>138</v>
      </c>
      <c r="E180" s="52" t="s">
        <v>1543</v>
      </c>
      <c r="F180" s="52" t="s">
        <v>19</v>
      </c>
      <c r="G180" s="52" t="s">
        <v>194</v>
      </c>
      <c r="H180" s="18">
        <v>1816</v>
      </c>
      <c r="I180" s="128">
        <f>IF(tbRegistroSaidas[[#This Row],[DATA DE CAIXA REALIZADO]]="N/A",0,YEAR(tbRegistroSaidas[[#This Row],[DATA DE CAIXA REALIZADO]]))</f>
        <v>2023</v>
      </c>
      <c r="J180" s="128" t="str">
        <f>IF(tbRegistroSaidas[[#This Row],[DATA DE CAIXA REALIZADO]]="N/A","0",UPPER(TEXT(tbRegistroSaidas[[#This Row],[DATA DE CAIXA REALIZADO]],"mmm")))</f>
        <v>ABR</v>
      </c>
      <c r="K180" s="129" t="str">
        <f>IF(tbRegistroSaidas[[#This Row],[DATA DA COMPETÊNCIA]]="N/A","0",UPPER(TEXT(tbRegistroSaidas[[#This Row],[DATA DA COMPETÊNCIA]],"mmm")))</f>
        <v>MAR</v>
      </c>
      <c r="L180" s="79">
        <f>IF(tbRegistroSaidas[[#This Row],[DATA DA COMPETÊNCIA]]="N/A",0,YEAR(tbRegistroSaidas[[#This Row],[DATA DA COMPETÊNCIA]]))</f>
        <v>2023</v>
      </c>
      <c r="M180" s="128" t="str">
        <f>IF(tbRegistroSaidas[[#This Row],[DATA DO CAIXA PREVISTO]]="N/A","0",UPPER(TEXT(tbRegistroSaidas[[#This Row],[DATA DO CAIXA PREVISTO]],"mmm")))</f>
        <v>MAR</v>
      </c>
      <c r="N180" s="128">
        <f>IF(tbRegistroSaidas[[#This Row],[DATA DO CAIXA PREVISTO]]="N/A",0,YEAR(tbRegistroSaidas[[#This Row],[DATA DO CAIXA PREVISTO]]))</f>
        <v>2023</v>
      </c>
    </row>
    <row r="181" spans="1:14" s="5" customFormat="1" ht="14.4" x14ac:dyDescent="0.3">
      <c r="A181" s="49">
        <v>44432</v>
      </c>
      <c r="B181" s="49">
        <f t="shared" si="4"/>
        <v>44401</v>
      </c>
      <c r="C181" s="49">
        <f t="shared" si="5"/>
        <v>44417</v>
      </c>
      <c r="D181" s="52" t="s">
        <v>137</v>
      </c>
      <c r="E181" s="52" t="s">
        <v>1543</v>
      </c>
      <c r="F181" s="52" t="s">
        <v>16</v>
      </c>
      <c r="G181" s="52" t="s">
        <v>1261</v>
      </c>
      <c r="H181" s="18">
        <v>1654</v>
      </c>
      <c r="I181" s="128">
        <f>IF(tbRegistroSaidas[[#This Row],[DATA DE CAIXA REALIZADO]]="N/A",0,YEAR(tbRegistroSaidas[[#This Row],[DATA DE CAIXA REALIZADO]]))</f>
        <v>2021</v>
      </c>
      <c r="J181" s="128" t="str">
        <f>IF(tbRegistroSaidas[[#This Row],[DATA DE CAIXA REALIZADO]]="N/A","0",UPPER(TEXT(tbRegistroSaidas[[#This Row],[DATA DE CAIXA REALIZADO]],"mmm")))</f>
        <v>AGO</v>
      </c>
      <c r="K181" s="129" t="str">
        <f>IF(tbRegistroSaidas[[#This Row],[DATA DA COMPETÊNCIA]]="N/A","0",UPPER(TEXT(tbRegistroSaidas[[#This Row],[DATA DA COMPETÊNCIA]],"mmm")))</f>
        <v>JUL</v>
      </c>
      <c r="L181" s="79">
        <f>IF(tbRegistroSaidas[[#This Row],[DATA DA COMPETÊNCIA]]="N/A",0,YEAR(tbRegistroSaidas[[#This Row],[DATA DA COMPETÊNCIA]]))</f>
        <v>2021</v>
      </c>
      <c r="M181" s="128" t="str">
        <f>IF(tbRegistroSaidas[[#This Row],[DATA DO CAIXA PREVISTO]]="N/A","0",UPPER(TEXT(tbRegistroSaidas[[#This Row],[DATA DO CAIXA PREVISTO]],"mmm")))</f>
        <v>AGO</v>
      </c>
      <c r="N181" s="128">
        <f>IF(tbRegistroSaidas[[#This Row],[DATA DO CAIXA PREVISTO]]="N/A",0,YEAR(tbRegistroSaidas[[#This Row],[DATA DO CAIXA PREVISTO]]))</f>
        <v>2021</v>
      </c>
    </row>
    <row r="182" spans="1:14" s="5" customFormat="1" ht="14.4" x14ac:dyDescent="0.3">
      <c r="A182" s="49">
        <v>44449</v>
      </c>
      <c r="B182" s="49">
        <f t="shared" si="4"/>
        <v>44418</v>
      </c>
      <c r="C182" s="49">
        <f t="shared" si="5"/>
        <v>44434</v>
      </c>
      <c r="D182" s="52" t="s">
        <v>63</v>
      </c>
      <c r="E182" s="52" t="s">
        <v>1543</v>
      </c>
      <c r="F182" s="52" t="s">
        <v>32</v>
      </c>
      <c r="G182" s="52" t="s">
        <v>1260</v>
      </c>
      <c r="H182" s="18">
        <v>3431</v>
      </c>
      <c r="I182" s="128">
        <f>IF(tbRegistroSaidas[[#This Row],[DATA DE CAIXA REALIZADO]]="N/A",0,YEAR(tbRegistroSaidas[[#This Row],[DATA DE CAIXA REALIZADO]]))</f>
        <v>2021</v>
      </c>
      <c r="J182" s="128" t="str">
        <f>IF(tbRegistroSaidas[[#This Row],[DATA DE CAIXA REALIZADO]]="N/A","0",UPPER(TEXT(tbRegistroSaidas[[#This Row],[DATA DE CAIXA REALIZADO]],"mmm")))</f>
        <v>SET</v>
      </c>
      <c r="K182" s="129" t="str">
        <f>IF(tbRegistroSaidas[[#This Row],[DATA DA COMPETÊNCIA]]="N/A","0",UPPER(TEXT(tbRegistroSaidas[[#This Row],[DATA DA COMPETÊNCIA]],"mmm")))</f>
        <v>AGO</v>
      </c>
      <c r="L182" s="79">
        <f>IF(tbRegistroSaidas[[#This Row],[DATA DA COMPETÊNCIA]]="N/A",0,YEAR(tbRegistroSaidas[[#This Row],[DATA DA COMPETÊNCIA]]))</f>
        <v>2021</v>
      </c>
      <c r="M182" s="128" t="str">
        <f>IF(tbRegistroSaidas[[#This Row],[DATA DO CAIXA PREVISTO]]="N/A","0",UPPER(TEXT(tbRegistroSaidas[[#This Row],[DATA DO CAIXA PREVISTO]],"mmm")))</f>
        <v>AGO</v>
      </c>
      <c r="N182" s="128">
        <f>IF(tbRegistroSaidas[[#This Row],[DATA DO CAIXA PREVISTO]]="N/A",0,YEAR(tbRegistroSaidas[[#This Row],[DATA DO CAIXA PREVISTO]]))</f>
        <v>2021</v>
      </c>
    </row>
    <row r="183" spans="1:14" s="5" customFormat="1" ht="14.4" x14ac:dyDescent="0.3">
      <c r="A183" s="49">
        <v>44683</v>
      </c>
      <c r="B183" s="49">
        <f t="shared" si="4"/>
        <v>44652</v>
      </c>
      <c r="C183" s="49">
        <f t="shared" si="5"/>
        <v>44668</v>
      </c>
      <c r="D183" s="52" t="s">
        <v>137</v>
      </c>
      <c r="E183" s="52" t="s">
        <v>1543</v>
      </c>
      <c r="F183" s="52" t="s">
        <v>19</v>
      </c>
      <c r="G183" s="52" t="s">
        <v>1262</v>
      </c>
      <c r="H183" s="18">
        <v>1712</v>
      </c>
      <c r="I183" s="128">
        <f>IF(tbRegistroSaidas[[#This Row],[DATA DE CAIXA REALIZADO]]="N/A",0,YEAR(tbRegistroSaidas[[#This Row],[DATA DE CAIXA REALIZADO]]))</f>
        <v>2022</v>
      </c>
      <c r="J183" s="128" t="str">
        <f>IF(tbRegistroSaidas[[#This Row],[DATA DE CAIXA REALIZADO]]="N/A","0",UPPER(TEXT(tbRegistroSaidas[[#This Row],[DATA DE CAIXA REALIZADO]],"mmm")))</f>
        <v>MAI</v>
      </c>
      <c r="K183" s="129" t="str">
        <f>IF(tbRegistroSaidas[[#This Row],[DATA DA COMPETÊNCIA]]="N/A","0",UPPER(TEXT(tbRegistroSaidas[[#This Row],[DATA DA COMPETÊNCIA]],"mmm")))</f>
        <v>ABR</v>
      </c>
      <c r="L183" s="79">
        <f>IF(tbRegistroSaidas[[#This Row],[DATA DA COMPETÊNCIA]]="N/A",0,YEAR(tbRegistroSaidas[[#This Row],[DATA DA COMPETÊNCIA]]))</f>
        <v>2022</v>
      </c>
      <c r="M183" s="128" t="str">
        <f>IF(tbRegistroSaidas[[#This Row],[DATA DO CAIXA PREVISTO]]="N/A","0",UPPER(TEXT(tbRegistroSaidas[[#This Row],[DATA DO CAIXA PREVISTO]],"mmm")))</f>
        <v>ABR</v>
      </c>
      <c r="N183" s="128">
        <f>IF(tbRegistroSaidas[[#This Row],[DATA DO CAIXA PREVISTO]]="N/A",0,YEAR(tbRegistroSaidas[[#This Row],[DATA DO CAIXA PREVISTO]]))</f>
        <v>2022</v>
      </c>
    </row>
    <row r="184" spans="1:14" s="5" customFormat="1" ht="14.4" x14ac:dyDescent="0.3">
      <c r="A184" s="49">
        <v>44492</v>
      </c>
      <c r="B184" s="49">
        <f t="shared" si="4"/>
        <v>44461</v>
      </c>
      <c r="C184" s="49">
        <f t="shared" si="5"/>
        <v>44477</v>
      </c>
      <c r="D184" s="52" t="s">
        <v>138</v>
      </c>
      <c r="E184" s="52" t="s">
        <v>1543</v>
      </c>
      <c r="F184" s="52" t="s">
        <v>16</v>
      </c>
      <c r="G184" s="52" t="s">
        <v>1263</v>
      </c>
      <c r="H184" s="18">
        <v>1610</v>
      </c>
      <c r="I184" s="128">
        <f>IF(tbRegistroSaidas[[#This Row],[DATA DE CAIXA REALIZADO]]="N/A",0,YEAR(tbRegistroSaidas[[#This Row],[DATA DE CAIXA REALIZADO]]))</f>
        <v>2021</v>
      </c>
      <c r="J184" s="128" t="str">
        <f>IF(tbRegistroSaidas[[#This Row],[DATA DE CAIXA REALIZADO]]="N/A","0",UPPER(TEXT(tbRegistroSaidas[[#This Row],[DATA DE CAIXA REALIZADO]],"mmm")))</f>
        <v>OUT</v>
      </c>
      <c r="K184" s="129" t="str">
        <f>IF(tbRegistroSaidas[[#This Row],[DATA DA COMPETÊNCIA]]="N/A","0",UPPER(TEXT(tbRegistroSaidas[[#This Row],[DATA DA COMPETÊNCIA]],"mmm")))</f>
        <v>SET</v>
      </c>
      <c r="L184" s="79">
        <f>IF(tbRegistroSaidas[[#This Row],[DATA DA COMPETÊNCIA]]="N/A",0,YEAR(tbRegistroSaidas[[#This Row],[DATA DA COMPETÊNCIA]]))</f>
        <v>2021</v>
      </c>
      <c r="M184" s="128" t="str">
        <f>IF(tbRegistroSaidas[[#This Row],[DATA DO CAIXA PREVISTO]]="N/A","0",UPPER(TEXT(tbRegistroSaidas[[#This Row],[DATA DO CAIXA PREVISTO]],"mmm")))</f>
        <v>OUT</v>
      </c>
      <c r="N184" s="128">
        <f>IF(tbRegistroSaidas[[#This Row],[DATA DO CAIXA PREVISTO]]="N/A",0,YEAR(tbRegistroSaidas[[#This Row],[DATA DO CAIXA PREVISTO]]))</f>
        <v>2021</v>
      </c>
    </row>
    <row r="185" spans="1:14" s="5" customFormat="1" ht="14.4" x14ac:dyDescent="0.3">
      <c r="A185" s="49">
        <v>44883</v>
      </c>
      <c r="B185" s="49">
        <f t="shared" si="4"/>
        <v>44852</v>
      </c>
      <c r="C185" s="49">
        <f t="shared" si="5"/>
        <v>44868</v>
      </c>
      <c r="D185" s="52" t="s">
        <v>61</v>
      </c>
      <c r="E185" s="52" t="s">
        <v>1543</v>
      </c>
      <c r="F185" s="52" t="s">
        <v>18</v>
      </c>
      <c r="G185" s="52" t="s">
        <v>1264</v>
      </c>
      <c r="H185" s="18">
        <v>3707</v>
      </c>
      <c r="I185" s="128">
        <f>IF(tbRegistroSaidas[[#This Row],[DATA DE CAIXA REALIZADO]]="N/A",0,YEAR(tbRegistroSaidas[[#This Row],[DATA DE CAIXA REALIZADO]]))</f>
        <v>2022</v>
      </c>
      <c r="J185" s="128" t="str">
        <f>IF(tbRegistroSaidas[[#This Row],[DATA DE CAIXA REALIZADO]]="N/A","0",UPPER(TEXT(tbRegistroSaidas[[#This Row],[DATA DE CAIXA REALIZADO]],"mmm")))</f>
        <v>NOV</v>
      </c>
      <c r="K185" s="129" t="str">
        <f>IF(tbRegistroSaidas[[#This Row],[DATA DA COMPETÊNCIA]]="N/A","0",UPPER(TEXT(tbRegistroSaidas[[#This Row],[DATA DA COMPETÊNCIA]],"mmm")))</f>
        <v>OUT</v>
      </c>
      <c r="L185" s="79">
        <f>IF(tbRegistroSaidas[[#This Row],[DATA DA COMPETÊNCIA]]="N/A",0,YEAR(tbRegistroSaidas[[#This Row],[DATA DA COMPETÊNCIA]]))</f>
        <v>2022</v>
      </c>
      <c r="M185" s="128" t="str">
        <f>IF(tbRegistroSaidas[[#This Row],[DATA DO CAIXA PREVISTO]]="N/A","0",UPPER(TEXT(tbRegistroSaidas[[#This Row],[DATA DO CAIXA PREVISTO]],"mmm")))</f>
        <v>NOV</v>
      </c>
      <c r="N185" s="128">
        <f>IF(tbRegistroSaidas[[#This Row],[DATA DO CAIXA PREVISTO]]="N/A",0,YEAR(tbRegistroSaidas[[#This Row],[DATA DO CAIXA PREVISTO]]))</f>
        <v>2022</v>
      </c>
    </row>
    <row r="186" spans="1:14" s="5" customFormat="1" ht="14.4" x14ac:dyDescent="0.3">
      <c r="A186" s="49">
        <v>45011</v>
      </c>
      <c r="B186" s="49">
        <f t="shared" si="4"/>
        <v>44980</v>
      </c>
      <c r="C186" s="49">
        <f t="shared" si="5"/>
        <v>44996</v>
      </c>
      <c r="D186" s="52" t="s">
        <v>67</v>
      </c>
      <c r="E186" s="52" t="s">
        <v>1543</v>
      </c>
      <c r="F186" s="52" t="s">
        <v>18</v>
      </c>
      <c r="G186" s="52" t="s">
        <v>1265</v>
      </c>
      <c r="H186" s="18">
        <v>2955</v>
      </c>
      <c r="I186" s="128">
        <f>IF(tbRegistroSaidas[[#This Row],[DATA DE CAIXA REALIZADO]]="N/A",0,YEAR(tbRegistroSaidas[[#This Row],[DATA DE CAIXA REALIZADO]]))</f>
        <v>2023</v>
      </c>
      <c r="J186" s="128" t="str">
        <f>IF(tbRegistroSaidas[[#This Row],[DATA DE CAIXA REALIZADO]]="N/A","0",UPPER(TEXT(tbRegistroSaidas[[#This Row],[DATA DE CAIXA REALIZADO]],"mmm")))</f>
        <v>MAR</v>
      </c>
      <c r="K186" s="129" t="str">
        <f>IF(tbRegistroSaidas[[#This Row],[DATA DA COMPETÊNCIA]]="N/A","0",UPPER(TEXT(tbRegistroSaidas[[#This Row],[DATA DA COMPETÊNCIA]],"mmm")))</f>
        <v>FEV</v>
      </c>
      <c r="L186" s="79">
        <f>IF(tbRegistroSaidas[[#This Row],[DATA DA COMPETÊNCIA]]="N/A",0,YEAR(tbRegistroSaidas[[#This Row],[DATA DA COMPETÊNCIA]]))</f>
        <v>2023</v>
      </c>
      <c r="M186" s="128" t="str">
        <f>IF(tbRegistroSaidas[[#This Row],[DATA DO CAIXA PREVISTO]]="N/A","0",UPPER(TEXT(tbRegistroSaidas[[#This Row],[DATA DO CAIXA PREVISTO]],"mmm")))</f>
        <v>MAR</v>
      </c>
      <c r="N186" s="128">
        <f>IF(tbRegistroSaidas[[#This Row],[DATA DO CAIXA PREVISTO]]="N/A",0,YEAR(tbRegistroSaidas[[#This Row],[DATA DO CAIXA PREVISTO]]))</f>
        <v>2023</v>
      </c>
    </row>
    <row r="187" spans="1:14" s="5" customFormat="1" ht="14.4" x14ac:dyDescent="0.3">
      <c r="A187" s="49">
        <v>45072</v>
      </c>
      <c r="B187" s="49">
        <f t="shared" si="4"/>
        <v>45041</v>
      </c>
      <c r="C187" s="49">
        <f t="shared" si="5"/>
        <v>45057</v>
      </c>
      <c r="D187" s="52" t="s">
        <v>63</v>
      </c>
      <c r="E187" s="52" t="s">
        <v>1543</v>
      </c>
      <c r="F187" s="52" t="s">
        <v>16</v>
      </c>
      <c r="G187" s="52" t="s">
        <v>1266</v>
      </c>
      <c r="H187" s="18">
        <v>3564</v>
      </c>
      <c r="I187" s="128">
        <f>IF(tbRegistroSaidas[[#This Row],[DATA DE CAIXA REALIZADO]]="N/A",0,YEAR(tbRegistroSaidas[[#This Row],[DATA DE CAIXA REALIZADO]]))</f>
        <v>2023</v>
      </c>
      <c r="J187" s="128" t="str">
        <f>IF(tbRegistroSaidas[[#This Row],[DATA DE CAIXA REALIZADO]]="N/A","0",UPPER(TEXT(tbRegistroSaidas[[#This Row],[DATA DE CAIXA REALIZADO]],"mmm")))</f>
        <v>MAI</v>
      </c>
      <c r="K187" s="129" t="str">
        <f>IF(tbRegistroSaidas[[#This Row],[DATA DA COMPETÊNCIA]]="N/A","0",UPPER(TEXT(tbRegistroSaidas[[#This Row],[DATA DA COMPETÊNCIA]],"mmm")))</f>
        <v>ABR</v>
      </c>
      <c r="L187" s="79">
        <f>IF(tbRegistroSaidas[[#This Row],[DATA DA COMPETÊNCIA]]="N/A",0,YEAR(tbRegistroSaidas[[#This Row],[DATA DA COMPETÊNCIA]]))</f>
        <v>2023</v>
      </c>
      <c r="M187" s="128" t="str">
        <f>IF(tbRegistroSaidas[[#This Row],[DATA DO CAIXA PREVISTO]]="N/A","0",UPPER(TEXT(tbRegistroSaidas[[#This Row],[DATA DO CAIXA PREVISTO]],"mmm")))</f>
        <v>MAI</v>
      </c>
      <c r="N187" s="128">
        <f>IF(tbRegistroSaidas[[#This Row],[DATA DO CAIXA PREVISTO]]="N/A",0,YEAR(tbRegistroSaidas[[#This Row],[DATA DO CAIXA PREVISTO]]))</f>
        <v>2023</v>
      </c>
    </row>
    <row r="188" spans="1:14" s="5" customFormat="1" ht="14.4" x14ac:dyDescent="0.3">
      <c r="A188" s="49">
        <v>44365</v>
      </c>
      <c r="B188" s="49">
        <f t="shared" si="4"/>
        <v>44334</v>
      </c>
      <c r="C188" s="49">
        <f t="shared" si="5"/>
        <v>44350</v>
      </c>
      <c r="D188" s="52" t="s">
        <v>61</v>
      </c>
      <c r="E188" s="52" t="s">
        <v>1543</v>
      </c>
      <c r="F188" s="52" t="s">
        <v>32</v>
      </c>
      <c r="G188" s="52" t="s">
        <v>1267</v>
      </c>
      <c r="H188" s="18">
        <v>1967</v>
      </c>
      <c r="I188" s="128">
        <f>IF(tbRegistroSaidas[[#This Row],[DATA DE CAIXA REALIZADO]]="N/A",0,YEAR(tbRegistroSaidas[[#This Row],[DATA DE CAIXA REALIZADO]]))</f>
        <v>2021</v>
      </c>
      <c r="J188" s="128" t="str">
        <f>IF(tbRegistroSaidas[[#This Row],[DATA DE CAIXA REALIZADO]]="N/A","0",UPPER(TEXT(tbRegistroSaidas[[#This Row],[DATA DE CAIXA REALIZADO]],"mmm")))</f>
        <v>JUN</v>
      </c>
      <c r="K188" s="129" t="str">
        <f>IF(tbRegistroSaidas[[#This Row],[DATA DA COMPETÊNCIA]]="N/A","0",UPPER(TEXT(tbRegistroSaidas[[#This Row],[DATA DA COMPETÊNCIA]],"mmm")))</f>
        <v>MAI</v>
      </c>
      <c r="L188" s="79">
        <f>IF(tbRegistroSaidas[[#This Row],[DATA DA COMPETÊNCIA]]="N/A",0,YEAR(tbRegistroSaidas[[#This Row],[DATA DA COMPETÊNCIA]]))</f>
        <v>2021</v>
      </c>
      <c r="M188" s="128" t="str">
        <f>IF(tbRegistroSaidas[[#This Row],[DATA DO CAIXA PREVISTO]]="N/A","0",UPPER(TEXT(tbRegistroSaidas[[#This Row],[DATA DO CAIXA PREVISTO]],"mmm")))</f>
        <v>JUN</v>
      </c>
      <c r="N188" s="128">
        <f>IF(tbRegistroSaidas[[#This Row],[DATA DO CAIXA PREVISTO]]="N/A",0,YEAR(tbRegistroSaidas[[#This Row],[DATA DO CAIXA PREVISTO]]))</f>
        <v>2021</v>
      </c>
    </row>
    <row r="189" spans="1:14" s="5" customFormat="1" ht="14.4" x14ac:dyDescent="0.3">
      <c r="A189" s="49">
        <v>44630</v>
      </c>
      <c r="B189" s="49">
        <f t="shared" si="4"/>
        <v>44599</v>
      </c>
      <c r="C189" s="49">
        <f t="shared" si="5"/>
        <v>44615</v>
      </c>
      <c r="D189" s="52" t="s">
        <v>137</v>
      </c>
      <c r="E189" s="52" t="s">
        <v>1543</v>
      </c>
      <c r="F189" s="52" t="s">
        <v>17</v>
      </c>
      <c r="G189" s="52" t="s">
        <v>1268</v>
      </c>
      <c r="H189" s="18">
        <v>1458</v>
      </c>
      <c r="I189" s="128">
        <f>IF(tbRegistroSaidas[[#This Row],[DATA DE CAIXA REALIZADO]]="N/A",0,YEAR(tbRegistroSaidas[[#This Row],[DATA DE CAIXA REALIZADO]]))</f>
        <v>2022</v>
      </c>
      <c r="J189" s="128" t="str">
        <f>IF(tbRegistroSaidas[[#This Row],[DATA DE CAIXA REALIZADO]]="N/A","0",UPPER(TEXT(tbRegistroSaidas[[#This Row],[DATA DE CAIXA REALIZADO]],"mmm")))</f>
        <v>MAR</v>
      </c>
      <c r="K189" s="129" t="str">
        <f>IF(tbRegistroSaidas[[#This Row],[DATA DA COMPETÊNCIA]]="N/A","0",UPPER(TEXT(tbRegistroSaidas[[#This Row],[DATA DA COMPETÊNCIA]],"mmm")))</f>
        <v>FEV</v>
      </c>
      <c r="L189" s="79">
        <f>IF(tbRegistroSaidas[[#This Row],[DATA DA COMPETÊNCIA]]="N/A",0,YEAR(tbRegistroSaidas[[#This Row],[DATA DA COMPETÊNCIA]]))</f>
        <v>2022</v>
      </c>
      <c r="M189" s="128" t="str">
        <f>IF(tbRegistroSaidas[[#This Row],[DATA DO CAIXA PREVISTO]]="N/A","0",UPPER(TEXT(tbRegistroSaidas[[#This Row],[DATA DO CAIXA PREVISTO]],"mmm")))</f>
        <v>FEV</v>
      </c>
      <c r="N189" s="128">
        <f>IF(tbRegistroSaidas[[#This Row],[DATA DO CAIXA PREVISTO]]="N/A",0,YEAR(tbRegistroSaidas[[#This Row],[DATA DO CAIXA PREVISTO]]))</f>
        <v>2022</v>
      </c>
    </row>
    <row r="190" spans="1:14" s="5" customFormat="1" ht="14.4" x14ac:dyDescent="0.3">
      <c r="A190" s="49">
        <v>44898</v>
      </c>
      <c r="B190" s="49">
        <f t="shared" si="4"/>
        <v>44867</v>
      </c>
      <c r="C190" s="49">
        <f t="shared" si="5"/>
        <v>44883</v>
      </c>
      <c r="D190" s="52" t="s">
        <v>138</v>
      </c>
      <c r="E190" s="52" t="s">
        <v>1543</v>
      </c>
      <c r="F190" s="52" t="s">
        <v>17</v>
      </c>
      <c r="G190" s="52" t="s">
        <v>1269</v>
      </c>
      <c r="H190" s="18">
        <v>733</v>
      </c>
      <c r="I190" s="128">
        <f>IF(tbRegistroSaidas[[#This Row],[DATA DE CAIXA REALIZADO]]="N/A",0,YEAR(tbRegistroSaidas[[#This Row],[DATA DE CAIXA REALIZADO]]))</f>
        <v>2022</v>
      </c>
      <c r="J190" s="128" t="str">
        <f>IF(tbRegistroSaidas[[#This Row],[DATA DE CAIXA REALIZADO]]="N/A","0",UPPER(TEXT(tbRegistroSaidas[[#This Row],[DATA DE CAIXA REALIZADO]],"mmm")))</f>
        <v>DEZ</v>
      </c>
      <c r="K190" s="129" t="str">
        <f>IF(tbRegistroSaidas[[#This Row],[DATA DA COMPETÊNCIA]]="N/A","0",UPPER(TEXT(tbRegistroSaidas[[#This Row],[DATA DA COMPETÊNCIA]],"mmm")))</f>
        <v>NOV</v>
      </c>
      <c r="L190" s="79">
        <f>IF(tbRegistroSaidas[[#This Row],[DATA DA COMPETÊNCIA]]="N/A",0,YEAR(tbRegistroSaidas[[#This Row],[DATA DA COMPETÊNCIA]]))</f>
        <v>2022</v>
      </c>
      <c r="M190" s="128" t="str">
        <f>IF(tbRegistroSaidas[[#This Row],[DATA DO CAIXA PREVISTO]]="N/A","0",UPPER(TEXT(tbRegistroSaidas[[#This Row],[DATA DO CAIXA PREVISTO]],"mmm")))</f>
        <v>NOV</v>
      </c>
      <c r="N190" s="128">
        <f>IF(tbRegistroSaidas[[#This Row],[DATA DO CAIXA PREVISTO]]="N/A",0,YEAR(tbRegistroSaidas[[#This Row],[DATA DO CAIXA PREVISTO]]))</f>
        <v>2022</v>
      </c>
    </row>
    <row r="191" spans="1:14" s="5" customFormat="1" ht="14.4" x14ac:dyDescent="0.3">
      <c r="A191" s="49">
        <v>44916</v>
      </c>
      <c r="B191" s="49">
        <f t="shared" si="4"/>
        <v>44885</v>
      </c>
      <c r="C191" s="49">
        <f t="shared" si="5"/>
        <v>44901</v>
      </c>
      <c r="D191" s="52" t="s">
        <v>137</v>
      </c>
      <c r="E191" s="52" t="s">
        <v>1543</v>
      </c>
      <c r="F191" s="52" t="s">
        <v>16</v>
      </c>
      <c r="G191" s="52" t="s">
        <v>1270</v>
      </c>
      <c r="H191" s="18">
        <v>3607</v>
      </c>
      <c r="I191" s="128">
        <f>IF(tbRegistroSaidas[[#This Row],[DATA DE CAIXA REALIZADO]]="N/A",0,YEAR(tbRegistroSaidas[[#This Row],[DATA DE CAIXA REALIZADO]]))</f>
        <v>2022</v>
      </c>
      <c r="J191" s="128" t="str">
        <f>IF(tbRegistroSaidas[[#This Row],[DATA DE CAIXA REALIZADO]]="N/A","0",UPPER(TEXT(tbRegistroSaidas[[#This Row],[DATA DE CAIXA REALIZADO]],"mmm")))</f>
        <v>DEZ</v>
      </c>
      <c r="K191" s="129" t="str">
        <f>IF(tbRegistroSaidas[[#This Row],[DATA DA COMPETÊNCIA]]="N/A","0",UPPER(TEXT(tbRegistroSaidas[[#This Row],[DATA DA COMPETÊNCIA]],"mmm")))</f>
        <v>NOV</v>
      </c>
      <c r="L191" s="79">
        <f>IF(tbRegistroSaidas[[#This Row],[DATA DA COMPETÊNCIA]]="N/A",0,YEAR(tbRegistroSaidas[[#This Row],[DATA DA COMPETÊNCIA]]))</f>
        <v>2022</v>
      </c>
      <c r="M191" s="128" t="str">
        <f>IF(tbRegistroSaidas[[#This Row],[DATA DO CAIXA PREVISTO]]="N/A","0",UPPER(TEXT(tbRegistroSaidas[[#This Row],[DATA DO CAIXA PREVISTO]],"mmm")))</f>
        <v>DEZ</v>
      </c>
      <c r="N191" s="128">
        <f>IF(tbRegistroSaidas[[#This Row],[DATA DO CAIXA PREVISTO]]="N/A",0,YEAR(tbRegistroSaidas[[#This Row],[DATA DO CAIXA PREVISTO]]))</f>
        <v>2022</v>
      </c>
    </row>
    <row r="192" spans="1:14" s="5" customFormat="1" ht="14.4" x14ac:dyDescent="0.3">
      <c r="A192" s="49">
        <v>45067</v>
      </c>
      <c r="B192" s="49">
        <f t="shared" si="4"/>
        <v>45036</v>
      </c>
      <c r="C192" s="49">
        <f t="shared" si="5"/>
        <v>45052</v>
      </c>
      <c r="D192" s="52" t="s">
        <v>66</v>
      </c>
      <c r="E192" s="52" t="s">
        <v>1543</v>
      </c>
      <c r="F192" s="52" t="s">
        <v>32</v>
      </c>
      <c r="G192" s="52" t="s">
        <v>1271</v>
      </c>
      <c r="H192" s="18">
        <v>1703</v>
      </c>
      <c r="I192" s="128">
        <f>IF(tbRegistroSaidas[[#This Row],[DATA DE CAIXA REALIZADO]]="N/A",0,YEAR(tbRegistroSaidas[[#This Row],[DATA DE CAIXA REALIZADO]]))</f>
        <v>2023</v>
      </c>
      <c r="J192" s="128" t="str">
        <f>IF(tbRegistroSaidas[[#This Row],[DATA DE CAIXA REALIZADO]]="N/A","0",UPPER(TEXT(tbRegistroSaidas[[#This Row],[DATA DE CAIXA REALIZADO]],"mmm")))</f>
        <v>MAI</v>
      </c>
      <c r="K192" s="129" t="str">
        <f>IF(tbRegistroSaidas[[#This Row],[DATA DA COMPETÊNCIA]]="N/A","0",UPPER(TEXT(tbRegistroSaidas[[#This Row],[DATA DA COMPETÊNCIA]],"mmm")))</f>
        <v>ABR</v>
      </c>
      <c r="L192" s="79">
        <f>IF(tbRegistroSaidas[[#This Row],[DATA DA COMPETÊNCIA]]="N/A",0,YEAR(tbRegistroSaidas[[#This Row],[DATA DA COMPETÊNCIA]]))</f>
        <v>2023</v>
      </c>
      <c r="M192" s="128" t="str">
        <f>IF(tbRegistroSaidas[[#This Row],[DATA DO CAIXA PREVISTO]]="N/A","0",UPPER(TEXT(tbRegistroSaidas[[#This Row],[DATA DO CAIXA PREVISTO]],"mmm")))</f>
        <v>MAI</v>
      </c>
      <c r="N192" s="128">
        <f>IF(tbRegistroSaidas[[#This Row],[DATA DO CAIXA PREVISTO]]="N/A",0,YEAR(tbRegistroSaidas[[#This Row],[DATA DO CAIXA PREVISTO]]))</f>
        <v>2023</v>
      </c>
    </row>
    <row r="193" spans="1:14" s="5" customFormat="1" ht="14.4" x14ac:dyDescent="0.3">
      <c r="A193" s="49">
        <v>44257</v>
      </c>
      <c r="B193" s="49">
        <f t="shared" si="4"/>
        <v>44226</v>
      </c>
      <c r="C193" s="49">
        <f t="shared" si="5"/>
        <v>44242</v>
      </c>
      <c r="D193" s="52" t="s">
        <v>137</v>
      </c>
      <c r="E193" s="52" t="s">
        <v>1543</v>
      </c>
      <c r="F193" s="52" t="s">
        <v>19</v>
      </c>
      <c r="G193" s="52" t="s">
        <v>1272</v>
      </c>
      <c r="H193" s="18">
        <v>3429</v>
      </c>
      <c r="I193" s="128">
        <f>IF(tbRegistroSaidas[[#This Row],[DATA DE CAIXA REALIZADO]]="N/A",0,YEAR(tbRegistroSaidas[[#This Row],[DATA DE CAIXA REALIZADO]]))</f>
        <v>2021</v>
      </c>
      <c r="J193" s="128" t="str">
        <f>IF(tbRegistroSaidas[[#This Row],[DATA DE CAIXA REALIZADO]]="N/A","0",UPPER(TEXT(tbRegistroSaidas[[#This Row],[DATA DE CAIXA REALIZADO]],"mmm")))</f>
        <v>MAR</v>
      </c>
      <c r="K193" s="129" t="str">
        <f>IF(tbRegistroSaidas[[#This Row],[DATA DA COMPETÊNCIA]]="N/A","0",UPPER(TEXT(tbRegistroSaidas[[#This Row],[DATA DA COMPETÊNCIA]],"mmm")))</f>
        <v>JAN</v>
      </c>
      <c r="L193" s="79">
        <f>IF(tbRegistroSaidas[[#This Row],[DATA DA COMPETÊNCIA]]="N/A",0,YEAR(tbRegistroSaidas[[#This Row],[DATA DA COMPETÊNCIA]]))</f>
        <v>2021</v>
      </c>
      <c r="M193" s="128" t="str">
        <f>IF(tbRegistroSaidas[[#This Row],[DATA DO CAIXA PREVISTO]]="N/A","0",UPPER(TEXT(tbRegistroSaidas[[#This Row],[DATA DO CAIXA PREVISTO]],"mmm")))</f>
        <v>FEV</v>
      </c>
      <c r="N193" s="128">
        <f>IF(tbRegistroSaidas[[#This Row],[DATA DO CAIXA PREVISTO]]="N/A",0,YEAR(tbRegistroSaidas[[#This Row],[DATA DO CAIXA PREVISTO]]))</f>
        <v>2021</v>
      </c>
    </row>
    <row r="194" spans="1:14" s="5" customFormat="1" ht="14.4" x14ac:dyDescent="0.3">
      <c r="A194" s="49">
        <v>44209</v>
      </c>
      <c r="B194" s="49">
        <f t="shared" si="4"/>
        <v>44178</v>
      </c>
      <c r="C194" s="49">
        <f t="shared" si="5"/>
        <v>44194</v>
      </c>
      <c r="D194" s="52" t="s">
        <v>67</v>
      </c>
      <c r="E194" s="52" t="s">
        <v>1543</v>
      </c>
      <c r="F194" s="52" t="s">
        <v>32</v>
      </c>
      <c r="G194" s="52" t="s">
        <v>1273</v>
      </c>
      <c r="H194" s="18">
        <v>1127</v>
      </c>
      <c r="I194" s="128">
        <f>IF(tbRegistroSaidas[[#This Row],[DATA DE CAIXA REALIZADO]]="N/A",0,YEAR(tbRegistroSaidas[[#This Row],[DATA DE CAIXA REALIZADO]]))</f>
        <v>2021</v>
      </c>
      <c r="J194" s="128" t="str">
        <f>IF(tbRegistroSaidas[[#This Row],[DATA DE CAIXA REALIZADO]]="N/A","0",UPPER(TEXT(tbRegistroSaidas[[#This Row],[DATA DE CAIXA REALIZADO]],"mmm")))</f>
        <v>JAN</v>
      </c>
      <c r="K194" s="129" t="str">
        <f>IF(tbRegistroSaidas[[#This Row],[DATA DA COMPETÊNCIA]]="N/A","0",UPPER(TEXT(tbRegistroSaidas[[#This Row],[DATA DA COMPETÊNCIA]],"mmm")))</f>
        <v>DEZ</v>
      </c>
      <c r="L194" s="79">
        <f>IF(tbRegistroSaidas[[#This Row],[DATA DA COMPETÊNCIA]]="N/A",0,YEAR(tbRegistroSaidas[[#This Row],[DATA DA COMPETÊNCIA]]))</f>
        <v>2020</v>
      </c>
      <c r="M194" s="128" t="str">
        <f>IF(tbRegistroSaidas[[#This Row],[DATA DO CAIXA PREVISTO]]="N/A","0",UPPER(TEXT(tbRegistroSaidas[[#This Row],[DATA DO CAIXA PREVISTO]],"mmm")))</f>
        <v>DEZ</v>
      </c>
      <c r="N194" s="128">
        <f>IF(tbRegistroSaidas[[#This Row],[DATA DO CAIXA PREVISTO]]="N/A",0,YEAR(tbRegistroSaidas[[#This Row],[DATA DO CAIXA PREVISTO]]))</f>
        <v>2020</v>
      </c>
    </row>
    <row r="195" spans="1:14" s="5" customFormat="1" ht="14.4" x14ac:dyDescent="0.3">
      <c r="A195" s="49">
        <v>44615</v>
      </c>
      <c r="B195" s="49">
        <f t="shared" si="4"/>
        <v>44584</v>
      </c>
      <c r="C195" s="49">
        <f t="shared" si="5"/>
        <v>44600</v>
      </c>
      <c r="D195" s="52" t="s">
        <v>66</v>
      </c>
      <c r="E195" s="52" t="s">
        <v>1543</v>
      </c>
      <c r="F195" s="52" t="s">
        <v>32</v>
      </c>
      <c r="G195" s="52" t="s">
        <v>676</v>
      </c>
      <c r="H195" s="18">
        <v>2571</v>
      </c>
      <c r="I195" s="128">
        <f>IF(tbRegistroSaidas[[#This Row],[DATA DE CAIXA REALIZADO]]="N/A",0,YEAR(tbRegistroSaidas[[#This Row],[DATA DE CAIXA REALIZADO]]))</f>
        <v>2022</v>
      </c>
      <c r="J195" s="128" t="str">
        <f>IF(tbRegistroSaidas[[#This Row],[DATA DE CAIXA REALIZADO]]="N/A","0",UPPER(TEXT(tbRegistroSaidas[[#This Row],[DATA DE CAIXA REALIZADO]],"mmm")))</f>
        <v>FEV</v>
      </c>
      <c r="K195" s="129" t="str">
        <f>IF(tbRegistroSaidas[[#This Row],[DATA DA COMPETÊNCIA]]="N/A","0",UPPER(TEXT(tbRegistroSaidas[[#This Row],[DATA DA COMPETÊNCIA]],"mmm")))</f>
        <v>JAN</v>
      </c>
      <c r="L195" s="79">
        <f>IF(tbRegistroSaidas[[#This Row],[DATA DA COMPETÊNCIA]]="N/A",0,YEAR(tbRegistroSaidas[[#This Row],[DATA DA COMPETÊNCIA]]))</f>
        <v>2022</v>
      </c>
      <c r="M195" s="128" t="str">
        <f>IF(tbRegistroSaidas[[#This Row],[DATA DO CAIXA PREVISTO]]="N/A","0",UPPER(TEXT(tbRegistroSaidas[[#This Row],[DATA DO CAIXA PREVISTO]],"mmm")))</f>
        <v>FEV</v>
      </c>
      <c r="N195" s="128">
        <f>IF(tbRegistroSaidas[[#This Row],[DATA DO CAIXA PREVISTO]]="N/A",0,YEAR(tbRegistroSaidas[[#This Row],[DATA DO CAIXA PREVISTO]]))</f>
        <v>2022</v>
      </c>
    </row>
    <row r="196" spans="1:14" s="5" customFormat="1" ht="14.4" x14ac:dyDescent="0.3">
      <c r="A196" s="49">
        <v>45110</v>
      </c>
      <c r="B196" s="49">
        <f t="shared" si="4"/>
        <v>45079</v>
      </c>
      <c r="C196" s="49">
        <f t="shared" si="5"/>
        <v>45095</v>
      </c>
      <c r="D196" s="52" t="s">
        <v>63</v>
      </c>
      <c r="E196" s="52" t="s">
        <v>1543</v>
      </c>
      <c r="F196" s="52" t="s">
        <v>16</v>
      </c>
      <c r="G196" s="52" t="s">
        <v>1274</v>
      </c>
      <c r="H196" s="18">
        <v>2500</v>
      </c>
      <c r="I196" s="128">
        <f>IF(tbRegistroSaidas[[#This Row],[DATA DE CAIXA REALIZADO]]="N/A",0,YEAR(tbRegistroSaidas[[#This Row],[DATA DE CAIXA REALIZADO]]))</f>
        <v>2023</v>
      </c>
      <c r="J196" s="128" t="str">
        <f>IF(tbRegistroSaidas[[#This Row],[DATA DE CAIXA REALIZADO]]="N/A","0",UPPER(TEXT(tbRegistroSaidas[[#This Row],[DATA DE CAIXA REALIZADO]],"mmm")))</f>
        <v>JUL</v>
      </c>
      <c r="K196" s="129" t="str">
        <f>IF(tbRegistroSaidas[[#This Row],[DATA DA COMPETÊNCIA]]="N/A","0",UPPER(TEXT(tbRegistroSaidas[[#This Row],[DATA DA COMPETÊNCIA]],"mmm")))</f>
        <v>JUN</v>
      </c>
      <c r="L196" s="79">
        <f>IF(tbRegistroSaidas[[#This Row],[DATA DA COMPETÊNCIA]]="N/A",0,YEAR(tbRegistroSaidas[[#This Row],[DATA DA COMPETÊNCIA]]))</f>
        <v>2023</v>
      </c>
      <c r="M196" s="128" t="str">
        <f>IF(tbRegistroSaidas[[#This Row],[DATA DO CAIXA PREVISTO]]="N/A","0",UPPER(TEXT(tbRegistroSaidas[[#This Row],[DATA DO CAIXA PREVISTO]],"mmm")))</f>
        <v>JUN</v>
      </c>
      <c r="N196" s="128">
        <f>IF(tbRegistroSaidas[[#This Row],[DATA DO CAIXA PREVISTO]]="N/A",0,YEAR(tbRegistroSaidas[[#This Row],[DATA DO CAIXA PREVISTO]]))</f>
        <v>2023</v>
      </c>
    </row>
    <row r="197" spans="1:14" s="5" customFormat="1" ht="14.4" x14ac:dyDescent="0.3">
      <c r="A197" s="49">
        <v>44992</v>
      </c>
      <c r="B197" s="49">
        <f t="shared" si="4"/>
        <v>44961</v>
      </c>
      <c r="C197" s="49">
        <f t="shared" si="5"/>
        <v>44977</v>
      </c>
      <c r="D197" s="52" t="s">
        <v>63</v>
      </c>
      <c r="E197" s="52" t="s">
        <v>1543</v>
      </c>
      <c r="F197" s="52" t="s">
        <v>32</v>
      </c>
      <c r="G197" s="52" t="s">
        <v>1275</v>
      </c>
      <c r="H197" s="18">
        <v>576</v>
      </c>
      <c r="I197" s="128">
        <f>IF(tbRegistroSaidas[[#This Row],[DATA DE CAIXA REALIZADO]]="N/A",0,YEAR(tbRegistroSaidas[[#This Row],[DATA DE CAIXA REALIZADO]]))</f>
        <v>2023</v>
      </c>
      <c r="J197" s="128" t="str">
        <f>IF(tbRegistroSaidas[[#This Row],[DATA DE CAIXA REALIZADO]]="N/A","0",UPPER(TEXT(tbRegistroSaidas[[#This Row],[DATA DE CAIXA REALIZADO]],"mmm")))</f>
        <v>MAR</v>
      </c>
      <c r="K197" s="129" t="str">
        <f>IF(tbRegistroSaidas[[#This Row],[DATA DA COMPETÊNCIA]]="N/A","0",UPPER(TEXT(tbRegistroSaidas[[#This Row],[DATA DA COMPETÊNCIA]],"mmm")))</f>
        <v>FEV</v>
      </c>
      <c r="L197" s="79">
        <f>IF(tbRegistroSaidas[[#This Row],[DATA DA COMPETÊNCIA]]="N/A",0,YEAR(tbRegistroSaidas[[#This Row],[DATA DA COMPETÊNCIA]]))</f>
        <v>2023</v>
      </c>
      <c r="M197" s="128" t="str">
        <f>IF(tbRegistroSaidas[[#This Row],[DATA DO CAIXA PREVISTO]]="N/A","0",UPPER(TEXT(tbRegistroSaidas[[#This Row],[DATA DO CAIXA PREVISTO]],"mmm")))</f>
        <v>FEV</v>
      </c>
      <c r="N197" s="128">
        <f>IF(tbRegistroSaidas[[#This Row],[DATA DO CAIXA PREVISTO]]="N/A",0,YEAR(tbRegistroSaidas[[#This Row],[DATA DO CAIXA PREVISTO]]))</f>
        <v>2023</v>
      </c>
    </row>
    <row r="198" spans="1:14" s="5" customFormat="1" ht="14.4" x14ac:dyDescent="0.3">
      <c r="A198" s="49">
        <v>44676</v>
      </c>
      <c r="B198" s="49">
        <f t="shared" si="4"/>
        <v>44645</v>
      </c>
      <c r="C198" s="49">
        <f t="shared" si="5"/>
        <v>44661</v>
      </c>
      <c r="D198" s="52" t="s">
        <v>67</v>
      </c>
      <c r="E198" s="52" t="s">
        <v>1543</v>
      </c>
      <c r="F198" s="52" t="s">
        <v>17</v>
      </c>
      <c r="G198" s="52" t="s">
        <v>1276</v>
      </c>
      <c r="H198" s="18">
        <v>1078</v>
      </c>
      <c r="I198" s="128">
        <f>IF(tbRegistroSaidas[[#This Row],[DATA DE CAIXA REALIZADO]]="N/A",0,YEAR(tbRegistroSaidas[[#This Row],[DATA DE CAIXA REALIZADO]]))</f>
        <v>2022</v>
      </c>
      <c r="J198" s="128" t="str">
        <f>IF(tbRegistroSaidas[[#This Row],[DATA DE CAIXA REALIZADO]]="N/A","0",UPPER(TEXT(tbRegistroSaidas[[#This Row],[DATA DE CAIXA REALIZADO]],"mmm")))</f>
        <v>ABR</v>
      </c>
      <c r="K198" s="129" t="str">
        <f>IF(tbRegistroSaidas[[#This Row],[DATA DA COMPETÊNCIA]]="N/A","0",UPPER(TEXT(tbRegistroSaidas[[#This Row],[DATA DA COMPETÊNCIA]],"mmm")))</f>
        <v>MAR</v>
      </c>
      <c r="L198" s="79">
        <f>IF(tbRegistroSaidas[[#This Row],[DATA DA COMPETÊNCIA]]="N/A",0,YEAR(tbRegistroSaidas[[#This Row],[DATA DA COMPETÊNCIA]]))</f>
        <v>2022</v>
      </c>
      <c r="M198" s="128" t="str">
        <f>IF(tbRegistroSaidas[[#This Row],[DATA DO CAIXA PREVISTO]]="N/A","0",UPPER(TEXT(tbRegistroSaidas[[#This Row],[DATA DO CAIXA PREVISTO]],"mmm")))</f>
        <v>ABR</v>
      </c>
      <c r="N198" s="128">
        <f>IF(tbRegistroSaidas[[#This Row],[DATA DO CAIXA PREVISTO]]="N/A",0,YEAR(tbRegistroSaidas[[#This Row],[DATA DO CAIXA PREVISTO]]))</f>
        <v>2022</v>
      </c>
    </row>
    <row r="199" spans="1:14" s="5" customFormat="1" ht="14.4" x14ac:dyDescent="0.3">
      <c r="A199" s="49">
        <v>44819</v>
      </c>
      <c r="B199" s="49">
        <f t="shared" si="4"/>
        <v>44788</v>
      </c>
      <c r="C199" s="49">
        <f t="shared" si="5"/>
        <v>44804</v>
      </c>
      <c r="D199" s="52" t="s">
        <v>66</v>
      </c>
      <c r="E199" s="52" t="s">
        <v>1543</v>
      </c>
      <c r="F199" s="52" t="s">
        <v>18</v>
      </c>
      <c r="G199" s="52" t="s">
        <v>1277</v>
      </c>
      <c r="H199" s="18">
        <v>1733</v>
      </c>
      <c r="I199" s="128">
        <f>IF(tbRegistroSaidas[[#This Row],[DATA DE CAIXA REALIZADO]]="N/A",0,YEAR(tbRegistroSaidas[[#This Row],[DATA DE CAIXA REALIZADO]]))</f>
        <v>2022</v>
      </c>
      <c r="J199" s="128" t="str">
        <f>IF(tbRegistroSaidas[[#This Row],[DATA DE CAIXA REALIZADO]]="N/A","0",UPPER(TEXT(tbRegistroSaidas[[#This Row],[DATA DE CAIXA REALIZADO]],"mmm")))</f>
        <v>SET</v>
      </c>
      <c r="K199" s="129" t="str">
        <f>IF(tbRegistroSaidas[[#This Row],[DATA DA COMPETÊNCIA]]="N/A","0",UPPER(TEXT(tbRegistroSaidas[[#This Row],[DATA DA COMPETÊNCIA]],"mmm")))</f>
        <v>AGO</v>
      </c>
      <c r="L199" s="79">
        <f>IF(tbRegistroSaidas[[#This Row],[DATA DA COMPETÊNCIA]]="N/A",0,YEAR(tbRegistroSaidas[[#This Row],[DATA DA COMPETÊNCIA]]))</f>
        <v>2022</v>
      </c>
      <c r="M199" s="128" t="str">
        <f>IF(tbRegistroSaidas[[#This Row],[DATA DO CAIXA PREVISTO]]="N/A","0",UPPER(TEXT(tbRegistroSaidas[[#This Row],[DATA DO CAIXA PREVISTO]],"mmm")))</f>
        <v>AGO</v>
      </c>
      <c r="N199" s="128">
        <f>IF(tbRegistroSaidas[[#This Row],[DATA DO CAIXA PREVISTO]]="N/A",0,YEAR(tbRegistroSaidas[[#This Row],[DATA DO CAIXA PREVISTO]]))</f>
        <v>2022</v>
      </c>
    </row>
    <row r="200" spans="1:14" s="5" customFormat="1" ht="14.4" x14ac:dyDescent="0.3">
      <c r="A200" s="49">
        <v>44790</v>
      </c>
      <c r="B200" s="49">
        <f t="shared" ref="B200:B263" si="6">A200-31</f>
        <v>44759</v>
      </c>
      <c r="C200" s="49">
        <f t="shared" ref="C200:C263" si="7">A200-B200+B200-15</f>
        <v>44775</v>
      </c>
      <c r="D200" s="52" t="s">
        <v>67</v>
      </c>
      <c r="E200" s="52" t="s">
        <v>1543</v>
      </c>
      <c r="F200" s="52" t="s">
        <v>17</v>
      </c>
      <c r="G200" s="52" t="s">
        <v>252</v>
      </c>
      <c r="H200" s="18">
        <v>2208</v>
      </c>
      <c r="I200" s="128">
        <f>IF(tbRegistroSaidas[[#This Row],[DATA DE CAIXA REALIZADO]]="N/A",0,YEAR(tbRegistroSaidas[[#This Row],[DATA DE CAIXA REALIZADO]]))</f>
        <v>2022</v>
      </c>
      <c r="J200" s="128" t="str">
        <f>IF(tbRegistroSaidas[[#This Row],[DATA DE CAIXA REALIZADO]]="N/A","0",UPPER(TEXT(tbRegistroSaidas[[#This Row],[DATA DE CAIXA REALIZADO]],"mmm")))</f>
        <v>AGO</v>
      </c>
      <c r="K200" s="129" t="str">
        <f>IF(tbRegistroSaidas[[#This Row],[DATA DA COMPETÊNCIA]]="N/A","0",UPPER(TEXT(tbRegistroSaidas[[#This Row],[DATA DA COMPETÊNCIA]],"mmm")))</f>
        <v>JUL</v>
      </c>
      <c r="L200" s="79">
        <f>IF(tbRegistroSaidas[[#This Row],[DATA DA COMPETÊNCIA]]="N/A",0,YEAR(tbRegistroSaidas[[#This Row],[DATA DA COMPETÊNCIA]]))</f>
        <v>2022</v>
      </c>
      <c r="M200" s="128" t="str">
        <f>IF(tbRegistroSaidas[[#This Row],[DATA DO CAIXA PREVISTO]]="N/A","0",UPPER(TEXT(tbRegistroSaidas[[#This Row],[DATA DO CAIXA PREVISTO]],"mmm")))</f>
        <v>AGO</v>
      </c>
      <c r="N200" s="128">
        <f>IF(tbRegistroSaidas[[#This Row],[DATA DO CAIXA PREVISTO]]="N/A",0,YEAR(tbRegistroSaidas[[#This Row],[DATA DO CAIXA PREVISTO]]))</f>
        <v>2022</v>
      </c>
    </row>
    <row r="201" spans="1:14" s="5" customFormat="1" ht="14.4" x14ac:dyDescent="0.3">
      <c r="A201" s="49">
        <v>44253</v>
      </c>
      <c r="B201" s="49">
        <f t="shared" si="6"/>
        <v>44222</v>
      </c>
      <c r="C201" s="49">
        <f t="shared" si="7"/>
        <v>44238</v>
      </c>
      <c r="D201" s="52" t="s">
        <v>64</v>
      </c>
      <c r="E201" s="52" t="s">
        <v>1543</v>
      </c>
      <c r="F201" s="52" t="s">
        <v>19</v>
      </c>
      <c r="G201" s="52" t="s">
        <v>1278</v>
      </c>
      <c r="H201" s="18">
        <v>3556</v>
      </c>
      <c r="I201" s="128">
        <f>IF(tbRegistroSaidas[[#This Row],[DATA DE CAIXA REALIZADO]]="N/A",0,YEAR(tbRegistroSaidas[[#This Row],[DATA DE CAIXA REALIZADO]]))</f>
        <v>2021</v>
      </c>
      <c r="J201" s="128" t="str">
        <f>IF(tbRegistroSaidas[[#This Row],[DATA DE CAIXA REALIZADO]]="N/A","0",UPPER(TEXT(tbRegistroSaidas[[#This Row],[DATA DE CAIXA REALIZADO]],"mmm")))</f>
        <v>FEV</v>
      </c>
      <c r="K201" s="129" t="str">
        <f>IF(tbRegistroSaidas[[#This Row],[DATA DA COMPETÊNCIA]]="N/A","0",UPPER(TEXT(tbRegistroSaidas[[#This Row],[DATA DA COMPETÊNCIA]],"mmm")))</f>
        <v>JAN</v>
      </c>
      <c r="L201" s="79">
        <f>IF(tbRegistroSaidas[[#This Row],[DATA DA COMPETÊNCIA]]="N/A",0,YEAR(tbRegistroSaidas[[#This Row],[DATA DA COMPETÊNCIA]]))</f>
        <v>2021</v>
      </c>
      <c r="M201" s="128" t="str">
        <f>IF(tbRegistroSaidas[[#This Row],[DATA DO CAIXA PREVISTO]]="N/A","0",UPPER(TEXT(tbRegistroSaidas[[#This Row],[DATA DO CAIXA PREVISTO]],"mmm")))</f>
        <v>FEV</v>
      </c>
      <c r="N201" s="128">
        <f>IF(tbRegistroSaidas[[#This Row],[DATA DO CAIXA PREVISTO]]="N/A",0,YEAR(tbRegistroSaidas[[#This Row],[DATA DO CAIXA PREVISTO]]))</f>
        <v>2021</v>
      </c>
    </row>
    <row r="202" spans="1:14" s="5" customFormat="1" ht="14.4" x14ac:dyDescent="0.3">
      <c r="A202" s="49">
        <v>44829</v>
      </c>
      <c r="B202" s="49">
        <f t="shared" si="6"/>
        <v>44798</v>
      </c>
      <c r="C202" s="49">
        <f t="shared" si="7"/>
        <v>44814</v>
      </c>
      <c r="D202" s="52" t="s">
        <v>65</v>
      </c>
      <c r="E202" s="52" t="s">
        <v>1543</v>
      </c>
      <c r="F202" s="52" t="s">
        <v>18</v>
      </c>
      <c r="G202" s="52" t="s">
        <v>1279</v>
      </c>
      <c r="H202" s="18">
        <v>1354</v>
      </c>
      <c r="I202" s="128">
        <f>IF(tbRegistroSaidas[[#This Row],[DATA DE CAIXA REALIZADO]]="N/A",0,YEAR(tbRegistroSaidas[[#This Row],[DATA DE CAIXA REALIZADO]]))</f>
        <v>2022</v>
      </c>
      <c r="J202" s="128" t="str">
        <f>IF(tbRegistroSaidas[[#This Row],[DATA DE CAIXA REALIZADO]]="N/A","0",UPPER(TEXT(tbRegistroSaidas[[#This Row],[DATA DE CAIXA REALIZADO]],"mmm")))</f>
        <v>SET</v>
      </c>
      <c r="K202" s="129" t="str">
        <f>IF(tbRegistroSaidas[[#This Row],[DATA DA COMPETÊNCIA]]="N/A","0",UPPER(TEXT(tbRegistroSaidas[[#This Row],[DATA DA COMPETÊNCIA]],"mmm")))</f>
        <v>AGO</v>
      </c>
      <c r="L202" s="79">
        <f>IF(tbRegistroSaidas[[#This Row],[DATA DA COMPETÊNCIA]]="N/A",0,YEAR(tbRegistroSaidas[[#This Row],[DATA DA COMPETÊNCIA]]))</f>
        <v>2022</v>
      </c>
      <c r="M202" s="128" t="str">
        <f>IF(tbRegistroSaidas[[#This Row],[DATA DO CAIXA PREVISTO]]="N/A","0",UPPER(TEXT(tbRegistroSaidas[[#This Row],[DATA DO CAIXA PREVISTO]],"mmm")))</f>
        <v>SET</v>
      </c>
      <c r="N202" s="128">
        <f>IF(tbRegistroSaidas[[#This Row],[DATA DO CAIXA PREVISTO]]="N/A",0,YEAR(tbRegistroSaidas[[#This Row],[DATA DO CAIXA PREVISTO]]))</f>
        <v>2022</v>
      </c>
    </row>
    <row r="203" spans="1:14" s="5" customFormat="1" ht="14.4" x14ac:dyDescent="0.3">
      <c r="A203" s="49">
        <v>45195</v>
      </c>
      <c r="B203" s="49">
        <f t="shared" si="6"/>
        <v>45164</v>
      </c>
      <c r="C203" s="49">
        <f t="shared" si="7"/>
        <v>45180</v>
      </c>
      <c r="D203" s="52" t="s">
        <v>67</v>
      </c>
      <c r="E203" s="52" t="s">
        <v>1543</v>
      </c>
      <c r="F203" s="52" t="s">
        <v>19</v>
      </c>
      <c r="G203" s="52" t="s">
        <v>1280</v>
      </c>
      <c r="H203" s="18">
        <v>2483</v>
      </c>
      <c r="I203" s="128">
        <f>IF(tbRegistroSaidas[[#This Row],[DATA DE CAIXA REALIZADO]]="N/A",0,YEAR(tbRegistroSaidas[[#This Row],[DATA DE CAIXA REALIZADO]]))</f>
        <v>2023</v>
      </c>
      <c r="J203" s="128" t="str">
        <f>IF(tbRegistroSaidas[[#This Row],[DATA DE CAIXA REALIZADO]]="N/A","0",UPPER(TEXT(tbRegistroSaidas[[#This Row],[DATA DE CAIXA REALIZADO]],"mmm")))</f>
        <v>SET</v>
      </c>
      <c r="K203" s="129" t="str">
        <f>IF(tbRegistroSaidas[[#This Row],[DATA DA COMPETÊNCIA]]="N/A","0",UPPER(TEXT(tbRegistroSaidas[[#This Row],[DATA DA COMPETÊNCIA]],"mmm")))</f>
        <v>AGO</v>
      </c>
      <c r="L203" s="79">
        <f>IF(tbRegistroSaidas[[#This Row],[DATA DA COMPETÊNCIA]]="N/A",0,YEAR(tbRegistroSaidas[[#This Row],[DATA DA COMPETÊNCIA]]))</f>
        <v>2023</v>
      </c>
      <c r="M203" s="128" t="str">
        <f>IF(tbRegistroSaidas[[#This Row],[DATA DO CAIXA PREVISTO]]="N/A","0",UPPER(TEXT(tbRegistroSaidas[[#This Row],[DATA DO CAIXA PREVISTO]],"mmm")))</f>
        <v>SET</v>
      </c>
      <c r="N203" s="128">
        <f>IF(tbRegistroSaidas[[#This Row],[DATA DO CAIXA PREVISTO]]="N/A",0,YEAR(tbRegistroSaidas[[#This Row],[DATA DO CAIXA PREVISTO]]))</f>
        <v>2023</v>
      </c>
    </row>
    <row r="204" spans="1:14" s="5" customFormat="1" ht="14.4" x14ac:dyDescent="0.3">
      <c r="A204" s="49">
        <v>44710</v>
      </c>
      <c r="B204" s="49">
        <f t="shared" si="6"/>
        <v>44679</v>
      </c>
      <c r="C204" s="49">
        <f t="shared" si="7"/>
        <v>44695</v>
      </c>
      <c r="D204" s="52" t="s">
        <v>63</v>
      </c>
      <c r="E204" s="52" t="s">
        <v>1543</v>
      </c>
      <c r="F204" s="52" t="s">
        <v>19</v>
      </c>
      <c r="G204" s="52" t="s">
        <v>770</v>
      </c>
      <c r="H204" s="18">
        <v>930</v>
      </c>
      <c r="I204" s="128">
        <f>IF(tbRegistroSaidas[[#This Row],[DATA DE CAIXA REALIZADO]]="N/A",0,YEAR(tbRegistroSaidas[[#This Row],[DATA DE CAIXA REALIZADO]]))</f>
        <v>2022</v>
      </c>
      <c r="J204" s="128" t="str">
        <f>IF(tbRegistroSaidas[[#This Row],[DATA DE CAIXA REALIZADO]]="N/A","0",UPPER(TEXT(tbRegistroSaidas[[#This Row],[DATA DE CAIXA REALIZADO]],"mmm")))</f>
        <v>MAI</v>
      </c>
      <c r="K204" s="129" t="str">
        <f>IF(tbRegistroSaidas[[#This Row],[DATA DA COMPETÊNCIA]]="N/A","0",UPPER(TEXT(tbRegistroSaidas[[#This Row],[DATA DA COMPETÊNCIA]],"mmm")))</f>
        <v>ABR</v>
      </c>
      <c r="L204" s="79">
        <f>IF(tbRegistroSaidas[[#This Row],[DATA DA COMPETÊNCIA]]="N/A",0,YEAR(tbRegistroSaidas[[#This Row],[DATA DA COMPETÊNCIA]]))</f>
        <v>2022</v>
      </c>
      <c r="M204" s="128" t="str">
        <f>IF(tbRegistroSaidas[[#This Row],[DATA DO CAIXA PREVISTO]]="N/A","0",UPPER(TEXT(tbRegistroSaidas[[#This Row],[DATA DO CAIXA PREVISTO]],"mmm")))</f>
        <v>MAI</v>
      </c>
      <c r="N204" s="128">
        <f>IF(tbRegistroSaidas[[#This Row],[DATA DO CAIXA PREVISTO]]="N/A",0,YEAR(tbRegistroSaidas[[#This Row],[DATA DO CAIXA PREVISTO]]))</f>
        <v>2022</v>
      </c>
    </row>
    <row r="205" spans="1:14" s="5" customFormat="1" ht="14.4" x14ac:dyDescent="0.3">
      <c r="A205" s="49">
        <v>45212</v>
      </c>
      <c r="B205" s="49">
        <f t="shared" si="6"/>
        <v>45181</v>
      </c>
      <c r="C205" s="49">
        <f t="shared" si="7"/>
        <v>45197</v>
      </c>
      <c r="D205" s="52" t="s">
        <v>61</v>
      </c>
      <c r="E205" s="52" t="s">
        <v>1543</v>
      </c>
      <c r="F205" s="52" t="s">
        <v>19</v>
      </c>
      <c r="G205" s="52" t="s">
        <v>1281</v>
      </c>
      <c r="H205" s="18">
        <v>3689</v>
      </c>
      <c r="I205" s="128">
        <f>IF(tbRegistroSaidas[[#This Row],[DATA DE CAIXA REALIZADO]]="N/A",0,YEAR(tbRegistroSaidas[[#This Row],[DATA DE CAIXA REALIZADO]]))</f>
        <v>2023</v>
      </c>
      <c r="J205" s="128" t="str">
        <f>IF(tbRegistroSaidas[[#This Row],[DATA DE CAIXA REALIZADO]]="N/A","0",UPPER(TEXT(tbRegistroSaidas[[#This Row],[DATA DE CAIXA REALIZADO]],"mmm")))</f>
        <v>OUT</v>
      </c>
      <c r="K205" s="129" t="str">
        <f>IF(tbRegistroSaidas[[#This Row],[DATA DA COMPETÊNCIA]]="N/A","0",UPPER(TEXT(tbRegistroSaidas[[#This Row],[DATA DA COMPETÊNCIA]],"mmm")))</f>
        <v>SET</v>
      </c>
      <c r="L205" s="79">
        <f>IF(tbRegistroSaidas[[#This Row],[DATA DA COMPETÊNCIA]]="N/A",0,YEAR(tbRegistroSaidas[[#This Row],[DATA DA COMPETÊNCIA]]))</f>
        <v>2023</v>
      </c>
      <c r="M205" s="128" t="str">
        <f>IF(tbRegistroSaidas[[#This Row],[DATA DO CAIXA PREVISTO]]="N/A","0",UPPER(TEXT(tbRegistroSaidas[[#This Row],[DATA DO CAIXA PREVISTO]],"mmm")))</f>
        <v>SET</v>
      </c>
      <c r="N205" s="128">
        <f>IF(tbRegistroSaidas[[#This Row],[DATA DO CAIXA PREVISTO]]="N/A",0,YEAR(tbRegistroSaidas[[#This Row],[DATA DO CAIXA PREVISTO]]))</f>
        <v>2023</v>
      </c>
    </row>
    <row r="206" spans="1:14" s="5" customFormat="1" ht="14.4" x14ac:dyDescent="0.3">
      <c r="A206" s="49">
        <v>44713</v>
      </c>
      <c r="B206" s="49">
        <f t="shared" si="6"/>
        <v>44682</v>
      </c>
      <c r="C206" s="49">
        <f t="shared" si="7"/>
        <v>44698</v>
      </c>
      <c r="D206" s="52" t="s">
        <v>138</v>
      </c>
      <c r="E206" s="52" t="s">
        <v>1543</v>
      </c>
      <c r="F206" s="52" t="s">
        <v>32</v>
      </c>
      <c r="G206" s="52" t="s">
        <v>1282</v>
      </c>
      <c r="H206" s="18">
        <v>1635</v>
      </c>
      <c r="I206" s="128">
        <f>IF(tbRegistroSaidas[[#This Row],[DATA DE CAIXA REALIZADO]]="N/A",0,YEAR(tbRegistroSaidas[[#This Row],[DATA DE CAIXA REALIZADO]]))</f>
        <v>2022</v>
      </c>
      <c r="J206" s="128" t="str">
        <f>IF(tbRegistroSaidas[[#This Row],[DATA DE CAIXA REALIZADO]]="N/A","0",UPPER(TEXT(tbRegistroSaidas[[#This Row],[DATA DE CAIXA REALIZADO]],"mmm")))</f>
        <v>JUN</v>
      </c>
      <c r="K206" s="129" t="str">
        <f>IF(tbRegistroSaidas[[#This Row],[DATA DA COMPETÊNCIA]]="N/A","0",UPPER(TEXT(tbRegistroSaidas[[#This Row],[DATA DA COMPETÊNCIA]],"mmm")))</f>
        <v>MAI</v>
      </c>
      <c r="L206" s="79">
        <f>IF(tbRegistroSaidas[[#This Row],[DATA DA COMPETÊNCIA]]="N/A",0,YEAR(tbRegistroSaidas[[#This Row],[DATA DA COMPETÊNCIA]]))</f>
        <v>2022</v>
      </c>
      <c r="M206" s="128" t="str">
        <f>IF(tbRegistroSaidas[[#This Row],[DATA DO CAIXA PREVISTO]]="N/A","0",UPPER(TEXT(tbRegistroSaidas[[#This Row],[DATA DO CAIXA PREVISTO]],"mmm")))</f>
        <v>MAI</v>
      </c>
      <c r="N206" s="128">
        <f>IF(tbRegistroSaidas[[#This Row],[DATA DO CAIXA PREVISTO]]="N/A",0,YEAR(tbRegistroSaidas[[#This Row],[DATA DO CAIXA PREVISTO]]))</f>
        <v>2022</v>
      </c>
    </row>
    <row r="207" spans="1:14" s="5" customFormat="1" ht="14.4" x14ac:dyDescent="0.3">
      <c r="A207" s="49">
        <v>45155</v>
      </c>
      <c r="B207" s="49">
        <f t="shared" si="6"/>
        <v>45124</v>
      </c>
      <c r="C207" s="49">
        <f t="shared" si="7"/>
        <v>45140</v>
      </c>
      <c r="D207" s="52" t="s">
        <v>61</v>
      </c>
      <c r="E207" s="52" t="s">
        <v>1543</v>
      </c>
      <c r="F207" s="52" t="s">
        <v>32</v>
      </c>
      <c r="G207" s="52" t="s">
        <v>1283</v>
      </c>
      <c r="H207" s="18">
        <v>2915</v>
      </c>
      <c r="I207" s="128">
        <f>IF(tbRegistroSaidas[[#This Row],[DATA DE CAIXA REALIZADO]]="N/A",0,YEAR(tbRegistroSaidas[[#This Row],[DATA DE CAIXA REALIZADO]]))</f>
        <v>2023</v>
      </c>
      <c r="J207" s="128" t="str">
        <f>IF(tbRegistroSaidas[[#This Row],[DATA DE CAIXA REALIZADO]]="N/A","0",UPPER(TEXT(tbRegistroSaidas[[#This Row],[DATA DE CAIXA REALIZADO]],"mmm")))</f>
        <v>AGO</v>
      </c>
      <c r="K207" s="129" t="str">
        <f>IF(tbRegistroSaidas[[#This Row],[DATA DA COMPETÊNCIA]]="N/A","0",UPPER(TEXT(tbRegistroSaidas[[#This Row],[DATA DA COMPETÊNCIA]],"mmm")))</f>
        <v>JUL</v>
      </c>
      <c r="L207" s="79">
        <f>IF(tbRegistroSaidas[[#This Row],[DATA DA COMPETÊNCIA]]="N/A",0,YEAR(tbRegistroSaidas[[#This Row],[DATA DA COMPETÊNCIA]]))</f>
        <v>2023</v>
      </c>
      <c r="M207" s="128" t="str">
        <f>IF(tbRegistroSaidas[[#This Row],[DATA DO CAIXA PREVISTO]]="N/A","0",UPPER(TEXT(tbRegistroSaidas[[#This Row],[DATA DO CAIXA PREVISTO]],"mmm")))</f>
        <v>AGO</v>
      </c>
      <c r="N207" s="128">
        <f>IF(tbRegistroSaidas[[#This Row],[DATA DO CAIXA PREVISTO]]="N/A",0,YEAR(tbRegistroSaidas[[#This Row],[DATA DO CAIXA PREVISTO]]))</f>
        <v>2023</v>
      </c>
    </row>
    <row r="208" spans="1:14" s="5" customFormat="1" ht="14.4" x14ac:dyDescent="0.3">
      <c r="A208" s="49">
        <v>44501</v>
      </c>
      <c r="B208" s="49">
        <f t="shared" si="6"/>
        <v>44470</v>
      </c>
      <c r="C208" s="49">
        <f t="shared" si="7"/>
        <v>44486</v>
      </c>
      <c r="D208" s="52" t="s">
        <v>66</v>
      </c>
      <c r="E208" s="52" t="s">
        <v>1543</v>
      </c>
      <c r="F208" s="52" t="s">
        <v>19</v>
      </c>
      <c r="G208" s="52" t="s">
        <v>1284</v>
      </c>
      <c r="H208" s="18">
        <v>3401</v>
      </c>
      <c r="I208" s="128">
        <f>IF(tbRegistroSaidas[[#This Row],[DATA DE CAIXA REALIZADO]]="N/A",0,YEAR(tbRegistroSaidas[[#This Row],[DATA DE CAIXA REALIZADO]]))</f>
        <v>2021</v>
      </c>
      <c r="J208" s="128" t="str">
        <f>IF(tbRegistroSaidas[[#This Row],[DATA DE CAIXA REALIZADO]]="N/A","0",UPPER(TEXT(tbRegistroSaidas[[#This Row],[DATA DE CAIXA REALIZADO]],"mmm")))</f>
        <v>NOV</v>
      </c>
      <c r="K208" s="129" t="str">
        <f>IF(tbRegistroSaidas[[#This Row],[DATA DA COMPETÊNCIA]]="N/A","0",UPPER(TEXT(tbRegistroSaidas[[#This Row],[DATA DA COMPETÊNCIA]],"mmm")))</f>
        <v>OUT</v>
      </c>
      <c r="L208" s="79">
        <f>IF(tbRegistroSaidas[[#This Row],[DATA DA COMPETÊNCIA]]="N/A",0,YEAR(tbRegistroSaidas[[#This Row],[DATA DA COMPETÊNCIA]]))</f>
        <v>2021</v>
      </c>
      <c r="M208" s="128" t="str">
        <f>IF(tbRegistroSaidas[[#This Row],[DATA DO CAIXA PREVISTO]]="N/A","0",UPPER(TEXT(tbRegistroSaidas[[#This Row],[DATA DO CAIXA PREVISTO]],"mmm")))</f>
        <v>OUT</v>
      </c>
      <c r="N208" s="128">
        <f>IF(tbRegistroSaidas[[#This Row],[DATA DO CAIXA PREVISTO]]="N/A",0,YEAR(tbRegistroSaidas[[#This Row],[DATA DO CAIXA PREVISTO]]))</f>
        <v>2021</v>
      </c>
    </row>
    <row r="209" spans="1:14" s="5" customFormat="1" ht="14.4" x14ac:dyDescent="0.3">
      <c r="A209" s="49">
        <v>44330</v>
      </c>
      <c r="B209" s="49">
        <f t="shared" si="6"/>
        <v>44299</v>
      </c>
      <c r="C209" s="49">
        <f t="shared" si="7"/>
        <v>44315</v>
      </c>
      <c r="D209" s="52" t="s">
        <v>66</v>
      </c>
      <c r="E209" s="52" t="s">
        <v>1543</v>
      </c>
      <c r="F209" s="52" t="s">
        <v>19</v>
      </c>
      <c r="G209" s="52" t="s">
        <v>1285</v>
      </c>
      <c r="H209" s="18">
        <v>3727</v>
      </c>
      <c r="I209" s="128">
        <f>IF(tbRegistroSaidas[[#This Row],[DATA DE CAIXA REALIZADO]]="N/A",0,YEAR(tbRegistroSaidas[[#This Row],[DATA DE CAIXA REALIZADO]]))</f>
        <v>2021</v>
      </c>
      <c r="J209" s="128" t="str">
        <f>IF(tbRegistroSaidas[[#This Row],[DATA DE CAIXA REALIZADO]]="N/A","0",UPPER(TEXT(tbRegistroSaidas[[#This Row],[DATA DE CAIXA REALIZADO]],"mmm")))</f>
        <v>MAI</v>
      </c>
      <c r="K209" s="129" t="str">
        <f>IF(tbRegistroSaidas[[#This Row],[DATA DA COMPETÊNCIA]]="N/A","0",UPPER(TEXT(tbRegistroSaidas[[#This Row],[DATA DA COMPETÊNCIA]],"mmm")))</f>
        <v>ABR</v>
      </c>
      <c r="L209" s="79">
        <f>IF(tbRegistroSaidas[[#This Row],[DATA DA COMPETÊNCIA]]="N/A",0,YEAR(tbRegistroSaidas[[#This Row],[DATA DA COMPETÊNCIA]]))</f>
        <v>2021</v>
      </c>
      <c r="M209" s="128" t="str">
        <f>IF(tbRegistroSaidas[[#This Row],[DATA DO CAIXA PREVISTO]]="N/A","0",UPPER(TEXT(tbRegistroSaidas[[#This Row],[DATA DO CAIXA PREVISTO]],"mmm")))</f>
        <v>ABR</v>
      </c>
      <c r="N209" s="128">
        <f>IF(tbRegistroSaidas[[#This Row],[DATA DO CAIXA PREVISTO]]="N/A",0,YEAR(tbRegistroSaidas[[#This Row],[DATA DO CAIXA PREVISTO]]))</f>
        <v>2021</v>
      </c>
    </row>
    <row r="210" spans="1:14" s="5" customFormat="1" ht="14.4" x14ac:dyDescent="0.3">
      <c r="A210" s="49">
        <v>44731</v>
      </c>
      <c r="B210" s="49">
        <f t="shared" si="6"/>
        <v>44700</v>
      </c>
      <c r="C210" s="49">
        <f t="shared" si="7"/>
        <v>44716</v>
      </c>
      <c r="D210" s="52" t="s">
        <v>137</v>
      </c>
      <c r="E210" s="52" t="s">
        <v>1543</v>
      </c>
      <c r="F210" s="52" t="s">
        <v>32</v>
      </c>
      <c r="G210" s="52" t="s">
        <v>1286</v>
      </c>
      <c r="H210" s="18">
        <v>2686</v>
      </c>
      <c r="I210" s="128">
        <f>IF(tbRegistroSaidas[[#This Row],[DATA DE CAIXA REALIZADO]]="N/A",0,YEAR(tbRegistroSaidas[[#This Row],[DATA DE CAIXA REALIZADO]]))</f>
        <v>2022</v>
      </c>
      <c r="J210" s="128" t="str">
        <f>IF(tbRegistroSaidas[[#This Row],[DATA DE CAIXA REALIZADO]]="N/A","0",UPPER(TEXT(tbRegistroSaidas[[#This Row],[DATA DE CAIXA REALIZADO]],"mmm")))</f>
        <v>JUN</v>
      </c>
      <c r="K210" s="129" t="str">
        <f>IF(tbRegistroSaidas[[#This Row],[DATA DA COMPETÊNCIA]]="N/A","0",UPPER(TEXT(tbRegistroSaidas[[#This Row],[DATA DA COMPETÊNCIA]],"mmm")))</f>
        <v>MAI</v>
      </c>
      <c r="L210" s="79">
        <f>IF(tbRegistroSaidas[[#This Row],[DATA DA COMPETÊNCIA]]="N/A",0,YEAR(tbRegistroSaidas[[#This Row],[DATA DA COMPETÊNCIA]]))</f>
        <v>2022</v>
      </c>
      <c r="M210" s="128" t="str">
        <f>IF(tbRegistroSaidas[[#This Row],[DATA DO CAIXA PREVISTO]]="N/A","0",UPPER(TEXT(tbRegistroSaidas[[#This Row],[DATA DO CAIXA PREVISTO]],"mmm")))</f>
        <v>JUN</v>
      </c>
      <c r="N210" s="128">
        <f>IF(tbRegistroSaidas[[#This Row],[DATA DO CAIXA PREVISTO]]="N/A",0,YEAR(tbRegistroSaidas[[#This Row],[DATA DO CAIXA PREVISTO]]))</f>
        <v>2022</v>
      </c>
    </row>
    <row r="211" spans="1:14" s="5" customFormat="1" ht="14.4" x14ac:dyDescent="0.3">
      <c r="A211" s="49">
        <v>45005</v>
      </c>
      <c r="B211" s="49">
        <f t="shared" si="6"/>
        <v>44974</v>
      </c>
      <c r="C211" s="49">
        <f t="shared" si="7"/>
        <v>44990</v>
      </c>
      <c r="D211" s="52" t="s">
        <v>138</v>
      </c>
      <c r="E211" s="52" t="s">
        <v>1543</v>
      </c>
      <c r="F211" s="52" t="s">
        <v>17</v>
      </c>
      <c r="G211" s="52" t="s">
        <v>1287</v>
      </c>
      <c r="H211" s="18">
        <v>1066</v>
      </c>
      <c r="I211" s="128">
        <f>IF(tbRegistroSaidas[[#This Row],[DATA DE CAIXA REALIZADO]]="N/A",0,YEAR(tbRegistroSaidas[[#This Row],[DATA DE CAIXA REALIZADO]]))</f>
        <v>2023</v>
      </c>
      <c r="J211" s="128" t="str">
        <f>IF(tbRegistroSaidas[[#This Row],[DATA DE CAIXA REALIZADO]]="N/A","0",UPPER(TEXT(tbRegistroSaidas[[#This Row],[DATA DE CAIXA REALIZADO]],"mmm")))</f>
        <v>MAR</v>
      </c>
      <c r="K211" s="129" t="str">
        <f>IF(tbRegistroSaidas[[#This Row],[DATA DA COMPETÊNCIA]]="N/A","0",UPPER(TEXT(tbRegistroSaidas[[#This Row],[DATA DA COMPETÊNCIA]],"mmm")))</f>
        <v>FEV</v>
      </c>
      <c r="L211" s="79">
        <f>IF(tbRegistroSaidas[[#This Row],[DATA DA COMPETÊNCIA]]="N/A",0,YEAR(tbRegistroSaidas[[#This Row],[DATA DA COMPETÊNCIA]]))</f>
        <v>2023</v>
      </c>
      <c r="M211" s="128" t="str">
        <f>IF(tbRegistroSaidas[[#This Row],[DATA DO CAIXA PREVISTO]]="N/A","0",UPPER(TEXT(tbRegistroSaidas[[#This Row],[DATA DO CAIXA PREVISTO]],"mmm")))</f>
        <v>MAR</v>
      </c>
      <c r="N211" s="128">
        <f>IF(tbRegistroSaidas[[#This Row],[DATA DO CAIXA PREVISTO]]="N/A",0,YEAR(tbRegistroSaidas[[#This Row],[DATA DO CAIXA PREVISTO]]))</f>
        <v>2023</v>
      </c>
    </row>
    <row r="212" spans="1:14" s="5" customFormat="1" ht="14.4" x14ac:dyDescent="0.3">
      <c r="A212" s="49">
        <v>45225</v>
      </c>
      <c r="B212" s="49">
        <f t="shared" si="6"/>
        <v>45194</v>
      </c>
      <c r="C212" s="49">
        <f t="shared" si="7"/>
        <v>45210</v>
      </c>
      <c r="D212" s="52" t="s">
        <v>63</v>
      </c>
      <c r="E212" s="52" t="s">
        <v>1543</v>
      </c>
      <c r="F212" s="52" t="s">
        <v>32</v>
      </c>
      <c r="G212" s="52" t="s">
        <v>1288</v>
      </c>
      <c r="H212" s="18">
        <v>695</v>
      </c>
      <c r="I212" s="128">
        <f>IF(tbRegistroSaidas[[#This Row],[DATA DE CAIXA REALIZADO]]="N/A",0,YEAR(tbRegistroSaidas[[#This Row],[DATA DE CAIXA REALIZADO]]))</f>
        <v>2023</v>
      </c>
      <c r="J212" s="128" t="str">
        <f>IF(tbRegistroSaidas[[#This Row],[DATA DE CAIXA REALIZADO]]="N/A","0",UPPER(TEXT(tbRegistroSaidas[[#This Row],[DATA DE CAIXA REALIZADO]],"mmm")))</f>
        <v>OUT</v>
      </c>
      <c r="K212" s="129" t="str">
        <f>IF(tbRegistroSaidas[[#This Row],[DATA DA COMPETÊNCIA]]="N/A","0",UPPER(TEXT(tbRegistroSaidas[[#This Row],[DATA DA COMPETÊNCIA]],"mmm")))</f>
        <v>SET</v>
      </c>
      <c r="L212" s="79">
        <f>IF(tbRegistroSaidas[[#This Row],[DATA DA COMPETÊNCIA]]="N/A",0,YEAR(tbRegistroSaidas[[#This Row],[DATA DA COMPETÊNCIA]]))</f>
        <v>2023</v>
      </c>
      <c r="M212" s="128" t="str">
        <f>IF(tbRegistroSaidas[[#This Row],[DATA DO CAIXA PREVISTO]]="N/A","0",UPPER(TEXT(tbRegistroSaidas[[#This Row],[DATA DO CAIXA PREVISTO]],"mmm")))</f>
        <v>OUT</v>
      </c>
      <c r="N212" s="128">
        <f>IF(tbRegistroSaidas[[#This Row],[DATA DO CAIXA PREVISTO]]="N/A",0,YEAR(tbRegistroSaidas[[#This Row],[DATA DO CAIXA PREVISTO]]))</f>
        <v>2023</v>
      </c>
    </row>
    <row r="213" spans="1:14" s="5" customFormat="1" ht="14.4" x14ac:dyDescent="0.3">
      <c r="A213" s="49">
        <v>44556</v>
      </c>
      <c r="B213" s="49">
        <f t="shared" si="6"/>
        <v>44525</v>
      </c>
      <c r="C213" s="49">
        <f t="shared" si="7"/>
        <v>44541</v>
      </c>
      <c r="D213" s="52" t="s">
        <v>137</v>
      </c>
      <c r="E213" s="52" t="s">
        <v>1543</v>
      </c>
      <c r="F213" s="52" t="s">
        <v>16</v>
      </c>
      <c r="G213" s="52" t="s">
        <v>1289</v>
      </c>
      <c r="H213" s="18">
        <v>3778</v>
      </c>
      <c r="I213" s="128">
        <f>IF(tbRegistroSaidas[[#This Row],[DATA DE CAIXA REALIZADO]]="N/A",0,YEAR(tbRegistroSaidas[[#This Row],[DATA DE CAIXA REALIZADO]]))</f>
        <v>2021</v>
      </c>
      <c r="J213" s="128" t="str">
        <f>IF(tbRegistroSaidas[[#This Row],[DATA DE CAIXA REALIZADO]]="N/A","0",UPPER(TEXT(tbRegistroSaidas[[#This Row],[DATA DE CAIXA REALIZADO]],"mmm")))</f>
        <v>DEZ</v>
      </c>
      <c r="K213" s="129" t="str">
        <f>IF(tbRegistroSaidas[[#This Row],[DATA DA COMPETÊNCIA]]="N/A","0",UPPER(TEXT(tbRegistroSaidas[[#This Row],[DATA DA COMPETÊNCIA]],"mmm")))</f>
        <v>NOV</v>
      </c>
      <c r="L213" s="79">
        <f>IF(tbRegistroSaidas[[#This Row],[DATA DA COMPETÊNCIA]]="N/A",0,YEAR(tbRegistroSaidas[[#This Row],[DATA DA COMPETÊNCIA]]))</f>
        <v>2021</v>
      </c>
      <c r="M213" s="128" t="str">
        <f>IF(tbRegistroSaidas[[#This Row],[DATA DO CAIXA PREVISTO]]="N/A","0",UPPER(TEXT(tbRegistroSaidas[[#This Row],[DATA DO CAIXA PREVISTO]],"mmm")))</f>
        <v>DEZ</v>
      </c>
      <c r="N213" s="128">
        <f>IF(tbRegistroSaidas[[#This Row],[DATA DO CAIXA PREVISTO]]="N/A",0,YEAR(tbRegistroSaidas[[#This Row],[DATA DO CAIXA PREVISTO]]))</f>
        <v>2021</v>
      </c>
    </row>
    <row r="214" spans="1:14" s="5" customFormat="1" ht="14.4" x14ac:dyDescent="0.3">
      <c r="A214" s="49">
        <v>44640</v>
      </c>
      <c r="B214" s="49">
        <f t="shared" si="6"/>
        <v>44609</v>
      </c>
      <c r="C214" s="49">
        <f t="shared" si="7"/>
        <v>44625</v>
      </c>
      <c r="D214" s="52" t="s">
        <v>137</v>
      </c>
      <c r="E214" s="52" t="s">
        <v>1543</v>
      </c>
      <c r="F214" s="52" t="s">
        <v>32</v>
      </c>
      <c r="G214" s="52" t="s">
        <v>405</v>
      </c>
      <c r="H214" s="18">
        <v>3859</v>
      </c>
      <c r="I214" s="128">
        <f>IF(tbRegistroSaidas[[#This Row],[DATA DE CAIXA REALIZADO]]="N/A",0,YEAR(tbRegistroSaidas[[#This Row],[DATA DE CAIXA REALIZADO]]))</f>
        <v>2022</v>
      </c>
      <c r="J214" s="128" t="str">
        <f>IF(tbRegistroSaidas[[#This Row],[DATA DE CAIXA REALIZADO]]="N/A","0",UPPER(TEXT(tbRegistroSaidas[[#This Row],[DATA DE CAIXA REALIZADO]],"mmm")))</f>
        <v>MAR</v>
      </c>
      <c r="K214" s="129" t="str">
        <f>IF(tbRegistroSaidas[[#This Row],[DATA DA COMPETÊNCIA]]="N/A","0",UPPER(TEXT(tbRegistroSaidas[[#This Row],[DATA DA COMPETÊNCIA]],"mmm")))</f>
        <v>FEV</v>
      </c>
      <c r="L214" s="79">
        <f>IF(tbRegistroSaidas[[#This Row],[DATA DA COMPETÊNCIA]]="N/A",0,YEAR(tbRegistroSaidas[[#This Row],[DATA DA COMPETÊNCIA]]))</f>
        <v>2022</v>
      </c>
      <c r="M214" s="128" t="str">
        <f>IF(tbRegistroSaidas[[#This Row],[DATA DO CAIXA PREVISTO]]="N/A","0",UPPER(TEXT(tbRegistroSaidas[[#This Row],[DATA DO CAIXA PREVISTO]],"mmm")))</f>
        <v>MAR</v>
      </c>
      <c r="N214" s="128">
        <f>IF(tbRegistroSaidas[[#This Row],[DATA DO CAIXA PREVISTO]]="N/A",0,YEAR(tbRegistroSaidas[[#This Row],[DATA DO CAIXA PREVISTO]]))</f>
        <v>2022</v>
      </c>
    </row>
    <row r="215" spans="1:14" s="5" customFormat="1" ht="14.4" x14ac:dyDescent="0.3">
      <c r="A215" s="49">
        <v>45264</v>
      </c>
      <c r="B215" s="49">
        <f t="shared" si="6"/>
        <v>45233</v>
      </c>
      <c r="C215" s="49">
        <f t="shared" si="7"/>
        <v>45249</v>
      </c>
      <c r="D215" s="52" t="s">
        <v>137</v>
      </c>
      <c r="E215" s="52" t="s">
        <v>1543</v>
      </c>
      <c r="F215" s="52" t="s">
        <v>18</v>
      </c>
      <c r="G215" s="52" t="s">
        <v>1290</v>
      </c>
      <c r="H215" s="18">
        <v>191</v>
      </c>
      <c r="I215" s="128">
        <f>IF(tbRegistroSaidas[[#This Row],[DATA DE CAIXA REALIZADO]]="N/A",0,YEAR(tbRegistroSaidas[[#This Row],[DATA DE CAIXA REALIZADO]]))</f>
        <v>2023</v>
      </c>
      <c r="J215" s="128" t="str">
        <f>IF(tbRegistroSaidas[[#This Row],[DATA DE CAIXA REALIZADO]]="N/A","0",UPPER(TEXT(tbRegistroSaidas[[#This Row],[DATA DE CAIXA REALIZADO]],"mmm")))</f>
        <v>DEZ</v>
      </c>
      <c r="K215" s="129" t="str">
        <f>IF(tbRegistroSaidas[[#This Row],[DATA DA COMPETÊNCIA]]="N/A","0",UPPER(TEXT(tbRegistroSaidas[[#This Row],[DATA DA COMPETÊNCIA]],"mmm")))</f>
        <v>NOV</v>
      </c>
      <c r="L215" s="79">
        <f>IF(tbRegistroSaidas[[#This Row],[DATA DA COMPETÊNCIA]]="N/A",0,YEAR(tbRegistroSaidas[[#This Row],[DATA DA COMPETÊNCIA]]))</f>
        <v>2023</v>
      </c>
      <c r="M215" s="128" t="str">
        <f>IF(tbRegistroSaidas[[#This Row],[DATA DO CAIXA PREVISTO]]="N/A","0",UPPER(TEXT(tbRegistroSaidas[[#This Row],[DATA DO CAIXA PREVISTO]],"mmm")))</f>
        <v>NOV</v>
      </c>
      <c r="N215" s="128">
        <f>IF(tbRegistroSaidas[[#This Row],[DATA DO CAIXA PREVISTO]]="N/A",0,YEAR(tbRegistroSaidas[[#This Row],[DATA DO CAIXA PREVISTO]]))</f>
        <v>2023</v>
      </c>
    </row>
    <row r="216" spans="1:14" s="5" customFormat="1" ht="14.4" x14ac:dyDescent="0.3">
      <c r="A216" s="49">
        <v>44900</v>
      </c>
      <c r="B216" s="49">
        <f t="shared" si="6"/>
        <v>44869</v>
      </c>
      <c r="C216" s="49">
        <f t="shared" si="7"/>
        <v>44885</v>
      </c>
      <c r="D216" s="52" t="s">
        <v>66</v>
      </c>
      <c r="E216" s="52" t="s">
        <v>1543</v>
      </c>
      <c r="F216" s="52" t="s">
        <v>19</v>
      </c>
      <c r="G216" s="52" t="s">
        <v>1291</v>
      </c>
      <c r="H216" s="18">
        <v>879</v>
      </c>
      <c r="I216" s="128">
        <f>IF(tbRegistroSaidas[[#This Row],[DATA DE CAIXA REALIZADO]]="N/A",0,YEAR(tbRegistroSaidas[[#This Row],[DATA DE CAIXA REALIZADO]]))</f>
        <v>2022</v>
      </c>
      <c r="J216" s="128" t="str">
        <f>IF(tbRegistroSaidas[[#This Row],[DATA DE CAIXA REALIZADO]]="N/A","0",UPPER(TEXT(tbRegistroSaidas[[#This Row],[DATA DE CAIXA REALIZADO]],"mmm")))</f>
        <v>DEZ</v>
      </c>
      <c r="K216" s="129" t="str">
        <f>IF(tbRegistroSaidas[[#This Row],[DATA DA COMPETÊNCIA]]="N/A","0",UPPER(TEXT(tbRegistroSaidas[[#This Row],[DATA DA COMPETÊNCIA]],"mmm")))</f>
        <v>NOV</v>
      </c>
      <c r="L216" s="79">
        <f>IF(tbRegistroSaidas[[#This Row],[DATA DA COMPETÊNCIA]]="N/A",0,YEAR(tbRegistroSaidas[[#This Row],[DATA DA COMPETÊNCIA]]))</f>
        <v>2022</v>
      </c>
      <c r="M216" s="128" t="str">
        <f>IF(tbRegistroSaidas[[#This Row],[DATA DO CAIXA PREVISTO]]="N/A","0",UPPER(TEXT(tbRegistroSaidas[[#This Row],[DATA DO CAIXA PREVISTO]],"mmm")))</f>
        <v>NOV</v>
      </c>
      <c r="N216" s="128">
        <f>IF(tbRegistroSaidas[[#This Row],[DATA DO CAIXA PREVISTO]]="N/A",0,YEAR(tbRegistroSaidas[[#This Row],[DATA DO CAIXA PREVISTO]]))</f>
        <v>2022</v>
      </c>
    </row>
    <row r="217" spans="1:14" s="5" customFormat="1" ht="14.4" x14ac:dyDescent="0.3">
      <c r="A217" s="49">
        <v>44262</v>
      </c>
      <c r="B217" s="49">
        <f t="shared" si="6"/>
        <v>44231</v>
      </c>
      <c r="C217" s="49">
        <f t="shared" si="7"/>
        <v>44247</v>
      </c>
      <c r="D217" s="52" t="s">
        <v>61</v>
      </c>
      <c r="E217" s="52" t="s">
        <v>1543</v>
      </c>
      <c r="F217" s="52" t="s">
        <v>16</v>
      </c>
      <c r="G217" s="52" t="s">
        <v>1292</v>
      </c>
      <c r="H217" s="18">
        <v>1715</v>
      </c>
      <c r="I217" s="128">
        <f>IF(tbRegistroSaidas[[#This Row],[DATA DE CAIXA REALIZADO]]="N/A",0,YEAR(tbRegistroSaidas[[#This Row],[DATA DE CAIXA REALIZADO]]))</f>
        <v>2021</v>
      </c>
      <c r="J217" s="128" t="str">
        <f>IF(tbRegistroSaidas[[#This Row],[DATA DE CAIXA REALIZADO]]="N/A","0",UPPER(TEXT(tbRegistroSaidas[[#This Row],[DATA DE CAIXA REALIZADO]],"mmm")))</f>
        <v>MAR</v>
      </c>
      <c r="K217" s="129" t="str">
        <f>IF(tbRegistroSaidas[[#This Row],[DATA DA COMPETÊNCIA]]="N/A","0",UPPER(TEXT(tbRegistroSaidas[[#This Row],[DATA DA COMPETÊNCIA]],"mmm")))</f>
        <v>FEV</v>
      </c>
      <c r="L217" s="79">
        <f>IF(tbRegistroSaidas[[#This Row],[DATA DA COMPETÊNCIA]]="N/A",0,YEAR(tbRegistroSaidas[[#This Row],[DATA DA COMPETÊNCIA]]))</f>
        <v>2021</v>
      </c>
      <c r="M217" s="128" t="str">
        <f>IF(tbRegistroSaidas[[#This Row],[DATA DO CAIXA PREVISTO]]="N/A","0",UPPER(TEXT(tbRegistroSaidas[[#This Row],[DATA DO CAIXA PREVISTO]],"mmm")))</f>
        <v>FEV</v>
      </c>
      <c r="N217" s="128">
        <f>IF(tbRegistroSaidas[[#This Row],[DATA DO CAIXA PREVISTO]]="N/A",0,YEAR(tbRegistroSaidas[[#This Row],[DATA DO CAIXA PREVISTO]]))</f>
        <v>2021</v>
      </c>
    </row>
    <row r="218" spans="1:14" s="5" customFormat="1" ht="14.4" x14ac:dyDescent="0.3">
      <c r="A218" s="49">
        <v>44446</v>
      </c>
      <c r="B218" s="49">
        <f t="shared" si="6"/>
        <v>44415</v>
      </c>
      <c r="C218" s="49">
        <f t="shared" si="7"/>
        <v>44431</v>
      </c>
      <c r="D218" s="52" t="s">
        <v>137</v>
      </c>
      <c r="E218" s="52" t="s">
        <v>1543</v>
      </c>
      <c r="F218" s="52" t="s">
        <v>19</v>
      </c>
      <c r="G218" s="52" t="s">
        <v>1293</v>
      </c>
      <c r="H218" s="18">
        <v>1132</v>
      </c>
      <c r="I218" s="128">
        <f>IF(tbRegistroSaidas[[#This Row],[DATA DE CAIXA REALIZADO]]="N/A",0,YEAR(tbRegistroSaidas[[#This Row],[DATA DE CAIXA REALIZADO]]))</f>
        <v>2021</v>
      </c>
      <c r="J218" s="128" t="str">
        <f>IF(tbRegistroSaidas[[#This Row],[DATA DE CAIXA REALIZADO]]="N/A","0",UPPER(TEXT(tbRegistroSaidas[[#This Row],[DATA DE CAIXA REALIZADO]],"mmm")))</f>
        <v>SET</v>
      </c>
      <c r="K218" s="129" t="str">
        <f>IF(tbRegistroSaidas[[#This Row],[DATA DA COMPETÊNCIA]]="N/A","0",UPPER(TEXT(tbRegistroSaidas[[#This Row],[DATA DA COMPETÊNCIA]],"mmm")))</f>
        <v>AGO</v>
      </c>
      <c r="L218" s="79">
        <f>IF(tbRegistroSaidas[[#This Row],[DATA DA COMPETÊNCIA]]="N/A",0,YEAR(tbRegistroSaidas[[#This Row],[DATA DA COMPETÊNCIA]]))</f>
        <v>2021</v>
      </c>
      <c r="M218" s="128" t="str">
        <f>IF(tbRegistroSaidas[[#This Row],[DATA DO CAIXA PREVISTO]]="N/A","0",UPPER(TEXT(tbRegistroSaidas[[#This Row],[DATA DO CAIXA PREVISTO]],"mmm")))</f>
        <v>AGO</v>
      </c>
      <c r="N218" s="128">
        <f>IF(tbRegistroSaidas[[#This Row],[DATA DO CAIXA PREVISTO]]="N/A",0,YEAR(tbRegistroSaidas[[#This Row],[DATA DO CAIXA PREVISTO]]))</f>
        <v>2021</v>
      </c>
    </row>
    <row r="219" spans="1:14" s="5" customFormat="1" ht="14.4" x14ac:dyDescent="0.3">
      <c r="A219" s="49">
        <v>44957</v>
      </c>
      <c r="B219" s="49">
        <f t="shared" si="6"/>
        <v>44926</v>
      </c>
      <c r="C219" s="49">
        <f t="shared" si="7"/>
        <v>44942</v>
      </c>
      <c r="D219" s="52" t="s">
        <v>67</v>
      </c>
      <c r="E219" s="52" t="s">
        <v>1543</v>
      </c>
      <c r="F219" s="52" t="s">
        <v>18</v>
      </c>
      <c r="G219" s="52" t="s">
        <v>1294</v>
      </c>
      <c r="H219" s="18">
        <v>3823</v>
      </c>
      <c r="I219" s="128">
        <f>IF(tbRegistroSaidas[[#This Row],[DATA DE CAIXA REALIZADO]]="N/A",0,YEAR(tbRegistroSaidas[[#This Row],[DATA DE CAIXA REALIZADO]]))</f>
        <v>2023</v>
      </c>
      <c r="J219" s="128" t="str">
        <f>IF(tbRegistroSaidas[[#This Row],[DATA DE CAIXA REALIZADO]]="N/A","0",UPPER(TEXT(tbRegistroSaidas[[#This Row],[DATA DE CAIXA REALIZADO]],"mmm")))</f>
        <v>JAN</v>
      </c>
      <c r="K219" s="129" t="str">
        <f>IF(tbRegistroSaidas[[#This Row],[DATA DA COMPETÊNCIA]]="N/A","0",UPPER(TEXT(tbRegistroSaidas[[#This Row],[DATA DA COMPETÊNCIA]],"mmm")))</f>
        <v>DEZ</v>
      </c>
      <c r="L219" s="79">
        <f>IF(tbRegistroSaidas[[#This Row],[DATA DA COMPETÊNCIA]]="N/A",0,YEAR(tbRegistroSaidas[[#This Row],[DATA DA COMPETÊNCIA]]))</f>
        <v>2022</v>
      </c>
      <c r="M219" s="128" t="str">
        <f>IF(tbRegistroSaidas[[#This Row],[DATA DO CAIXA PREVISTO]]="N/A","0",UPPER(TEXT(tbRegistroSaidas[[#This Row],[DATA DO CAIXA PREVISTO]],"mmm")))</f>
        <v>JAN</v>
      </c>
      <c r="N219" s="128">
        <f>IF(tbRegistroSaidas[[#This Row],[DATA DO CAIXA PREVISTO]]="N/A",0,YEAR(tbRegistroSaidas[[#This Row],[DATA DO CAIXA PREVISTO]]))</f>
        <v>2023</v>
      </c>
    </row>
    <row r="220" spans="1:14" s="5" customFormat="1" ht="14.4" x14ac:dyDescent="0.3">
      <c r="A220" s="49">
        <v>44726</v>
      </c>
      <c r="B220" s="49">
        <f t="shared" si="6"/>
        <v>44695</v>
      </c>
      <c r="C220" s="49">
        <f t="shared" si="7"/>
        <v>44711</v>
      </c>
      <c r="D220" s="52" t="s">
        <v>65</v>
      </c>
      <c r="E220" s="52" t="s">
        <v>1543</v>
      </c>
      <c r="F220" s="52" t="s">
        <v>18</v>
      </c>
      <c r="G220" s="52" t="s">
        <v>1295</v>
      </c>
      <c r="H220" s="18">
        <v>2804</v>
      </c>
      <c r="I220" s="128">
        <f>IF(tbRegistroSaidas[[#This Row],[DATA DE CAIXA REALIZADO]]="N/A",0,YEAR(tbRegistroSaidas[[#This Row],[DATA DE CAIXA REALIZADO]]))</f>
        <v>2022</v>
      </c>
      <c r="J220" s="128" t="str">
        <f>IF(tbRegistroSaidas[[#This Row],[DATA DE CAIXA REALIZADO]]="N/A","0",UPPER(TEXT(tbRegistroSaidas[[#This Row],[DATA DE CAIXA REALIZADO]],"mmm")))</f>
        <v>JUN</v>
      </c>
      <c r="K220" s="129" t="str">
        <f>IF(tbRegistroSaidas[[#This Row],[DATA DA COMPETÊNCIA]]="N/A","0",UPPER(TEXT(tbRegistroSaidas[[#This Row],[DATA DA COMPETÊNCIA]],"mmm")))</f>
        <v>MAI</v>
      </c>
      <c r="L220" s="79">
        <f>IF(tbRegistroSaidas[[#This Row],[DATA DA COMPETÊNCIA]]="N/A",0,YEAR(tbRegistroSaidas[[#This Row],[DATA DA COMPETÊNCIA]]))</f>
        <v>2022</v>
      </c>
      <c r="M220" s="128" t="str">
        <f>IF(tbRegistroSaidas[[#This Row],[DATA DO CAIXA PREVISTO]]="N/A","0",UPPER(TEXT(tbRegistroSaidas[[#This Row],[DATA DO CAIXA PREVISTO]],"mmm")))</f>
        <v>MAI</v>
      </c>
      <c r="N220" s="128">
        <f>IF(tbRegistroSaidas[[#This Row],[DATA DO CAIXA PREVISTO]]="N/A",0,YEAR(tbRegistroSaidas[[#This Row],[DATA DO CAIXA PREVISTO]]))</f>
        <v>2022</v>
      </c>
    </row>
    <row r="221" spans="1:14" s="5" customFormat="1" ht="14.4" x14ac:dyDescent="0.3">
      <c r="A221" s="49">
        <v>45071</v>
      </c>
      <c r="B221" s="49">
        <f t="shared" si="6"/>
        <v>45040</v>
      </c>
      <c r="C221" s="49">
        <f t="shared" si="7"/>
        <v>45056</v>
      </c>
      <c r="D221" s="52" t="s">
        <v>64</v>
      </c>
      <c r="E221" s="52" t="s">
        <v>1543</v>
      </c>
      <c r="F221" s="52" t="s">
        <v>17</v>
      </c>
      <c r="G221" s="52" t="s">
        <v>1296</v>
      </c>
      <c r="H221" s="18">
        <v>2143</v>
      </c>
      <c r="I221" s="128">
        <f>IF(tbRegistroSaidas[[#This Row],[DATA DE CAIXA REALIZADO]]="N/A",0,YEAR(tbRegistroSaidas[[#This Row],[DATA DE CAIXA REALIZADO]]))</f>
        <v>2023</v>
      </c>
      <c r="J221" s="128" t="str">
        <f>IF(tbRegistroSaidas[[#This Row],[DATA DE CAIXA REALIZADO]]="N/A","0",UPPER(TEXT(tbRegistroSaidas[[#This Row],[DATA DE CAIXA REALIZADO]],"mmm")))</f>
        <v>MAI</v>
      </c>
      <c r="K221" s="129" t="str">
        <f>IF(tbRegistroSaidas[[#This Row],[DATA DA COMPETÊNCIA]]="N/A","0",UPPER(TEXT(tbRegistroSaidas[[#This Row],[DATA DA COMPETÊNCIA]],"mmm")))</f>
        <v>ABR</v>
      </c>
      <c r="L221" s="79">
        <f>IF(tbRegistroSaidas[[#This Row],[DATA DA COMPETÊNCIA]]="N/A",0,YEAR(tbRegistroSaidas[[#This Row],[DATA DA COMPETÊNCIA]]))</f>
        <v>2023</v>
      </c>
      <c r="M221" s="128" t="str">
        <f>IF(tbRegistroSaidas[[#This Row],[DATA DO CAIXA PREVISTO]]="N/A","0",UPPER(TEXT(tbRegistroSaidas[[#This Row],[DATA DO CAIXA PREVISTO]],"mmm")))</f>
        <v>MAI</v>
      </c>
      <c r="N221" s="128">
        <f>IF(tbRegistroSaidas[[#This Row],[DATA DO CAIXA PREVISTO]]="N/A",0,YEAR(tbRegistroSaidas[[#This Row],[DATA DO CAIXA PREVISTO]]))</f>
        <v>2023</v>
      </c>
    </row>
    <row r="222" spans="1:14" s="5" customFormat="1" ht="14.4" x14ac:dyDescent="0.3">
      <c r="A222" s="49">
        <v>44929</v>
      </c>
      <c r="B222" s="49">
        <f t="shared" si="6"/>
        <v>44898</v>
      </c>
      <c r="C222" s="49">
        <f t="shared" si="7"/>
        <v>44914</v>
      </c>
      <c r="D222" s="52" t="s">
        <v>67</v>
      </c>
      <c r="E222" s="52" t="s">
        <v>1543</v>
      </c>
      <c r="F222" s="52" t="s">
        <v>19</v>
      </c>
      <c r="G222" s="52" t="s">
        <v>1297</v>
      </c>
      <c r="H222" s="18">
        <v>1703</v>
      </c>
      <c r="I222" s="128">
        <f>IF(tbRegistroSaidas[[#This Row],[DATA DE CAIXA REALIZADO]]="N/A",0,YEAR(tbRegistroSaidas[[#This Row],[DATA DE CAIXA REALIZADO]]))</f>
        <v>2023</v>
      </c>
      <c r="J222" s="128" t="str">
        <f>IF(tbRegistroSaidas[[#This Row],[DATA DE CAIXA REALIZADO]]="N/A","0",UPPER(TEXT(tbRegistroSaidas[[#This Row],[DATA DE CAIXA REALIZADO]],"mmm")))</f>
        <v>JAN</v>
      </c>
      <c r="K222" s="129" t="str">
        <f>IF(tbRegistroSaidas[[#This Row],[DATA DA COMPETÊNCIA]]="N/A","0",UPPER(TEXT(tbRegistroSaidas[[#This Row],[DATA DA COMPETÊNCIA]],"mmm")))</f>
        <v>DEZ</v>
      </c>
      <c r="L222" s="79">
        <f>IF(tbRegistroSaidas[[#This Row],[DATA DA COMPETÊNCIA]]="N/A",0,YEAR(tbRegistroSaidas[[#This Row],[DATA DA COMPETÊNCIA]]))</f>
        <v>2022</v>
      </c>
      <c r="M222" s="128" t="str">
        <f>IF(tbRegistroSaidas[[#This Row],[DATA DO CAIXA PREVISTO]]="N/A","0",UPPER(TEXT(tbRegistroSaidas[[#This Row],[DATA DO CAIXA PREVISTO]],"mmm")))</f>
        <v>DEZ</v>
      </c>
      <c r="N222" s="128">
        <f>IF(tbRegistroSaidas[[#This Row],[DATA DO CAIXA PREVISTO]]="N/A",0,YEAR(tbRegistroSaidas[[#This Row],[DATA DO CAIXA PREVISTO]]))</f>
        <v>2022</v>
      </c>
    </row>
    <row r="223" spans="1:14" s="5" customFormat="1" ht="14.4" x14ac:dyDescent="0.3">
      <c r="A223" s="49">
        <v>45176</v>
      </c>
      <c r="B223" s="49">
        <f t="shared" si="6"/>
        <v>45145</v>
      </c>
      <c r="C223" s="49">
        <f t="shared" si="7"/>
        <v>45161</v>
      </c>
      <c r="D223" s="52" t="s">
        <v>67</v>
      </c>
      <c r="E223" s="52" t="s">
        <v>1543</v>
      </c>
      <c r="F223" s="52" t="s">
        <v>17</v>
      </c>
      <c r="G223" s="52" t="s">
        <v>1298</v>
      </c>
      <c r="H223" s="18">
        <v>3479</v>
      </c>
      <c r="I223" s="128">
        <f>IF(tbRegistroSaidas[[#This Row],[DATA DE CAIXA REALIZADO]]="N/A",0,YEAR(tbRegistroSaidas[[#This Row],[DATA DE CAIXA REALIZADO]]))</f>
        <v>2023</v>
      </c>
      <c r="J223" s="128" t="str">
        <f>IF(tbRegistroSaidas[[#This Row],[DATA DE CAIXA REALIZADO]]="N/A","0",UPPER(TEXT(tbRegistroSaidas[[#This Row],[DATA DE CAIXA REALIZADO]],"mmm")))</f>
        <v>SET</v>
      </c>
      <c r="K223" s="129" t="str">
        <f>IF(tbRegistroSaidas[[#This Row],[DATA DA COMPETÊNCIA]]="N/A","0",UPPER(TEXT(tbRegistroSaidas[[#This Row],[DATA DA COMPETÊNCIA]],"mmm")))</f>
        <v>AGO</v>
      </c>
      <c r="L223" s="79">
        <f>IF(tbRegistroSaidas[[#This Row],[DATA DA COMPETÊNCIA]]="N/A",0,YEAR(tbRegistroSaidas[[#This Row],[DATA DA COMPETÊNCIA]]))</f>
        <v>2023</v>
      </c>
      <c r="M223" s="128" t="str">
        <f>IF(tbRegistroSaidas[[#This Row],[DATA DO CAIXA PREVISTO]]="N/A","0",UPPER(TEXT(tbRegistroSaidas[[#This Row],[DATA DO CAIXA PREVISTO]],"mmm")))</f>
        <v>AGO</v>
      </c>
      <c r="N223" s="128">
        <f>IF(tbRegistroSaidas[[#This Row],[DATA DO CAIXA PREVISTO]]="N/A",0,YEAR(tbRegistroSaidas[[#This Row],[DATA DO CAIXA PREVISTO]]))</f>
        <v>2023</v>
      </c>
    </row>
    <row r="224" spans="1:14" s="5" customFormat="1" ht="14.4" x14ac:dyDescent="0.3">
      <c r="A224" s="49">
        <v>44350</v>
      </c>
      <c r="B224" s="49">
        <f t="shared" si="6"/>
        <v>44319</v>
      </c>
      <c r="C224" s="49">
        <f t="shared" si="7"/>
        <v>44335</v>
      </c>
      <c r="D224" s="52" t="s">
        <v>137</v>
      </c>
      <c r="E224" s="52" t="s">
        <v>1543</v>
      </c>
      <c r="F224" s="52" t="s">
        <v>17</v>
      </c>
      <c r="G224" s="52" t="s">
        <v>1299</v>
      </c>
      <c r="H224" s="18">
        <v>1377</v>
      </c>
      <c r="I224" s="128">
        <f>IF(tbRegistroSaidas[[#This Row],[DATA DE CAIXA REALIZADO]]="N/A",0,YEAR(tbRegistroSaidas[[#This Row],[DATA DE CAIXA REALIZADO]]))</f>
        <v>2021</v>
      </c>
      <c r="J224" s="128" t="str">
        <f>IF(tbRegistroSaidas[[#This Row],[DATA DE CAIXA REALIZADO]]="N/A","0",UPPER(TEXT(tbRegistroSaidas[[#This Row],[DATA DE CAIXA REALIZADO]],"mmm")))</f>
        <v>JUN</v>
      </c>
      <c r="K224" s="129" t="str">
        <f>IF(tbRegistroSaidas[[#This Row],[DATA DA COMPETÊNCIA]]="N/A","0",UPPER(TEXT(tbRegistroSaidas[[#This Row],[DATA DA COMPETÊNCIA]],"mmm")))</f>
        <v>MAI</v>
      </c>
      <c r="L224" s="79">
        <f>IF(tbRegistroSaidas[[#This Row],[DATA DA COMPETÊNCIA]]="N/A",0,YEAR(tbRegistroSaidas[[#This Row],[DATA DA COMPETÊNCIA]]))</f>
        <v>2021</v>
      </c>
      <c r="M224" s="128" t="str">
        <f>IF(tbRegistroSaidas[[#This Row],[DATA DO CAIXA PREVISTO]]="N/A","0",UPPER(TEXT(tbRegistroSaidas[[#This Row],[DATA DO CAIXA PREVISTO]],"mmm")))</f>
        <v>MAI</v>
      </c>
      <c r="N224" s="128">
        <f>IF(tbRegistroSaidas[[#This Row],[DATA DO CAIXA PREVISTO]]="N/A",0,YEAR(tbRegistroSaidas[[#This Row],[DATA DO CAIXA PREVISTO]]))</f>
        <v>2021</v>
      </c>
    </row>
    <row r="225" spans="1:14" s="5" customFormat="1" ht="14.4" x14ac:dyDescent="0.3">
      <c r="A225" s="49">
        <v>44662</v>
      </c>
      <c r="B225" s="49">
        <f t="shared" si="6"/>
        <v>44631</v>
      </c>
      <c r="C225" s="49">
        <f t="shared" si="7"/>
        <v>44647</v>
      </c>
      <c r="D225" s="52" t="s">
        <v>67</v>
      </c>
      <c r="E225" s="52" t="s">
        <v>1543</v>
      </c>
      <c r="F225" s="52" t="s">
        <v>32</v>
      </c>
      <c r="G225" s="52" t="s">
        <v>1300</v>
      </c>
      <c r="H225" s="18">
        <v>2806</v>
      </c>
      <c r="I225" s="128">
        <f>IF(tbRegistroSaidas[[#This Row],[DATA DE CAIXA REALIZADO]]="N/A",0,YEAR(tbRegistroSaidas[[#This Row],[DATA DE CAIXA REALIZADO]]))</f>
        <v>2022</v>
      </c>
      <c r="J225" s="128" t="str">
        <f>IF(tbRegistroSaidas[[#This Row],[DATA DE CAIXA REALIZADO]]="N/A","0",UPPER(TEXT(tbRegistroSaidas[[#This Row],[DATA DE CAIXA REALIZADO]],"mmm")))</f>
        <v>ABR</v>
      </c>
      <c r="K225" s="129" t="str">
        <f>IF(tbRegistroSaidas[[#This Row],[DATA DA COMPETÊNCIA]]="N/A","0",UPPER(TEXT(tbRegistroSaidas[[#This Row],[DATA DA COMPETÊNCIA]],"mmm")))</f>
        <v>MAR</v>
      </c>
      <c r="L225" s="79">
        <f>IF(tbRegistroSaidas[[#This Row],[DATA DA COMPETÊNCIA]]="N/A",0,YEAR(tbRegistroSaidas[[#This Row],[DATA DA COMPETÊNCIA]]))</f>
        <v>2022</v>
      </c>
      <c r="M225" s="128" t="str">
        <f>IF(tbRegistroSaidas[[#This Row],[DATA DO CAIXA PREVISTO]]="N/A","0",UPPER(TEXT(tbRegistroSaidas[[#This Row],[DATA DO CAIXA PREVISTO]],"mmm")))</f>
        <v>MAR</v>
      </c>
      <c r="N225" s="128">
        <f>IF(tbRegistroSaidas[[#This Row],[DATA DO CAIXA PREVISTO]]="N/A",0,YEAR(tbRegistroSaidas[[#This Row],[DATA DO CAIXA PREVISTO]]))</f>
        <v>2022</v>
      </c>
    </row>
    <row r="226" spans="1:14" s="5" customFormat="1" ht="14.4" x14ac:dyDescent="0.3">
      <c r="A226" s="49">
        <v>44752</v>
      </c>
      <c r="B226" s="49">
        <f t="shared" si="6"/>
        <v>44721</v>
      </c>
      <c r="C226" s="49">
        <f t="shared" si="7"/>
        <v>44737</v>
      </c>
      <c r="D226" s="52" t="s">
        <v>63</v>
      </c>
      <c r="E226" s="52" t="s">
        <v>1543</v>
      </c>
      <c r="F226" s="52" t="s">
        <v>17</v>
      </c>
      <c r="G226" s="52" t="s">
        <v>1301</v>
      </c>
      <c r="H226" s="18">
        <v>1592</v>
      </c>
      <c r="I226" s="128">
        <f>IF(tbRegistroSaidas[[#This Row],[DATA DE CAIXA REALIZADO]]="N/A",0,YEAR(tbRegistroSaidas[[#This Row],[DATA DE CAIXA REALIZADO]]))</f>
        <v>2022</v>
      </c>
      <c r="J226" s="128" t="str">
        <f>IF(tbRegistroSaidas[[#This Row],[DATA DE CAIXA REALIZADO]]="N/A","0",UPPER(TEXT(tbRegistroSaidas[[#This Row],[DATA DE CAIXA REALIZADO]],"mmm")))</f>
        <v>JUL</v>
      </c>
      <c r="K226" s="129" t="str">
        <f>IF(tbRegistroSaidas[[#This Row],[DATA DA COMPETÊNCIA]]="N/A","0",UPPER(TEXT(tbRegistroSaidas[[#This Row],[DATA DA COMPETÊNCIA]],"mmm")))</f>
        <v>JUN</v>
      </c>
      <c r="L226" s="79">
        <f>IF(tbRegistroSaidas[[#This Row],[DATA DA COMPETÊNCIA]]="N/A",0,YEAR(tbRegistroSaidas[[#This Row],[DATA DA COMPETÊNCIA]]))</f>
        <v>2022</v>
      </c>
      <c r="M226" s="128" t="str">
        <f>IF(tbRegistroSaidas[[#This Row],[DATA DO CAIXA PREVISTO]]="N/A","0",UPPER(TEXT(tbRegistroSaidas[[#This Row],[DATA DO CAIXA PREVISTO]],"mmm")))</f>
        <v>JUN</v>
      </c>
      <c r="N226" s="128">
        <f>IF(tbRegistroSaidas[[#This Row],[DATA DO CAIXA PREVISTO]]="N/A",0,YEAR(tbRegistroSaidas[[#This Row],[DATA DO CAIXA PREVISTO]]))</f>
        <v>2022</v>
      </c>
    </row>
    <row r="227" spans="1:14" s="5" customFormat="1" ht="14.4" x14ac:dyDescent="0.3">
      <c r="A227" s="49">
        <v>44962</v>
      </c>
      <c r="B227" s="49">
        <f t="shared" si="6"/>
        <v>44931</v>
      </c>
      <c r="C227" s="49">
        <f t="shared" si="7"/>
        <v>44947</v>
      </c>
      <c r="D227" s="52" t="s">
        <v>63</v>
      </c>
      <c r="E227" s="52" t="s">
        <v>1543</v>
      </c>
      <c r="F227" s="52" t="s">
        <v>17</v>
      </c>
      <c r="G227" s="52" t="s">
        <v>1302</v>
      </c>
      <c r="H227" s="18">
        <v>1624</v>
      </c>
      <c r="I227" s="128">
        <f>IF(tbRegistroSaidas[[#This Row],[DATA DE CAIXA REALIZADO]]="N/A",0,YEAR(tbRegistroSaidas[[#This Row],[DATA DE CAIXA REALIZADO]]))</f>
        <v>2023</v>
      </c>
      <c r="J227" s="128" t="str">
        <f>IF(tbRegistroSaidas[[#This Row],[DATA DE CAIXA REALIZADO]]="N/A","0",UPPER(TEXT(tbRegistroSaidas[[#This Row],[DATA DE CAIXA REALIZADO]],"mmm")))</f>
        <v>FEV</v>
      </c>
      <c r="K227" s="129" t="str">
        <f>IF(tbRegistroSaidas[[#This Row],[DATA DA COMPETÊNCIA]]="N/A","0",UPPER(TEXT(tbRegistroSaidas[[#This Row],[DATA DA COMPETÊNCIA]],"mmm")))</f>
        <v>JAN</v>
      </c>
      <c r="L227" s="79">
        <f>IF(tbRegistroSaidas[[#This Row],[DATA DA COMPETÊNCIA]]="N/A",0,YEAR(tbRegistroSaidas[[#This Row],[DATA DA COMPETÊNCIA]]))</f>
        <v>2023</v>
      </c>
      <c r="M227" s="128" t="str">
        <f>IF(tbRegistroSaidas[[#This Row],[DATA DO CAIXA PREVISTO]]="N/A","0",UPPER(TEXT(tbRegistroSaidas[[#This Row],[DATA DO CAIXA PREVISTO]],"mmm")))</f>
        <v>JAN</v>
      </c>
      <c r="N227" s="128">
        <f>IF(tbRegistroSaidas[[#This Row],[DATA DO CAIXA PREVISTO]]="N/A",0,YEAR(tbRegistroSaidas[[#This Row],[DATA DO CAIXA PREVISTO]]))</f>
        <v>2023</v>
      </c>
    </row>
    <row r="228" spans="1:14" s="5" customFormat="1" ht="14.4" x14ac:dyDescent="0.3">
      <c r="A228" s="49">
        <v>44940</v>
      </c>
      <c r="B228" s="49">
        <f t="shared" si="6"/>
        <v>44909</v>
      </c>
      <c r="C228" s="49">
        <f t="shared" si="7"/>
        <v>44925</v>
      </c>
      <c r="D228" s="52" t="s">
        <v>67</v>
      </c>
      <c r="E228" s="52" t="s">
        <v>1543</v>
      </c>
      <c r="F228" s="52" t="s">
        <v>18</v>
      </c>
      <c r="G228" s="52" t="s">
        <v>1303</v>
      </c>
      <c r="H228" s="18">
        <v>1976</v>
      </c>
      <c r="I228" s="128">
        <f>IF(tbRegistroSaidas[[#This Row],[DATA DE CAIXA REALIZADO]]="N/A",0,YEAR(tbRegistroSaidas[[#This Row],[DATA DE CAIXA REALIZADO]]))</f>
        <v>2023</v>
      </c>
      <c r="J228" s="128" t="str">
        <f>IF(tbRegistroSaidas[[#This Row],[DATA DE CAIXA REALIZADO]]="N/A","0",UPPER(TEXT(tbRegistroSaidas[[#This Row],[DATA DE CAIXA REALIZADO]],"mmm")))</f>
        <v>JAN</v>
      </c>
      <c r="K228" s="129" t="str">
        <f>IF(tbRegistroSaidas[[#This Row],[DATA DA COMPETÊNCIA]]="N/A","0",UPPER(TEXT(tbRegistroSaidas[[#This Row],[DATA DA COMPETÊNCIA]],"mmm")))</f>
        <v>DEZ</v>
      </c>
      <c r="L228" s="79">
        <f>IF(tbRegistroSaidas[[#This Row],[DATA DA COMPETÊNCIA]]="N/A",0,YEAR(tbRegistroSaidas[[#This Row],[DATA DA COMPETÊNCIA]]))</f>
        <v>2022</v>
      </c>
      <c r="M228" s="128" t="str">
        <f>IF(tbRegistroSaidas[[#This Row],[DATA DO CAIXA PREVISTO]]="N/A","0",UPPER(TEXT(tbRegistroSaidas[[#This Row],[DATA DO CAIXA PREVISTO]],"mmm")))</f>
        <v>DEZ</v>
      </c>
      <c r="N228" s="128">
        <f>IF(tbRegistroSaidas[[#This Row],[DATA DO CAIXA PREVISTO]]="N/A",0,YEAR(tbRegistroSaidas[[#This Row],[DATA DO CAIXA PREVISTO]]))</f>
        <v>2022</v>
      </c>
    </row>
    <row r="229" spans="1:14" s="5" customFormat="1" ht="14.4" x14ac:dyDescent="0.3">
      <c r="A229" s="49">
        <v>44535</v>
      </c>
      <c r="B229" s="49">
        <f t="shared" si="6"/>
        <v>44504</v>
      </c>
      <c r="C229" s="49">
        <f t="shared" si="7"/>
        <v>44520</v>
      </c>
      <c r="D229" s="52" t="s">
        <v>66</v>
      </c>
      <c r="E229" s="52" t="s">
        <v>1543</v>
      </c>
      <c r="F229" s="52" t="s">
        <v>19</v>
      </c>
      <c r="G229" s="52" t="s">
        <v>1304</v>
      </c>
      <c r="H229" s="18">
        <v>800</v>
      </c>
      <c r="I229" s="128">
        <f>IF(tbRegistroSaidas[[#This Row],[DATA DE CAIXA REALIZADO]]="N/A",0,YEAR(tbRegistroSaidas[[#This Row],[DATA DE CAIXA REALIZADO]]))</f>
        <v>2021</v>
      </c>
      <c r="J229" s="128" t="str">
        <f>IF(tbRegistroSaidas[[#This Row],[DATA DE CAIXA REALIZADO]]="N/A","0",UPPER(TEXT(tbRegistroSaidas[[#This Row],[DATA DE CAIXA REALIZADO]],"mmm")))</f>
        <v>DEZ</v>
      </c>
      <c r="K229" s="129" t="str">
        <f>IF(tbRegistroSaidas[[#This Row],[DATA DA COMPETÊNCIA]]="N/A","0",UPPER(TEXT(tbRegistroSaidas[[#This Row],[DATA DA COMPETÊNCIA]],"mmm")))</f>
        <v>NOV</v>
      </c>
      <c r="L229" s="79">
        <f>IF(tbRegistroSaidas[[#This Row],[DATA DA COMPETÊNCIA]]="N/A",0,YEAR(tbRegistroSaidas[[#This Row],[DATA DA COMPETÊNCIA]]))</f>
        <v>2021</v>
      </c>
      <c r="M229" s="128" t="str">
        <f>IF(tbRegistroSaidas[[#This Row],[DATA DO CAIXA PREVISTO]]="N/A","0",UPPER(TEXT(tbRegistroSaidas[[#This Row],[DATA DO CAIXA PREVISTO]],"mmm")))</f>
        <v>NOV</v>
      </c>
      <c r="N229" s="128">
        <f>IF(tbRegistroSaidas[[#This Row],[DATA DO CAIXA PREVISTO]]="N/A",0,YEAR(tbRegistroSaidas[[#This Row],[DATA DO CAIXA PREVISTO]]))</f>
        <v>2021</v>
      </c>
    </row>
    <row r="230" spans="1:14" s="5" customFormat="1" ht="14.4" x14ac:dyDescent="0.3">
      <c r="A230" s="49">
        <v>44231</v>
      </c>
      <c r="B230" s="49">
        <f t="shared" si="6"/>
        <v>44200</v>
      </c>
      <c r="C230" s="49">
        <f t="shared" si="7"/>
        <v>44216</v>
      </c>
      <c r="D230" s="52" t="s">
        <v>65</v>
      </c>
      <c r="E230" s="52" t="s">
        <v>1543</v>
      </c>
      <c r="F230" s="52" t="s">
        <v>18</v>
      </c>
      <c r="G230" s="52" t="s">
        <v>1305</v>
      </c>
      <c r="H230" s="18">
        <v>3834</v>
      </c>
      <c r="I230" s="128">
        <f>IF(tbRegistroSaidas[[#This Row],[DATA DE CAIXA REALIZADO]]="N/A",0,YEAR(tbRegistroSaidas[[#This Row],[DATA DE CAIXA REALIZADO]]))</f>
        <v>2021</v>
      </c>
      <c r="J230" s="128" t="str">
        <f>IF(tbRegistroSaidas[[#This Row],[DATA DE CAIXA REALIZADO]]="N/A","0",UPPER(TEXT(tbRegistroSaidas[[#This Row],[DATA DE CAIXA REALIZADO]],"mmm")))</f>
        <v>FEV</v>
      </c>
      <c r="K230" s="129" t="str">
        <f>IF(tbRegistroSaidas[[#This Row],[DATA DA COMPETÊNCIA]]="N/A","0",UPPER(TEXT(tbRegistroSaidas[[#This Row],[DATA DA COMPETÊNCIA]],"mmm")))</f>
        <v>JAN</v>
      </c>
      <c r="L230" s="79">
        <f>IF(tbRegistroSaidas[[#This Row],[DATA DA COMPETÊNCIA]]="N/A",0,YEAR(tbRegistroSaidas[[#This Row],[DATA DA COMPETÊNCIA]]))</f>
        <v>2021</v>
      </c>
      <c r="M230" s="128" t="str">
        <f>IF(tbRegistroSaidas[[#This Row],[DATA DO CAIXA PREVISTO]]="N/A","0",UPPER(TEXT(tbRegistroSaidas[[#This Row],[DATA DO CAIXA PREVISTO]],"mmm")))</f>
        <v>JAN</v>
      </c>
      <c r="N230" s="128">
        <f>IF(tbRegistroSaidas[[#This Row],[DATA DO CAIXA PREVISTO]]="N/A",0,YEAR(tbRegistroSaidas[[#This Row],[DATA DO CAIXA PREVISTO]]))</f>
        <v>2021</v>
      </c>
    </row>
    <row r="231" spans="1:14" s="5" customFormat="1" ht="14.4" x14ac:dyDescent="0.3">
      <c r="A231" s="49">
        <v>45147</v>
      </c>
      <c r="B231" s="49">
        <f t="shared" si="6"/>
        <v>45116</v>
      </c>
      <c r="C231" s="49">
        <f t="shared" si="7"/>
        <v>45132</v>
      </c>
      <c r="D231" s="52" t="s">
        <v>67</v>
      </c>
      <c r="E231" s="52" t="s">
        <v>1543</v>
      </c>
      <c r="F231" s="52" t="s">
        <v>18</v>
      </c>
      <c r="G231" s="52" t="s">
        <v>1306</v>
      </c>
      <c r="H231" s="18">
        <v>3895</v>
      </c>
      <c r="I231" s="128">
        <f>IF(tbRegistroSaidas[[#This Row],[DATA DE CAIXA REALIZADO]]="N/A",0,YEAR(tbRegistroSaidas[[#This Row],[DATA DE CAIXA REALIZADO]]))</f>
        <v>2023</v>
      </c>
      <c r="J231" s="128" t="str">
        <f>IF(tbRegistroSaidas[[#This Row],[DATA DE CAIXA REALIZADO]]="N/A","0",UPPER(TEXT(tbRegistroSaidas[[#This Row],[DATA DE CAIXA REALIZADO]],"mmm")))</f>
        <v>AGO</v>
      </c>
      <c r="K231" s="129" t="str">
        <f>IF(tbRegistroSaidas[[#This Row],[DATA DA COMPETÊNCIA]]="N/A","0",UPPER(TEXT(tbRegistroSaidas[[#This Row],[DATA DA COMPETÊNCIA]],"mmm")))</f>
        <v>JUL</v>
      </c>
      <c r="L231" s="79">
        <f>IF(tbRegistroSaidas[[#This Row],[DATA DA COMPETÊNCIA]]="N/A",0,YEAR(tbRegistroSaidas[[#This Row],[DATA DA COMPETÊNCIA]]))</f>
        <v>2023</v>
      </c>
      <c r="M231" s="128" t="str">
        <f>IF(tbRegistroSaidas[[#This Row],[DATA DO CAIXA PREVISTO]]="N/A","0",UPPER(TEXT(tbRegistroSaidas[[#This Row],[DATA DO CAIXA PREVISTO]],"mmm")))</f>
        <v>JUL</v>
      </c>
      <c r="N231" s="128">
        <f>IF(tbRegistroSaidas[[#This Row],[DATA DO CAIXA PREVISTO]]="N/A",0,YEAR(tbRegistroSaidas[[#This Row],[DATA DO CAIXA PREVISTO]]))</f>
        <v>2023</v>
      </c>
    </row>
    <row r="232" spans="1:14" s="5" customFormat="1" ht="14.4" x14ac:dyDescent="0.3">
      <c r="A232" s="49">
        <v>44811</v>
      </c>
      <c r="B232" s="49">
        <f t="shared" si="6"/>
        <v>44780</v>
      </c>
      <c r="C232" s="49">
        <f t="shared" si="7"/>
        <v>44796</v>
      </c>
      <c r="D232" s="52" t="s">
        <v>65</v>
      </c>
      <c r="E232" s="52" t="s">
        <v>1543</v>
      </c>
      <c r="F232" s="52" t="s">
        <v>18</v>
      </c>
      <c r="G232" s="52" t="s">
        <v>892</v>
      </c>
      <c r="H232" s="18">
        <v>1885</v>
      </c>
      <c r="I232" s="128">
        <f>IF(tbRegistroSaidas[[#This Row],[DATA DE CAIXA REALIZADO]]="N/A",0,YEAR(tbRegistroSaidas[[#This Row],[DATA DE CAIXA REALIZADO]]))</f>
        <v>2022</v>
      </c>
      <c r="J232" s="128" t="str">
        <f>IF(tbRegistroSaidas[[#This Row],[DATA DE CAIXA REALIZADO]]="N/A","0",UPPER(TEXT(tbRegistroSaidas[[#This Row],[DATA DE CAIXA REALIZADO]],"mmm")))</f>
        <v>SET</v>
      </c>
      <c r="K232" s="129" t="str">
        <f>IF(tbRegistroSaidas[[#This Row],[DATA DA COMPETÊNCIA]]="N/A","0",UPPER(TEXT(tbRegistroSaidas[[#This Row],[DATA DA COMPETÊNCIA]],"mmm")))</f>
        <v>AGO</v>
      </c>
      <c r="L232" s="79">
        <f>IF(tbRegistroSaidas[[#This Row],[DATA DA COMPETÊNCIA]]="N/A",0,YEAR(tbRegistroSaidas[[#This Row],[DATA DA COMPETÊNCIA]]))</f>
        <v>2022</v>
      </c>
      <c r="M232" s="128" t="str">
        <f>IF(tbRegistroSaidas[[#This Row],[DATA DO CAIXA PREVISTO]]="N/A","0",UPPER(TEXT(tbRegistroSaidas[[#This Row],[DATA DO CAIXA PREVISTO]],"mmm")))</f>
        <v>AGO</v>
      </c>
      <c r="N232" s="128">
        <f>IF(tbRegistroSaidas[[#This Row],[DATA DO CAIXA PREVISTO]]="N/A",0,YEAR(tbRegistroSaidas[[#This Row],[DATA DO CAIXA PREVISTO]]))</f>
        <v>2022</v>
      </c>
    </row>
    <row r="233" spans="1:14" s="5" customFormat="1" ht="14.4" x14ac:dyDescent="0.3">
      <c r="A233" s="49">
        <v>44514</v>
      </c>
      <c r="B233" s="49">
        <f t="shared" si="6"/>
        <v>44483</v>
      </c>
      <c r="C233" s="49">
        <f t="shared" si="7"/>
        <v>44499</v>
      </c>
      <c r="D233" s="52" t="s">
        <v>66</v>
      </c>
      <c r="E233" s="52" t="s">
        <v>1543</v>
      </c>
      <c r="F233" s="52" t="s">
        <v>32</v>
      </c>
      <c r="G233" s="52" t="s">
        <v>1307</v>
      </c>
      <c r="H233" s="18">
        <v>2836</v>
      </c>
      <c r="I233" s="128">
        <f>IF(tbRegistroSaidas[[#This Row],[DATA DE CAIXA REALIZADO]]="N/A",0,YEAR(tbRegistroSaidas[[#This Row],[DATA DE CAIXA REALIZADO]]))</f>
        <v>2021</v>
      </c>
      <c r="J233" s="128" t="str">
        <f>IF(tbRegistroSaidas[[#This Row],[DATA DE CAIXA REALIZADO]]="N/A","0",UPPER(TEXT(tbRegistroSaidas[[#This Row],[DATA DE CAIXA REALIZADO]],"mmm")))</f>
        <v>NOV</v>
      </c>
      <c r="K233" s="129" t="str">
        <f>IF(tbRegistroSaidas[[#This Row],[DATA DA COMPETÊNCIA]]="N/A","0",UPPER(TEXT(tbRegistroSaidas[[#This Row],[DATA DA COMPETÊNCIA]],"mmm")))</f>
        <v>OUT</v>
      </c>
      <c r="L233" s="79">
        <f>IF(tbRegistroSaidas[[#This Row],[DATA DA COMPETÊNCIA]]="N/A",0,YEAR(tbRegistroSaidas[[#This Row],[DATA DA COMPETÊNCIA]]))</f>
        <v>2021</v>
      </c>
      <c r="M233" s="128" t="str">
        <f>IF(tbRegistroSaidas[[#This Row],[DATA DO CAIXA PREVISTO]]="N/A","0",UPPER(TEXT(tbRegistroSaidas[[#This Row],[DATA DO CAIXA PREVISTO]],"mmm")))</f>
        <v>OUT</v>
      </c>
      <c r="N233" s="128">
        <f>IF(tbRegistroSaidas[[#This Row],[DATA DO CAIXA PREVISTO]]="N/A",0,YEAR(tbRegistroSaidas[[#This Row],[DATA DO CAIXA PREVISTO]]))</f>
        <v>2021</v>
      </c>
    </row>
    <row r="234" spans="1:14" s="5" customFormat="1" ht="14.4" x14ac:dyDescent="0.3">
      <c r="A234" s="49">
        <v>44275</v>
      </c>
      <c r="B234" s="49">
        <f t="shared" si="6"/>
        <v>44244</v>
      </c>
      <c r="C234" s="49">
        <f t="shared" si="7"/>
        <v>44260</v>
      </c>
      <c r="D234" s="52" t="s">
        <v>138</v>
      </c>
      <c r="E234" s="52" t="s">
        <v>1543</v>
      </c>
      <c r="F234" s="52" t="s">
        <v>18</v>
      </c>
      <c r="G234" s="52" t="s">
        <v>1308</v>
      </c>
      <c r="H234" s="18">
        <v>916</v>
      </c>
      <c r="I234" s="128">
        <f>IF(tbRegistroSaidas[[#This Row],[DATA DE CAIXA REALIZADO]]="N/A",0,YEAR(tbRegistroSaidas[[#This Row],[DATA DE CAIXA REALIZADO]]))</f>
        <v>2021</v>
      </c>
      <c r="J234" s="128" t="str">
        <f>IF(tbRegistroSaidas[[#This Row],[DATA DE CAIXA REALIZADO]]="N/A","0",UPPER(TEXT(tbRegistroSaidas[[#This Row],[DATA DE CAIXA REALIZADO]],"mmm")))</f>
        <v>MAR</v>
      </c>
      <c r="K234" s="129" t="str">
        <f>IF(tbRegistroSaidas[[#This Row],[DATA DA COMPETÊNCIA]]="N/A","0",UPPER(TEXT(tbRegistroSaidas[[#This Row],[DATA DA COMPETÊNCIA]],"mmm")))</f>
        <v>FEV</v>
      </c>
      <c r="L234" s="79">
        <f>IF(tbRegistroSaidas[[#This Row],[DATA DA COMPETÊNCIA]]="N/A",0,YEAR(tbRegistroSaidas[[#This Row],[DATA DA COMPETÊNCIA]]))</f>
        <v>2021</v>
      </c>
      <c r="M234" s="128" t="str">
        <f>IF(tbRegistroSaidas[[#This Row],[DATA DO CAIXA PREVISTO]]="N/A","0",UPPER(TEXT(tbRegistroSaidas[[#This Row],[DATA DO CAIXA PREVISTO]],"mmm")))</f>
        <v>MAR</v>
      </c>
      <c r="N234" s="128">
        <f>IF(tbRegistroSaidas[[#This Row],[DATA DO CAIXA PREVISTO]]="N/A",0,YEAR(tbRegistroSaidas[[#This Row],[DATA DO CAIXA PREVISTO]]))</f>
        <v>2021</v>
      </c>
    </row>
    <row r="235" spans="1:14" s="5" customFormat="1" ht="14.4" x14ac:dyDescent="0.3">
      <c r="A235" s="49">
        <v>44930</v>
      </c>
      <c r="B235" s="49">
        <f t="shared" si="6"/>
        <v>44899</v>
      </c>
      <c r="C235" s="49">
        <f t="shared" si="7"/>
        <v>44915</v>
      </c>
      <c r="D235" s="52" t="s">
        <v>64</v>
      </c>
      <c r="E235" s="52" t="s">
        <v>1543</v>
      </c>
      <c r="F235" s="52" t="s">
        <v>32</v>
      </c>
      <c r="G235" s="52" t="s">
        <v>1309</v>
      </c>
      <c r="H235" s="18">
        <v>519</v>
      </c>
      <c r="I235" s="128">
        <f>IF(tbRegistroSaidas[[#This Row],[DATA DE CAIXA REALIZADO]]="N/A",0,YEAR(tbRegistroSaidas[[#This Row],[DATA DE CAIXA REALIZADO]]))</f>
        <v>2023</v>
      </c>
      <c r="J235" s="128" t="str">
        <f>IF(tbRegistroSaidas[[#This Row],[DATA DE CAIXA REALIZADO]]="N/A","0",UPPER(TEXT(tbRegistroSaidas[[#This Row],[DATA DE CAIXA REALIZADO]],"mmm")))</f>
        <v>JAN</v>
      </c>
      <c r="K235" s="129" t="str">
        <f>IF(tbRegistroSaidas[[#This Row],[DATA DA COMPETÊNCIA]]="N/A","0",UPPER(TEXT(tbRegistroSaidas[[#This Row],[DATA DA COMPETÊNCIA]],"mmm")))</f>
        <v>DEZ</v>
      </c>
      <c r="L235" s="79">
        <f>IF(tbRegistroSaidas[[#This Row],[DATA DA COMPETÊNCIA]]="N/A",0,YEAR(tbRegistroSaidas[[#This Row],[DATA DA COMPETÊNCIA]]))</f>
        <v>2022</v>
      </c>
      <c r="M235" s="128" t="str">
        <f>IF(tbRegistroSaidas[[#This Row],[DATA DO CAIXA PREVISTO]]="N/A","0",UPPER(TEXT(tbRegistroSaidas[[#This Row],[DATA DO CAIXA PREVISTO]],"mmm")))</f>
        <v>DEZ</v>
      </c>
      <c r="N235" s="128">
        <f>IF(tbRegistroSaidas[[#This Row],[DATA DO CAIXA PREVISTO]]="N/A",0,YEAR(tbRegistroSaidas[[#This Row],[DATA DO CAIXA PREVISTO]]))</f>
        <v>2022</v>
      </c>
    </row>
    <row r="236" spans="1:14" s="5" customFormat="1" ht="14.4" x14ac:dyDescent="0.3">
      <c r="A236" s="49">
        <v>44252</v>
      </c>
      <c r="B236" s="49">
        <f t="shared" si="6"/>
        <v>44221</v>
      </c>
      <c r="C236" s="49">
        <f t="shared" si="7"/>
        <v>44237</v>
      </c>
      <c r="D236" s="52" t="s">
        <v>66</v>
      </c>
      <c r="E236" s="52" t="s">
        <v>1543</v>
      </c>
      <c r="F236" s="52" t="s">
        <v>17</v>
      </c>
      <c r="G236" s="52" t="s">
        <v>1310</v>
      </c>
      <c r="H236" s="18">
        <v>1478</v>
      </c>
      <c r="I236" s="128">
        <f>IF(tbRegistroSaidas[[#This Row],[DATA DE CAIXA REALIZADO]]="N/A",0,YEAR(tbRegistroSaidas[[#This Row],[DATA DE CAIXA REALIZADO]]))</f>
        <v>2021</v>
      </c>
      <c r="J236" s="128" t="str">
        <f>IF(tbRegistroSaidas[[#This Row],[DATA DE CAIXA REALIZADO]]="N/A","0",UPPER(TEXT(tbRegistroSaidas[[#This Row],[DATA DE CAIXA REALIZADO]],"mmm")))</f>
        <v>FEV</v>
      </c>
      <c r="K236" s="129" t="str">
        <f>IF(tbRegistroSaidas[[#This Row],[DATA DA COMPETÊNCIA]]="N/A","0",UPPER(TEXT(tbRegistroSaidas[[#This Row],[DATA DA COMPETÊNCIA]],"mmm")))</f>
        <v>JAN</v>
      </c>
      <c r="L236" s="79">
        <f>IF(tbRegistroSaidas[[#This Row],[DATA DA COMPETÊNCIA]]="N/A",0,YEAR(tbRegistroSaidas[[#This Row],[DATA DA COMPETÊNCIA]]))</f>
        <v>2021</v>
      </c>
      <c r="M236" s="128" t="str">
        <f>IF(tbRegistroSaidas[[#This Row],[DATA DO CAIXA PREVISTO]]="N/A","0",UPPER(TEXT(tbRegistroSaidas[[#This Row],[DATA DO CAIXA PREVISTO]],"mmm")))</f>
        <v>FEV</v>
      </c>
      <c r="N236" s="128">
        <f>IF(tbRegistroSaidas[[#This Row],[DATA DO CAIXA PREVISTO]]="N/A",0,YEAR(tbRegistroSaidas[[#This Row],[DATA DO CAIXA PREVISTO]]))</f>
        <v>2021</v>
      </c>
    </row>
    <row r="237" spans="1:14" s="5" customFormat="1" ht="14.4" x14ac:dyDescent="0.3">
      <c r="A237" s="49">
        <v>44814</v>
      </c>
      <c r="B237" s="49">
        <f t="shared" si="6"/>
        <v>44783</v>
      </c>
      <c r="C237" s="49">
        <f t="shared" si="7"/>
        <v>44799</v>
      </c>
      <c r="D237" s="52" t="s">
        <v>65</v>
      </c>
      <c r="E237" s="52" t="s">
        <v>1543</v>
      </c>
      <c r="F237" s="52" t="s">
        <v>18</v>
      </c>
      <c r="G237" s="52" t="s">
        <v>1170</v>
      </c>
      <c r="H237" s="18">
        <v>2187</v>
      </c>
      <c r="I237" s="128">
        <f>IF(tbRegistroSaidas[[#This Row],[DATA DE CAIXA REALIZADO]]="N/A",0,YEAR(tbRegistroSaidas[[#This Row],[DATA DE CAIXA REALIZADO]]))</f>
        <v>2022</v>
      </c>
      <c r="J237" s="128" t="str">
        <f>IF(tbRegistroSaidas[[#This Row],[DATA DE CAIXA REALIZADO]]="N/A","0",UPPER(TEXT(tbRegistroSaidas[[#This Row],[DATA DE CAIXA REALIZADO]],"mmm")))</f>
        <v>SET</v>
      </c>
      <c r="K237" s="129" t="str">
        <f>IF(tbRegistroSaidas[[#This Row],[DATA DA COMPETÊNCIA]]="N/A","0",UPPER(TEXT(tbRegistroSaidas[[#This Row],[DATA DA COMPETÊNCIA]],"mmm")))</f>
        <v>AGO</v>
      </c>
      <c r="L237" s="79">
        <f>IF(tbRegistroSaidas[[#This Row],[DATA DA COMPETÊNCIA]]="N/A",0,YEAR(tbRegistroSaidas[[#This Row],[DATA DA COMPETÊNCIA]]))</f>
        <v>2022</v>
      </c>
      <c r="M237" s="128" t="str">
        <f>IF(tbRegistroSaidas[[#This Row],[DATA DO CAIXA PREVISTO]]="N/A","0",UPPER(TEXT(tbRegistroSaidas[[#This Row],[DATA DO CAIXA PREVISTO]],"mmm")))</f>
        <v>AGO</v>
      </c>
      <c r="N237" s="128">
        <f>IF(tbRegistroSaidas[[#This Row],[DATA DO CAIXA PREVISTO]]="N/A",0,YEAR(tbRegistroSaidas[[#This Row],[DATA DO CAIXA PREVISTO]]))</f>
        <v>2022</v>
      </c>
    </row>
    <row r="238" spans="1:14" s="5" customFormat="1" ht="14.4" x14ac:dyDescent="0.3">
      <c r="A238" s="49">
        <v>45178</v>
      </c>
      <c r="B238" s="49">
        <f t="shared" si="6"/>
        <v>45147</v>
      </c>
      <c r="C238" s="49">
        <f t="shared" si="7"/>
        <v>45163</v>
      </c>
      <c r="D238" s="52" t="s">
        <v>138</v>
      </c>
      <c r="E238" s="52" t="s">
        <v>1543</v>
      </c>
      <c r="F238" s="52" t="s">
        <v>19</v>
      </c>
      <c r="G238" s="52" t="s">
        <v>1311</v>
      </c>
      <c r="H238" s="18">
        <v>3636</v>
      </c>
      <c r="I238" s="128">
        <f>IF(tbRegistroSaidas[[#This Row],[DATA DE CAIXA REALIZADO]]="N/A",0,YEAR(tbRegistroSaidas[[#This Row],[DATA DE CAIXA REALIZADO]]))</f>
        <v>2023</v>
      </c>
      <c r="J238" s="128" t="str">
        <f>IF(tbRegistroSaidas[[#This Row],[DATA DE CAIXA REALIZADO]]="N/A","0",UPPER(TEXT(tbRegistroSaidas[[#This Row],[DATA DE CAIXA REALIZADO]],"mmm")))</f>
        <v>SET</v>
      </c>
      <c r="K238" s="129" t="str">
        <f>IF(tbRegistroSaidas[[#This Row],[DATA DA COMPETÊNCIA]]="N/A","0",UPPER(TEXT(tbRegistroSaidas[[#This Row],[DATA DA COMPETÊNCIA]],"mmm")))</f>
        <v>AGO</v>
      </c>
      <c r="L238" s="79">
        <f>IF(tbRegistroSaidas[[#This Row],[DATA DA COMPETÊNCIA]]="N/A",0,YEAR(tbRegistroSaidas[[#This Row],[DATA DA COMPETÊNCIA]]))</f>
        <v>2023</v>
      </c>
      <c r="M238" s="128" t="str">
        <f>IF(tbRegistroSaidas[[#This Row],[DATA DO CAIXA PREVISTO]]="N/A","0",UPPER(TEXT(tbRegistroSaidas[[#This Row],[DATA DO CAIXA PREVISTO]],"mmm")))</f>
        <v>AGO</v>
      </c>
      <c r="N238" s="128">
        <f>IF(tbRegistroSaidas[[#This Row],[DATA DO CAIXA PREVISTO]]="N/A",0,YEAR(tbRegistroSaidas[[#This Row],[DATA DO CAIXA PREVISTO]]))</f>
        <v>2023</v>
      </c>
    </row>
    <row r="239" spans="1:14" s="5" customFormat="1" ht="14.4" x14ac:dyDescent="0.3">
      <c r="A239" s="49">
        <v>44414</v>
      </c>
      <c r="B239" s="49">
        <f t="shared" si="6"/>
        <v>44383</v>
      </c>
      <c r="C239" s="49">
        <f t="shared" si="7"/>
        <v>44399</v>
      </c>
      <c r="D239" s="52" t="s">
        <v>138</v>
      </c>
      <c r="E239" s="52" t="s">
        <v>1543</v>
      </c>
      <c r="F239" s="52" t="s">
        <v>17</v>
      </c>
      <c r="G239" s="52" t="s">
        <v>1312</v>
      </c>
      <c r="H239" s="18">
        <v>525</v>
      </c>
      <c r="I239" s="128">
        <f>IF(tbRegistroSaidas[[#This Row],[DATA DE CAIXA REALIZADO]]="N/A",0,YEAR(tbRegistroSaidas[[#This Row],[DATA DE CAIXA REALIZADO]]))</f>
        <v>2021</v>
      </c>
      <c r="J239" s="128" t="str">
        <f>IF(tbRegistroSaidas[[#This Row],[DATA DE CAIXA REALIZADO]]="N/A","0",UPPER(TEXT(tbRegistroSaidas[[#This Row],[DATA DE CAIXA REALIZADO]],"mmm")))</f>
        <v>AGO</v>
      </c>
      <c r="K239" s="129" t="str">
        <f>IF(tbRegistroSaidas[[#This Row],[DATA DA COMPETÊNCIA]]="N/A","0",UPPER(TEXT(tbRegistroSaidas[[#This Row],[DATA DA COMPETÊNCIA]],"mmm")))</f>
        <v>JUL</v>
      </c>
      <c r="L239" s="79">
        <f>IF(tbRegistroSaidas[[#This Row],[DATA DA COMPETÊNCIA]]="N/A",0,YEAR(tbRegistroSaidas[[#This Row],[DATA DA COMPETÊNCIA]]))</f>
        <v>2021</v>
      </c>
      <c r="M239" s="128" t="str">
        <f>IF(tbRegistroSaidas[[#This Row],[DATA DO CAIXA PREVISTO]]="N/A","0",UPPER(TEXT(tbRegistroSaidas[[#This Row],[DATA DO CAIXA PREVISTO]],"mmm")))</f>
        <v>JUL</v>
      </c>
      <c r="N239" s="128">
        <f>IF(tbRegistroSaidas[[#This Row],[DATA DO CAIXA PREVISTO]]="N/A",0,YEAR(tbRegistroSaidas[[#This Row],[DATA DO CAIXA PREVISTO]]))</f>
        <v>2021</v>
      </c>
    </row>
    <row r="240" spans="1:14" s="5" customFormat="1" ht="14.4" x14ac:dyDescent="0.3">
      <c r="A240" s="49">
        <v>45017</v>
      </c>
      <c r="B240" s="49">
        <f t="shared" si="6"/>
        <v>44986</v>
      </c>
      <c r="C240" s="49">
        <f t="shared" si="7"/>
        <v>45002</v>
      </c>
      <c r="D240" s="52" t="s">
        <v>63</v>
      </c>
      <c r="E240" s="52" t="s">
        <v>1543</v>
      </c>
      <c r="F240" s="52" t="s">
        <v>19</v>
      </c>
      <c r="G240" s="52" t="s">
        <v>310</v>
      </c>
      <c r="H240" s="18">
        <v>2945</v>
      </c>
      <c r="I240" s="128">
        <f>IF(tbRegistroSaidas[[#This Row],[DATA DE CAIXA REALIZADO]]="N/A",0,YEAR(tbRegistroSaidas[[#This Row],[DATA DE CAIXA REALIZADO]]))</f>
        <v>2023</v>
      </c>
      <c r="J240" s="128" t="str">
        <f>IF(tbRegistroSaidas[[#This Row],[DATA DE CAIXA REALIZADO]]="N/A","0",UPPER(TEXT(tbRegistroSaidas[[#This Row],[DATA DE CAIXA REALIZADO]],"mmm")))</f>
        <v>ABR</v>
      </c>
      <c r="K240" s="129" t="str">
        <f>IF(tbRegistroSaidas[[#This Row],[DATA DA COMPETÊNCIA]]="N/A","0",UPPER(TEXT(tbRegistroSaidas[[#This Row],[DATA DA COMPETÊNCIA]],"mmm")))</f>
        <v>MAR</v>
      </c>
      <c r="L240" s="79">
        <f>IF(tbRegistroSaidas[[#This Row],[DATA DA COMPETÊNCIA]]="N/A",0,YEAR(tbRegistroSaidas[[#This Row],[DATA DA COMPETÊNCIA]]))</f>
        <v>2023</v>
      </c>
      <c r="M240" s="128" t="str">
        <f>IF(tbRegistroSaidas[[#This Row],[DATA DO CAIXA PREVISTO]]="N/A","0",UPPER(TEXT(tbRegistroSaidas[[#This Row],[DATA DO CAIXA PREVISTO]],"mmm")))</f>
        <v>MAR</v>
      </c>
      <c r="N240" s="128">
        <f>IF(tbRegistroSaidas[[#This Row],[DATA DO CAIXA PREVISTO]]="N/A",0,YEAR(tbRegistroSaidas[[#This Row],[DATA DO CAIXA PREVISTO]]))</f>
        <v>2023</v>
      </c>
    </row>
    <row r="241" spans="1:14" s="5" customFormat="1" ht="14.4" x14ac:dyDescent="0.3">
      <c r="A241" s="49">
        <v>45278</v>
      </c>
      <c r="B241" s="49">
        <f t="shared" si="6"/>
        <v>45247</v>
      </c>
      <c r="C241" s="49">
        <f t="shared" si="7"/>
        <v>45263</v>
      </c>
      <c r="D241" s="52" t="s">
        <v>137</v>
      </c>
      <c r="E241" s="52" t="s">
        <v>1543</v>
      </c>
      <c r="F241" s="52" t="s">
        <v>16</v>
      </c>
      <c r="G241" s="52" t="s">
        <v>1313</v>
      </c>
      <c r="H241" s="18">
        <v>947</v>
      </c>
      <c r="I241" s="128">
        <f>IF(tbRegistroSaidas[[#This Row],[DATA DE CAIXA REALIZADO]]="N/A",0,YEAR(tbRegistroSaidas[[#This Row],[DATA DE CAIXA REALIZADO]]))</f>
        <v>2023</v>
      </c>
      <c r="J241" s="128" t="str">
        <f>IF(tbRegistroSaidas[[#This Row],[DATA DE CAIXA REALIZADO]]="N/A","0",UPPER(TEXT(tbRegistroSaidas[[#This Row],[DATA DE CAIXA REALIZADO]],"mmm")))</f>
        <v>DEZ</v>
      </c>
      <c r="K241" s="129" t="str">
        <f>IF(tbRegistroSaidas[[#This Row],[DATA DA COMPETÊNCIA]]="N/A","0",UPPER(TEXT(tbRegistroSaidas[[#This Row],[DATA DA COMPETÊNCIA]],"mmm")))</f>
        <v>NOV</v>
      </c>
      <c r="L241" s="79">
        <f>IF(tbRegistroSaidas[[#This Row],[DATA DA COMPETÊNCIA]]="N/A",0,YEAR(tbRegistroSaidas[[#This Row],[DATA DA COMPETÊNCIA]]))</f>
        <v>2023</v>
      </c>
      <c r="M241" s="128" t="str">
        <f>IF(tbRegistroSaidas[[#This Row],[DATA DO CAIXA PREVISTO]]="N/A","0",UPPER(TEXT(tbRegistroSaidas[[#This Row],[DATA DO CAIXA PREVISTO]],"mmm")))</f>
        <v>DEZ</v>
      </c>
      <c r="N241" s="128">
        <f>IF(tbRegistroSaidas[[#This Row],[DATA DO CAIXA PREVISTO]]="N/A",0,YEAR(tbRegistroSaidas[[#This Row],[DATA DO CAIXA PREVISTO]]))</f>
        <v>2023</v>
      </c>
    </row>
    <row r="242" spans="1:14" s="5" customFormat="1" ht="14.4" x14ac:dyDescent="0.3">
      <c r="A242" s="49">
        <v>44332</v>
      </c>
      <c r="B242" s="49">
        <f t="shared" si="6"/>
        <v>44301</v>
      </c>
      <c r="C242" s="49">
        <f t="shared" si="7"/>
        <v>44317</v>
      </c>
      <c r="D242" s="52" t="s">
        <v>61</v>
      </c>
      <c r="E242" s="52" t="s">
        <v>1543</v>
      </c>
      <c r="F242" s="52" t="s">
        <v>17</v>
      </c>
      <c r="G242" s="52" t="s">
        <v>1314</v>
      </c>
      <c r="H242" s="18">
        <v>2452</v>
      </c>
      <c r="I242" s="128">
        <f>IF(tbRegistroSaidas[[#This Row],[DATA DE CAIXA REALIZADO]]="N/A",0,YEAR(tbRegistroSaidas[[#This Row],[DATA DE CAIXA REALIZADO]]))</f>
        <v>2021</v>
      </c>
      <c r="J242" s="128" t="str">
        <f>IF(tbRegistroSaidas[[#This Row],[DATA DE CAIXA REALIZADO]]="N/A","0",UPPER(TEXT(tbRegistroSaidas[[#This Row],[DATA DE CAIXA REALIZADO]],"mmm")))</f>
        <v>MAI</v>
      </c>
      <c r="K242" s="129" t="str">
        <f>IF(tbRegistroSaidas[[#This Row],[DATA DA COMPETÊNCIA]]="N/A","0",UPPER(TEXT(tbRegistroSaidas[[#This Row],[DATA DA COMPETÊNCIA]],"mmm")))</f>
        <v>ABR</v>
      </c>
      <c r="L242" s="79">
        <f>IF(tbRegistroSaidas[[#This Row],[DATA DA COMPETÊNCIA]]="N/A",0,YEAR(tbRegistroSaidas[[#This Row],[DATA DA COMPETÊNCIA]]))</f>
        <v>2021</v>
      </c>
      <c r="M242" s="128" t="str">
        <f>IF(tbRegistroSaidas[[#This Row],[DATA DO CAIXA PREVISTO]]="N/A","0",UPPER(TEXT(tbRegistroSaidas[[#This Row],[DATA DO CAIXA PREVISTO]],"mmm")))</f>
        <v>MAI</v>
      </c>
      <c r="N242" s="128">
        <f>IF(tbRegistroSaidas[[#This Row],[DATA DO CAIXA PREVISTO]]="N/A",0,YEAR(tbRegistroSaidas[[#This Row],[DATA DO CAIXA PREVISTO]]))</f>
        <v>2021</v>
      </c>
    </row>
    <row r="243" spans="1:14" s="5" customFormat="1" ht="14.4" x14ac:dyDescent="0.3">
      <c r="A243" s="49">
        <v>44511</v>
      </c>
      <c r="B243" s="49">
        <f t="shared" si="6"/>
        <v>44480</v>
      </c>
      <c r="C243" s="49">
        <f t="shared" si="7"/>
        <v>44496</v>
      </c>
      <c r="D243" s="52" t="s">
        <v>64</v>
      </c>
      <c r="E243" s="52" t="s">
        <v>1543</v>
      </c>
      <c r="F243" s="52" t="s">
        <v>17</v>
      </c>
      <c r="G243" s="52" t="s">
        <v>1315</v>
      </c>
      <c r="H243" s="18">
        <v>2108</v>
      </c>
      <c r="I243" s="128">
        <f>IF(tbRegistroSaidas[[#This Row],[DATA DE CAIXA REALIZADO]]="N/A",0,YEAR(tbRegistroSaidas[[#This Row],[DATA DE CAIXA REALIZADO]]))</f>
        <v>2021</v>
      </c>
      <c r="J243" s="128" t="str">
        <f>IF(tbRegistroSaidas[[#This Row],[DATA DE CAIXA REALIZADO]]="N/A","0",UPPER(TEXT(tbRegistroSaidas[[#This Row],[DATA DE CAIXA REALIZADO]],"mmm")))</f>
        <v>NOV</v>
      </c>
      <c r="K243" s="129" t="str">
        <f>IF(tbRegistroSaidas[[#This Row],[DATA DA COMPETÊNCIA]]="N/A","0",UPPER(TEXT(tbRegistroSaidas[[#This Row],[DATA DA COMPETÊNCIA]],"mmm")))</f>
        <v>OUT</v>
      </c>
      <c r="L243" s="79">
        <f>IF(tbRegistroSaidas[[#This Row],[DATA DA COMPETÊNCIA]]="N/A",0,YEAR(tbRegistroSaidas[[#This Row],[DATA DA COMPETÊNCIA]]))</f>
        <v>2021</v>
      </c>
      <c r="M243" s="128" t="str">
        <f>IF(tbRegistroSaidas[[#This Row],[DATA DO CAIXA PREVISTO]]="N/A","0",UPPER(TEXT(tbRegistroSaidas[[#This Row],[DATA DO CAIXA PREVISTO]],"mmm")))</f>
        <v>OUT</v>
      </c>
      <c r="N243" s="128">
        <f>IF(tbRegistroSaidas[[#This Row],[DATA DO CAIXA PREVISTO]]="N/A",0,YEAR(tbRegistroSaidas[[#This Row],[DATA DO CAIXA PREVISTO]]))</f>
        <v>2021</v>
      </c>
    </row>
    <row r="244" spans="1:14" s="5" customFormat="1" ht="14.4" x14ac:dyDescent="0.3">
      <c r="A244" s="49">
        <v>45091</v>
      </c>
      <c r="B244" s="49">
        <f t="shared" si="6"/>
        <v>45060</v>
      </c>
      <c r="C244" s="49">
        <f t="shared" si="7"/>
        <v>45076</v>
      </c>
      <c r="D244" s="52" t="s">
        <v>67</v>
      </c>
      <c r="E244" s="52" t="s">
        <v>1543</v>
      </c>
      <c r="F244" s="52" t="s">
        <v>17</v>
      </c>
      <c r="G244" s="52" t="s">
        <v>160</v>
      </c>
      <c r="H244" s="18">
        <v>431</v>
      </c>
      <c r="I244" s="128">
        <f>IF(tbRegistroSaidas[[#This Row],[DATA DE CAIXA REALIZADO]]="N/A",0,YEAR(tbRegistroSaidas[[#This Row],[DATA DE CAIXA REALIZADO]]))</f>
        <v>2023</v>
      </c>
      <c r="J244" s="128" t="str">
        <f>IF(tbRegistroSaidas[[#This Row],[DATA DE CAIXA REALIZADO]]="N/A","0",UPPER(TEXT(tbRegistroSaidas[[#This Row],[DATA DE CAIXA REALIZADO]],"mmm")))</f>
        <v>JUN</v>
      </c>
      <c r="K244" s="129" t="str">
        <f>IF(tbRegistroSaidas[[#This Row],[DATA DA COMPETÊNCIA]]="N/A","0",UPPER(TEXT(tbRegistroSaidas[[#This Row],[DATA DA COMPETÊNCIA]],"mmm")))</f>
        <v>MAI</v>
      </c>
      <c r="L244" s="79">
        <f>IF(tbRegistroSaidas[[#This Row],[DATA DA COMPETÊNCIA]]="N/A",0,YEAR(tbRegistroSaidas[[#This Row],[DATA DA COMPETÊNCIA]]))</f>
        <v>2023</v>
      </c>
      <c r="M244" s="128" t="str">
        <f>IF(tbRegistroSaidas[[#This Row],[DATA DO CAIXA PREVISTO]]="N/A","0",UPPER(TEXT(tbRegistroSaidas[[#This Row],[DATA DO CAIXA PREVISTO]],"mmm")))</f>
        <v>MAI</v>
      </c>
      <c r="N244" s="128">
        <f>IF(tbRegistroSaidas[[#This Row],[DATA DO CAIXA PREVISTO]]="N/A",0,YEAR(tbRegistroSaidas[[#This Row],[DATA DO CAIXA PREVISTO]]))</f>
        <v>2023</v>
      </c>
    </row>
    <row r="245" spans="1:14" s="5" customFormat="1" ht="14.4" x14ac:dyDescent="0.3">
      <c r="A245" s="49">
        <v>44900</v>
      </c>
      <c r="B245" s="49">
        <f t="shared" si="6"/>
        <v>44869</v>
      </c>
      <c r="C245" s="49">
        <f t="shared" si="7"/>
        <v>44885</v>
      </c>
      <c r="D245" s="52" t="s">
        <v>67</v>
      </c>
      <c r="E245" s="52" t="s">
        <v>1543</v>
      </c>
      <c r="F245" s="52" t="s">
        <v>19</v>
      </c>
      <c r="G245" s="52" t="s">
        <v>200</v>
      </c>
      <c r="H245" s="18">
        <v>1096</v>
      </c>
      <c r="I245" s="128">
        <f>IF(tbRegistroSaidas[[#This Row],[DATA DE CAIXA REALIZADO]]="N/A",0,YEAR(tbRegistroSaidas[[#This Row],[DATA DE CAIXA REALIZADO]]))</f>
        <v>2022</v>
      </c>
      <c r="J245" s="128" t="str">
        <f>IF(tbRegistroSaidas[[#This Row],[DATA DE CAIXA REALIZADO]]="N/A","0",UPPER(TEXT(tbRegistroSaidas[[#This Row],[DATA DE CAIXA REALIZADO]],"mmm")))</f>
        <v>DEZ</v>
      </c>
      <c r="K245" s="129" t="str">
        <f>IF(tbRegistroSaidas[[#This Row],[DATA DA COMPETÊNCIA]]="N/A","0",UPPER(TEXT(tbRegistroSaidas[[#This Row],[DATA DA COMPETÊNCIA]],"mmm")))</f>
        <v>NOV</v>
      </c>
      <c r="L245" s="79">
        <f>IF(tbRegistroSaidas[[#This Row],[DATA DA COMPETÊNCIA]]="N/A",0,YEAR(tbRegistroSaidas[[#This Row],[DATA DA COMPETÊNCIA]]))</f>
        <v>2022</v>
      </c>
      <c r="M245" s="128" t="str">
        <f>IF(tbRegistroSaidas[[#This Row],[DATA DO CAIXA PREVISTO]]="N/A","0",UPPER(TEXT(tbRegistroSaidas[[#This Row],[DATA DO CAIXA PREVISTO]],"mmm")))</f>
        <v>NOV</v>
      </c>
      <c r="N245" s="128">
        <f>IF(tbRegistroSaidas[[#This Row],[DATA DO CAIXA PREVISTO]]="N/A",0,YEAR(tbRegistroSaidas[[#This Row],[DATA DO CAIXA PREVISTO]]))</f>
        <v>2022</v>
      </c>
    </row>
    <row r="246" spans="1:14" s="5" customFormat="1" ht="14.4" x14ac:dyDescent="0.3">
      <c r="A246" s="49">
        <v>45279</v>
      </c>
      <c r="B246" s="49">
        <f t="shared" si="6"/>
        <v>45248</v>
      </c>
      <c r="C246" s="49">
        <f t="shared" si="7"/>
        <v>45264</v>
      </c>
      <c r="D246" s="52" t="s">
        <v>63</v>
      </c>
      <c r="E246" s="52" t="s">
        <v>1543</v>
      </c>
      <c r="F246" s="52" t="s">
        <v>19</v>
      </c>
      <c r="G246" s="52" t="s">
        <v>1316</v>
      </c>
      <c r="H246" s="18">
        <v>854</v>
      </c>
      <c r="I246" s="128">
        <f>IF(tbRegistroSaidas[[#This Row],[DATA DE CAIXA REALIZADO]]="N/A",0,YEAR(tbRegistroSaidas[[#This Row],[DATA DE CAIXA REALIZADO]]))</f>
        <v>2023</v>
      </c>
      <c r="J246" s="128" t="str">
        <f>IF(tbRegistroSaidas[[#This Row],[DATA DE CAIXA REALIZADO]]="N/A","0",UPPER(TEXT(tbRegistroSaidas[[#This Row],[DATA DE CAIXA REALIZADO]],"mmm")))</f>
        <v>DEZ</v>
      </c>
      <c r="K246" s="129" t="str">
        <f>IF(tbRegistroSaidas[[#This Row],[DATA DA COMPETÊNCIA]]="N/A","0",UPPER(TEXT(tbRegistroSaidas[[#This Row],[DATA DA COMPETÊNCIA]],"mmm")))</f>
        <v>NOV</v>
      </c>
      <c r="L246" s="79">
        <f>IF(tbRegistroSaidas[[#This Row],[DATA DA COMPETÊNCIA]]="N/A",0,YEAR(tbRegistroSaidas[[#This Row],[DATA DA COMPETÊNCIA]]))</f>
        <v>2023</v>
      </c>
      <c r="M246" s="128" t="str">
        <f>IF(tbRegistroSaidas[[#This Row],[DATA DO CAIXA PREVISTO]]="N/A","0",UPPER(TEXT(tbRegistroSaidas[[#This Row],[DATA DO CAIXA PREVISTO]],"mmm")))</f>
        <v>DEZ</v>
      </c>
      <c r="N246" s="128">
        <f>IF(tbRegistroSaidas[[#This Row],[DATA DO CAIXA PREVISTO]]="N/A",0,YEAR(tbRegistroSaidas[[#This Row],[DATA DO CAIXA PREVISTO]]))</f>
        <v>2023</v>
      </c>
    </row>
    <row r="247" spans="1:14" s="5" customFormat="1" ht="14.4" x14ac:dyDescent="0.3">
      <c r="A247" s="49">
        <v>44782</v>
      </c>
      <c r="B247" s="49">
        <f t="shared" si="6"/>
        <v>44751</v>
      </c>
      <c r="C247" s="49">
        <f t="shared" si="7"/>
        <v>44767</v>
      </c>
      <c r="D247" s="52" t="s">
        <v>67</v>
      </c>
      <c r="E247" s="52" t="s">
        <v>1543</v>
      </c>
      <c r="F247" s="52" t="s">
        <v>18</v>
      </c>
      <c r="G247" s="52" t="s">
        <v>1317</v>
      </c>
      <c r="H247" s="18">
        <v>2585</v>
      </c>
      <c r="I247" s="128">
        <f>IF(tbRegistroSaidas[[#This Row],[DATA DE CAIXA REALIZADO]]="N/A",0,YEAR(tbRegistroSaidas[[#This Row],[DATA DE CAIXA REALIZADO]]))</f>
        <v>2022</v>
      </c>
      <c r="J247" s="128" t="str">
        <f>IF(tbRegistroSaidas[[#This Row],[DATA DE CAIXA REALIZADO]]="N/A","0",UPPER(TEXT(tbRegistroSaidas[[#This Row],[DATA DE CAIXA REALIZADO]],"mmm")))</f>
        <v>AGO</v>
      </c>
      <c r="K247" s="129" t="str">
        <f>IF(tbRegistroSaidas[[#This Row],[DATA DA COMPETÊNCIA]]="N/A","0",UPPER(TEXT(tbRegistroSaidas[[#This Row],[DATA DA COMPETÊNCIA]],"mmm")))</f>
        <v>JUL</v>
      </c>
      <c r="L247" s="79">
        <f>IF(tbRegistroSaidas[[#This Row],[DATA DA COMPETÊNCIA]]="N/A",0,YEAR(tbRegistroSaidas[[#This Row],[DATA DA COMPETÊNCIA]]))</f>
        <v>2022</v>
      </c>
      <c r="M247" s="128" t="str">
        <f>IF(tbRegistroSaidas[[#This Row],[DATA DO CAIXA PREVISTO]]="N/A","0",UPPER(TEXT(tbRegistroSaidas[[#This Row],[DATA DO CAIXA PREVISTO]],"mmm")))</f>
        <v>JUL</v>
      </c>
      <c r="N247" s="128">
        <f>IF(tbRegistroSaidas[[#This Row],[DATA DO CAIXA PREVISTO]]="N/A",0,YEAR(tbRegistroSaidas[[#This Row],[DATA DO CAIXA PREVISTO]]))</f>
        <v>2022</v>
      </c>
    </row>
    <row r="248" spans="1:14" s="5" customFormat="1" ht="14.4" x14ac:dyDescent="0.3">
      <c r="A248" s="49">
        <v>44587</v>
      </c>
      <c r="B248" s="49">
        <f t="shared" si="6"/>
        <v>44556</v>
      </c>
      <c r="C248" s="49">
        <f t="shared" si="7"/>
        <v>44572</v>
      </c>
      <c r="D248" s="52" t="s">
        <v>137</v>
      </c>
      <c r="E248" s="52" t="s">
        <v>1543</v>
      </c>
      <c r="F248" s="52" t="s">
        <v>16</v>
      </c>
      <c r="G248" s="52" t="s">
        <v>1318</v>
      </c>
      <c r="H248" s="18">
        <v>1939</v>
      </c>
      <c r="I248" s="128">
        <f>IF(tbRegistroSaidas[[#This Row],[DATA DE CAIXA REALIZADO]]="N/A",0,YEAR(tbRegistroSaidas[[#This Row],[DATA DE CAIXA REALIZADO]]))</f>
        <v>2022</v>
      </c>
      <c r="J248" s="128" t="str">
        <f>IF(tbRegistroSaidas[[#This Row],[DATA DE CAIXA REALIZADO]]="N/A","0",UPPER(TEXT(tbRegistroSaidas[[#This Row],[DATA DE CAIXA REALIZADO]],"mmm")))</f>
        <v>JAN</v>
      </c>
      <c r="K248" s="129" t="str">
        <f>IF(tbRegistroSaidas[[#This Row],[DATA DA COMPETÊNCIA]]="N/A","0",UPPER(TEXT(tbRegistroSaidas[[#This Row],[DATA DA COMPETÊNCIA]],"mmm")))</f>
        <v>DEZ</v>
      </c>
      <c r="L248" s="79">
        <f>IF(tbRegistroSaidas[[#This Row],[DATA DA COMPETÊNCIA]]="N/A",0,YEAR(tbRegistroSaidas[[#This Row],[DATA DA COMPETÊNCIA]]))</f>
        <v>2021</v>
      </c>
      <c r="M248" s="128" t="str">
        <f>IF(tbRegistroSaidas[[#This Row],[DATA DO CAIXA PREVISTO]]="N/A","0",UPPER(TEXT(tbRegistroSaidas[[#This Row],[DATA DO CAIXA PREVISTO]],"mmm")))</f>
        <v>JAN</v>
      </c>
      <c r="N248" s="128">
        <f>IF(tbRegistroSaidas[[#This Row],[DATA DO CAIXA PREVISTO]]="N/A",0,YEAR(tbRegistroSaidas[[#This Row],[DATA DO CAIXA PREVISTO]]))</f>
        <v>2022</v>
      </c>
    </row>
    <row r="249" spans="1:14" s="5" customFormat="1" ht="14.4" x14ac:dyDescent="0.3">
      <c r="A249" s="49">
        <v>45201</v>
      </c>
      <c r="B249" s="49">
        <f t="shared" si="6"/>
        <v>45170</v>
      </c>
      <c r="C249" s="49">
        <f t="shared" si="7"/>
        <v>45186</v>
      </c>
      <c r="D249" s="52" t="s">
        <v>63</v>
      </c>
      <c r="E249" s="52" t="s">
        <v>1543</v>
      </c>
      <c r="F249" s="52" t="s">
        <v>32</v>
      </c>
      <c r="G249" s="52" t="s">
        <v>1319</v>
      </c>
      <c r="H249" s="18">
        <v>2172</v>
      </c>
      <c r="I249" s="128">
        <f>IF(tbRegistroSaidas[[#This Row],[DATA DE CAIXA REALIZADO]]="N/A",0,YEAR(tbRegistroSaidas[[#This Row],[DATA DE CAIXA REALIZADO]]))</f>
        <v>2023</v>
      </c>
      <c r="J249" s="128" t="str">
        <f>IF(tbRegistroSaidas[[#This Row],[DATA DE CAIXA REALIZADO]]="N/A","0",UPPER(TEXT(tbRegistroSaidas[[#This Row],[DATA DE CAIXA REALIZADO]],"mmm")))</f>
        <v>OUT</v>
      </c>
      <c r="K249" s="129" t="str">
        <f>IF(tbRegistroSaidas[[#This Row],[DATA DA COMPETÊNCIA]]="N/A","0",UPPER(TEXT(tbRegistroSaidas[[#This Row],[DATA DA COMPETÊNCIA]],"mmm")))</f>
        <v>SET</v>
      </c>
      <c r="L249" s="79">
        <f>IF(tbRegistroSaidas[[#This Row],[DATA DA COMPETÊNCIA]]="N/A",0,YEAR(tbRegistroSaidas[[#This Row],[DATA DA COMPETÊNCIA]]))</f>
        <v>2023</v>
      </c>
      <c r="M249" s="128" t="str">
        <f>IF(tbRegistroSaidas[[#This Row],[DATA DO CAIXA PREVISTO]]="N/A","0",UPPER(TEXT(tbRegistroSaidas[[#This Row],[DATA DO CAIXA PREVISTO]],"mmm")))</f>
        <v>SET</v>
      </c>
      <c r="N249" s="128">
        <f>IF(tbRegistroSaidas[[#This Row],[DATA DO CAIXA PREVISTO]]="N/A",0,YEAR(tbRegistroSaidas[[#This Row],[DATA DO CAIXA PREVISTO]]))</f>
        <v>2023</v>
      </c>
    </row>
    <row r="250" spans="1:14" s="5" customFormat="1" ht="14.4" x14ac:dyDescent="0.3">
      <c r="A250" s="49">
        <v>44261</v>
      </c>
      <c r="B250" s="49">
        <f t="shared" si="6"/>
        <v>44230</v>
      </c>
      <c r="C250" s="49">
        <f t="shared" si="7"/>
        <v>44246</v>
      </c>
      <c r="D250" s="52" t="s">
        <v>66</v>
      </c>
      <c r="E250" s="52" t="s">
        <v>1543</v>
      </c>
      <c r="F250" s="52" t="s">
        <v>18</v>
      </c>
      <c r="G250" s="52" t="s">
        <v>1320</v>
      </c>
      <c r="H250" s="18">
        <v>658</v>
      </c>
      <c r="I250" s="128">
        <f>IF(tbRegistroSaidas[[#This Row],[DATA DE CAIXA REALIZADO]]="N/A",0,YEAR(tbRegistroSaidas[[#This Row],[DATA DE CAIXA REALIZADO]]))</f>
        <v>2021</v>
      </c>
      <c r="J250" s="128" t="str">
        <f>IF(tbRegistroSaidas[[#This Row],[DATA DE CAIXA REALIZADO]]="N/A","0",UPPER(TEXT(tbRegistroSaidas[[#This Row],[DATA DE CAIXA REALIZADO]],"mmm")))</f>
        <v>MAR</v>
      </c>
      <c r="K250" s="129" t="str">
        <f>IF(tbRegistroSaidas[[#This Row],[DATA DA COMPETÊNCIA]]="N/A","0",UPPER(TEXT(tbRegistroSaidas[[#This Row],[DATA DA COMPETÊNCIA]],"mmm")))</f>
        <v>FEV</v>
      </c>
      <c r="L250" s="79">
        <f>IF(tbRegistroSaidas[[#This Row],[DATA DA COMPETÊNCIA]]="N/A",0,YEAR(tbRegistroSaidas[[#This Row],[DATA DA COMPETÊNCIA]]))</f>
        <v>2021</v>
      </c>
      <c r="M250" s="128" t="str">
        <f>IF(tbRegistroSaidas[[#This Row],[DATA DO CAIXA PREVISTO]]="N/A","0",UPPER(TEXT(tbRegistroSaidas[[#This Row],[DATA DO CAIXA PREVISTO]],"mmm")))</f>
        <v>FEV</v>
      </c>
      <c r="N250" s="128">
        <f>IF(tbRegistroSaidas[[#This Row],[DATA DO CAIXA PREVISTO]]="N/A",0,YEAR(tbRegistroSaidas[[#This Row],[DATA DO CAIXA PREVISTO]]))</f>
        <v>2021</v>
      </c>
    </row>
    <row r="251" spans="1:14" s="5" customFormat="1" ht="14.4" x14ac:dyDescent="0.3">
      <c r="A251" s="49">
        <v>44219</v>
      </c>
      <c r="B251" s="49">
        <f t="shared" si="6"/>
        <v>44188</v>
      </c>
      <c r="C251" s="49">
        <f t="shared" si="7"/>
        <v>44204</v>
      </c>
      <c r="D251" s="52" t="s">
        <v>137</v>
      </c>
      <c r="E251" s="52" t="s">
        <v>1543</v>
      </c>
      <c r="F251" s="52" t="s">
        <v>19</v>
      </c>
      <c r="G251" s="52" t="s">
        <v>1321</v>
      </c>
      <c r="H251" s="18">
        <v>2556</v>
      </c>
      <c r="I251" s="128">
        <f>IF(tbRegistroSaidas[[#This Row],[DATA DE CAIXA REALIZADO]]="N/A",0,YEAR(tbRegistroSaidas[[#This Row],[DATA DE CAIXA REALIZADO]]))</f>
        <v>2021</v>
      </c>
      <c r="J251" s="128" t="str">
        <f>IF(tbRegistroSaidas[[#This Row],[DATA DE CAIXA REALIZADO]]="N/A","0",UPPER(TEXT(tbRegistroSaidas[[#This Row],[DATA DE CAIXA REALIZADO]],"mmm")))</f>
        <v>JAN</v>
      </c>
      <c r="K251" s="129" t="str">
        <f>IF(tbRegistroSaidas[[#This Row],[DATA DA COMPETÊNCIA]]="N/A","0",UPPER(TEXT(tbRegistroSaidas[[#This Row],[DATA DA COMPETÊNCIA]],"mmm")))</f>
        <v>DEZ</v>
      </c>
      <c r="L251" s="79">
        <f>IF(tbRegistroSaidas[[#This Row],[DATA DA COMPETÊNCIA]]="N/A",0,YEAR(tbRegistroSaidas[[#This Row],[DATA DA COMPETÊNCIA]]))</f>
        <v>2020</v>
      </c>
      <c r="M251" s="128" t="str">
        <f>IF(tbRegistroSaidas[[#This Row],[DATA DO CAIXA PREVISTO]]="N/A","0",UPPER(TEXT(tbRegistroSaidas[[#This Row],[DATA DO CAIXA PREVISTO]],"mmm")))</f>
        <v>JAN</v>
      </c>
      <c r="N251" s="128">
        <f>IF(tbRegistroSaidas[[#This Row],[DATA DO CAIXA PREVISTO]]="N/A",0,YEAR(tbRegistroSaidas[[#This Row],[DATA DO CAIXA PREVISTO]]))</f>
        <v>2021</v>
      </c>
    </row>
    <row r="252" spans="1:14" s="5" customFormat="1" ht="14.4" x14ac:dyDescent="0.3">
      <c r="A252" s="49">
        <v>44513</v>
      </c>
      <c r="B252" s="49">
        <f t="shared" si="6"/>
        <v>44482</v>
      </c>
      <c r="C252" s="49">
        <f t="shared" si="7"/>
        <v>44498</v>
      </c>
      <c r="D252" s="52" t="s">
        <v>66</v>
      </c>
      <c r="E252" s="52" t="s">
        <v>1543</v>
      </c>
      <c r="F252" s="52" t="s">
        <v>32</v>
      </c>
      <c r="G252" s="52" t="s">
        <v>1322</v>
      </c>
      <c r="H252" s="18">
        <v>669</v>
      </c>
      <c r="I252" s="128">
        <f>IF(tbRegistroSaidas[[#This Row],[DATA DE CAIXA REALIZADO]]="N/A",0,YEAR(tbRegistroSaidas[[#This Row],[DATA DE CAIXA REALIZADO]]))</f>
        <v>2021</v>
      </c>
      <c r="J252" s="128" t="str">
        <f>IF(tbRegistroSaidas[[#This Row],[DATA DE CAIXA REALIZADO]]="N/A","0",UPPER(TEXT(tbRegistroSaidas[[#This Row],[DATA DE CAIXA REALIZADO]],"mmm")))</f>
        <v>NOV</v>
      </c>
      <c r="K252" s="129" t="str">
        <f>IF(tbRegistroSaidas[[#This Row],[DATA DA COMPETÊNCIA]]="N/A","0",UPPER(TEXT(tbRegistroSaidas[[#This Row],[DATA DA COMPETÊNCIA]],"mmm")))</f>
        <v>OUT</v>
      </c>
      <c r="L252" s="79">
        <f>IF(tbRegistroSaidas[[#This Row],[DATA DA COMPETÊNCIA]]="N/A",0,YEAR(tbRegistroSaidas[[#This Row],[DATA DA COMPETÊNCIA]]))</f>
        <v>2021</v>
      </c>
      <c r="M252" s="128" t="str">
        <f>IF(tbRegistroSaidas[[#This Row],[DATA DO CAIXA PREVISTO]]="N/A","0",UPPER(TEXT(tbRegistroSaidas[[#This Row],[DATA DO CAIXA PREVISTO]],"mmm")))</f>
        <v>OUT</v>
      </c>
      <c r="N252" s="128">
        <f>IF(tbRegistroSaidas[[#This Row],[DATA DO CAIXA PREVISTO]]="N/A",0,YEAR(tbRegistroSaidas[[#This Row],[DATA DO CAIXA PREVISTO]]))</f>
        <v>2021</v>
      </c>
    </row>
    <row r="253" spans="1:14" s="5" customFormat="1" ht="14.4" x14ac:dyDescent="0.3">
      <c r="A253" s="49">
        <v>44230</v>
      </c>
      <c r="B253" s="49">
        <f t="shared" si="6"/>
        <v>44199</v>
      </c>
      <c r="C253" s="49">
        <f t="shared" si="7"/>
        <v>44215</v>
      </c>
      <c r="D253" s="52" t="s">
        <v>63</v>
      </c>
      <c r="E253" s="52" t="s">
        <v>1543</v>
      </c>
      <c r="F253" s="52" t="s">
        <v>19</v>
      </c>
      <c r="G253" s="52" t="s">
        <v>1323</v>
      </c>
      <c r="H253" s="18">
        <v>2665</v>
      </c>
      <c r="I253" s="128">
        <f>IF(tbRegistroSaidas[[#This Row],[DATA DE CAIXA REALIZADO]]="N/A",0,YEAR(tbRegistroSaidas[[#This Row],[DATA DE CAIXA REALIZADO]]))</f>
        <v>2021</v>
      </c>
      <c r="J253" s="128" t="str">
        <f>IF(tbRegistroSaidas[[#This Row],[DATA DE CAIXA REALIZADO]]="N/A","0",UPPER(TEXT(tbRegistroSaidas[[#This Row],[DATA DE CAIXA REALIZADO]],"mmm")))</f>
        <v>FEV</v>
      </c>
      <c r="K253" s="129" t="str">
        <f>IF(tbRegistroSaidas[[#This Row],[DATA DA COMPETÊNCIA]]="N/A","0",UPPER(TEXT(tbRegistroSaidas[[#This Row],[DATA DA COMPETÊNCIA]],"mmm")))</f>
        <v>JAN</v>
      </c>
      <c r="L253" s="79">
        <f>IF(tbRegistroSaidas[[#This Row],[DATA DA COMPETÊNCIA]]="N/A",0,YEAR(tbRegistroSaidas[[#This Row],[DATA DA COMPETÊNCIA]]))</f>
        <v>2021</v>
      </c>
      <c r="M253" s="128" t="str">
        <f>IF(tbRegistroSaidas[[#This Row],[DATA DO CAIXA PREVISTO]]="N/A","0",UPPER(TEXT(tbRegistroSaidas[[#This Row],[DATA DO CAIXA PREVISTO]],"mmm")))</f>
        <v>JAN</v>
      </c>
      <c r="N253" s="128">
        <f>IF(tbRegistroSaidas[[#This Row],[DATA DO CAIXA PREVISTO]]="N/A",0,YEAR(tbRegistroSaidas[[#This Row],[DATA DO CAIXA PREVISTO]]))</f>
        <v>2021</v>
      </c>
    </row>
    <row r="254" spans="1:14" s="5" customFormat="1" ht="14.4" x14ac:dyDescent="0.3">
      <c r="A254" s="49">
        <v>45149</v>
      </c>
      <c r="B254" s="49">
        <f t="shared" si="6"/>
        <v>45118</v>
      </c>
      <c r="C254" s="49">
        <f t="shared" si="7"/>
        <v>45134</v>
      </c>
      <c r="D254" s="52" t="s">
        <v>63</v>
      </c>
      <c r="E254" s="52" t="s">
        <v>1543</v>
      </c>
      <c r="F254" s="52" t="s">
        <v>18</v>
      </c>
      <c r="G254" s="52" t="s">
        <v>1324</v>
      </c>
      <c r="H254" s="18">
        <v>3147</v>
      </c>
      <c r="I254" s="128">
        <f>IF(tbRegistroSaidas[[#This Row],[DATA DE CAIXA REALIZADO]]="N/A",0,YEAR(tbRegistroSaidas[[#This Row],[DATA DE CAIXA REALIZADO]]))</f>
        <v>2023</v>
      </c>
      <c r="J254" s="128" t="str">
        <f>IF(tbRegistroSaidas[[#This Row],[DATA DE CAIXA REALIZADO]]="N/A","0",UPPER(TEXT(tbRegistroSaidas[[#This Row],[DATA DE CAIXA REALIZADO]],"mmm")))</f>
        <v>AGO</v>
      </c>
      <c r="K254" s="129" t="str">
        <f>IF(tbRegistroSaidas[[#This Row],[DATA DA COMPETÊNCIA]]="N/A","0",UPPER(TEXT(tbRegistroSaidas[[#This Row],[DATA DA COMPETÊNCIA]],"mmm")))</f>
        <v>JUL</v>
      </c>
      <c r="L254" s="79">
        <f>IF(tbRegistroSaidas[[#This Row],[DATA DA COMPETÊNCIA]]="N/A",0,YEAR(tbRegistroSaidas[[#This Row],[DATA DA COMPETÊNCIA]]))</f>
        <v>2023</v>
      </c>
      <c r="M254" s="128" t="str">
        <f>IF(tbRegistroSaidas[[#This Row],[DATA DO CAIXA PREVISTO]]="N/A","0",UPPER(TEXT(tbRegistroSaidas[[#This Row],[DATA DO CAIXA PREVISTO]],"mmm")))</f>
        <v>JUL</v>
      </c>
      <c r="N254" s="128">
        <f>IF(tbRegistroSaidas[[#This Row],[DATA DO CAIXA PREVISTO]]="N/A",0,YEAR(tbRegistroSaidas[[#This Row],[DATA DO CAIXA PREVISTO]]))</f>
        <v>2023</v>
      </c>
    </row>
    <row r="255" spans="1:14" s="5" customFormat="1" ht="14.4" x14ac:dyDescent="0.3">
      <c r="A255" s="49">
        <v>45226</v>
      </c>
      <c r="B255" s="49">
        <f t="shared" si="6"/>
        <v>45195</v>
      </c>
      <c r="C255" s="49">
        <f t="shared" si="7"/>
        <v>45211</v>
      </c>
      <c r="D255" s="52" t="s">
        <v>137</v>
      </c>
      <c r="E255" s="52" t="s">
        <v>1543</v>
      </c>
      <c r="F255" s="52" t="s">
        <v>32</v>
      </c>
      <c r="G255" s="52" t="s">
        <v>1325</v>
      </c>
      <c r="H255" s="18">
        <v>3860</v>
      </c>
      <c r="I255" s="128">
        <f>IF(tbRegistroSaidas[[#This Row],[DATA DE CAIXA REALIZADO]]="N/A",0,YEAR(tbRegistroSaidas[[#This Row],[DATA DE CAIXA REALIZADO]]))</f>
        <v>2023</v>
      </c>
      <c r="J255" s="128" t="str">
        <f>IF(tbRegistroSaidas[[#This Row],[DATA DE CAIXA REALIZADO]]="N/A","0",UPPER(TEXT(tbRegistroSaidas[[#This Row],[DATA DE CAIXA REALIZADO]],"mmm")))</f>
        <v>OUT</v>
      </c>
      <c r="K255" s="129" t="str">
        <f>IF(tbRegistroSaidas[[#This Row],[DATA DA COMPETÊNCIA]]="N/A","0",UPPER(TEXT(tbRegistroSaidas[[#This Row],[DATA DA COMPETÊNCIA]],"mmm")))</f>
        <v>SET</v>
      </c>
      <c r="L255" s="79">
        <f>IF(tbRegistroSaidas[[#This Row],[DATA DA COMPETÊNCIA]]="N/A",0,YEAR(tbRegistroSaidas[[#This Row],[DATA DA COMPETÊNCIA]]))</f>
        <v>2023</v>
      </c>
      <c r="M255" s="128" t="str">
        <f>IF(tbRegistroSaidas[[#This Row],[DATA DO CAIXA PREVISTO]]="N/A","0",UPPER(TEXT(tbRegistroSaidas[[#This Row],[DATA DO CAIXA PREVISTO]],"mmm")))</f>
        <v>OUT</v>
      </c>
      <c r="N255" s="128">
        <f>IF(tbRegistroSaidas[[#This Row],[DATA DO CAIXA PREVISTO]]="N/A",0,YEAR(tbRegistroSaidas[[#This Row],[DATA DO CAIXA PREVISTO]]))</f>
        <v>2023</v>
      </c>
    </row>
    <row r="256" spans="1:14" s="5" customFormat="1" ht="14.4" x14ac:dyDescent="0.3">
      <c r="A256" s="49">
        <v>44323</v>
      </c>
      <c r="B256" s="49">
        <f t="shared" si="6"/>
        <v>44292</v>
      </c>
      <c r="C256" s="49">
        <f t="shared" si="7"/>
        <v>44308</v>
      </c>
      <c r="D256" s="52" t="s">
        <v>137</v>
      </c>
      <c r="E256" s="52" t="s">
        <v>1543</v>
      </c>
      <c r="F256" s="52" t="s">
        <v>16</v>
      </c>
      <c r="G256" s="52" t="s">
        <v>1326</v>
      </c>
      <c r="H256" s="18">
        <v>3822</v>
      </c>
      <c r="I256" s="128">
        <f>IF(tbRegistroSaidas[[#This Row],[DATA DE CAIXA REALIZADO]]="N/A",0,YEAR(tbRegistroSaidas[[#This Row],[DATA DE CAIXA REALIZADO]]))</f>
        <v>2021</v>
      </c>
      <c r="J256" s="128" t="str">
        <f>IF(tbRegistroSaidas[[#This Row],[DATA DE CAIXA REALIZADO]]="N/A","0",UPPER(TEXT(tbRegistroSaidas[[#This Row],[DATA DE CAIXA REALIZADO]],"mmm")))</f>
        <v>MAI</v>
      </c>
      <c r="K256" s="129" t="str">
        <f>IF(tbRegistroSaidas[[#This Row],[DATA DA COMPETÊNCIA]]="N/A","0",UPPER(TEXT(tbRegistroSaidas[[#This Row],[DATA DA COMPETÊNCIA]],"mmm")))</f>
        <v>ABR</v>
      </c>
      <c r="L256" s="79">
        <f>IF(tbRegistroSaidas[[#This Row],[DATA DA COMPETÊNCIA]]="N/A",0,YEAR(tbRegistroSaidas[[#This Row],[DATA DA COMPETÊNCIA]]))</f>
        <v>2021</v>
      </c>
      <c r="M256" s="128" t="str">
        <f>IF(tbRegistroSaidas[[#This Row],[DATA DO CAIXA PREVISTO]]="N/A","0",UPPER(TEXT(tbRegistroSaidas[[#This Row],[DATA DO CAIXA PREVISTO]],"mmm")))</f>
        <v>ABR</v>
      </c>
      <c r="N256" s="128">
        <f>IF(tbRegistroSaidas[[#This Row],[DATA DO CAIXA PREVISTO]]="N/A",0,YEAR(tbRegistroSaidas[[#This Row],[DATA DO CAIXA PREVISTO]]))</f>
        <v>2021</v>
      </c>
    </row>
    <row r="257" spans="1:14" s="5" customFormat="1" ht="14.4" x14ac:dyDescent="0.3">
      <c r="A257" s="49">
        <v>44574</v>
      </c>
      <c r="B257" s="49">
        <f t="shared" si="6"/>
        <v>44543</v>
      </c>
      <c r="C257" s="49">
        <f t="shared" si="7"/>
        <v>44559</v>
      </c>
      <c r="D257" s="52" t="s">
        <v>61</v>
      </c>
      <c r="E257" s="52" t="s">
        <v>1543</v>
      </c>
      <c r="F257" s="52" t="s">
        <v>32</v>
      </c>
      <c r="G257" s="52" t="s">
        <v>1327</v>
      </c>
      <c r="H257" s="18">
        <v>3216</v>
      </c>
      <c r="I257" s="5">
        <f>IF(tbRegistroSaidas[[#This Row],[DATA DE CAIXA REALIZADO]]="N/A",0,YEAR(tbRegistroSaidas[[#This Row],[DATA DE CAIXA REALIZADO]]))</f>
        <v>2022</v>
      </c>
      <c r="J257" s="5" t="str">
        <f>IF(tbRegistroSaidas[[#This Row],[DATA DE CAIXA REALIZADO]]="N/A","0",UPPER(TEXT(tbRegistroSaidas[[#This Row],[DATA DE CAIXA REALIZADO]],"mmm")))</f>
        <v>JAN</v>
      </c>
      <c r="K257" s="79" t="str">
        <f>IF(tbRegistroSaidas[[#This Row],[DATA DA COMPETÊNCIA]]="N/A","0",UPPER(TEXT(tbRegistroSaidas[[#This Row],[DATA DA COMPETÊNCIA]],"mmm")))</f>
        <v>DEZ</v>
      </c>
      <c r="L257" s="79">
        <f>IF(tbRegistroSaidas[[#This Row],[DATA DA COMPETÊNCIA]]="N/A",0,YEAR(tbRegistroSaidas[[#This Row],[DATA DA COMPETÊNCIA]]))</f>
        <v>2021</v>
      </c>
      <c r="M257" s="5" t="str">
        <f>IF(tbRegistroSaidas[[#This Row],[DATA DO CAIXA PREVISTO]]="N/A","0",UPPER(TEXT(tbRegistroSaidas[[#This Row],[DATA DO CAIXA PREVISTO]],"mmm")))</f>
        <v>DEZ</v>
      </c>
      <c r="N257" s="5">
        <f>IF(tbRegistroSaidas[[#This Row],[DATA DO CAIXA PREVISTO]]="N/A",0,YEAR(tbRegistroSaidas[[#This Row],[DATA DO CAIXA PREVISTO]]))</f>
        <v>2021</v>
      </c>
    </row>
    <row r="258" spans="1:14" s="5" customFormat="1" ht="14.4" x14ac:dyDescent="0.3">
      <c r="A258" s="49">
        <v>44259</v>
      </c>
      <c r="B258" s="49">
        <f t="shared" si="6"/>
        <v>44228</v>
      </c>
      <c r="C258" s="49">
        <f t="shared" si="7"/>
        <v>44244</v>
      </c>
      <c r="D258" s="52" t="s">
        <v>64</v>
      </c>
      <c r="E258" s="52" t="s">
        <v>1543</v>
      </c>
      <c r="F258" s="52" t="s">
        <v>17</v>
      </c>
      <c r="G258" s="52" t="s">
        <v>1328</v>
      </c>
      <c r="H258" s="18">
        <v>2776</v>
      </c>
      <c r="I258" s="5">
        <f>IF(tbRegistroSaidas[[#This Row],[DATA DE CAIXA REALIZADO]]="N/A",0,YEAR(tbRegistroSaidas[[#This Row],[DATA DE CAIXA REALIZADO]]))</f>
        <v>2021</v>
      </c>
      <c r="J258" s="5" t="str">
        <f>IF(tbRegistroSaidas[[#This Row],[DATA DE CAIXA REALIZADO]]="N/A","0",UPPER(TEXT(tbRegistroSaidas[[#This Row],[DATA DE CAIXA REALIZADO]],"mmm")))</f>
        <v>MAR</v>
      </c>
      <c r="K258" s="79" t="str">
        <f>IF(tbRegistroSaidas[[#This Row],[DATA DA COMPETÊNCIA]]="N/A","0",UPPER(TEXT(tbRegistroSaidas[[#This Row],[DATA DA COMPETÊNCIA]],"mmm")))</f>
        <v>FEV</v>
      </c>
      <c r="L258" s="79">
        <f>IF(tbRegistroSaidas[[#This Row],[DATA DA COMPETÊNCIA]]="N/A",0,YEAR(tbRegistroSaidas[[#This Row],[DATA DA COMPETÊNCIA]]))</f>
        <v>2021</v>
      </c>
      <c r="M258" s="5" t="str">
        <f>IF(tbRegistroSaidas[[#This Row],[DATA DO CAIXA PREVISTO]]="N/A","0",UPPER(TEXT(tbRegistroSaidas[[#This Row],[DATA DO CAIXA PREVISTO]],"mmm")))</f>
        <v>FEV</v>
      </c>
      <c r="N258" s="5">
        <f>IF(tbRegistroSaidas[[#This Row],[DATA DO CAIXA PREVISTO]]="N/A",0,YEAR(tbRegistroSaidas[[#This Row],[DATA DO CAIXA PREVISTO]]))</f>
        <v>2021</v>
      </c>
    </row>
    <row r="259" spans="1:14" s="5" customFormat="1" ht="14.4" x14ac:dyDescent="0.3">
      <c r="A259" s="49">
        <v>45241</v>
      </c>
      <c r="B259" s="49">
        <f t="shared" si="6"/>
        <v>45210</v>
      </c>
      <c r="C259" s="49">
        <f t="shared" si="7"/>
        <v>45226</v>
      </c>
      <c r="D259" s="52" t="s">
        <v>61</v>
      </c>
      <c r="E259" s="52" t="s">
        <v>1543</v>
      </c>
      <c r="F259" s="52" t="s">
        <v>32</v>
      </c>
      <c r="G259" s="52" t="s">
        <v>1329</v>
      </c>
      <c r="H259" s="18">
        <v>2602</v>
      </c>
      <c r="I259" s="5">
        <f>IF(tbRegistroSaidas[[#This Row],[DATA DE CAIXA REALIZADO]]="N/A",0,YEAR(tbRegistroSaidas[[#This Row],[DATA DE CAIXA REALIZADO]]))</f>
        <v>2023</v>
      </c>
      <c r="J259" s="5" t="str">
        <f>IF(tbRegistroSaidas[[#This Row],[DATA DE CAIXA REALIZADO]]="N/A","0",UPPER(TEXT(tbRegistroSaidas[[#This Row],[DATA DE CAIXA REALIZADO]],"mmm")))</f>
        <v>NOV</v>
      </c>
      <c r="K259" s="79" t="str">
        <f>IF(tbRegistroSaidas[[#This Row],[DATA DA COMPETÊNCIA]]="N/A","0",UPPER(TEXT(tbRegistroSaidas[[#This Row],[DATA DA COMPETÊNCIA]],"mmm")))</f>
        <v>OUT</v>
      </c>
      <c r="L259" s="79">
        <f>IF(tbRegistroSaidas[[#This Row],[DATA DA COMPETÊNCIA]]="N/A",0,YEAR(tbRegistroSaidas[[#This Row],[DATA DA COMPETÊNCIA]]))</f>
        <v>2023</v>
      </c>
      <c r="M259" s="5" t="str">
        <f>IF(tbRegistroSaidas[[#This Row],[DATA DO CAIXA PREVISTO]]="N/A","0",UPPER(TEXT(tbRegistroSaidas[[#This Row],[DATA DO CAIXA PREVISTO]],"mmm")))</f>
        <v>OUT</v>
      </c>
      <c r="N259" s="5">
        <f>IF(tbRegistroSaidas[[#This Row],[DATA DO CAIXA PREVISTO]]="N/A",0,YEAR(tbRegistroSaidas[[#This Row],[DATA DO CAIXA PREVISTO]]))</f>
        <v>2023</v>
      </c>
    </row>
    <row r="260" spans="1:14" s="5" customFormat="1" ht="14.4" x14ac:dyDescent="0.3">
      <c r="A260" s="49">
        <v>44679</v>
      </c>
      <c r="B260" s="49">
        <f t="shared" si="6"/>
        <v>44648</v>
      </c>
      <c r="C260" s="49">
        <f t="shared" si="7"/>
        <v>44664</v>
      </c>
      <c r="D260" s="52" t="s">
        <v>65</v>
      </c>
      <c r="E260" s="52" t="s">
        <v>1543</v>
      </c>
      <c r="F260" s="52" t="s">
        <v>16</v>
      </c>
      <c r="G260" s="52" t="s">
        <v>1330</v>
      </c>
      <c r="H260" s="18">
        <v>3716</v>
      </c>
      <c r="I260" s="5">
        <f>IF(tbRegistroSaidas[[#This Row],[DATA DE CAIXA REALIZADO]]="N/A",0,YEAR(tbRegistroSaidas[[#This Row],[DATA DE CAIXA REALIZADO]]))</f>
        <v>2022</v>
      </c>
      <c r="J260" s="5" t="str">
        <f>IF(tbRegistroSaidas[[#This Row],[DATA DE CAIXA REALIZADO]]="N/A","0",UPPER(TEXT(tbRegistroSaidas[[#This Row],[DATA DE CAIXA REALIZADO]],"mmm")))</f>
        <v>ABR</v>
      </c>
      <c r="K260" s="79" t="str">
        <f>IF(tbRegistroSaidas[[#This Row],[DATA DA COMPETÊNCIA]]="N/A","0",UPPER(TEXT(tbRegistroSaidas[[#This Row],[DATA DA COMPETÊNCIA]],"mmm")))</f>
        <v>MAR</v>
      </c>
      <c r="L260" s="79">
        <f>IF(tbRegistroSaidas[[#This Row],[DATA DA COMPETÊNCIA]]="N/A",0,YEAR(tbRegistroSaidas[[#This Row],[DATA DA COMPETÊNCIA]]))</f>
        <v>2022</v>
      </c>
      <c r="M260" s="5" t="str">
        <f>IF(tbRegistroSaidas[[#This Row],[DATA DO CAIXA PREVISTO]]="N/A","0",UPPER(TEXT(tbRegistroSaidas[[#This Row],[DATA DO CAIXA PREVISTO]],"mmm")))</f>
        <v>ABR</v>
      </c>
      <c r="N260" s="5">
        <f>IF(tbRegistroSaidas[[#This Row],[DATA DO CAIXA PREVISTO]]="N/A",0,YEAR(tbRegistroSaidas[[#This Row],[DATA DO CAIXA PREVISTO]]))</f>
        <v>2022</v>
      </c>
    </row>
    <row r="261" spans="1:14" s="5" customFormat="1" ht="14.4" x14ac:dyDescent="0.3">
      <c r="A261" s="49">
        <v>45015</v>
      </c>
      <c r="B261" s="49">
        <f t="shared" si="6"/>
        <v>44984</v>
      </c>
      <c r="C261" s="49">
        <f t="shared" si="7"/>
        <v>45000</v>
      </c>
      <c r="D261" s="52" t="s">
        <v>138</v>
      </c>
      <c r="E261" s="52" t="s">
        <v>1543</v>
      </c>
      <c r="F261" s="52" t="s">
        <v>32</v>
      </c>
      <c r="G261" s="52" t="s">
        <v>1331</v>
      </c>
      <c r="H261" s="18">
        <v>2687</v>
      </c>
      <c r="I261" s="5">
        <f>IF(tbRegistroSaidas[[#This Row],[DATA DE CAIXA REALIZADO]]="N/A",0,YEAR(tbRegistroSaidas[[#This Row],[DATA DE CAIXA REALIZADO]]))</f>
        <v>2023</v>
      </c>
      <c r="J261" s="5" t="str">
        <f>IF(tbRegistroSaidas[[#This Row],[DATA DE CAIXA REALIZADO]]="N/A","0",UPPER(TEXT(tbRegistroSaidas[[#This Row],[DATA DE CAIXA REALIZADO]],"mmm")))</f>
        <v>MAR</v>
      </c>
      <c r="K261" s="79" t="str">
        <f>IF(tbRegistroSaidas[[#This Row],[DATA DA COMPETÊNCIA]]="N/A","0",UPPER(TEXT(tbRegistroSaidas[[#This Row],[DATA DA COMPETÊNCIA]],"mmm")))</f>
        <v>FEV</v>
      </c>
      <c r="L261" s="79">
        <f>IF(tbRegistroSaidas[[#This Row],[DATA DA COMPETÊNCIA]]="N/A",0,YEAR(tbRegistroSaidas[[#This Row],[DATA DA COMPETÊNCIA]]))</f>
        <v>2023</v>
      </c>
      <c r="M261" s="5" t="str">
        <f>IF(tbRegistroSaidas[[#This Row],[DATA DO CAIXA PREVISTO]]="N/A","0",UPPER(TEXT(tbRegistroSaidas[[#This Row],[DATA DO CAIXA PREVISTO]],"mmm")))</f>
        <v>MAR</v>
      </c>
      <c r="N261" s="5">
        <f>IF(tbRegistroSaidas[[#This Row],[DATA DO CAIXA PREVISTO]]="N/A",0,YEAR(tbRegistroSaidas[[#This Row],[DATA DO CAIXA PREVISTO]]))</f>
        <v>2023</v>
      </c>
    </row>
    <row r="262" spans="1:14" s="5" customFormat="1" ht="14.4" x14ac:dyDescent="0.3">
      <c r="A262" s="49">
        <v>44222</v>
      </c>
      <c r="B262" s="49">
        <f t="shared" si="6"/>
        <v>44191</v>
      </c>
      <c r="C262" s="49">
        <f t="shared" si="7"/>
        <v>44207</v>
      </c>
      <c r="D262" s="52" t="s">
        <v>67</v>
      </c>
      <c r="E262" s="52" t="s">
        <v>1543</v>
      </c>
      <c r="F262" s="52" t="s">
        <v>32</v>
      </c>
      <c r="G262" s="52" t="s">
        <v>1332</v>
      </c>
      <c r="H262" s="18">
        <v>882</v>
      </c>
      <c r="I262" s="5">
        <f>IF(tbRegistroSaidas[[#This Row],[DATA DE CAIXA REALIZADO]]="N/A",0,YEAR(tbRegistroSaidas[[#This Row],[DATA DE CAIXA REALIZADO]]))</f>
        <v>2021</v>
      </c>
      <c r="J262" s="5" t="str">
        <f>IF(tbRegistroSaidas[[#This Row],[DATA DE CAIXA REALIZADO]]="N/A","0",UPPER(TEXT(tbRegistroSaidas[[#This Row],[DATA DE CAIXA REALIZADO]],"mmm")))</f>
        <v>JAN</v>
      </c>
      <c r="K262" s="79" t="str">
        <f>IF(tbRegistroSaidas[[#This Row],[DATA DA COMPETÊNCIA]]="N/A","0",UPPER(TEXT(tbRegistroSaidas[[#This Row],[DATA DA COMPETÊNCIA]],"mmm")))</f>
        <v>DEZ</v>
      </c>
      <c r="L262" s="79">
        <f>IF(tbRegistroSaidas[[#This Row],[DATA DA COMPETÊNCIA]]="N/A",0,YEAR(tbRegistroSaidas[[#This Row],[DATA DA COMPETÊNCIA]]))</f>
        <v>2020</v>
      </c>
      <c r="M262" s="5" t="str">
        <f>IF(tbRegistroSaidas[[#This Row],[DATA DO CAIXA PREVISTO]]="N/A","0",UPPER(TEXT(tbRegistroSaidas[[#This Row],[DATA DO CAIXA PREVISTO]],"mmm")))</f>
        <v>JAN</v>
      </c>
      <c r="N262" s="5">
        <f>IF(tbRegistroSaidas[[#This Row],[DATA DO CAIXA PREVISTO]]="N/A",0,YEAR(tbRegistroSaidas[[#This Row],[DATA DO CAIXA PREVISTO]]))</f>
        <v>2021</v>
      </c>
    </row>
    <row r="263" spans="1:14" s="5" customFormat="1" ht="14.4" x14ac:dyDescent="0.3">
      <c r="A263" s="49">
        <v>44375</v>
      </c>
      <c r="B263" s="49">
        <f t="shared" si="6"/>
        <v>44344</v>
      </c>
      <c r="C263" s="49">
        <f t="shared" si="7"/>
        <v>44360</v>
      </c>
      <c r="D263" s="52" t="s">
        <v>61</v>
      </c>
      <c r="E263" s="52" t="s">
        <v>1543</v>
      </c>
      <c r="F263" s="52" t="s">
        <v>18</v>
      </c>
      <c r="G263" s="52" t="s">
        <v>1333</v>
      </c>
      <c r="H263" s="18">
        <v>706</v>
      </c>
      <c r="I263" s="5">
        <f>IF(tbRegistroSaidas[[#This Row],[DATA DE CAIXA REALIZADO]]="N/A",0,YEAR(tbRegistroSaidas[[#This Row],[DATA DE CAIXA REALIZADO]]))</f>
        <v>2021</v>
      </c>
      <c r="J263" s="5" t="str">
        <f>IF(tbRegistroSaidas[[#This Row],[DATA DE CAIXA REALIZADO]]="N/A","0",UPPER(TEXT(tbRegistroSaidas[[#This Row],[DATA DE CAIXA REALIZADO]],"mmm")))</f>
        <v>JUN</v>
      </c>
      <c r="K263" s="79" t="str">
        <f>IF(tbRegistroSaidas[[#This Row],[DATA DA COMPETÊNCIA]]="N/A","0",UPPER(TEXT(tbRegistroSaidas[[#This Row],[DATA DA COMPETÊNCIA]],"mmm")))</f>
        <v>MAI</v>
      </c>
      <c r="L263" s="79">
        <f>IF(tbRegistroSaidas[[#This Row],[DATA DA COMPETÊNCIA]]="N/A",0,YEAR(tbRegistroSaidas[[#This Row],[DATA DA COMPETÊNCIA]]))</f>
        <v>2021</v>
      </c>
      <c r="M263" s="5" t="str">
        <f>IF(tbRegistroSaidas[[#This Row],[DATA DO CAIXA PREVISTO]]="N/A","0",UPPER(TEXT(tbRegistroSaidas[[#This Row],[DATA DO CAIXA PREVISTO]],"mmm")))</f>
        <v>JUN</v>
      </c>
      <c r="N263" s="5">
        <f>IF(tbRegistroSaidas[[#This Row],[DATA DO CAIXA PREVISTO]]="N/A",0,YEAR(tbRegistroSaidas[[#This Row],[DATA DO CAIXA PREVISTO]]))</f>
        <v>2021</v>
      </c>
    </row>
    <row r="264" spans="1:14" s="5" customFormat="1" ht="14.4" x14ac:dyDescent="0.3">
      <c r="A264" s="49">
        <v>44984</v>
      </c>
      <c r="B264" s="49">
        <f t="shared" ref="B264:B327" si="8">A264-31</f>
        <v>44953</v>
      </c>
      <c r="C264" s="49">
        <f t="shared" ref="C264:C327" si="9">A264-B264+B264-15</f>
        <v>44969</v>
      </c>
      <c r="D264" s="52" t="s">
        <v>64</v>
      </c>
      <c r="E264" s="52" t="s">
        <v>1543</v>
      </c>
      <c r="F264" s="52" t="s">
        <v>32</v>
      </c>
      <c r="G264" s="52" t="s">
        <v>1334</v>
      </c>
      <c r="H264" s="18">
        <v>581</v>
      </c>
      <c r="I264" s="5">
        <f>IF(tbRegistroSaidas[[#This Row],[DATA DE CAIXA REALIZADO]]="N/A",0,YEAR(tbRegistroSaidas[[#This Row],[DATA DE CAIXA REALIZADO]]))</f>
        <v>2023</v>
      </c>
      <c r="J264" s="5" t="str">
        <f>IF(tbRegistroSaidas[[#This Row],[DATA DE CAIXA REALIZADO]]="N/A","0",UPPER(TEXT(tbRegistroSaidas[[#This Row],[DATA DE CAIXA REALIZADO]],"mmm")))</f>
        <v>FEV</v>
      </c>
      <c r="K264" s="79" t="str">
        <f>IF(tbRegistroSaidas[[#This Row],[DATA DA COMPETÊNCIA]]="N/A","0",UPPER(TEXT(tbRegistroSaidas[[#This Row],[DATA DA COMPETÊNCIA]],"mmm")))</f>
        <v>JAN</v>
      </c>
      <c r="L264" s="79">
        <f>IF(tbRegistroSaidas[[#This Row],[DATA DA COMPETÊNCIA]]="N/A",0,YEAR(tbRegistroSaidas[[#This Row],[DATA DA COMPETÊNCIA]]))</f>
        <v>2023</v>
      </c>
      <c r="M264" s="5" t="str">
        <f>IF(tbRegistroSaidas[[#This Row],[DATA DO CAIXA PREVISTO]]="N/A","0",UPPER(TEXT(tbRegistroSaidas[[#This Row],[DATA DO CAIXA PREVISTO]],"mmm")))</f>
        <v>FEV</v>
      </c>
      <c r="N264" s="5">
        <f>IF(tbRegistroSaidas[[#This Row],[DATA DO CAIXA PREVISTO]]="N/A",0,YEAR(tbRegistroSaidas[[#This Row],[DATA DO CAIXA PREVISTO]]))</f>
        <v>2023</v>
      </c>
    </row>
    <row r="265" spans="1:14" s="5" customFormat="1" ht="14.4" x14ac:dyDescent="0.3">
      <c r="A265" s="49">
        <v>45268</v>
      </c>
      <c r="B265" s="49">
        <f t="shared" si="8"/>
        <v>45237</v>
      </c>
      <c r="C265" s="49">
        <f t="shared" si="9"/>
        <v>45253</v>
      </c>
      <c r="D265" s="52" t="s">
        <v>65</v>
      </c>
      <c r="E265" s="52" t="s">
        <v>1543</v>
      </c>
      <c r="F265" s="52" t="s">
        <v>32</v>
      </c>
      <c r="G265" s="52" t="s">
        <v>1335</v>
      </c>
      <c r="H265" s="18">
        <v>1078</v>
      </c>
      <c r="I265" s="5">
        <f>IF(tbRegistroSaidas[[#This Row],[DATA DE CAIXA REALIZADO]]="N/A",0,YEAR(tbRegistroSaidas[[#This Row],[DATA DE CAIXA REALIZADO]]))</f>
        <v>2023</v>
      </c>
      <c r="J265" s="5" t="str">
        <f>IF(tbRegistroSaidas[[#This Row],[DATA DE CAIXA REALIZADO]]="N/A","0",UPPER(TEXT(tbRegistroSaidas[[#This Row],[DATA DE CAIXA REALIZADO]],"mmm")))</f>
        <v>DEZ</v>
      </c>
      <c r="K265" s="79" t="str">
        <f>IF(tbRegistroSaidas[[#This Row],[DATA DA COMPETÊNCIA]]="N/A","0",UPPER(TEXT(tbRegistroSaidas[[#This Row],[DATA DA COMPETÊNCIA]],"mmm")))</f>
        <v>NOV</v>
      </c>
      <c r="L265" s="79">
        <f>IF(tbRegistroSaidas[[#This Row],[DATA DA COMPETÊNCIA]]="N/A",0,YEAR(tbRegistroSaidas[[#This Row],[DATA DA COMPETÊNCIA]]))</f>
        <v>2023</v>
      </c>
      <c r="M265" s="5" t="str">
        <f>IF(tbRegistroSaidas[[#This Row],[DATA DO CAIXA PREVISTO]]="N/A","0",UPPER(TEXT(tbRegistroSaidas[[#This Row],[DATA DO CAIXA PREVISTO]],"mmm")))</f>
        <v>NOV</v>
      </c>
      <c r="N265" s="5">
        <f>IF(tbRegistroSaidas[[#This Row],[DATA DO CAIXA PREVISTO]]="N/A",0,YEAR(tbRegistroSaidas[[#This Row],[DATA DO CAIXA PREVISTO]]))</f>
        <v>2023</v>
      </c>
    </row>
    <row r="266" spans="1:14" s="5" customFormat="1" ht="14.4" x14ac:dyDescent="0.3">
      <c r="A266" s="49">
        <v>45242</v>
      </c>
      <c r="B266" s="49">
        <f t="shared" si="8"/>
        <v>45211</v>
      </c>
      <c r="C266" s="49">
        <f t="shared" si="9"/>
        <v>45227</v>
      </c>
      <c r="D266" s="52" t="s">
        <v>137</v>
      </c>
      <c r="E266" s="52" t="s">
        <v>1543</v>
      </c>
      <c r="F266" s="52" t="s">
        <v>16</v>
      </c>
      <c r="G266" s="52" t="s">
        <v>1336</v>
      </c>
      <c r="H266" s="18">
        <v>283</v>
      </c>
      <c r="I266" s="5">
        <f>IF(tbRegistroSaidas[[#This Row],[DATA DE CAIXA REALIZADO]]="N/A",0,YEAR(tbRegistroSaidas[[#This Row],[DATA DE CAIXA REALIZADO]]))</f>
        <v>2023</v>
      </c>
      <c r="J266" s="5" t="str">
        <f>IF(tbRegistroSaidas[[#This Row],[DATA DE CAIXA REALIZADO]]="N/A","0",UPPER(TEXT(tbRegistroSaidas[[#This Row],[DATA DE CAIXA REALIZADO]],"mmm")))</f>
        <v>NOV</v>
      </c>
      <c r="K266" s="79" t="str">
        <f>IF(tbRegistroSaidas[[#This Row],[DATA DA COMPETÊNCIA]]="N/A","0",UPPER(TEXT(tbRegistroSaidas[[#This Row],[DATA DA COMPETÊNCIA]],"mmm")))</f>
        <v>OUT</v>
      </c>
      <c r="L266" s="79">
        <f>IF(tbRegistroSaidas[[#This Row],[DATA DA COMPETÊNCIA]]="N/A",0,YEAR(tbRegistroSaidas[[#This Row],[DATA DA COMPETÊNCIA]]))</f>
        <v>2023</v>
      </c>
      <c r="M266" s="5" t="str">
        <f>IF(tbRegistroSaidas[[#This Row],[DATA DO CAIXA PREVISTO]]="N/A","0",UPPER(TEXT(tbRegistroSaidas[[#This Row],[DATA DO CAIXA PREVISTO]],"mmm")))</f>
        <v>OUT</v>
      </c>
      <c r="N266" s="5">
        <f>IF(tbRegistroSaidas[[#This Row],[DATA DO CAIXA PREVISTO]]="N/A",0,YEAR(tbRegistroSaidas[[#This Row],[DATA DO CAIXA PREVISTO]]))</f>
        <v>2023</v>
      </c>
    </row>
    <row r="267" spans="1:14" s="5" customFormat="1" ht="14.4" x14ac:dyDescent="0.3">
      <c r="A267" s="49">
        <v>44968</v>
      </c>
      <c r="B267" s="49">
        <f t="shared" si="8"/>
        <v>44937</v>
      </c>
      <c r="C267" s="49">
        <f t="shared" si="9"/>
        <v>44953</v>
      </c>
      <c r="D267" s="52" t="s">
        <v>64</v>
      </c>
      <c r="E267" s="52" t="s">
        <v>1543</v>
      </c>
      <c r="F267" s="52" t="s">
        <v>16</v>
      </c>
      <c r="G267" s="52" t="s">
        <v>1337</v>
      </c>
      <c r="H267" s="18">
        <v>1970</v>
      </c>
      <c r="I267" s="5">
        <f>IF(tbRegistroSaidas[[#This Row],[DATA DE CAIXA REALIZADO]]="N/A",0,YEAR(tbRegistroSaidas[[#This Row],[DATA DE CAIXA REALIZADO]]))</f>
        <v>2023</v>
      </c>
      <c r="J267" s="5" t="str">
        <f>IF(tbRegistroSaidas[[#This Row],[DATA DE CAIXA REALIZADO]]="N/A","0",UPPER(TEXT(tbRegistroSaidas[[#This Row],[DATA DE CAIXA REALIZADO]],"mmm")))</f>
        <v>FEV</v>
      </c>
      <c r="K267" s="79" t="str">
        <f>IF(tbRegistroSaidas[[#This Row],[DATA DA COMPETÊNCIA]]="N/A","0",UPPER(TEXT(tbRegistroSaidas[[#This Row],[DATA DA COMPETÊNCIA]],"mmm")))</f>
        <v>JAN</v>
      </c>
      <c r="L267" s="79">
        <f>IF(tbRegistroSaidas[[#This Row],[DATA DA COMPETÊNCIA]]="N/A",0,YEAR(tbRegistroSaidas[[#This Row],[DATA DA COMPETÊNCIA]]))</f>
        <v>2023</v>
      </c>
      <c r="M267" s="5" t="str">
        <f>IF(tbRegistroSaidas[[#This Row],[DATA DO CAIXA PREVISTO]]="N/A","0",UPPER(TEXT(tbRegistroSaidas[[#This Row],[DATA DO CAIXA PREVISTO]],"mmm")))</f>
        <v>JAN</v>
      </c>
      <c r="N267" s="5">
        <f>IF(tbRegistroSaidas[[#This Row],[DATA DO CAIXA PREVISTO]]="N/A",0,YEAR(tbRegistroSaidas[[#This Row],[DATA DO CAIXA PREVISTO]]))</f>
        <v>2023</v>
      </c>
    </row>
    <row r="268" spans="1:14" s="5" customFormat="1" ht="14.4" x14ac:dyDescent="0.3">
      <c r="A268" s="49">
        <v>45262</v>
      </c>
      <c r="B268" s="49">
        <f t="shared" si="8"/>
        <v>45231</v>
      </c>
      <c r="C268" s="49">
        <f t="shared" si="9"/>
        <v>45247</v>
      </c>
      <c r="D268" s="52" t="s">
        <v>138</v>
      </c>
      <c r="E268" s="52" t="s">
        <v>1543</v>
      </c>
      <c r="F268" s="52" t="s">
        <v>18</v>
      </c>
      <c r="G268" s="52" t="s">
        <v>862</v>
      </c>
      <c r="H268" s="18">
        <v>2972</v>
      </c>
      <c r="I268" s="5">
        <f>IF(tbRegistroSaidas[[#This Row],[DATA DE CAIXA REALIZADO]]="N/A",0,YEAR(tbRegistroSaidas[[#This Row],[DATA DE CAIXA REALIZADO]]))</f>
        <v>2023</v>
      </c>
      <c r="J268" s="5" t="str">
        <f>IF(tbRegistroSaidas[[#This Row],[DATA DE CAIXA REALIZADO]]="N/A","0",UPPER(TEXT(tbRegistroSaidas[[#This Row],[DATA DE CAIXA REALIZADO]],"mmm")))</f>
        <v>DEZ</v>
      </c>
      <c r="K268" s="79" t="str">
        <f>IF(tbRegistroSaidas[[#This Row],[DATA DA COMPETÊNCIA]]="N/A","0",UPPER(TEXT(tbRegistroSaidas[[#This Row],[DATA DA COMPETÊNCIA]],"mmm")))</f>
        <v>NOV</v>
      </c>
      <c r="L268" s="79">
        <f>IF(tbRegistroSaidas[[#This Row],[DATA DA COMPETÊNCIA]]="N/A",0,YEAR(tbRegistroSaidas[[#This Row],[DATA DA COMPETÊNCIA]]))</f>
        <v>2023</v>
      </c>
      <c r="M268" s="5" t="str">
        <f>IF(tbRegistroSaidas[[#This Row],[DATA DO CAIXA PREVISTO]]="N/A","0",UPPER(TEXT(tbRegistroSaidas[[#This Row],[DATA DO CAIXA PREVISTO]],"mmm")))</f>
        <v>NOV</v>
      </c>
      <c r="N268" s="5">
        <f>IF(tbRegistroSaidas[[#This Row],[DATA DO CAIXA PREVISTO]]="N/A",0,YEAR(tbRegistroSaidas[[#This Row],[DATA DO CAIXA PREVISTO]]))</f>
        <v>2023</v>
      </c>
    </row>
    <row r="269" spans="1:14" s="5" customFormat="1" ht="14.4" x14ac:dyDescent="0.3">
      <c r="A269" s="49">
        <v>44470</v>
      </c>
      <c r="B269" s="49">
        <f t="shared" si="8"/>
        <v>44439</v>
      </c>
      <c r="C269" s="49">
        <f t="shared" si="9"/>
        <v>44455</v>
      </c>
      <c r="D269" s="52" t="s">
        <v>65</v>
      </c>
      <c r="E269" s="52" t="s">
        <v>1543</v>
      </c>
      <c r="F269" s="52" t="s">
        <v>16</v>
      </c>
      <c r="G269" s="52" t="s">
        <v>1338</v>
      </c>
      <c r="H269" s="18">
        <v>1957</v>
      </c>
      <c r="I269" s="5">
        <f>IF(tbRegistroSaidas[[#This Row],[DATA DE CAIXA REALIZADO]]="N/A",0,YEAR(tbRegistroSaidas[[#This Row],[DATA DE CAIXA REALIZADO]]))</f>
        <v>2021</v>
      </c>
      <c r="J269" s="5" t="str">
        <f>IF(tbRegistroSaidas[[#This Row],[DATA DE CAIXA REALIZADO]]="N/A","0",UPPER(TEXT(tbRegistroSaidas[[#This Row],[DATA DE CAIXA REALIZADO]],"mmm")))</f>
        <v>OUT</v>
      </c>
      <c r="K269" s="79" t="str">
        <f>IF(tbRegistroSaidas[[#This Row],[DATA DA COMPETÊNCIA]]="N/A","0",UPPER(TEXT(tbRegistroSaidas[[#This Row],[DATA DA COMPETÊNCIA]],"mmm")))</f>
        <v>AGO</v>
      </c>
      <c r="L269" s="79">
        <f>IF(tbRegistroSaidas[[#This Row],[DATA DA COMPETÊNCIA]]="N/A",0,YEAR(tbRegistroSaidas[[#This Row],[DATA DA COMPETÊNCIA]]))</f>
        <v>2021</v>
      </c>
      <c r="M269" s="5" t="str">
        <f>IF(tbRegistroSaidas[[#This Row],[DATA DO CAIXA PREVISTO]]="N/A","0",UPPER(TEXT(tbRegistroSaidas[[#This Row],[DATA DO CAIXA PREVISTO]],"mmm")))</f>
        <v>SET</v>
      </c>
      <c r="N269" s="5">
        <f>IF(tbRegistroSaidas[[#This Row],[DATA DO CAIXA PREVISTO]]="N/A",0,YEAR(tbRegistroSaidas[[#This Row],[DATA DO CAIXA PREVISTO]]))</f>
        <v>2021</v>
      </c>
    </row>
    <row r="270" spans="1:14" s="5" customFormat="1" ht="14.4" x14ac:dyDescent="0.3">
      <c r="A270" s="49">
        <v>44741</v>
      </c>
      <c r="B270" s="49">
        <f t="shared" si="8"/>
        <v>44710</v>
      </c>
      <c r="C270" s="49">
        <f t="shared" si="9"/>
        <v>44726</v>
      </c>
      <c r="D270" s="52" t="s">
        <v>67</v>
      </c>
      <c r="E270" s="52" t="s">
        <v>1543</v>
      </c>
      <c r="F270" s="52" t="s">
        <v>16</v>
      </c>
      <c r="G270" s="52" t="s">
        <v>1339</v>
      </c>
      <c r="H270" s="18">
        <v>3037</v>
      </c>
      <c r="I270" s="5">
        <f>IF(tbRegistroSaidas[[#This Row],[DATA DE CAIXA REALIZADO]]="N/A",0,YEAR(tbRegistroSaidas[[#This Row],[DATA DE CAIXA REALIZADO]]))</f>
        <v>2022</v>
      </c>
      <c r="J270" s="5" t="str">
        <f>IF(tbRegistroSaidas[[#This Row],[DATA DE CAIXA REALIZADO]]="N/A","0",UPPER(TEXT(tbRegistroSaidas[[#This Row],[DATA DE CAIXA REALIZADO]],"mmm")))</f>
        <v>JUN</v>
      </c>
      <c r="K270" s="79" t="str">
        <f>IF(tbRegistroSaidas[[#This Row],[DATA DA COMPETÊNCIA]]="N/A","0",UPPER(TEXT(tbRegistroSaidas[[#This Row],[DATA DA COMPETÊNCIA]],"mmm")))</f>
        <v>MAI</v>
      </c>
      <c r="L270" s="79">
        <f>IF(tbRegistroSaidas[[#This Row],[DATA DA COMPETÊNCIA]]="N/A",0,YEAR(tbRegistroSaidas[[#This Row],[DATA DA COMPETÊNCIA]]))</f>
        <v>2022</v>
      </c>
      <c r="M270" s="5" t="str">
        <f>IF(tbRegistroSaidas[[#This Row],[DATA DO CAIXA PREVISTO]]="N/A","0",UPPER(TEXT(tbRegistroSaidas[[#This Row],[DATA DO CAIXA PREVISTO]],"mmm")))</f>
        <v>JUN</v>
      </c>
      <c r="N270" s="5">
        <f>IF(tbRegistroSaidas[[#This Row],[DATA DO CAIXA PREVISTO]]="N/A",0,YEAR(tbRegistroSaidas[[#This Row],[DATA DO CAIXA PREVISTO]]))</f>
        <v>2022</v>
      </c>
    </row>
    <row r="271" spans="1:14" s="5" customFormat="1" ht="14.4" x14ac:dyDescent="0.3">
      <c r="A271" s="49">
        <v>45279</v>
      </c>
      <c r="B271" s="49">
        <f t="shared" si="8"/>
        <v>45248</v>
      </c>
      <c r="C271" s="49">
        <f t="shared" si="9"/>
        <v>45264</v>
      </c>
      <c r="D271" s="52" t="s">
        <v>138</v>
      </c>
      <c r="E271" s="52" t="s">
        <v>1543</v>
      </c>
      <c r="F271" s="52" t="s">
        <v>17</v>
      </c>
      <c r="G271" s="52" t="s">
        <v>1340</v>
      </c>
      <c r="H271" s="18">
        <v>2213</v>
      </c>
      <c r="I271" s="5">
        <f>IF(tbRegistroSaidas[[#This Row],[DATA DE CAIXA REALIZADO]]="N/A",0,YEAR(tbRegistroSaidas[[#This Row],[DATA DE CAIXA REALIZADO]]))</f>
        <v>2023</v>
      </c>
      <c r="J271" s="5" t="str">
        <f>IF(tbRegistroSaidas[[#This Row],[DATA DE CAIXA REALIZADO]]="N/A","0",UPPER(TEXT(tbRegistroSaidas[[#This Row],[DATA DE CAIXA REALIZADO]],"mmm")))</f>
        <v>DEZ</v>
      </c>
      <c r="K271" s="79" t="str">
        <f>IF(tbRegistroSaidas[[#This Row],[DATA DA COMPETÊNCIA]]="N/A","0",UPPER(TEXT(tbRegistroSaidas[[#This Row],[DATA DA COMPETÊNCIA]],"mmm")))</f>
        <v>NOV</v>
      </c>
      <c r="L271" s="79">
        <f>IF(tbRegistroSaidas[[#This Row],[DATA DA COMPETÊNCIA]]="N/A",0,YEAR(tbRegistroSaidas[[#This Row],[DATA DA COMPETÊNCIA]]))</f>
        <v>2023</v>
      </c>
      <c r="M271" s="5" t="str">
        <f>IF(tbRegistroSaidas[[#This Row],[DATA DO CAIXA PREVISTO]]="N/A","0",UPPER(TEXT(tbRegistroSaidas[[#This Row],[DATA DO CAIXA PREVISTO]],"mmm")))</f>
        <v>DEZ</v>
      </c>
      <c r="N271" s="5">
        <f>IF(tbRegistroSaidas[[#This Row],[DATA DO CAIXA PREVISTO]]="N/A",0,YEAR(tbRegistroSaidas[[#This Row],[DATA DO CAIXA PREVISTO]]))</f>
        <v>2023</v>
      </c>
    </row>
    <row r="272" spans="1:14" s="5" customFormat="1" ht="14.4" x14ac:dyDescent="0.3">
      <c r="A272" s="49">
        <v>44345</v>
      </c>
      <c r="B272" s="49">
        <f t="shared" si="8"/>
        <v>44314</v>
      </c>
      <c r="C272" s="49">
        <f t="shared" si="9"/>
        <v>44330</v>
      </c>
      <c r="D272" s="52" t="s">
        <v>64</v>
      </c>
      <c r="E272" s="52" t="s">
        <v>1543</v>
      </c>
      <c r="F272" s="52" t="s">
        <v>32</v>
      </c>
      <c r="G272" s="52" t="s">
        <v>1341</v>
      </c>
      <c r="H272" s="18">
        <v>2667</v>
      </c>
      <c r="I272" s="5">
        <f>IF(tbRegistroSaidas[[#This Row],[DATA DE CAIXA REALIZADO]]="N/A",0,YEAR(tbRegistroSaidas[[#This Row],[DATA DE CAIXA REALIZADO]]))</f>
        <v>2021</v>
      </c>
      <c r="J272" s="5" t="str">
        <f>IF(tbRegistroSaidas[[#This Row],[DATA DE CAIXA REALIZADO]]="N/A","0",UPPER(TEXT(tbRegistroSaidas[[#This Row],[DATA DE CAIXA REALIZADO]],"mmm")))</f>
        <v>MAI</v>
      </c>
      <c r="K272" s="79" t="str">
        <f>IF(tbRegistroSaidas[[#This Row],[DATA DA COMPETÊNCIA]]="N/A","0",UPPER(TEXT(tbRegistroSaidas[[#This Row],[DATA DA COMPETÊNCIA]],"mmm")))</f>
        <v>ABR</v>
      </c>
      <c r="L272" s="79">
        <f>IF(tbRegistroSaidas[[#This Row],[DATA DA COMPETÊNCIA]]="N/A",0,YEAR(tbRegistroSaidas[[#This Row],[DATA DA COMPETÊNCIA]]))</f>
        <v>2021</v>
      </c>
      <c r="M272" s="5" t="str">
        <f>IF(tbRegistroSaidas[[#This Row],[DATA DO CAIXA PREVISTO]]="N/A","0",UPPER(TEXT(tbRegistroSaidas[[#This Row],[DATA DO CAIXA PREVISTO]],"mmm")))</f>
        <v>MAI</v>
      </c>
      <c r="N272" s="5">
        <f>IF(tbRegistroSaidas[[#This Row],[DATA DO CAIXA PREVISTO]]="N/A",0,YEAR(tbRegistroSaidas[[#This Row],[DATA DO CAIXA PREVISTO]]))</f>
        <v>2021</v>
      </c>
    </row>
    <row r="273" spans="1:14" s="5" customFormat="1" ht="14.4" x14ac:dyDescent="0.3">
      <c r="A273" s="49">
        <v>44618</v>
      </c>
      <c r="B273" s="49">
        <f t="shared" si="8"/>
        <v>44587</v>
      </c>
      <c r="C273" s="49">
        <f t="shared" si="9"/>
        <v>44603</v>
      </c>
      <c r="D273" s="52" t="s">
        <v>138</v>
      </c>
      <c r="E273" s="52" t="s">
        <v>1543</v>
      </c>
      <c r="F273" s="52" t="s">
        <v>18</v>
      </c>
      <c r="G273" s="52" t="s">
        <v>1342</v>
      </c>
      <c r="H273" s="18">
        <v>112</v>
      </c>
      <c r="I273" s="5">
        <f>IF(tbRegistroSaidas[[#This Row],[DATA DE CAIXA REALIZADO]]="N/A",0,YEAR(tbRegistroSaidas[[#This Row],[DATA DE CAIXA REALIZADO]]))</f>
        <v>2022</v>
      </c>
      <c r="J273" s="5" t="str">
        <f>IF(tbRegistroSaidas[[#This Row],[DATA DE CAIXA REALIZADO]]="N/A","0",UPPER(TEXT(tbRegistroSaidas[[#This Row],[DATA DE CAIXA REALIZADO]],"mmm")))</f>
        <v>FEV</v>
      </c>
      <c r="K273" s="79" t="str">
        <f>IF(tbRegistroSaidas[[#This Row],[DATA DA COMPETÊNCIA]]="N/A","0",UPPER(TEXT(tbRegistroSaidas[[#This Row],[DATA DA COMPETÊNCIA]],"mmm")))</f>
        <v>JAN</v>
      </c>
      <c r="L273" s="79">
        <f>IF(tbRegistroSaidas[[#This Row],[DATA DA COMPETÊNCIA]]="N/A",0,YEAR(tbRegistroSaidas[[#This Row],[DATA DA COMPETÊNCIA]]))</f>
        <v>2022</v>
      </c>
      <c r="M273" s="5" t="str">
        <f>IF(tbRegistroSaidas[[#This Row],[DATA DO CAIXA PREVISTO]]="N/A","0",UPPER(TEXT(tbRegistroSaidas[[#This Row],[DATA DO CAIXA PREVISTO]],"mmm")))</f>
        <v>FEV</v>
      </c>
      <c r="N273" s="5">
        <f>IF(tbRegistroSaidas[[#This Row],[DATA DO CAIXA PREVISTO]]="N/A",0,YEAR(tbRegistroSaidas[[#This Row],[DATA DO CAIXA PREVISTO]]))</f>
        <v>2022</v>
      </c>
    </row>
    <row r="274" spans="1:14" s="5" customFormat="1" ht="14.4" x14ac:dyDescent="0.3">
      <c r="A274" s="49">
        <v>44346</v>
      </c>
      <c r="B274" s="49">
        <f t="shared" si="8"/>
        <v>44315</v>
      </c>
      <c r="C274" s="49">
        <f t="shared" si="9"/>
        <v>44331</v>
      </c>
      <c r="D274" s="52" t="s">
        <v>65</v>
      </c>
      <c r="E274" s="52" t="s">
        <v>1543</v>
      </c>
      <c r="F274" s="52" t="s">
        <v>18</v>
      </c>
      <c r="G274" s="52" t="s">
        <v>1343</v>
      </c>
      <c r="H274" s="18">
        <v>382</v>
      </c>
      <c r="I274" s="5">
        <f>IF(tbRegistroSaidas[[#This Row],[DATA DE CAIXA REALIZADO]]="N/A",0,YEAR(tbRegistroSaidas[[#This Row],[DATA DE CAIXA REALIZADO]]))</f>
        <v>2021</v>
      </c>
      <c r="J274" s="5" t="str">
        <f>IF(tbRegistroSaidas[[#This Row],[DATA DE CAIXA REALIZADO]]="N/A","0",UPPER(TEXT(tbRegistroSaidas[[#This Row],[DATA DE CAIXA REALIZADO]],"mmm")))</f>
        <v>MAI</v>
      </c>
      <c r="K274" s="79" t="str">
        <f>IF(tbRegistroSaidas[[#This Row],[DATA DA COMPETÊNCIA]]="N/A","0",UPPER(TEXT(tbRegistroSaidas[[#This Row],[DATA DA COMPETÊNCIA]],"mmm")))</f>
        <v>ABR</v>
      </c>
      <c r="L274" s="79">
        <f>IF(tbRegistroSaidas[[#This Row],[DATA DA COMPETÊNCIA]]="N/A",0,YEAR(tbRegistroSaidas[[#This Row],[DATA DA COMPETÊNCIA]]))</f>
        <v>2021</v>
      </c>
      <c r="M274" s="5" t="str">
        <f>IF(tbRegistroSaidas[[#This Row],[DATA DO CAIXA PREVISTO]]="N/A","0",UPPER(TEXT(tbRegistroSaidas[[#This Row],[DATA DO CAIXA PREVISTO]],"mmm")))</f>
        <v>MAI</v>
      </c>
      <c r="N274" s="5">
        <f>IF(tbRegistroSaidas[[#This Row],[DATA DO CAIXA PREVISTO]]="N/A",0,YEAR(tbRegistroSaidas[[#This Row],[DATA DO CAIXA PREVISTO]]))</f>
        <v>2021</v>
      </c>
    </row>
    <row r="275" spans="1:14" s="5" customFormat="1" ht="14.4" x14ac:dyDescent="0.3">
      <c r="A275" s="49">
        <v>44656</v>
      </c>
      <c r="B275" s="49">
        <f t="shared" si="8"/>
        <v>44625</v>
      </c>
      <c r="C275" s="49">
        <f t="shared" si="9"/>
        <v>44641</v>
      </c>
      <c r="D275" s="52" t="s">
        <v>137</v>
      </c>
      <c r="E275" s="52" t="s">
        <v>1543</v>
      </c>
      <c r="F275" s="52" t="s">
        <v>16</v>
      </c>
      <c r="G275" s="52" t="s">
        <v>1344</v>
      </c>
      <c r="H275" s="18">
        <v>1590</v>
      </c>
      <c r="I275" s="5">
        <f>IF(tbRegistroSaidas[[#This Row],[DATA DE CAIXA REALIZADO]]="N/A",0,YEAR(tbRegistroSaidas[[#This Row],[DATA DE CAIXA REALIZADO]]))</f>
        <v>2022</v>
      </c>
      <c r="J275" s="5" t="str">
        <f>IF(tbRegistroSaidas[[#This Row],[DATA DE CAIXA REALIZADO]]="N/A","0",UPPER(TEXT(tbRegistroSaidas[[#This Row],[DATA DE CAIXA REALIZADO]],"mmm")))</f>
        <v>ABR</v>
      </c>
      <c r="K275" s="79" t="str">
        <f>IF(tbRegistroSaidas[[#This Row],[DATA DA COMPETÊNCIA]]="N/A","0",UPPER(TEXT(tbRegistroSaidas[[#This Row],[DATA DA COMPETÊNCIA]],"mmm")))</f>
        <v>MAR</v>
      </c>
      <c r="L275" s="79">
        <f>IF(tbRegistroSaidas[[#This Row],[DATA DA COMPETÊNCIA]]="N/A",0,YEAR(tbRegistroSaidas[[#This Row],[DATA DA COMPETÊNCIA]]))</f>
        <v>2022</v>
      </c>
      <c r="M275" s="5" t="str">
        <f>IF(tbRegistroSaidas[[#This Row],[DATA DO CAIXA PREVISTO]]="N/A","0",UPPER(TEXT(tbRegistroSaidas[[#This Row],[DATA DO CAIXA PREVISTO]],"mmm")))</f>
        <v>MAR</v>
      </c>
      <c r="N275" s="5">
        <f>IF(tbRegistroSaidas[[#This Row],[DATA DO CAIXA PREVISTO]]="N/A",0,YEAR(tbRegistroSaidas[[#This Row],[DATA DO CAIXA PREVISTO]]))</f>
        <v>2022</v>
      </c>
    </row>
    <row r="276" spans="1:14" s="5" customFormat="1" ht="14.4" x14ac:dyDescent="0.3">
      <c r="A276" s="49">
        <v>44667</v>
      </c>
      <c r="B276" s="49">
        <f t="shared" si="8"/>
        <v>44636</v>
      </c>
      <c r="C276" s="49">
        <f t="shared" si="9"/>
        <v>44652</v>
      </c>
      <c r="D276" s="52" t="s">
        <v>137</v>
      </c>
      <c r="E276" s="52" t="s">
        <v>1543</v>
      </c>
      <c r="F276" s="52" t="s">
        <v>16</v>
      </c>
      <c r="G276" s="52" t="s">
        <v>817</v>
      </c>
      <c r="H276" s="18">
        <v>606</v>
      </c>
      <c r="I276" s="5">
        <f>IF(tbRegistroSaidas[[#This Row],[DATA DE CAIXA REALIZADO]]="N/A",0,YEAR(tbRegistroSaidas[[#This Row],[DATA DE CAIXA REALIZADO]]))</f>
        <v>2022</v>
      </c>
      <c r="J276" s="5" t="str">
        <f>IF(tbRegistroSaidas[[#This Row],[DATA DE CAIXA REALIZADO]]="N/A","0",UPPER(TEXT(tbRegistroSaidas[[#This Row],[DATA DE CAIXA REALIZADO]],"mmm")))</f>
        <v>ABR</v>
      </c>
      <c r="K276" s="79" t="str">
        <f>IF(tbRegistroSaidas[[#This Row],[DATA DA COMPETÊNCIA]]="N/A","0",UPPER(TEXT(tbRegistroSaidas[[#This Row],[DATA DA COMPETÊNCIA]],"mmm")))</f>
        <v>MAR</v>
      </c>
      <c r="L276" s="79">
        <f>IF(tbRegistroSaidas[[#This Row],[DATA DA COMPETÊNCIA]]="N/A",0,YEAR(tbRegistroSaidas[[#This Row],[DATA DA COMPETÊNCIA]]))</f>
        <v>2022</v>
      </c>
      <c r="M276" s="5" t="str">
        <f>IF(tbRegistroSaidas[[#This Row],[DATA DO CAIXA PREVISTO]]="N/A","0",UPPER(TEXT(tbRegistroSaidas[[#This Row],[DATA DO CAIXA PREVISTO]],"mmm")))</f>
        <v>ABR</v>
      </c>
      <c r="N276" s="5">
        <f>IF(tbRegistroSaidas[[#This Row],[DATA DO CAIXA PREVISTO]]="N/A",0,YEAR(tbRegistroSaidas[[#This Row],[DATA DO CAIXA PREVISTO]]))</f>
        <v>2022</v>
      </c>
    </row>
    <row r="277" spans="1:14" s="5" customFormat="1" ht="14.4" x14ac:dyDescent="0.3">
      <c r="A277" s="49">
        <v>44525</v>
      </c>
      <c r="B277" s="49">
        <f t="shared" si="8"/>
        <v>44494</v>
      </c>
      <c r="C277" s="49">
        <f t="shared" si="9"/>
        <v>44510</v>
      </c>
      <c r="D277" s="52" t="s">
        <v>137</v>
      </c>
      <c r="E277" s="52" t="s">
        <v>1543</v>
      </c>
      <c r="F277" s="52" t="s">
        <v>32</v>
      </c>
      <c r="G277" s="52" t="s">
        <v>1345</v>
      </c>
      <c r="H277" s="18">
        <v>1725</v>
      </c>
      <c r="I277" s="5">
        <f>IF(tbRegistroSaidas[[#This Row],[DATA DE CAIXA REALIZADO]]="N/A",0,YEAR(tbRegistroSaidas[[#This Row],[DATA DE CAIXA REALIZADO]]))</f>
        <v>2021</v>
      </c>
      <c r="J277" s="5" t="str">
        <f>IF(tbRegistroSaidas[[#This Row],[DATA DE CAIXA REALIZADO]]="N/A","0",UPPER(TEXT(tbRegistroSaidas[[#This Row],[DATA DE CAIXA REALIZADO]],"mmm")))</f>
        <v>NOV</v>
      </c>
      <c r="K277" s="79" t="str">
        <f>IF(tbRegistroSaidas[[#This Row],[DATA DA COMPETÊNCIA]]="N/A","0",UPPER(TEXT(tbRegistroSaidas[[#This Row],[DATA DA COMPETÊNCIA]],"mmm")))</f>
        <v>OUT</v>
      </c>
      <c r="L277" s="79">
        <f>IF(tbRegistroSaidas[[#This Row],[DATA DA COMPETÊNCIA]]="N/A",0,YEAR(tbRegistroSaidas[[#This Row],[DATA DA COMPETÊNCIA]]))</f>
        <v>2021</v>
      </c>
      <c r="M277" s="5" t="str">
        <f>IF(tbRegistroSaidas[[#This Row],[DATA DO CAIXA PREVISTO]]="N/A","0",UPPER(TEXT(tbRegistroSaidas[[#This Row],[DATA DO CAIXA PREVISTO]],"mmm")))</f>
        <v>NOV</v>
      </c>
      <c r="N277" s="5">
        <f>IF(tbRegistroSaidas[[#This Row],[DATA DO CAIXA PREVISTO]]="N/A",0,YEAR(tbRegistroSaidas[[#This Row],[DATA DO CAIXA PREVISTO]]))</f>
        <v>2021</v>
      </c>
    </row>
    <row r="278" spans="1:14" s="5" customFormat="1" ht="14.4" x14ac:dyDescent="0.3">
      <c r="A278" s="49">
        <v>44716</v>
      </c>
      <c r="B278" s="49">
        <f t="shared" si="8"/>
        <v>44685</v>
      </c>
      <c r="C278" s="49">
        <f t="shared" si="9"/>
        <v>44701</v>
      </c>
      <c r="D278" s="52" t="s">
        <v>137</v>
      </c>
      <c r="E278" s="52" t="s">
        <v>1543</v>
      </c>
      <c r="F278" s="52" t="s">
        <v>32</v>
      </c>
      <c r="G278" s="52" t="s">
        <v>1346</v>
      </c>
      <c r="H278" s="18">
        <v>3601</v>
      </c>
      <c r="I278" s="5">
        <f>IF(tbRegistroSaidas[[#This Row],[DATA DE CAIXA REALIZADO]]="N/A",0,YEAR(tbRegistroSaidas[[#This Row],[DATA DE CAIXA REALIZADO]]))</f>
        <v>2022</v>
      </c>
      <c r="J278" s="5" t="str">
        <f>IF(tbRegistroSaidas[[#This Row],[DATA DE CAIXA REALIZADO]]="N/A","0",UPPER(TEXT(tbRegistroSaidas[[#This Row],[DATA DE CAIXA REALIZADO]],"mmm")))</f>
        <v>JUN</v>
      </c>
      <c r="K278" s="79" t="str">
        <f>IF(tbRegistroSaidas[[#This Row],[DATA DA COMPETÊNCIA]]="N/A","0",UPPER(TEXT(tbRegistroSaidas[[#This Row],[DATA DA COMPETÊNCIA]],"mmm")))</f>
        <v>MAI</v>
      </c>
      <c r="L278" s="79">
        <f>IF(tbRegistroSaidas[[#This Row],[DATA DA COMPETÊNCIA]]="N/A",0,YEAR(tbRegistroSaidas[[#This Row],[DATA DA COMPETÊNCIA]]))</f>
        <v>2022</v>
      </c>
      <c r="M278" s="5" t="str">
        <f>IF(tbRegistroSaidas[[#This Row],[DATA DO CAIXA PREVISTO]]="N/A","0",UPPER(TEXT(tbRegistroSaidas[[#This Row],[DATA DO CAIXA PREVISTO]],"mmm")))</f>
        <v>MAI</v>
      </c>
      <c r="N278" s="5">
        <f>IF(tbRegistroSaidas[[#This Row],[DATA DO CAIXA PREVISTO]]="N/A",0,YEAR(tbRegistroSaidas[[#This Row],[DATA DO CAIXA PREVISTO]]))</f>
        <v>2022</v>
      </c>
    </row>
    <row r="279" spans="1:14" s="5" customFormat="1" ht="14.4" x14ac:dyDescent="0.3">
      <c r="A279" s="49">
        <v>44927</v>
      </c>
      <c r="B279" s="49">
        <f t="shared" si="8"/>
        <v>44896</v>
      </c>
      <c r="C279" s="49">
        <f t="shared" si="9"/>
        <v>44912</v>
      </c>
      <c r="D279" s="52" t="s">
        <v>138</v>
      </c>
      <c r="E279" s="52" t="s">
        <v>1543</v>
      </c>
      <c r="F279" s="52" t="s">
        <v>32</v>
      </c>
      <c r="G279" s="52" t="s">
        <v>1347</v>
      </c>
      <c r="H279" s="18">
        <v>2984</v>
      </c>
      <c r="I279" s="5">
        <f>IF(tbRegistroSaidas[[#This Row],[DATA DE CAIXA REALIZADO]]="N/A",0,YEAR(tbRegistroSaidas[[#This Row],[DATA DE CAIXA REALIZADO]]))</f>
        <v>2023</v>
      </c>
      <c r="J279" s="5" t="str">
        <f>IF(tbRegistroSaidas[[#This Row],[DATA DE CAIXA REALIZADO]]="N/A","0",UPPER(TEXT(tbRegistroSaidas[[#This Row],[DATA DE CAIXA REALIZADO]],"mmm")))</f>
        <v>JAN</v>
      </c>
      <c r="K279" s="79" t="str">
        <f>IF(tbRegistroSaidas[[#This Row],[DATA DA COMPETÊNCIA]]="N/A","0",UPPER(TEXT(tbRegistroSaidas[[#This Row],[DATA DA COMPETÊNCIA]],"mmm")))</f>
        <v>DEZ</v>
      </c>
      <c r="L279" s="79">
        <f>IF(tbRegistroSaidas[[#This Row],[DATA DA COMPETÊNCIA]]="N/A",0,YEAR(tbRegistroSaidas[[#This Row],[DATA DA COMPETÊNCIA]]))</f>
        <v>2022</v>
      </c>
      <c r="M279" s="5" t="str">
        <f>IF(tbRegistroSaidas[[#This Row],[DATA DO CAIXA PREVISTO]]="N/A","0",UPPER(TEXT(tbRegistroSaidas[[#This Row],[DATA DO CAIXA PREVISTO]],"mmm")))</f>
        <v>DEZ</v>
      </c>
      <c r="N279" s="5">
        <f>IF(tbRegistroSaidas[[#This Row],[DATA DO CAIXA PREVISTO]]="N/A",0,YEAR(tbRegistroSaidas[[#This Row],[DATA DO CAIXA PREVISTO]]))</f>
        <v>2022</v>
      </c>
    </row>
    <row r="280" spans="1:14" s="5" customFormat="1" ht="14.4" x14ac:dyDescent="0.3">
      <c r="A280" s="49">
        <v>44284</v>
      </c>
      <c r="B280" s="49">
        <f t="shared" si="8"/>
        <v>44253</v>
      </c>
      <c r="C280" s="49">
        <f t="shared" si="9"/>
        <v>44269</v>
      </c>
      <c r="D280" s="52" t="s">
        <v>138</v>
      </c>
      <c r="E280" s="52" t="s">
        <v>1543</v>
      </c>
      <c r="F280" s="52" t="s">
        <v>16</v>
      </c>
      <c r="G280" s="52" t="s">
        <v>1348</v>
      </c>
      <c r="H280" s="18">
        <v>2952</v>
      </c>
      <c r="I280" s="5">
        <f>IF(tbRegistroSaidas[[#This Row],[DATA DE CAIXA REALIZADO]]="N/A",0,YEAR(tbRegistroSaidas[[#This Row],[DATA DE CAIXA REALIZADO]]))</f>
        <v>2021</v>
      </c>
      <c r="J280" s="5" t="str">
        <f>IF(tbRegistroSaidas[[#This Row],[DATA DE CAIXA REALIZADO]]="N/A","0",UPPER(TEXT(tbRegistroSaidas[[#This Row],[DATA DE CAIXA REALIZADO]],"mmm")))</f>
        <v>MAR</v>
      </c>
      <c r="K280" s="79" t="str">
        <f>IF(tbRegistroSaidas[[#This Row],[DATA DA COMPETÊNCIA]]="N/A","0",UPPER(TEXT(tbRegistroSaidas[[#This Row],[DATA DA COMPETÊNCIA]],"mmm")))</f>
        <v>FEV</v>
      </c>
      <c r="L280" s="79">
        <f>IF(tbRegistroSaidas[[#This Row],[DATA DA COMPETÊNCIA]]="N/A",0,YEAR(tbRegistroSaidas[[#This Row],[DATA DA COMPETÊNCIA]]))</f>
        <v>2021</v>
      </c>
      <c r="M280" s="5" t="str">
        <f>IF(tbRegistroSaidas[[#This Row],[DATA DO CAIXA PREVISTO]]="N/A","0",UPPER(TEXT(tbRegistroSaidas[[#This Row],[DATA DO CAIXA PREVISTO]],"mmm")))</f>
        <v>MAR</v>
      </c>
      <c r="N280" s="5">
        <f>IF(tbRegistroSaidas[[#This Row],[DATA DO CAIXA PREVISTO]]="N/A",0,YEAR(tbRegistroSaidas[[#This Row],[DATA DO CAIXA PREVISTO]]))</f>
        <v>2021</v>
      </c>
    </row>
    <row r="281" spans="1:14" s="5" customFormat="1" ht="14.4" x14ac:dyDescent="0.3">
      <c r="A281" s="49">
        <v>44981</v>
      </c>
      <c r="B281" s="49">
        <f t="shared" si="8"/>
        <v>44950</v>
      </c>
      <c r="C281" s="49">
        <f t="shared" si="9"/>
        <v>44966</v>
      </c>
      <c r="D281" s="52" t="s">
        <v>64</v>
      </c>
      <c r="E281" s="52" t="s">
        <v>1543</v>
      </c>
      <c r="F281" s="52" t="s">
        <v>19</v>
      </c>
      <c r="G281" s="52" t="s">
        <v>1349</v>
      </c>
      <c r="H281" s="18">
        <v>3377</v>
      </c>
      <c r="I281" s="5">
        <f>IF(tbRegistroSaidas[[#This Row],[DATA DE CAIXA REALIZADO]]="N/A",0,YEAR(tbRegistroSaidas[[#This Row],[DATA DE CAIXA REALIZADO]]))</f>
        <v>2023</v>
      </c>
      <c r="J281" s="5" t="str">
        <f>IF(tbRegistroSaidas[[#This Row],[DATA DE CAIXA REALIZADO]]="N/A","0",UPPER(TEXT(tbRegistroSaidas[[#This Row],[DATA DE CAIXA REALIZADO]],"mmm")))</f>
        <v>FEV</v>
      </c>
      <c r="K281" s="79" t="str">
        <f>IF(tbRegistroSaidas[[#This Row],[DATA DA COMPETÊNCIA]]="N/A","0",UPPER(TEXT(tbRegistroSaidas[[#This Row],[DATA DA COMPETÊNCIA]],"mmm")))</f>
        <v>JAN</v>
      </c>
      <c r="L281" s="79">
        <f>IF(tbRegistroSaidas[[#This Row],[DATA DA COMPETÊNCIA]]="N/A",0,YEAR(tbRegistroSaidas[[#This Row],[DATA DA COMPETÊNCIA]]))</f>
        <v>2023</v>
      </c>
      <c r="M281" s="5" t="str">
        <f>IF(tbRegistroSaidas[[#This Row],[DATA DO CAIXA PREVISTO]]="N/A","0",UPPER(TEXT(tbRegistroSaidas[[#This Row],[DATA DO CAIXA PREVISTO]],"mmm")))</f>
        <v>FEV</v>
      </c>
      <c r="N281" s="5">
        <f>IF(tbRegistroSaidas[[#This Row],[DATA DO CAIXA PREVISTO]]="N/A",0,YEAR(tbRegistroSaidas[[#This Row],[DATA DO CAIXA PREVISTO]]))</f>
        <v>2023</v>
      </c>
    </row>
    <row r="282" spans="1:14" s="5" customFormat="1" ht="14.4" x14ac:dyDescent="0.3">
      <c r="A282" s="49">
        <v>44742</v>
      </c>
      <c r="B282" s="49">
        <f t="shared" si="8"/>
        <v>44711</v>
      </c>
      <c r="C282" s="49">
        <f t="shared" si="9"/>
        <v>44727</v>
      </c>
      <c r="D282" s="52" t="s">
        <v>138</v>
      </c>
      <c r="E282" s="52" t="s">
        <v>1543</v>
      </c>
      <c r="F282" s="52" t="s">
        <v>16</v>
      </c>
      <c r="G282" s="52" t="s">
        <v>1350</v>
      </c>
      <c r="H282" s="18">
        <v>1740</v>
      </c>
      <c r="I282" s="5">
        <f>IF(tbRegistroSaidas[[#This Row],[DATA DE CAIXA REALIZADO]]="N/A",0,YEAR(tbRegistroSaidas[[#This Row],[DATA DE CAIXA REALIZADO]]))</f>
        <v>2022</v>
      </c>
      <c r="J282" s="5" t="str">
        <f>IF(tbRegistroSaidas[[#This Row],[DATA DE CAIXA REALIZADO]]="N/A","0",UPPER(TEXT(tbRegistroSaidas[[#This Row],[DATA DE CAIXA REALIZADO]],"mmm")))</f>
        <v>JUN</v>
      </c>
      <c r="K282" s="79" t="str">
        <f>IF(tbRegistroSaidas[[#This Row],[DATA DA COMPETÊNCIA]]="N/A","0",UPPER(TEXT(tbRegistroSaidas[[#This Row],[DATA DA COMPETÊNCIA]],"mmm")))</f>
        <v>MAI</v>
      </c>
      <c r="L282" s="79">
        <f>IF(tbRegistroSaidas[[#This Row],[DATA DA COMPETÊNCIA]]="N/A",0,YEAR(tbRegistroSaidas[[#This Row],[DATA DA COMPETÊNCIA]]))</f>
        <v>2022</v>
      </c>
      <c r="M282" s="5" t="str">
        <f>IF(tbRegistroSaidas[[#This Row],[DATA DO CAIXA PREVISTO]]="N/A","0",UPPER(TEXT(tbRegistroSaidas[[#This Row],[DATA DO CAIXA PREVISTO]],"mmm")))</f>
        <v>JUN</v>
      </c>
      <c r="N282" s="5">
        <f>IF(tbRegistroSaidas[[#This Row],[DATA DO CAIXA PREVISTO]]="N/A",0,YEAR(tbRegistroSaidas[[#This Row],[DATA DO CAIXA PREVISTO]]))</f>
        <v>2022</v>
      </c>
    </row>
    <row r="283" spans="1:14" s="5" customFormat="1" ht="14.4" x14ac:dyDescent="0.3">
      <c r="A283" s="49">
        <v>44807</v>
      </c>
      <c r="B283" s="49">
        <f t="shared" si="8"/>
        <v>44776</v>
      </c>
      <c r="C283" s="49">
        <f t="shared" si="9"/>
        <v>44792</v>
      </c>
      <c r="D283" s="52" t="s">
        <v>138</v>
      </c>
      <c r="E283" s="52" t="s">
        <v>1543</v>
      </c>
      <c r="F283" s="52" t="s">
        <v>18</v>
      </c>
      <c r="G283" s="52" t="s">
        <v>1351</v>
      </c>
      <c r="H283" s="18">
        <v>2184</v>
      </c>
      <c r="I283" s="5">
        <f>IF(tbRegistroSaidas[[#This Row],[DATA DE CAIXA REALIZADO]]="N/A",0,YEAR(tbRegistroSaidas[[#This Row],[DATA DE CAIXA REALIZADO]]))</f>
        <v>2022</v>
      </c>
      <c r="J283" s="5" t="str">
        <f>IF(tbRegistroSaidas[[#This Row],[DATA DE CAIXA REALIZADO]]="N/A","0",UPPER(TEXT(tbRegistroSaidas[[#This Row],[DATA DE CAIXA REALIZADO]],"mmm")))</f>
        <v>SET</v>
      </c>
      <c r="K283" s="79" t="str">
        <f>IF(tbRegistroSaidas[[#This Row],[DATA DA COMPETÊNCIA]]="N/A","0",UPPER(TEXT(tbRegistroSaidas[[#This Row],[DATA DA COMPETÊNCIA]],"mmm")))</f>
        <v>AGO</v>
      </c>
      <c r="L283" s="79">
        <f>IF(tbRegistroSaidas[[#This Row],[DATA DA COMPETÊNCIA]]="N/A",0,YEAR(tbRegistroSaidas[[#This Row],[DATA DA COMPETÊNCIA]]))</f>
        <v>2022</v>
      </c>
      <c r="M283" s="5" t="str">
        <f>IF(tbRegistroSaidas[[#This Row],[DATA DO CAIXA PREVISTO]]="N/A","0",UPPER(TEXT(tbRegistroSaidas[[#This Row],[DATA DO CAIXA PREVISTO]],"mmm")))</f>
        <v>AGO</v>
      </c>
      <c r="N283" s="5">
        <f>IF(tbRegistroSaidas[[#This Row],[DATA DO CAIXA PREVISTO]]="N/A",0,YEAR(tbRegistroSaidas[[#This Row],[DATA DO CAIXA PREVISTO]]))</f>
        <v>2022</v>
      </c>
    </row>
    <row r="284" spans="1:14" s="5" customFormat="1" ht="14.4" x14ac:dyDescent="0.3">
      <c r="A284" s="49">
        <v>44855</v>
      </c>
      <c r="B284" s="49">
        <f t="shared" si="8"/>
        <v>44824</v>
      </c>
      <c r="C284" s="49">
        <f t="shared" si="9"/>
        <v>44840</v>
      </c>
      <c r="D284" s="52" t="s">
        <v>61</v>
      </c>
      <c r="E284" s="52" t="s">
        <v>1543</v>
      </c>
      <c r="F284" s="52" t="s">
        <v>16</v>
      </c>
      <c r="G284" s="52" t="s">
        <v>1352</v>
      </c>
      <c r="H284" s="18">
        <v>3944</v>
      </c>
      <c r="I284" s="5">
        <f>IF(tbRegistroSaidas[[#This Row],[DATA DE CAIXA REALIZADO]]="N/A",0,YEAR(tbRegistroSaidas[[#This Row],[DATA DE CAIXA REALIZADO]]))</f>
        <v>2022</v>
      </c>
      <c r="J284" s="5" t="str">
        <f>IF(tbRegistroSaidas[[#This Row],[DATA DE CAIXA REALIZADO]]="N/A","0",UPPER(TEXT(tbRegistroSaidas[[#This Row],[DATA DE CAIXA REALIZADO]],"mmm")))</f>
        <v>OUT</v>
      </c>
      <c r="K284" s="79" t="str">
        <f>IF(tbRegistroSaidas[[#This Row],[DATA DA COMPETÊNCIA]]="N/A","0",UPPER(TEXT(tbRegistroSaidas[[#This Row],[DATA DA COMPETÊNCIA]],"mmm")))</f>
        <v>SET</v>
      </c>
      <c r="L284" s="79">
        <f>IF(tbRegistroSaidas[[#This Row],[DATA DA COMPETÊNCIA]]="N/A",0,YEAR(tbRegistroSaidas[[#This Row],[DATA DA COMPETÊNCIA]]))</f>
        <v>2022</v>
      </c>
      <c r="M284" s="5" t="str">
        <f>IF(tbRegistroSaidas[[#This Row],[DATA DO CAIXA PREVISTO]]="N/A","0",UPPER(TEXT(tbRegistroSaidas[[#This Row],[DATA DO CAIXA PREVISTO]],"mmm")))</f>
        <v>OUT</v>
      </c>
      <c r="N284" s="5">
        <f>IF(tbRegistroSaidas[[#This Row],[DATA DO CAIXA PREVISTO]]="N/A",0,YEAR(tbRegistroSaidas[[#This Row],[DATA DO CAIXA PREVISTO]]))</f>
        <v>2022</v>
      </c>
    </row>
    <row r="285" spans="1:14" s="5" customFormat="1" ht="14.4" x14ac:dyDescent="0.3">
      <c r="A285" s="49">
        <v>44353</v>
      </c>
      <c r="B285" s="49">
        <f t="shared" si="8"/>
        <v>44322</v>
      </c>
      <c r="C285" s="49">
        <f t="shared" si="9"/>
        <v>44338</v>
      </c>
      <c r="D285" s="52" t="s">
        <v>138</v>
      </c>
      <c r="E285" s="52" t="s">
        <v>1543</v>
      </c>
      <c r="F285" s="52" t="s">
        <v>18</v>
      </c>
      <c r="G285" s="52" t="s">
        <v>1353</v>
      </c>
      <c r="H285" s="18">
        <v>2045</v>
      </c>
      <c r="I285" s="5">
        <f>IF(tbRegistroSaidas[[#This Row],[DATA DE CAIXA REALIZADO]]="N/A",0,YEAR(tbRegistroSaidas[[#This Row],[DATA DE CAIXA REALIZADO]]))</f>
        <v>2021</v>
      </c>
      <c r="J285" s="5" t="str">
        <f>IF(tbRegistroSaidas[[#This Row],[DATA DE CAIXA REALIZADO]]="N/A","0",UPPER(TEXT(tbRegistroSaidas[[#This Row],[DATA DE CAIXA REALIZADO]],"mmm")))</f>
        <v>JUN</v>
      </c>
      <c r="K285" s="79" t="str">
        <f>IF(tbRegistroSaidas[[#This Row],[DATA DA COMPETÊNCIA]]="N/A","0",UPPER(TEXT(tbRegistroSaidas[[#This Row],[DATA DA COMPETÊNCIA]],"mmm")))</f>
        <v>MAI</v>
      </c>
      <c r="L285" s="79">
        <f>IF(tbRegistroSaidas[[#This Row],[DATA DA COMPETÊNCIA]]="N/A",0,YEAR(tbRegistroSaidas[[#This Row],[DATA DA COMPETÊNCIA]]))</f>
        <v>2021</v>
      </c>
      <c r="M285" s="5" t="str">
        <f>IF(tbRegistroSaidas[[#This Row],[DATA DO CAIXA PREVISTO]]="N/A","0",UPPER(TEXT(tbRegistroSaidas[[#This Row],[DATA DO CAIXA PREVISTO]],"mmm")))</f>
        <v>MAI</v>
      </c>
      <c r="N285" s="5">
        <f>IF(tbRegistroSaidas[[#This Row],[DATA DO CAIXA PREVISTO]]="N/A",0,YEAR(tbRegistroSaidas[[#This Row],[DATA DO CAIXA PREVISTO]]))</f>
        <v>2021</v>
      </c>
    </row>
    <row r="286" spans="1:14" s="5" customFormat="1" ht="14.4" x14ac:dyDescent="0.3">
      <c r="A286" s="49">
        <v>44804</v>
      </c>
      <c r="B286" s="49">
        <f t="shared" si="8"/>
        <v>44773</v>
      </c>
      <c r="C286" s="49">
        <f t="shared" si="9"/>
        <v>44789</v>
      </c>
      <c r="D286" s="52" t="s">
        <v>138</v>
      </c>
      <c r="E286" s="52" t="s">
        <v>1543</v>
      </c>
      <c r="F286" s="52" t="s">
        <v>17</v>
      </c>
      <c r="G286" s="52" t="s">
        <v>1354</v>
      </c>
      <c r="H286" s="18">
        <v>147</v>
      </c>
      <c r="I286" s="5">
        <f>IF(tbRegistroSaidas[[#This Row],[DATA DE CAIXA REALIZADO]]="N/A",0,YEAR(tbRegistroSaidas[[#This Row],[DATA DE CAIXA REALIZADO]]))</f>
        <v>2022</v>
      </c>
      <c r="J286" s="5" t="str">
        <f>IF(tbRegistroSaidas[[#This Row],[DATA DE CAIXA REALIZADO]]="N/A","0",UPPER(TEXT(tbRegistroSaidas[[#This Row],[DATA DE CAIXA REALIZADO]],"mmm")))</f>
        <v>AGO</v>
      </c>
      <c r="K286" s="79" t="str">
        <f>IF(tbRegistroSaidas[[#This Row],[DATA DA COMPETÊNCIA]]="N/A","0",UPPER(TEXT(tbRegistroSaidas[[#This Row],[DATA DA COMPETÊNCIA]],"mmm")))</f>
        <v>JUL</v>
      </c>
      <c r="L286" s="79">
        <f>IF(tbRegistroSaidas[[#This Row],[DATA DA COMPETÊNCIA]]="N/A",0,YEAR(tbRegistroSaidas[[#This Row],[DATA DA COMPETÊNCIA]]))</f>
        <v>2022</v>
      </c>
      <c r="M286" s="5" t="str">
        <f>IF(tbRegistroSaidas[[#This Row],[DATA DO CAIXA PREVISTO]]="N/A","0",UPPER(TEXT(tbRegistroSaidas[[#This Row],[DATA DO CAIXA PREVISTO]],"mmm")))</f>
        <v>AGO</v>
      </c>
      <c r="N286" s="5">
        <f>IF(tbRegistroSaidas[[#This Row],[DATA DO CAIXA PREVISTO]]="N/A",0,YEAR(tbRegistroSaidas[[#This Row],[DATA DO CAIXA PREVISTO]]))</f>
        <v>2022</v>
      </c>
    </row>
    <row r="287" spans="1:14" s="5" customFormat="1" ht="14.4" x14ac:dyDescent="0.3">
      <c r="A287" s="49">
        <v>44236</v>
      </c>
      <c r="B287" s="49">
        <f t="shared" si="8"/>
        <v>44205</v>
      </c>
      <c r="C287" s="49">
        <f t="shared" si="9"/>
        <v>44221</v>
      </c>
      <c r="D287" s="52" t="s">
        <v>137</v>
      </c>
      <c r="E287" s="52" t="s">
        <v>1543</v>
      </c>
      <c r="F287" s="52" t="s">
        <v>32</v>
      </c>
      <c r="G287" s="52" t="s">
        <v>1355</v>
      </c>
      <c r="H287" s="18">
        <v>3121</v>
      </c>
      <c r="I287" s="5">
        <f>IF(tbRegistroSaidas[[#This Row],[DATA DE CAIXA REALIZADO]]="N/A",0,YEAR(tbRegistroSaidas[[#This Row],[DATA DE CAIXA REALIZADO]]))</f>
        <v>2021</v>
      </c>
      <c r="J287" s="5" t="str">
        <f>IF(tbRegistroSaidas[[#This Row],[DATA DE CAIXA REALIZADO]]="N/A","0",UPPER(TEXT(tbRegistroSaidas[[#This Row],[DATA DE CAIXA REALIZADO]],"mmm")))</f>
        <v>FEV</v>
      </c>
      <c r="K287" s="79" t="str">
        <f>IF(tbRegistroSaidas[[#This Row],[DATA DA COMPETÊNCIA]]="N/A","0",UPPER(TEXT(tbRegistroSaidas[[#This Row],[DATA DA COMPETÊNCIA]],"mmm")))</f>
        <v>JAN</v>
      </c>
      <c r="L287" s="79">
        <f>IF(tbRegistroSaidas[[#This Row],[DATA DA COMPETÊNCIA]]="N/A",0,YEAR(tbRegistroSaidas[[#This Row],[DATA DA COMPETÊNCIA]]))</f>
        <v>2021</v>
      </c>
      <c r="M287" s="5" t="str">
        <f>IF(tbRegistroSaidas[[#This Row],[DATA DO CAIXA PREVISTO]]="N/A","0",UPPER(TEXT(tbRegistroSaidas[[#This Row],[DATA DO CAIXA PREVISTO]],"mmm")))</f>
        <v>JAN</v>
      </c>
      <c r="N287" s="5">
        <f>IF(tbRegistroSaidas[[#This Row],[DATA DO CAIXA PREVISTO]]="N/A",0,YEAR(tbRegistroSaidas[[#This Row],[DATA DO CAIXA PREVISTO]]))</f>
        <v>2021</v>
      </c>
    </row>
    <row r="288" spans="1:14" s="5" customFormat="1" ht="14.4" x14ac:dyDescent="0.3">
      <c r="A288" s="49">
        <v>44380</v>
      </c>
      <c r="B288" s="49">
        <f t="shared" si="8"/>
        <v>44349</v>
      </c>
      <c r="C288" s="49">
        <f t="shared" si="9"/>
        <v>44365</v>
      </c>
      <c r="D288" s="52" t="s">
        <v>138</v>
      </c>
      <c r="E288" s="52" t="s">
        <v>1543</v>
      </c>
      <c r="F288" s="52" t="s">
        <v>18</v>
      </c>
      <c r="G288" s="52" t="s">
        <v>1356</v>
      </c>
      <c r="H288" s="18">
        <v>2728</v>
      </c>
      <c r="I288" s="5">
        <f>IF(tbRegistroSaidas[[#This Row],[DATA DE CAIXA REALIZADO]]="N/A",0,YEAR(tbRegistroSaidas[[#This Row],[DATA DE CAIXA REALIZADO]]))</f>
        <v>2021</v>
      </c>
      <c r="J288" s="5" t="str">
        <f>IF(tbRegistroSaidas[[#This Row],[DATA DE CAIXA REALIZADO]]="N/A","0",UPPER(TEXT(tbRegistroSaidas[[#This Row],[DATA DE CAIXA REALIZADO]],"mmm")))</f>
        <v>JUL</v>
      </c>
      <c r="K288" s="79" t="str">
        <f>IF(tbRegistroSaidas[[#This Row],[DATA DA COMPETÊNCIA]]="N/A","0",UPPER(TEXT(tbRegistroSaidas[[#This Row],[DATA DA COMPETÊNCIA]],"mmm")))</f>
        <v>JUN</v>
      </c>
      <c r="L288" s="79">
        <f>IF(tbRegistroSaidas[[#This Row],[DATA DA COMPETÊNCIA]]="N/A",0,YEAR(tbRegistroSaidas[[#This Row],[DATA DA COMPETÊNCIA]]))</f>
        <v>2021</v>
      </c>
      <c r="M288" s="5" t="str">
        <f>IF(tbRegistroSaidas[[#This Row],[DATA DO CAIXA PREVISTO]]="N/A","0",UPPER(TEXT(tbRegistroSaidas[[#This Row],[DATA DO CAIXA PREVISTO]],"mmm")))</f>
        <v>JUN</v>
      </c>
      <c r="N288" s="5">
        <f>IF(tbRegistroSaidas[[#This Row],[DATA DO CAIXA PREVISTO]]="N/A",0,YEAR(tbRegistroSaidas[[#This Row],[DATA DO CAIXA PREVISTO]]))</f>
        <v>2021</v>
      </c>
    </row>
    <row r="289" spans="1:14" s="5" customFormat="1" ht="14.4" x14ac:dyDescent="0.3">
      <c r="A289" s="49">
        <v>45161</v>
      </c>
      <c r="B289" s="49">
        <f t="shared" si="8"/>
        <v>45130</v>
      </c>
      <c r="C289" s="49">
        <f t="shared" si="9"/>
        <v>45146</v>
      </c>
      <c r="D289" s="52" t="s">
        <v>137</v>
      </c>
      <c r="E289" s="52" t="s">
        <v>1543</v>
      </c>
      <c r="F289" s="52" t="s">
        <v>18</v>
      </c>
      <c r="G289" s="52" t="s">
        <v>1357</v>
      </c>
      <c r="H289" s="18">
        <v>1164</v>
      </c>
      <c r="I289" s="5">
        <f>IF(tbRegistroSaidas[[#This Row],[DATA DE CAIXA REALIZADO]]="N/A",0,YEAR(tbRegistroSaidas[[#This Row],[DATA DE CAIXA REALIZADO]]))</f>
        <v>2023</v>
      </c>
      <c r="J289" s="5" t="str">
        <f>IF(tbRegistroSaidas[[#This Row],[DATA DE CAIXA REALIZADO]]="N/A","0",UPPER(TEXT(tbRegistroSaidas[[#This Row],[DATA DE CAIXA REALIZADO]],"mmm")))</f>
        <v>AGO</v>
      </c>
      <c r="K289" s="79" t="str">
        <f>IF(tbRegistroSaidas[[#This Row],[DATA DA COMPETÊNCIA]]="N/A","0",UPPER(TEXT(tbRegistroSaidas[[#This Row],[DATA DA COMPETÊNCIA]],"mmm")))</f>
        <v>JUL</v>
      </c>
      <c r="L289" s="79">
        <f>IF(tbRegistroSaidas[[#This Row],[DATA DA COMPETÊNCIA]]="N/A",0,YEAR(tbRegistroSaidas[[#This Row],[DATA DA COMPETÊNCIA]]))</f>
        <v>2023</v>
      </c>
      <c r="M289" s="5" t="str">
        <f>IF(tbRegistroSaidas[[#This Row],[DATA DO CAIXA PREVISTO]]="N/A","0",UPPER(TEXT(tbRegistroSaidas[[#This Row],[DATA DO CAIXA PREVISTO]],"mmm")))</f>
        <v>AGO</v>
      </c>
      <c r="N289" s="5">
        <f>IF(tbRegistroSaidas[[#This Row],[DATA DO CAIXA PREVISTO]]="N/A",0,YEAR(tbRegistroSaidas[[#This Row],[DATA DO CAIXA PREVISTO]]))</f>
        <v>2023</v>
      </c>
    </row>
    <row r="290" spans="1:14" s="5" customFormat="1" ht="14.4" x14ac:dyDescent="0.3">
      <c r="A290" s="49">
        <v>44642</v>
      </c>
      <c r="B290" s="49">
        <f t="shared" si="8"/>
        <v>44611</v>
      </c>
      <c r="C290" s="49">
        <f t="shared" si="9"/>
        <v>44627</v>
      </c>
      <c r="D290" s="52" t="s">
        <v>66</v>
      </c>
      <c r="E290" s="52" t="s">
        <v>1543</v>
      </c>
      <c r="F290" s="52" t="s">
        <v>16</v>
      </c>
      <c r="G290" s="52" t="s">
        <v>1358</v>
      </c>
      <c r="H290" s="18">
        <v>2780</v>
      </c>
      <c r="I290" s="5">
        <f>IF(tbRegistroSaidas[[#This Row],[DATA DE CAIXA REALIZADO]]="N/A",0,YEAR(tbRegistroSaidas[[#This Row],[DATA DE CAIXA REALIZADO]]))</f>
        <v>2022</v>
      </c>
      <c r="J290" s="5" t="str">
        <f>IF(tbRegistroSaidas[[#This Row],[DATA DE CAIXA REALIZADO]]="N/A","0",UPPER(TEXT(tbRegistroSaidas[[#This Row],[DATA DE CAIXA REALIZADO]],"mmm")))</f>
        <v>MAR</v>
      </c>
      <c r="K290" s="79" t="str">
        <f>IF(tbRegistroSaidas[[#This Row],[DATA DA COMPETÊNCIA]]="N/A","0",UPPER(TEXT(tbRegistroSaidas[[#This Row],[DATA DA COMPETÊNCIA]],"mmm")))</f>
        <v>FEV</v>
      </c>
      <c r="L290" s="79">
        <f>IF(tbRegistroSaidas[[#This Row],[DATA DA COMPETÊNCIA]]="N/A",0,YEAR(tbRegistroSaidas[[#This Row],[DATA DA COMPETÊNCIA]]))</f>
        <v>2022</v>
      </c>
      <c r="M290" s="5" t="str">
        <f>IF(tbRegistroSaidas[[#This Row],[DATA DO CAIXA PREVISTO]]="N/A","0",UPPER(TEXT(tbRegistroSaidas[[#This Row],[DATA DO CAIXA PREVISTO]],"mmm")))</f>
        <v>MAR</v>
      </c>
      <c r="N290" s="5">
        <f>IF(tbRegistroSaidas[[#This Row],[DATA DO CAIXA PREVISTO]]="N/A",0,YEAR(tbRegistroSaidas[[#This Row],[DATA DO CAIXA PREVISTO]]))</f>
        <v>2022</v>
      </c>
    </row>
    <row r="291" spans="1:14" s="5" customFormat="1" ht="14.4" x14ac:dyDescent="0.3">
      <c r="A291" s="49">
        <v>44712</v>
      </c>
      <c r="B291" s="49">
        <f t="shared" si="8"/>
        <v>44681</v>
      </c>
      <c r="C291" s="49">
        <f t="shared" si="9"/>
        <v>44697</v>
      </c>
      <c r="D291" s="52" t="s">
        <v>64</v>
      </c>
      <c r="E291" s="52" t="s">
        <v>1543</v>
      </c>
      <c r="F291" s="52" t="s">
        <v>19</v>
      </c>
      <c r="G291" s="52" t="s">
        <v>153</v>
      </c>
      <c r="H291" s="18">
        <v>1136</v>
      </c>
      <c r="I291" s="5">
        <f>IF(tbRegistroSaidas[[#This Row],[DATA DE CAIXA REALIZADO]]="N/A",0,YEAR(tbRegistroSaidas[[#This Row],[DATA DE CAIXA REALIZADO]]))</f>
        <v>2022</v>
      </c>
      <c r="J291" s="5" t="str">
        <f>IF(tbRegistroSaidas[[#This Row],[DATA DE CAIXA REALIZADO]]="N/A","0",UPPER(TEXT(tbRegistroSaidas[[#This Row],[DATA DE CAIXA REALIZADO]],"mmm")))</f>
        <v>MAI</v>
      </c>
      <c r="K291" s="79" t="str">
        <f>IF(tbRegistroSaidas[[#This Row],[DATA DA COMPETÊNCIA]]="N/A","0",UPPER(TEXT(tbRegistroSaidas[[#This Row],[DATA DA COMPETÊNCIA]],"mmm")))</f>
        <v>ABR</v>
      </c>
      <c r="L291" s="79">
        <f>IF(tbRegistroSaidas[[#This Row],[DATA DA COMPETÊNCIA]]="N/A",0,YEAR(tbRegistroSaidas[[#This Row],[DATA DA COMPETÊNCIA]]))</f>
        <v>2022</v>
      </c>
      <c r="M291" s="5" t="str">
        <f>IF(tbRegistroSaidas[[#This Row],[DATA DO CAIXA PREVISTO]]="N/A","0",UPPER(TEXT(tbRegistroSaidas[[#This Row],[DATA DO CAIXA PREVISTO]],"mmm")))</f>
        <v>MAI</v>
      </c>
      <c r="N291" s="5">
        <f>IF(tbRegistroSaidas[[#This Row],[DATA DO CAIXA PREVISTO]]="N/A",0,YEAR(tbRegistroSaidas[[#This Row],[DATA DO CAIXA PREVISTO]]))</f>
        <v>2022</v>
      </c>
    </row>
    <row r="292" spans="1:14" s="5" customFormat="1" ht="14.4" x14ac:dyDescent="0.3">
      <c r="A292" s="49">
        <v>44739</v>
      </c>
      <c r="B292" s="49">
        <f t="shared" si="8"/>
        <v>44708</v>
      </c>
      <c r="C292" s="49">
        <f t="shared" si="9"/>
        <v>44724</v>
      </c>
      <c r="D292" s="52" t="s">
        <v>65</v>
      </c>
      <c r="E292" s="52" t="s">
        <v>1543</v>
      </c>
      <c r="F292" s="52" t="s">
        <v>17</v>
      </c>
      <c r="G292" s="52" t="s">
        <v>1359</v>
      </c>
      <c r="H292" s="18">
        <v>1394</v>
      </c>
      <c r="I292" s="5">
        <f>IF(tbRegistroSaidas[[#This Row],[DATA DE CAIXA REALIZADO]]="N/A",0,YEAR(tbRegistroSaidas[[#This Row],[DATA DE CAIXA REALIZADO]]))</f>
        <v>2022</v>
      </c>
      <c r="J292" s="5" t="str">
        <f>IF(tbRegistroSaidas[[#This Row],[DATA DE CAIXA REALIZADO]]="N/A","0",UPPER(TEXT(tbRegistroSaidas[[#This Row],[DATA DE CAIXA REALIZADO]],"mmm")))</f>
        <v>JUN</v>
      </c>
      <c r="K292" s="79" t="str">
        <f>IF(tbRegistroSaidas[[#This Row],[DATA DA COMPETÊNCIA]]="N/A","0",UPPER(TEXT(tbRegistroSaidas[[#This Row],[DATA DA COMPETÊNCIA]],"mmm")))</f>
        <v>MAI</v>
      </c>
      <c r="L292" s="79">
        <f>IF(tbRegistroSaidas[[#This Row],[DATA DA COMPETÊNCIA]]="N/A",0,YEAR(tbRegistroSaidas[[#This Row],[DATA DA COMPETÊNCIA]]))</f>
        <v>2022</v>
      </c>
      <c r="M292" s="5" t="str">
        <f>IF(tbRegistroSaidas[[#This Row],[DATA DO CAIXA PREVISTO]]="N/A","0",UPPER(TEXT(tbRegistroSaidas[[#This Row],[DATA DO CAIXA PREVISTO]],"mmm")))</f>
        <v>JUN</v>
      </c>
      <c r="N292" s="5">
        <f>IF(tbRegistroSaidas[[#This Row],[DATA DO CAIXA PREVISTO]]="N/A",0,YEAR(tbRegistroSaidas[[#This Row],[DATA DO CAIXA PREVISTO]]))</f>
        <v>2022</v>
      </c>
    </row>
    <row r="293" spans="1:14" s="5" customFormat="1" ht="14.4" x14ac:dyDescent="0.3">
      <c r="A293" s="49">
        <v>44855</v>
      </c>
      <c r="B293" s="49">
        <f t="shared" si="8"/>
        <v>44824</v>
      </c>
      <c r="C293" s="49">
        <f t="shared" si="9"/>
        <v>44840</v>
      </c>
      <c r="D293" s="52" t="s">
        <v>61</v>
      </c>
      <c r="E293" s="52" t="s">
        <v>1543</v>
      </c>
      <c r="F293" s="52" t="s">
        <v>18</v>
      </c>
      <c r="G293" s="52" t="s">
        <v>1360</v>
      </c>
      <c r="H293" s="18">
        <v>1906</v>
      </c>
      <c r="I293" s="5">
        <f>IF(tbRegistroSaidas[[#This Row],[DATA DE CAIXA REALIZADO]]="N/A",0,YEAR(tbRegistroSaidas[[#This Row],[DATA DE CAIXA REALIZADO]]))</f>
        <v>2022</v>
      </c>
      <c r="J293" s="5" t="str">
        <f>IF(tbRegistroSaidas[[#This Row],[DATA DE CAIXA REALIZADO]]="N/A","0",UPPER(TEXT(tbRegistroSaidas[[#This Row],[DATA DE CAIXA REALIZADO]],"mmm")))</f>
        <v>OUT</v>
      </c>
      <c r="K293" s="79" t="str">
        <f>IF(tbRegistroSaidas[[#This Row],[DATA DA COMPETÊNCIA]]="N/A","0",UPPER(TEXT(tbRegistroSaidas[[#This Row],[DATA DA COMPETÊNCIA]],"mmm")))</f>
        <v>SET</v>
      </c>
      <c r="L293" s="79">
        <f>IF(tbRegistroSaidas[[#This Row],[DATA DA COMPETÊNCIA]]="N/A",0,YEAR(tbRegistroSaidas[[#This Row],[DATA DA COMPETÊNCIA]]))</f>
        <v>2022</v>
      </c>
      <c r="M293" s="5" t="str">
        <f>IF(tbRegistroSaidas[[#This Row],[DATA DO CAIXA PREVISTO]]="N/A","0",UPPER(TEXT(tbRegistroSaidas[[#This Row],[DATA DO CAIXA PREVISTO]],"mmm")))</f>
        <v>OUT</v>
      </c>
      <c r="N293" s="5">
        <f>IF(tbRegistroSaidas[[#This Row],[DATA DO CAIXA PREVISTO]]="N/A",0,YEAR(tbRegistroSaidas[[#This Row],[DATA DO CAIXA PREVISTO]]))</f>
        <v>2022</v>
      </c>
    </row>
    <row r="294" spans="1:14" s="5" customFormat="1" ht="14.4" x14ac:dyDescent="0.3">
      <c r="A294" s="49">
        <v>44335</v>
      </c>
      <c r="B294" s="49">
        <f t="shared" si="8"/>
        <v>44304</v>
      </c>
      <c r="C294" s="49">
        <f t="shared" si="9"/>
        <v>44320</v>
      </c>
      <c r="D294" s="52" t="s">
        <v>138</v>
      </c>
      <c r="E294" s="52" t="s">
        <v>1543</v>
      </c>
      <c r="F294" s="52" t="s">
        <v>17</v>
      </c>
      <c r="G294" s="52" t="s">
        <v>1361</v>
      </c>
      <c r="H294" s="18">
        <v>2375</v>
      </c>
      <c r="I294" s="5">
        <f>IF(tbRegistroSaidas[[#This Row],[DATA DE CAIXA REALIZADO]]="N/A",0,YEAR(tbRegistroSaidas[[#This Row],[DATA DE CAIXA REALIZADO]]))</f>
        <v>2021</v>
      </c>
      <c r="J294" s="5" t="str">
        <f>IF(tbRegistroSaidas[[#This Row],[DATA DE CAIXA REALIZADO]]="N/A","0",UPPER(TEXT(tbRegistroSaidas[[#This Row],[DATA DE CAIXA REALIZADO]],"mmm")))</f>
        <v>MAI</v>
      </c>
      <c r="K294" s="79" t="str">
        <f>IF(tbRegistroSaidas[[#This Row],[DATA DA COMPETÊNCIA]]="N/A","0",UPPER(TEXT(tbRegistroSaidas[[#This Row],[DATA DA COMPETÊNCIA]],"mmm")))</f>
        <v>ABR</v>
      </c>
      <c r="L294" s="79">
        <f>IF(tbRegistroSaidas[[#This Row],[DATA DA COMPETÊNCIA]]="N/A",0,YEAR(tbRegistroSaidas[[#This Row],[DATA DA COMPETÊNCIA]]))</f>
        <v>2021</v>
      </c>
      <c r="M294" s="5" t="str">
        <f>IF(tbRegistroSaidas[[#This Row],[DATA DO CAIXA PREVISTO]]="N/A","0",UPPER(TEXT(tbRegistroSaidas[[#This Row],[DATA DO CAIXA PREVISTO]],"mmm")))</f>
        <v>MAI</v>
      </c>
      <c r="N294" s="5">
        <f>IF(tbRegistroSaidas[[#This Row],[DATA DO CAIXA PREVISTO]]="N/A",0,YEAR(tbRegistroSaidas[[#This Row],[DATA DO CAIXA PREVISTO]]))</f>
        <v>2021</v>
      </c>
    </row>
    <row r="295" spans="1:14" s="5" customFormat="1" ht="14.4" x14ac:dyDescent="0.3">
      <c r="A295" s="49">
        <v>44767</v>
      </c>
      <c r="B295" s="49">
        <f t="shared" si="8"/>
        <v>44736</v>
      </c>
      <c r="C295" s="49">
        <f t="shared" si="9"/>
        <v>44752</v>
      </c>
      <c r="D295" s="52" t="s">
        <v>137</v>
      </c>
      <c r="E295" s="52" t="s">
        <v>1543</v>
      </c>
      <c r="F295" s="52" t="s">
        <v>18</v>
      </c>
      <c r="G295" s="52" t="s">
        <v>1362</v>
      </c>
      <c r="H295" s="18">
        <v>1924</v>
      </c>
      <c r="I295" s="5">
        <f>IF(tbRegistroSaidas[[#This Row],[DATA DE CAIXA REALIZADO]]="N/A",0,YEAR(tbRegistroSaidas[[#This Row],[DATA DE CAIXA REALIZADO]]))</f>
        <v>2022</v>
      </c>
      <c r="J295" s="5" t="str">
        <f>IF(tbRegistroSaidas[[#This Row],[DATA DE CAIXA REALIZADO]]="N/A","0",UPPER(TEXT(tbRegistroSaidas[[#This Row],[DATA DE CAIXA REALIZADO]],"mmm")))</f>
        <v>JUL</v>
      </c>
      <c r="K295" s="79" t="str">
        <f>IF(tbRegistroSaidas[[#This Row],[DATA DA COMPETÊNCIA]]="N/A","0",UPPER(TEXT(tbRegistroSaidas[[#This Row],[DATA DA COMPETÊNCIA]],"mmm")))</f>
        <v>JUN</v>
      </c>
      <c r="L295" s="79">
        <f>IF(tbRegistroSaidas[[#This Row],[DATA DA COMPETÊNCIA]]="N/A",0,YEAR(tbRegistroSaidas[[#This Row],[DATA DA COMPETÊNCIA]]))</f>
        <v>2022</v>
      </c>
      <c r="M295" s="5" t="str">
        <f>IF(tbRegistroSaidas[[#This Row],[DATA DO CAIXA PREVISTO]]="N/A","0",UPPER(TEXT(tbRegistroSaidas[[#This Row],[DATA DO CAIXA PREVISTO]],"mmm")))</f>
        <v>JUL</v>
      </c>
      <c r="N295" s="5">
        <f>IF(tbRegistroSaidas[[#This Row],[DATA DO CAIXA PREVISTO]]="N/A",0,YEAR(tbRegistroSaidas[[#This Row],[DATA DO CAIXA PREVISTO]]))</f>
        <v>2022</v>
      </c>
    </row>
    <row r="296" spans="1:14" s="5" customFormat="1" ht="14.4" x14ac:dyDescent="0.3">
      <c r="A296" s="49">
        <v>44695</v>
      </c>
      <c r="B296" s="49">
        <f t="shared" si="8"/>
        <v>44664</v>
      </c>
      <c r="C296" s="49">
        <f t="shared" si="9"/>
        <v>44680</v>
      </c>
      <c r="D296" s="52" t="s">
        <v>138</v>
      </c>
      <c r="E296" s="52" t="s">
        <v>1543</v>
      </c>
      <c r="F296" s="52" t="s">
        <v>32</v>
      </c>
      <c r="G296" s="52" t="s">
        <v>1363</v>
      </c>
      <c r="H296" s="18">
        <v>2872</v>
      </c>
      <c r="I296" s="5">
        <f>IF(tbRegistroSaidas[[#This Row],[DATA DE CAIXA REALIZADO]]="N/A",0,YEAR(tbRegistroSaidas[[#This Row],[DATA DE CAIXA REALIZADO]]))</f>
        <v>2022</v>
      </c>
      <c r="J296" s="5" t="str">
        <f>IF(tbRegistroSaidas[[#This Row],[DATA DE CAIXA REALIZADO]]="N/A","0",UPPER(TEXT(tbRegistroSaidas[[#This Row],[DATA DE CAIXA REALIZADO]],"mmm")))</f>
        <v>MAI</v>
      </c>
      <c r="K296" s="79" t="str">
        <f>IF(tbRegistroSaidas[[#This Row],[DATA DA COMPETÊNCIA]]="N/A","0",UPPER(TEXT(tbRegistroSaidas[[#This Row],[DATA DA COMPETÊNCIA]],"mmm")))</f>
        <v>ABR</v>
      </c>
      <c r="L296" s="79">
        <f>IF(tbRegistroSaidas[[#This Row],[DATA DA COMPETÊNCIA]]="N/A",0,YEAR(tbRegistroSaidas[[#This Row],[DATA DA COMPETÊNCIA]]))</f>
        <v>2022</v>
      </c>
      <c r="M296" s="5" t="str">
        <f>IF(tbRegistroSaidas[[#This Row],[DATA DO CAIXA PREVISTO]]="N/A","0",UPPER(TEXT(tbRegistroSaidas[[#This Row],[DATA DO CAIXA PREVISTO]],"mmm")))</f>
        <v>ABR</v>
      </c>
      <c r="N296" s="5">
        <f>IF(tbRegistroSaidas[[#This Row],[DATA DO CAIXA PREVISTO]]="N/A",0,YEAR(tbRegistroSaidas[[#This Row],[DATA DO CAIXA PREVISTO]]))</f>
        <v>2022</v>
      </c>
    </row>
    <row r="297" spans="1:14" s="5" customFormat="1" ht="14.4" x14ac:dyDescent="0.3">
      <c r="A297" s="49">
        <v>45066</v>
      </c>
      <c r="B297" s="49">
        <f t="shared" si="8"/>
        <v>45035</v>
      </c>
      <c r="C297" s="49">
        <f t="shared" si="9"/>
        <v>45051</v>
      </c>
      <c r="D297" s="52" t="s">
        <v>67</v>
      </c>
      <c r="E297" s="52" t="s">
        <v>1543</v>
      </c>
      <c r="F297" s="52" t="s">
        <v>19</v>
      </c>
      <c r="G297" s="52" t="s">
        <v>1364</v>
      </c>
      <c r="H297" s="18">
        <v>2519</v>
      </c>
      <c r="I297" s="5">
        <f>IF(tbRegistroSaidas[[#This Row],[DATA DE CAIXA REALIZADO]]="N/A",0,YEAR(tbRegistroSaidas[[#This Row],[DATA DE CAIXA REALIZADO]]))</f>
        <v>2023</v>
      </c>
      <c r="J297" s="5" t="str">
        <f>IF(tbRegistroSaidas[[#This Row],[DATA DE CAIXA REALIZADO]]="N/A","0",UPPER(TEXT(tbRegistroSaidas[[#This Row],[DATA DE CAIXA REALIZADO]],"mmm")))</f>
        <v>MAI</v>
      </c>
      <c r="K297" s="79" t="str">
        <f>IF(tbRegistroSaidas[[#This Row],[DATA DA COMPETÊNCIA]]="N/A","0",UPPER(TEXT(tbRegistroSaidas[[#This Row],[DATA DA COMPETÊNCIA]],"mmm")))</f>
        <v>ABR</v>
      </c>
      <c r="L297" s="79">
        <f>IF(tbRegistroSaidas[[#This Row],[DATA DA COMPETÊNCIA]]="N/A",0,YEAR(tbRegistroSaidas[[#This Row],[DATA DA COMPETÊNCIA]]))</f>
        <v>2023</v>
      </c>
      <c r="M297" s="5" t="str">
        <f>IF(tbRegistroSaidas[[#This Row],[DATA DO CAIXA PREVISTO]]="N/A","0",UPPER(TEXT(tbRegistroSaidas[[#This Row],[DATA DO CAIXA PREVISTO]],"mmm")))</f>
        <v>MAI</v>
      </c>
      <c r="N297" s="5">
        <f>IF(tbRegistroSaidas[[#This Row],[DATA DO CAIXA PREVISTO]]="N/A",0,YEAR(tbRegistroSaidas[[#This Row],[DATA DO CAIXA PREVISTO]]))</f>
        <v>2023</v>
      </c>
    </row>
    <row r="298" spans="1:14" s="5" customFormat="1" ht="14.4" x14ac:dyDescent="0.3">
      <c r="A298" s="49">
        <v>44306</v>
      </c>
      <c r="B298" s="49">
        <f t="shared" si="8"/>
        <v>44275</v>
      </c>
      <c r="C298" s="49">
        <f t="shared" si="9"/>
        <v>44291</v>
      </c>
      <c r="D298" s="52" t="s">
        <v>63</v>
      </c>
      <c r="E298" s="52" t="s">
        <v>1543</v>
      </c>
      <c r="F298" s="52" t="s">
        <v>19</v>
      </c>
      <c r="G298" s="52" t="s">
        <v>1365</v>
      </c>
      <c r="H298" s="18">
        <v>2226</v>
      </c>
      <c r="I298" s="5">
        <f>IF(tbRegistroSaidas[[#This Row],[DATA DE CAIXA REALIZADO]]="N/A",0,YEAR(tbRegistroSaidas[[#This Row],[DATA DE CAIXA REALIZADO]]))</f>
        <v>2021</v>
      </c>
      <c r="J298" s="5" t="str">
        <f>IF(tbRegistroSaidas[[#This Row],[DATA DE CAIXA REALIZADO]]="N/A","0",UPPER(TEXT(tbRegistroSaidas[[#This Row],[DATA DE CAIXA REALIZADO]],"mmm")))</f>
        <v>ABR</v>
      </c>
      <c r="K298" s="79" t="str">
        <f>IF(tbRegistroSaidas[[#This Row],[DATA DA COMPETÊNCIA]]="N/A","0",UPPER(TEXT(tbRegistroSaidas[[#This Row],[DATA DA COMPETÊNCIA]],"mmm")))</f>
        <v>MAR</v>
      </c>
      <c r="L298" s="79">
        <f>IF(tbRegistroSaidas[[#This Row],[DATA DA COMPETÊNCIA]]="N/A",0,YEAR(tbRegistroSaidas[[#This Row],[DATA DA COMPETÊNCIA]]))</f>
        <v>2021</v>
      </c>
      <c r="M298" s="5" t="str">
        <f>IF(tbRegistroSaidas[[#This Row],[DATA DO CAIXA PREVISTO]]="N/A","0",UPPER(TEXT(tbRegistroSaidas[[#This Row],[DATA DO CAIXA PREVISTO]],"mmm")))</f>
        <v>ABR</v>
      </c>
      <c r="N298" s="5">
        <f>IF(tbRegistroSaidas[[#This Row],[DATA DO CAIXA PREVISTO]]="N/A",0,YEAR(tbRegistroSaidas[[#This Row],[DATA DO CAIXA PREVISTO]]))</f>
        <v>2021</v>
      </c>
    </row>
    <row r="299" spans="1:14" s="5" customFormat="1" ht="14.4" x14ac:dyDescent="0.3">
      <c r="A299" s="49">
        <v>44847</v>
      </c>
      <c r="B299" s="49">
        <f t="shared" si="8"/>
        <v>44816</v>
      </c>
      <c r="C299" s="49">
        <f t="shared" si="9"/>
        <v>44832</v>
      </c>
      <c r="D299" s="52" t="s">
        <v>137</v>
      </c>
      <c r="E299" s="52" t="s">
        <v>1543</v>
      </c>
      <c r="F299" s="52" t="s">
        <v>19</v>
      </c>
      <c r="G299" s="52" t="s">
        <v>1366</v>
      </c>
      <c r="H299" s="18">
        <v>159</v>
      </c>
      <c r="I299" s="5">
        <f>IF(tbRegistroSaidas[[#This Row],[DATA DE CAIXA REALIZADO]]="N/A",0,YEAR(tbRegistroSaidas[[#This Row],[DATA DE CAIXA REALIZADO]]))</f>
        <v>2022</v>
      </c>
      <c r="J299" s="5" t="str">
        <f>IF(tbRegistroSaidas[[#This Row],[DATA DE CAIXA REALIZADO]]="N/A","0",UPPER(TEXT(tbRegistroSaidas[[#This Row],[DATA DE CAIXA REALIZADO]],"mmm")))</f>
        <v>OUT</v>
      </c>
      <c r="K299" s="79" t="str">
        <f>IF(tbRegistroSaidas[[#This Row],[DATA DA COMPETÊNCIA]]="N/A","0",UPPER(TEXT(tbRegistroSaidas[[#This Row],[DATA DA COMPETÊNCIA]],"mmm")))</f>
        <v>SET</v>
      </c>
      <c r="L299" s="79">
        <f>IF(tbRegistroSaidas[[#This Row],[DATA DA COMPETÊNCIA]]="N/A",0,YEAR(tbRegistroSaidas[[#This Row],[DATA DA COMPETÊNCIA]]))</f>
        <v>2022</v>
      </c>
      <c r="M299" s="5" t="str">
        <f>IF(tbRegistroSaidas[[#This Row],[DATA DO CAIXA PREVISTO]]="N/A","0",UPPER(TEXT(tbRegistroSaidas[[#This Row],[DATA DO CAIXA PREVISTO]],"mmm")))</f>
        <v>SET</v>
      </c>
      <c r="N299" s="5">
        <f>IF(tbRegistroSaidas[[#This Row],[DATA DO CAIXA PREVISTO]]="N/A",0,YEAR(tbRegistroSaidas[[#This Row],[DATA DO CAIXA PREVISTO]]))</f>
        <v>2022</v>
      </c>
    </row>
    <row r="300" spans="1:14" s="5" customFormat="1" ht="14.4" x14ac:dyDescent="0.3">
      <c r="A300" s="49">
        <v>44489</v>
      </c>
      <c r="B300" s="49">
        <f t="shared" si="8"/>
        <v>44458</v>
      </c>
      <c r="C300" s="49">
        <f t="shared" si="9"/>
        <v>44474</v>
      </c>
      <c r="D300" s="52" t="s">
        <v>63</v>
      </c>
      <c r="E300" s="52" t="s">
        <v>1543</v>
      </c>
      <c r="F300" s="52" t="s">
        <v>16</v>
      </c>
      <c r="G300" s="52" t="s">
        <v>1367</v>
      </c>
      <c r="H300" s="18">
        <v>2471</v>
      </c>
      <c r="I300" s="5">
        <f>IF(tbRegistroSaidas[[#This Row],[DATA DE CAIXA REALIZADO]]="N/A",0,YEAR(tbRegistroSaidas[[#This Row],[DATA DE CAIXA REALIZADO]]))</f>
        <v>2021</v>
      </c>
      <c r="J300" s="5" t="str">
        <f>IF(tbRegistroSaidas[[#This Row],[DATA DE CAIXA REALIZADO]]="N/A","0",UPPER(TEXT(tbRegistroSaidas[[#This Row],[DATA DE CAIXA REALIZADO]],"mmm")))</f>
        <v>OUT</v>
      </c>
      <c r="K300" s="79" t="str">
        <f>IF(tbRegistroSaidas[[#This Row],[DATA DA COMPETÊNCIA]]="N/A","0",UPPER(TEXT(tbRegistroSaidas[[#This Row],[DATA DA COMPETÊNCIA]],"mmm")))</f>
        <v>SET</v>
      </c>
      <c r="L300" s="79">
        <f>IF(tbRegistroSaidas[[#This Row],[DATA DA COMPETÊNCIA]]="N/A",0,YEAR(tbRegistroSaidas[[#This Row],[DATA DA COMPETÊNCIA]]))</f>
        <v>2021</v>
      </c>
      <c r="M300" s="5" t="str">
        <f>IF(tbRegistroSaidas[[#This Row],[DATA DO CAIXA PREVISTO]]="N/A","0",UPPER(TEXT(tbRegistroSaidas[[#This Row],[DATA DO CAIXA PREVISTO]],"mmm")))</f>
        <v>OUT</v>
      </c>
      <c r="N300" s="5">
        <f>IF(tbRegistroSaidas[[#This Row],[DATA DO CAIXA PREVISTO]]="N/A",0,YEAR(tbRegistroSaidas[[#This Row],[DATA DO CAIXA PREVISTO]]))</f>
        <v>2021</v>
      </c>
    </row>
    <row r="301" spans="1:14" s="5" customFormat="1" ht="14.4" x14ac:dyDescent="0.3">
      <c r="A301" s="49">
        <v>44685</v>
      </c>
      <c r="B301" s="49">
        <f t="shared" si="8"/>
        <v>44654</v>
      </c>
      <c r="C301" s="49">
        <f t="shared" si="9"/>
        <v>44670</v>
      </c>
      <c r="D301" s="52" t="s">
        <v>64</v>
      </c>
      <c r="E301" s="52" t="s">
        <v>1543</v>
      </c>
      <c r="F301" s="52" t="s">
        <v>16</v>
      </c>
      <c r="G301" s="52" t="s">
        <v>1368</v>
      </c>
      <c r="H301" s="18">
        <v>2593</v>
      </c>
      <c r="I301" s="5">
        <f>IF(tbRegistroSaidas[[#This Row],[DATA DE CAIXA REALIZADO]]="N/A",0,YEAR(tbRegistroSaidas[[#This Row],[DATA DE CAIXA REALIZADO]]))</f>
        <v>2022</v>
      </c>
      <c r="J301" s="5" t="str">
        <f>IF(tbRegistroSaidas[[#This Row],[DATA DE CAIXA REALIZADO]]="N/A","0",UPPER(TEXT(tbRegistroSaidas[[#This Row],[DATA DE CAIXA REALIZADO]],"mmm")))</f>
        <v>MAI</v>
      </c>
      <c r="K301" s="79" t="str">
        <f>IF(tbRegistroSaidas[[#This Row],[DATA DA COMPETÊNCIA]]="N/A","0",UPPER(TEXT(tbRegistroSaidas[[#This Row],[DATA DA COMPETÊNCIA]],"mmm")))</f>
        <v>ABR</v>
      </c>
      <c r="L301" s="79">
        <f>IF(tbRegistroSaidas[[#This Row],[DATA DA COMPETÊNCIA]]="N/A",0,YEAR(tbRegistroSaidas[[#This Row],[DATA DA COMPETÊNCIA]]))</f>
        <v>2022</v>
      </c>
      <c r="M301" s="5" t="str">
        <f>IF(tbRegistroSaidas[[#This Row],[DATA DO CAIXA PREVISTO]]="N/A","0",UPPER(TEXT(tbRegistroSaidas[[#This Row],[DATA DO CAIXA PREVISTO]],"mmm")))</f>
        <v>ABR</v>
      </c>
      <c r="N301" s="5">
        <f>IF(tbRegistroSaidas[[#This Row],[DATA DO CAIXA PREVISTO]]="N/A",0,YEAR(tbRegistroSaidas[[#This Row],[DATA DO CAIXA PREVISTO]]))</f>
        <v>2022</v>
      </c>
    </row>
    <row r="302" spans="1:14" s="5" customFormat="1" ht="14.4" x14ac:dyDescent="0.3">
      <c r="A302" s="49">
        <v>44277</v>
      </c>
      <c r="B302" s="49">
        <f t="shared" si="8"/>
        <v>44246</v>
      </c>
      <c r="C302" s="49">
        <f t="shared" si="9"/>
        <v>44262</v>
      </c>
      <c r="D302" s="52" t="s">
        <v>137</v>
      </c>
      <c r="E302" s="52" t="s">
        <v>1543</v>
      </c>
      <c r="F302" s="52" t="s">
        <v>16</v>
      </c>
      <c r="G302" s="52" t="s">
        <v>1369</v>
      </c>
      <c r="H302" s="18">
        <v>1676</v>
      </c>
      <c r="I302" s="5">
        <f>IF(tbRegistroSaidas[[#This Row],[DATA DE CAIXA REALIZADO]]="N/A",0,YEAR(tbRegistroSaidas[[#This Row],[DATA DE CAIXA REALIZADO]]))</f>
        <v>2021</v>
      </c>
      <c r="J302" s="5" t="str">
        <f>IF(tbRegistroSaidas[[#This Row],[DATA DE CAIXA REALIZADO]]="N/A","0",UPPER(TEXT(tbRegistroSaidas[[#This Row],[DATA DE CAIXA REALIZADO]],"mmm")))</f>
        <v>MAR</v>
      </c>
      <c r="K302" s="79" t="str">
        <f>IF(tbRegistroSaidas[[#This Row],[DATA DA COMPETÊNCIA]]="N/A","0",UPPER(TEXT(tbRegistroSaidas[[#This Row],[DATA DA COMPETÊNCIA]],"mmm")))</f>
        <v>FEV</v>
      </c>
      <c r="L302" s="79">
        <f>IF(tbRegistroSaidas[[#This Row],[DATA DA COMPETÊNCIA]]="N/A",0,YEAR(tbRegistroSaidas[[#This Row],[DATA DA COMPETÊNCIA]]))</f>
        <v>2021</v>
      </c>
      <c r="M302" s="5" t="str">
        <f>IF(tbRegistroSaidas[[#This Row],[DATA DO CAIXA PREVISTO]]="N/A","0",UPPER(TEXT(tbRegistroSaidas[[#This Row],[DATA DO CAIXA PREVISTO]],"mmm")))</f>
        <v>MAR</v>
      </c>
      <c r="N302" s="5">
        <f>IF(tbRegistroSaidas[[#This Row],[DATA DO CAIXA PREVISTO]]="N/A",0,YEAR(tbRegistroSaidas[[#This Row],[DATA DO CAIXA PREVISTO]]))</f>
        <v>2021</v>
      </c>
    </row>
    <row r="303" spans="1:14" s="5" customFormat="1" ht="14.4" x14ac:dyDescent="0.3">
      <c r="A303" s="49">
        <v>44309</v>
      </c>
      <c r="B303" s="49">
        <f t="shared" si="8"/>
        <v>44278</v>
      </c>
      <c r="C303" s="49">
        <f t="shared" si="9"/>
        <v>44294</v>
      </c>
      <c r="D303" s="52" t="s">
        <v>61</v>
      </c>
      <c r="E303" s="52" t="s">
        <v>1543</v>
      </c>
      <c r="F303" s="52" t="s">
        <v>18</v>
      </c>
      <c r="G303" s="52" t="s">
        <v>1370</v>
      </c>
      <c r="H303" s="18">
        <v>2059</v>
      </c>
      <c r="I303" s="5">
        <f>IF(tbRegistroSaidas[[#This Row],[DATA DE CAIXA REALIZADO]]="N/A",0,YEAR(tbRegistroSaidas[[#This Row],[DATA DE CAIXA REALIZADO]]))</f>
        <v>2021</v>
      </c>
      <c r="J303" s="5" t="str">
        <f>IF(tbRegistroSaidas[[#This Row],[DATA DE CAIXA REALIZADO]]="N/A","0",UPPER(TEXT(tbRegistroSaidas[[#This Row],[DATA DE CAIXA REALIZADO]],"mmm")))</f>
        <v>ABR</v>
      </c>
      <c r="K303" s="79" t="str">
        <f>IF(tbRegistroSaidas[[#This Row],[DATA DA COMPETÊNCIA]]="N/A","0",UPPER(TEXT(tbRegistroSaidas[[#This Row],[DATA DA COMPETÊNCIA]],"mmm")))</f>
        <v>MAR</v>
      </c>
      <c r="L303" s="79">
        <f>IF(tbRegistroSaidas[[#This Row],[DATA DA COMPETÊNCIA]]="N/A",0,YEAR(tbRegistroSaidas[[#This Row],[DATA DA COMPETÊNCIA]]))</f>
        <v>2021</v>
      </c>
      <c r="M303" s="5" t="str">
        <f>IF(tbRegistroSaidas[[#This Row],[DATA DO CAIXA PREVISTO]]="N/A","0",UPPER(TEXT(tbRegistroSaidas[[#This Row],[DATA DO CAIXA PREVISTO]],"mmm")))</f>
        <v>ABR</v>
      </c>
      <c r="N303" s="5">
        <f>IF(tbRegistroSaidas[[#This Row],[DATA DO CAIXA PREVISTO]]="N/A",0,YEAR(tbRegistroSaidas[[#This Row],[DATA DO CAIXA PREVISTO]]))</f>
        <v>2021</v>
      </c>
    </row>
    <row r="304" spans="1:14" s="5" customFormat="1" ht="14.4" x14ac:dyDescent="0.3">
      <c r="A304" s="49">
        <v>44311</v>
      </c>
      <c r="B304" s="49">
        <f t="shared" si="8"/>
        <v>44280</v>
      </c>
      <c r="C304" s="49">
        <f t="shared" si="9"/>
        <v>44296</v>
      </c>
      <c r="D304" s="52" t="s">
        <v>63</v>
      </c>
      <c r="E304" s="52" t="s">
        <v>1543</v>
      </c>
      <c r="F304" s="52" t="s">
        <v>19</v>
      </c>
      <c r="G304" s="52" t="s">
        <v>774</v>
      </c>
      <c r="H304" s="18">
        <v>1945</v>
      </c>
      <c r="I304" s="5">
        <f>IF(tbRegistroSaidas[[#This Row],[DATA DE CAIXA REALIZADO]]="N/A",0,YEAR(tbRegistroSaidas[[#This Row],[DATA DE CAIXA REALIZADO]]))</f>
        <v>2021</v>
      </c>
      <c r="J304" s="5" t="str">
        <f>IF(tbRegistroSaidas[[#This Row],[DATA DE CAIXA REALIZADO]]="N/A","0",UPPER(TEXT(tbRegistroSaidas[[#This Row],[DATA DE CAIXA REALIZADO]],"mmm")))</f>
        <v>ABR</v>
      </c>
      <c r="K304" s="79" t="str">
        <f>IF(tbRegistroSaidas[[#This Row],[DATA DA COMPETÊNCIA]]="N/A","0",UPPER(TEXT(tbRegistroSaidas[[#This Row],[DATA DA COMPETÊNCIA]],"mmm")))</f>
        <v>MAR</v>
      </c>
      <c r="L304" s="79">
        <f>IF(tbRegistroSaidas[[#This Row],[DATA DA COMPETÊNCIA]]="N/A",0,YEAR(tbRegistroSaidas[[#This Row],[DATA DA COMPETÊNCIA]]))</f>
        <v>2021</v>
      </c>
      <c r="M304" s="5" t="str">
        <f>IF(tbRegistroSaidas[[#This Row],[DATA DO CAIXA PREVISTO]]="N/A","0",UPPER(TEXT(tbRegistroSaidas[[#This Row],[DATA DO CAIXA PREVISTO]],"mmm")))</f>
        <v>ABR</v>
      </c>
      <c r="N304" s="5">
        <f>IF(tbRegistroSaidas[[#This Row],[DATA DO CAIXA PREVISTO]]="N/A",0,YEAR(tbRegistroSaidas[[#This Row],[DATA DO CAIXA PREVISTO]]))</f>
        <v>2021</v>
      </c>
    </row>
    <row r="305" spans="1:14" s="5" customFormat="1" ht="14.4" x14ac:dyDescent="0.3">
      <c r="A305" s="49">
        <v>44211</v>
      </c>
      <c r="B305" s="49">
        <f t="shared" si="8"/>
        <v>44180</v>
      </c>
      <c r="C305" s="49">
        <f t="shared" si="9"/>
        <v>44196</v>
      </c>
      <c r="D305" s="52" t="s">
        <v>64</v>
      </c>
      <c r="E305" s="52" t="s">
        <v>1543</v>
      </c>
      <c r="F305" s="52" t="s">
        <v>32</v>
      </c>
      <c r="G305" s="52" t="s">
        <v>246</v>
      </c>
      <c r="H305" s="18">
        <v>2064</v>
      </c>
      <c r="I305" s="5">
        <f>IF(tbRegistroSaidas[[#This Row],[DATA DE CAIXA REALIZADO]]="N/A",0,YEAR(tbRegistroSaidas[[#This Row],[DATA DE CAIXA REALIZADO]]))</f>
        <v>2021</v>
      </c>
      <c r="J305" s="5" t="str">
        <f>IF(tbRegistroSaidas[[#This Row],[DATA DE CAIXA REALIZADO]]="N/A","0",UPPER(TEXT(tbRegistroSaidas[[#This Row],[DATA DE CAIXA REALIZADO]],"mmm")))</f>
        <v>JAN</v>
      </c>
      <c r="K305" s="79" t="str">
        <f>IF(tbRegistroSaidas[[#This Row],[DATA DA COMPETÊNCIA]]="N/A","0",UPPER(TEXT(tbRegistroSaidas[[#This Row],[DATA DA COMPETÊNCIA]],"mmm")))</f>
        <v>DEZ</v>
      </c>
      <c r="L305" s="79">
        <f>IF(tbRegistroSaidas[[#This Row],[DATA DA COMPETÊNCIA]]="N/A",0,YEAR(tbRegistroSaidas[[#This Row],[DATA DA COMPETÊNCIA]]))</f>
        <v>2020</v>
      </c>
      <c r="M305" s="5" t="str">
        <f>IF(tbRegistroSaidas[[#This Row],[DATA DO CAIXA PREVISTO]]="N/A","0",UPPER(TEXT(tbRegistroSaidas[[#This Row],[DATA DO CAIXA PREVISTO]],"mmm")))</f>
        <v>DEZ</v>
      </c>
      <c r="N305" s="5">
        <f>IF(tbRegistroSaidas[[#This Row],[DATA DO CAIXA PREVISTO]]="N/A",0,YEAR(tbRegistroSaidas[[#This Row],[DATA DO CAIXA PREVISTO]]))</f>
        <v>2020</v>
      </c>
    </row>
    <row r="306" spans="1:14" s="5" customFormat="1" ht="14.4" x14ac:dyDescent="0.3">
      <c r="A306" s="49">
        <v>44778</v>
      </c>
      <c r="B306" s="49">
        <f t="shared" si="8"/>
        <v>44747</v>
      </c>
      <c r="C306" s="49">
        <f t="shared" si="9"/>
        <v>44763</v>
      </c>
      <c r="D306" s="52" t="s">
        <v>137</v>
      </c>
      <c r="E306" s="52" t="s">
        <v>1543</v>
      </c>
      <c r="F306" s="52" t="s">
        <v>32</v>
      </c>
      <c r="G306" s="52" t="s">
        <v>1371</v>
      </c>
      <c r="H306" s="18">
        <v>537</v>
      </c>
      <c r="I306" s="5">
        <f>IF(tbRegistroSaidas[[#This Row],[DATA DE CAIXA REALIZADO]]="N/A",0,YEAR(tbRegistroSaidas[[#This Row],[DATA DE CAIXA REALIZADO]]))</f>
        <v>2022</v>
      </c>
      <c r="J306" s="5" t="str">
        <f>IF(tbRegistroSaidas[[#This Row],[DATA DE CAIXA REALIZADO]]="N/A","0",UPPER(TEXT(tbRegistroSaidas[[#This Row],[DATA DE CAIXA REALIZADO]],"mmm")))</f>
        <v>AGO</v>
      </c>
      <c r="K306" s="79" t="str">
        <f>IF(tbRegistroSaidas[[#This Row],[DATA DA COMPETÊNCIA]]="N/A","0",UPPER(TEXT(tbRegistroSaidas[[#This Row],[DATA DA COMPETÊNCIA]],"mmm")))</f>
        <v>JUL</v>
      </c>
      <c r="L306" s="79">
        <f>IF(tbRegistroSaidas[[#This Row],[DATA DA COMPETÊNCIA]]="N/A",0,YEAR(tbRegistroSaidas[[#This Row],[DATA DA COMPETÊNCIA]]))</f>
        <v>2022</v>
      </c>
      <c r="M306" s="5" t="str">
        <f>IF(tbRegistroSaidas[[#This Row],[DATA DO CAIXA PREVISTO]]="N/A","0",UPPER(TEXT(tbRegistroSaidas[[#This Row],[DATA DO CAIXA PREVISTO]],"mmm")))</f>
        <v>JUL</v>
      </c>
      <c r="N306" s="5">
        <f>IF(tbRegistroSaidas[[#This Row],[DATA DO CAIXA PREVISTO]]="N/A",0,YEAR(tbRegistroSaidas[[#This Row],[DATA DO CAIXA PREVISTO]]))</f>
        <v>2022</v>
      </c>
    </row>
    <row r="307" spans="1:14" s="5" customFormat="1" ht="14.4" x14ac:dyDescent="0.3">
      <c r="A307" s="49">
        <v>44493</v>
      </c>
      <c r="B307" s="49">
        <f t="shared" si="8"/>
        <v>44462</v>
      </c>
      <c r="C307" s="49">
        <f t="shared" si="9"/>
        <v>44478</v>
      </c>
      <c r="D307" s="52" t="s">
        <v>61</v>
      </c>
      <c r="E307" s="52" t="s">
        <v>1543</v>
      </c>
      <c r="F307" s="52" t="s">
        <v>19</v>
      </c>
      <c r="G307" s="52" t="s">
        <v>1128</v>
      </c>
      <c r="H307" s="18">
        <v>3282</v>
      </c>
      <c r="I307" s="5">
        <f>IF(tbRegistroSaidas[[#This Row],[DATA DE CAIXA REALIZADO]]="N/A",0,YEAR(tbRegistroSaidas[[#This Row],[DATA DE CAIXA REALIZADO]]))</f>
        <v>2021</v>
      </c>
      <c r="J307" s="5" t="str">
        <f>IF(tbRegistroSaidas[[#This Row],[DATA DE CAIXA REALIZADO]]="N/A","0",UPPER(TEXT(tbRegistroSaidas[[#This Row],[DATA DE CAIXA REALIZADO]],"mmm")))</f>
        <v>OUT</v>
      </c>
      <c r="K307" s="79" t="str">
        <f>IF(tbRegistroSaidas[[#This Row],[DATA DA COMPETÊNCIA]]="N/A","0",UPPER(TEXT(tbRegistroSaidas[[#This Row],[DATA DA COMPETÊNCIA]],"mmm")))</f>
        <v>SET</v>
      </c>
      <c r="L307" s="79">
        <f>IF(tbRegistroSaidas[[#This Row],[DATA DA COMPETÊNCIA]]="N/A",0,YEAR(tbRegistroSaidas[[#This Row],[DATA DA COMPETÊNCIA]]))</f>
        <v>2021</v>
      </c>
      <c r="M307" s="5" t="str">
        <f>IF(tbRegistroSaidas[[#This Row],[DATA DO CAIXA PREVISTO]]="N/A","0",UPPER(TEXT(tbRegistroSaidas[[#This Row],[DATA DO CAIXA PREVISTO]],"mmm")))</f>
        <v>OUT</v>
      </c>
      <c r="N307" s="5">
        <f>IF(tbRegistroSaidas[[#This Row],[DATA DO CAIXA PREVISTO]]="N/A",0,YEAR(tbRegistroSaidas[[#This Row],[DATA DO CAIXA PREVISTO]]))</f>
        <v>2021</v>
      </c>
    </row>
    <row r="308" spans="1:14" s="5" customFormat="1" ht="14.4" x14ac:dyDescent="0.3">
      <c r="A308" s="49">
        <v>44279</v>
      </c>
      <c r="B308" s="49">
        <f t="shared" si="8"/>
        <v>44248</v>
      </c>
      <c r="C308" s="49">
        <f t="shared" si="9"/>
        <v>44264</v>
      </c>
      <c r="D308" s="52" t="s">
        <v>66</v>
      </c>
      <c r="E308" s="52" t="s">
        <v>1543</v>
      </c>
      <c r="F308" s="52" t="s">
        <v>19</v>
      </c>
      <c r="G308" s="52" t="s">
        <v>1372</v>
      </c>
      <c r="H308" s="18">
        <v>2834</v>
      </c>
      <c r="I308" s="5">
        <f>IF(tbRegistroSaidas[[#This Row],[DATA DE CAIXA REALIZADO]]="N/A",0,YEAR(tbRegistroSaidas[[#This Row],[DATA DE CAIXA REALIZADO]]))</f>
        <v>2021</v>
      </c>
      <c r="J308" s="5" t="str">
        <f>IF(tbRegistroSaidas[[#This Row],[DATA DE CAIXA REALIZADO]]="N/A","0",UPPER(TEXT(tbRegistroSaidas[[#This Row],[DATA DE CAIXA REALIZADO]],"mmm")))</f>
        <v>MAR</v>
      </c>
      <c r="K308" s="79" t="str">
        <f>IF(tbRegistroSaidas[[#This Row],[DATA DA COMPETÊNCIA]]="N/A","0",UPPER(TEXT(tbRegistroSaidas[[#This Row],[DATA DA COMPETÊNCIA]],"mmm")))</f>
        <v>FEV</v>
      </c>
      <c r="L308" s="79">
        <f>IF(tbRegistroSaidas[[#This Row],[DATA DA COMPETÊNCIA]]="N/A",0,YEAR(tbRegistroSaidas[[#This Row],[DATA DA COMPETÊNCIA]]))</f>
        <v>2021</v>
      </c>
      <c r="M308" s="5" t="str">
        <f>IF(tbRegistroSaidas[[#This Row],[DATA DO CAIXA PREVISTO]]="N/A","0",UPPER(TEXT(tbRegistroSaidas[[#This Row],[DATA DO CAIXA PREVISTO]],"mmm")))</f>
        <v>MAR</v>
      </c>
      <c r="N308" s="5">
        <f>IF(tbRegistroSaidas[[#This Row],[DATA DO CAIXA PREVISTO]]="N/A",0,YEAR(tbRegistroSaidas[[#This Row],[DATA DO CAIXA PREVISTO]]))</f>
        <v>2021</v>
      </c>
    </row>
    <row r="309" spans="1:14" s="5" customFormat="1" ht="14.4" x14ac:dyDescent="0.3">
      <c r="A309" s="49">
        <v>44574</v>
      </c>
      <c r="B309" s="49">
        <f t="shared" si="8"/>
        <v>44543</v>
      </c>
      <c r="C309" s="49">
        <f t="shared" si="9"/>
        <v>44559</v>
      </c>
      <c r="D309" s="52" t="s">
        <v>138</v>
      </c>
      <c r="E309" s="52" t="s">
        <v>1543</v>
      </c>
      <c r="F309" s="52" t="s">
        <v>18</v>
      </c>
      <c r="G309" s="52" t="s">
        <v>1373</v>
      </c>
      <c r="H309" s="18">
        <v>748</v>
      </c>
      <c r="I309" s="5">
        <f>IF(tbRegistroSaidas[[#This Row],[DATA DE CAIXA REALIZADO]]="N/A",0,YEAR(tbRegistroSaidas[[#This Row],[DATA DE CAIXA REALIZADO]]))</f>
        <v>2022</v>
      </c>
      <c r="J309" s="5" t="str">
        <f>IF(tbRegistroSaidas[[#This Row],[DATA DE CAIXA REALIZADO]]="N/A","0",UPPER(TEXT(tbRegistroSaidas[[#This Row],[DATA DE CAIXA REALIZADO]],"mmm")))</f>
        <v>JAN</v>
      </c>
      <c r="K309" s="79" t="str">
        <f>IF(tbRegistroSaidas[[#This Row],[DATA DA COMPETÊNCIA]]="N/A","0",UPPER(TEXT(tbRegistroSaidas[[#This Row],[DATA DA COMPETÊNCIA]],"mmm")))</f>
        <v>DEZ</v>
      </c>
      <c r="L309" s="79">
        <f>IF(tbRegistroSaidas[[#This Row],[DATA DA COMPETÊNCIA]]="N/A",0,YEAR(tbRegistroSaidas[[#This Row],[DATA DA COMPETÊNCIA]]))</f>
        <v>2021</v>
      </c>
      <c r="M309" s="5" t="str">
        <f>IF(tbRegistroSaidas[[#This Row],[DATA DO CAIXA PREVISTO]]="N/A","0",UPPER(TEXT(tbRegistroSaidas[[#This Row],[DATA DO CAIXA PREVISTO]],"mmm")))</f>
        <v>DEZ</v>
      </c>
      <c r="N309" s="5">
        <f>IF(tbRegistroSaidas[[#This Row],[DATA DO CAIXA PREVISTO]]="N/A",0,YEAR(tbRegistroSaidas[[#This Row],[DATA DO CAIXA PREVISTO]]))</f>
        <v>2021</v>
      </c>
    </row>
    <row r="310" spans="1:14" s="5" customFormat="1" ht="14.4" x14ac:dyDescent="0.3">
      <c r="A310" s="49">
        <v>45236</v>
      </c>
      <c r="B310" s="49">
        <f t="shared" si="8"/>
        <v>45205</v>
      </c>
      <c r="C310" s="49">
        <f t="shared" si="9"/>
        <v>45221</v>
      </c>
      <c r="D310" s="52" t="s">
        <v>66</v>
      </c>
      <c r="E310" s="52" t="s">
        <v>1543</v>
      </c>
      <c r="F310" s="52" t="s">
        <v>17</v>
      </c>
      <c r="G310" s="52" t="s">
        <v>198</v>
      </c>
      <c r="H310" s="18">
        <v>1567</v>
      </c>
      <c r="I310" s="5">
        <f>IF(tbRegistroSaidas[[#This Row],[DATA DE CAIXA REALIZADO]]="N/A",0,YEAR(tbRegistroSaidas[[#This Row],[DATA DE CAIXA REALIZADO]]))</f>
        <v>2023</v>
      </c>
      <c r="J310" s="5" t="str">
        <f>IF(tbRegistroSaidas[[#This Row],[DATA DE CAIXA REALIZADO]]="N/A","0",UPPER(TEXT(tbRegistroSaidas[[#This Row],[DATA DE CAIXA REALIZADO]],"mmm")))</f>
        <v>NOV</v>
      </c>
      <c r="K310" s="79" t="str">
        <f>IF(tbRegistroSaidas[[#This Row],[DATA DA COMPETÊNCIA]]="N/A","0",UPPER(TEXT(tbRegistroSaidas[[#This Row],[DATA DA COMPETÊNCIA]],"mmm")))</f>
        <v>OUT</v>
      </c>
      <c r="L310" s="79">
        <f>IF(tbRegistroSaidas[[#This Row],[DATA DA COMPETÊNCIA]]="N/A",0,YEAR(tbRegistroSaidas[[#This Row],[DATA DA COMPETÊNCIA]]))</f>
        <v>2023</v>
      </c>
      <c r="M310" s="5" t="str">
        <f>IF(tbRegistroSaidas[[#This Row],[DATA DO CAIXA PREVISTO]]="N/A","0",UPPER(TEXT(tbRegistroSaidas[[#This Row],[DATA DO CAIXA PREVISTO]],"mmm")))</f>
        <v>OUT</v>
      </c>
      <c r="N310" s="5">
        <f>IF(tbRegistroSaidas[[#This Row],[DATA DO CAIXA PREVISTO]]="N/A",0,YEAR(tbRegistroSaidas[[#This Row],[DATA DO CAIXA PREVISTO]]))</f>
        <v>2023</v>
      </c>
    </row>
    <row r="311" spans="1:14" s="5" customFormat="1" ht="14.4" x14ac:dyDescent="0.3">
      <c r="A311" s="49">
        <v>44881</v>
      </c>
      <c r="B311" s="49">
        <f t="shared" si="8"/>
        <v>44850</v>
      </c>
      <c r="C311" s="49">
        <f t="shared" si="9"/>
        <v>44866</v>
      </c>
      <c r="D311" s="52" t="s">
        <v>63</v>
      </c>
      <c r="E311" s="52" t="s">
        <v>1543</v>
      </c>
      <c r="F311" s="52" t="s">
        <v>18</v>
      </c>
      <c r="G311" s="52" t="s">
        <v>1374</v>
      </c>
      <c r="H311" s="18">
        <v>2986</v>
      </c>
      <c r="I311" s="5">
        <f>IF(tbRegistroSaidas[[#This Row],[DATA DE CAIXA REALIZADO]]="N/A",0,YEAR(tbRegistroSaidas[[#This Row],[DATA DE CAIXA REALIZADO]]))</f>
        <v>2022</v>
      </c>
      <c r="J311" s="5" t="str">
        <f>IF(tbRegistroSaidas[[#This Row],[DATA DE CAIXA REALIZADO]]="N/A","0",UPPER(TEXT(tbRegistroSaidas[[#This Row],[DATA DE CAIXA REALIZADO]],"mmm")))</f>
        <v>NOV</v>
      </c>
      <c r="K311" s="79" t="str">
        <f>IF(tbRegistroSaidas[[#This Row],[DATA DA COMPETÊNCIA]]="N/A","0",UPPER(TEXT(tbRegistroSaidas[[#This Row],[DATA DA COMPETÊNCIA]],"mmm")))</f>
        <v>OUT</v>
      </c>
      <c r="L311" s="79">
        <f>IF(tbRegistroSaidas[[#This Row],[DATA DA COMPETÊNCIA]]="N/A",0,YEAR(tbRegistroSaidas[[#This Row],[DATA DA COMPETÊNCIA]]))</f>
        <v>2022</v>
      </c>
      <c r="M311" s="5" t="str">
        <f>IF(tbRegistroSaidas[[#This Row],[DATA DO CAIXA PREVISTO]]="N/A","0",UPPER(TEXT(tbRegistroSaidas[[#This Row],[DATA DO CAIXA PREVISTO]],"mmm")))</f>
        <v>NOV</v>
      </c>
      <c r="N311" s="5">
        <f>IF(tbRegistroSaidas[[#This Row],[DATA DO CAIXA PREVISTO]]="N/A",0,YEAR(tbRegistroSaidas[[#This Row],[DATA DO CAIXA PREVISTO]]))</f>
        <v>2022</v>
      </c>
    </row>
    <row r="312" spans="1:14" s="5" customFormat="1" ht="14.4" x14ac:dyDescent="0.3">
      <c r="A312" s="49">
        <v>44279</v>
      </c>
      <c r="B312" s="49">
        <f t="shared" si="8"/>
        <v>44248</v>
      </c>
      <c r="C312" s="49">
        <f t="shared" si="9"/>
        <v>44264</v>
      </c>
      <c r="D312" s="52" t="s">
        <v>67</v>
      </c>
      <c r="E312" s="52" t="s">
        <v>1543</v>
      </c>
      <c r="F312" s="52" t="s">
        <v>16</v>
      </c>
      <c r="G312" s="52" t="s">
        <v>1375</v>
      </c>
      <c r="H312" s="18">
        <v>126</v>
      </c>
      <c r="I312" s="5">
        <f>IF(tbRegistroSaidas[[#This Row],[DATA DE CAIXA REALIZADO]]="N/A",0,YEAR(tbRegistroSaidas[[#This Row],[DATA DE CAIXA REALIZADO]]))</f>
        <v>2021</v>
      </c>
      <c r="J312" s="5" t="str">
        <f>IF(tbRegistroSaidas[[#This Row],[DATA DE CAIXA REALIZADO]]="N/A","0",UPPER(TEXT(tbRegistroSaidas[[#This Row],[DATA DE CAIXA REALIZADO]],"mmm")))</f>
        <v>MAR</v>
      </c>
      <c r="K312" s="79" t="str">
        <f>IF(tbRegistroSaidas[[#This Row],[DATA DA COMPETÊNCIA]]="N/A","0",UPPER(TEXT(tbRegistroSaidas[[#This Row],[DATA DA COMPETÊNCIA]],"mmm")))</f>
        <v>FEV</v>
      </c>
      <c r="L312" s="79">
        <f>IF(tbRegistroSaidas[[#This Row],[DATA DA COMPETÊNCIA]]="N/A",0,YEAR(tbRegistroSaidas[[#This Row],[DATA DA COMPETÊNCIA]]))</f>
        <v>2021</v>
      </c>
      <c r="M312" s="5" t="str">
        <f>IF(tbRegistroSaidas[[#This Row],[DATA DO CAIXA PREVISTO]]="N/A","0",UPPER(TEXT(tbRegistroSaidas[[#This Row],[DATA DO CAIXA PREVISTO]],"mmm")))</f>
        <v>MAR</v>
      </c>
      <c r="N312" s="5">
        <f>IF(tbRegistroSaidas[[#This Row],[DATA DO CAIXA PREVISTO]]="N/A",0,YEAR(tbRegistroSaidas[[#This Row],[DATA DO CAIXA PREVISTO]]))</f>
        <v>2021</v>
      </c>
    </row>
    <row r="313" spans="1:14" s="5" customFormat="1" ht="14.4" x14ac:dyDescent="0.3">
      <c r="A313" s="49">
        <v>44284</v>
      </c>
      <c r="B313" s="49">
        <f t="shared" si="8"/>
        <v>44253</v>
      </c>
      <c r="C313" s="49">
        <f t="shared" si="9"/>
        <v>44269</v>
      </c>
      <c r="D313" s="52" t="s">
        <v>65</v>
      </c>
      <c r="E313" s="52" t="s">
        <v>1543</v>
      </c>
      <c r="F313" s="52" t="s">
        <v>19</v>
      </c>
      <c r="G313" s="52" t="s">
        <v>1376</v>
      </c>
      <c r="H313" s="18">
        <v>3967</v>
      </c>
      <c r="I313" s="5">
        <f>IF(tbRegistroSaidas[[#This Row],[DATA DE CAIXA REALIZADO]]="N/A",0,YEAR(tbRegistroSaidas[[#This Row],[DATA DE CAIXA REALIZADO]]))</f>
        <v>2021</v>
      </c>
      <c r="J313" s="5" t="str">
        <f>IF(tbRegistroSaidas[[#This Row],[DATA DE CAIXA REALIZADO]]="N/A","0",UPPER(TEXT(tbRegistroSaidas[[#This Row],[DATA DE CAIXA REALIZADO]],"mmm")))</f>
        <v>MAR</v>
      </c>
      <c r="K313" s="79" t="str">
        <f>IF(tbRegistroSaidas[[#This Row],[DATA DA COMPETÊNCIA]]="N/A","0",UPPER(TEXT(tbRegistroSaidas[[#This Row],[DATA DA COMPETÊNCIA]],"mmm")))</f>
        <v>FEV</v>
      </c>
      <c r="L313" s="79">
        <f>IF(tbRegistroSaidas[[#This Row],[DATA DA COMPETÊNCIA]]="N/A",0,YEAR(tbRegistroSaidas[[#This Row],[DATA DA COMPETÊNCIA]]))</f>
        <v>2021</v>
      </c>
      <c r="M313" s="5" t="str">
        <f>IF(tbRegistroSaidas[[#This Row],[DATA DO CAIXA PREVISTO]]="N/A","0",UPPER(TEXT(tbRegistroSaidas[[#This Row],[DATA DO CAIXA PREVISTO]],"mmm")))</f>
        <v>MAR</v>
      </c>
      <c r="N313" s="5">
        <f>IF(tbRegistroSaidas[[#This Row],[DATA DO CAIXA PREVISTO]]="N/A",0,YEAR(tbRegistroSaidas[[#This Row],[DATA DO CAIXA PREVISTO]]))</f>
        <v>2021</v>
      </c>
    </row>
    <row r="314" spans="1:14" s="5" customFormat="1" ht="14.4" x14ac:dyDescent="0.3">
      <c r="A314" s="49">
        <v>44216</v>
      </c>
      <c r="B314" s="49">
        <f t="shared" si="8"/>
        <v>44185</v>
      </c>
      <c r="C314" s="49">
        <f t="shared" si="9"/>
        <v>44201</v>
      </c>
      <c r="D314" s="52" t="s">
        <v>64</v>
      </c>
      <c r="E314" s="52" t="s">
        <v>1543</v>
      </c>
      <c r="F314" s="52" t="s">
        <v>17</v>
      </c>
      <c r="G314" s="52" t="s">
        <v>1377</v>
      </c>
      <c r="H314" s="18">
        <v>3783</v>
      </c>
      <c r="I314" s="5">
        <f>IF(tbRegistroSaidas[[#This Row],[DATA DE CAIXA REALIZADO]]="N/A",0,YEAR(tbRegistroSaidas[[#This Row],[DATA DE CAIXA REALIZADO]]))</f>
        <v>2021</v>
      </c>
      <c r="J314" s="5" t="str">
        <f>IF(tbRegistroSaidas[[#This Row],[DATA DE CAIXA REALIZADO]]="N/A","0",UPPER(TEXT(tbRegistroSaidas[[#This Row],[DATA DE CAIXA REALIZADO]],"mmm")))</f>
        <v>JAN</v>
      </c>
      <c r="K314" s="79" t="str">
        <f>IF(tbRegistroSaidas[[#This Row],[DATA DA COMPETÊNCIA]]="N/A","0",UPPER(TEXT(tbRegistroSaidas[[#This Row],[DATA DA COMPETÊNCIA]],"mmm")))</f>
        <v>DEZ</v>
      </c>
      <c r="L314" s="79">
        <f>IF(tbRegistroSaidas[[#This Row],[DATA DA COMPETÊNCIA]]="N/A",0,YEAR(tbRegistroSaidas[[#This Row],[DATA DA COMPETÊNCIA]]))</f>
        <v>2020</v>
      </c>
      <c r="M314" s="5" t="str">
        <f>IF(tbRegistroSaidas[[#This Row],[DATA DO CAIXA PREVISTO]]="N/A","0",UPPER(TEXT(tbRegistroSaidas[[#This Row],[DATA DO CAIXA PREVISTO]],"mmm")))</f>
        <v>JAN</v>
      </c>
      <c r="N314" s="5">
        <f>IF(tbRegistroSaidas[[#This Row],[DATA DO CAIXA PREVISTO]]="N/A",0,YEAR(tbRegistroSaidas[[#This Row],[DATA DO CAIXA PREVISTO]]))</f>
        <v>2021</v>
      </c>
    </row>
    <row r="315" spans="1:14" s="5" customFormat="1" ht="14.4" x14ac:dyDescent="0.3">
      <c r="A315" s="49">
        <v>44645</v>
      </c>
      <c r="B315" s="49">
        <f t="shared" si="8"/>
        <v>44614</v>
      </c>
      <c r="C315" s="49">
        <f t="shared" si="9"/>
        <v>44630</v>
      </c>
      <c r="D315" s="52" t="s">
        <v>64</v>
      </c>
      <c r="E315" s="52" t="s">
        <v>1543</v>
      </c>
      <c r="F315" s="52" t="s">
        <v>17</v>
      </c>
      <c r="G315" s="52" t="s">
        <v>1378</v>
      </c>
      <c r="H315" s="18">
        <v>3013</v>
      </c>
      <c r="I315" s="5">
        <f>IF(tbRegistroSaidas[[#This Row],[DATA DE CAIXA REALIZADO]]="N/A",0,YEAR(tbRegistroSaidas[[#This Row],[DATA DE CAIXA REALIZADO]]))</f>
        <v>2022</v>
      </c>
      <c r="J315" s="5" t="str">
        <f>IF(tbRegistroSaidas[[#This Row],[DATA DE CAIXA REALIZADO]]="N/A","0",UPPER(TEXT(tbRegistroSaidas[[#This Row],[DATA DE CAIXA REALIZADO]],"mmm")))</f>
        <v>MAR</v>
      </c>
      <c r="K315" s="79" t="str">
        <f>IF(tbRegistroSaidas[[#This Row],[DATA DA COMPETÊNCIA]]="N/A","0",UPPER(TEXT(tbRegistroSaidas[[#This Row],[DATA DA COMPETÊNCIA]],"mmm")))</f>
        <v>FEV</v>
      </c>
      <c r="L315" s="79">
        <f>IF(tbRegistroSaidas[[#This Row],[DATA DA COMPETÊNCIA]]="N/A",0,YEAR(tbRegistroSaidas[[#This Row],[DATA DA COMPETÊNCIA]]))</f>
        <v>2022</v>
      </c>
      <c r="M315" s="5" t="str">
        <f>IF(tbRegistroSaidas[[#This Row],[DATA DO CAIXA PREVISTO]]="N/A","0",UPPER(TEXT(tbRegistroSaidas[[#This Row],[DATA DO CAIXA PREVISTO]],"mmm")))</f>
        <v>MAR</v>
      </c>
      <c r="N315" s="5">
        <f>IF(tbRegistroSaidas[[#This Row],[DATA DO CAIXA PREVISTO]]="N/A",0,YEAR(tbRegistroSaidas[[#This Row],[DATA DO CAIXA PREVISTO]]))</f>
        <v>2022</v>
      </c>
    </row>
    <row r="316" spans="1:14" s="5" customFormat="1" ht="14.4" x14ac:dyDescent="0.3">
      <c r="A316" s="49">
        <v>44848</v>
      </c>
      <c r="B316" s="49">
        <f t="shared" si="8"/>
        <v>44817</v>
      </c>
      <c r="C316" s="49">
        <f t="shared" si="9"/>
        <v>44833</v>
      </c>
      <c r="D316" s="52" t="s">
        <v>65</v>
      </c>
      <c r="E316" s="52" t="s">
        <v>1543</v>
      </c>
      <c r="F316" s="52" t="s">
        <v>17</v>
      </c>
      <c r="G316" s="52" t="s">
        <v>1379</v>
      </c>
      <c r="H316" s="18">
        <v>1501</v>
      </c>
      <c r="I316" s="5">
        <f>IF(tbRegistroSaidas[[#This Row],[DATA DE CAIXA REALIZADO]]="N/A",0,YEAR(tbRegistroSaidas[[#This Row],[DATA DE CAIXA REALIZADO]]))</f>
        <v>2022</v>
      </c>
      <c r="J316" s="5" t="str">
        <f>IF(tbRegistroSaidas[[#This Row],[DATA DE CAIXA REALIZADO]]="N/A","0",UPPER(TEXT(tbRegistroSaidas[[#This Row],[DATA DE CAIXA REALIZADO]],"mmm")))</f>
        <v>OUT</v>
      </c>
      <c r="K316" s="79" t="str">
        <f>IF(tbRegistroSaidas[[#This Row],[DATA DA COMPETÊNCIA]]="N/A","0",UPPER(TEXT(tbRegistroSaidas[[#This Row],[DATA DA COMPETÊNCIA]],"mmm")))</f>
        <v>SET</v>
      </c>
      <c r="L316" s="79">
        <f>IF(tbRegistroSaidas[[#This Row],[DATA DA COMPETÊNCIA]]="N/A",0,YEAR(tbRegistroSaidas[[#This Row],[DATA DA COMPETÊNCIA]]))</f>
        <v>2022</v>
      </c>
      <c r="M316" s="5" t="str">
        <f>IF(tbRegistroSaidas[[#This Row],[DATA DO CAIXA PREVISTO]]="N/A","0",UPPER(TEXT(tbRegistroSaidas[[#This Row],[DATA DO CAIXA PREVISTO]],"mmm")))</f>
        <v>SET</v>
      </c>
      <c r="N316" s="5">
        <f>IF(tbRegistroSaidas[[#This Row],[DATA DO CAIXA PREVISTO]]="N/A",0,YEAR(tbRegistroSaidas[[#This Row],[DATA DO CAIXA PREVISTO]]))</f>
        <v>2022</v>
      </c>
    </row>
    <row r="317" spans="1:14" s="5" customFormat="1" ht="14.4" x14ac:dyDescent="0.3">
      <c r="A317" s="49">
        <v>44880</v>
      </c>
      <c r="B317" s="49">
        <f t="shared" si="8"/>
        <v>44849</v>
      </c>
      <c r="C317" s="49">
        <f t="shared" si="9"/>
        <v>44865</v>
      </c>
      <c r="D317" s="52" t="s">
        <v>67</v>
      </c>
      <c r="E317" s="52" t="s">
        <v>1543</v>
      </c>
      <c r="F317" s="52" t="s">
        <v>18</v>
      </c>
      <c r="G317" s="52" t="s">
        <v>1380</v>
      </c>
      <c r="H317" s="18">
        <v>3752</v>
      </c>
      <c r="I317" s="5">
        <f>IF(tbRegistroSaidas[[#This Row],[DATA DE CAIXA REALIZADO]]="N/A",0,YEAR(tbRegistroSaidas[[#This Row],[DATA DE CAIXA REALIZADO]]))</f>
        <v>2022</v>
      </c>
      <c r="J317" s="5" t="str">
        <f>IF(tbRegistroSaidas[[#This Row],[DATA DE CAIXA REALIZADO]]="N/A","0",UPPER(TEXT(tbRegistroSaidas[[#This Row],[DATA DE CAIXA REALIZADO]],"mmm")))</f>
        <v>NOV</v>
      </c>
      <c r="K317" s="79" t="str">
        <f>IF(tbRegistroSaidas[[#This Row],[DATA DA COMPETÊNCIA]]="N/A","0",UPPER(TEXT(tbRegistroSaidas[[#This Row],[DATA DA COMPETÊNCIA]],"mmm")))</f>
        <v>OUT</v>
      </c>
      <c r="L317" s="79">
        <f>IF(tbRegistroSaidas[[#This Row],[DATA DA COMPETÊNCIA]]="N/A",0,YEAR(tbRegistroSaidas[[#This Row],[DATA DA COMPETÊNCIA]]))</f>
        <v>2022</v>
      </c>
      <c r="M317" s="5" t="str">
        <f>IF(tbRegistroSaidas[[#This Row],[DATA DO CAIXA PREVISTO]]="N/A","0",UPPER(TEXT(tbRegistroSaidas[[#This Row],[DATA DO CAIXA PREVISTO]],"mmm")))</f>
        <v>OUT</v>
      </c>
      <c r="N317" s="5">
        <f>IF(tbRegistroSaidas[[#This Row],[DATA DO CAIXA PREVISTO]]="N/A",0,YEAR(tbRegistroSaidas[[#This Row],[DATA DO CAIXA PREVISTO]]))</f>
        <v>2022</v>
      </c>
    </row>
    <row r="318" spans="1:14" s="5" customFormat="1" ht="14.4" x14ac:dyDescent="0.3">
      <c r="A318" s="49">
        <v>44315</v>
      </c>
      <c r="B318" s="49">
        <f t="shared" si="8"/>
        <v>44284</v>
      </c>
      <c r="C318" s="49">
        <f t="shared" si="9"/>
        <v>44300</v>
      </c>
      <c r="D318" s="52" t="s">
        <v>66</v>
      </c>
      <c r="E318" s="52" t="s">
        <v>1543</v>
      </c>
      <c r="F318" s="52" t="s">
        <v>17</v>
      </c>
      <c r="G318" s="52" t="s">
        <v>1316</v>
      </c>
      <c r="H318" s="18">
        <v>265</v>
      </c>
      <c r="I318" s="5">
        <f>IF(tbRegistroSaidas[[#This Row],[DATA DE CAIXA REALIZADO]]="N/A",0,YEAR(tbRegistroSaidas[[#This Row],[DATA DE CAIXA REALIZADO]]))</f>
        <v>2021</v>
      </c>
      <c r="J318" s="5" t="str">
        <f>IF(tbRegistroSaidas[[#This Row],[DATA DE CAIXA REALIZADO]]="N/A","0",UPPER(TEXT(tbRegistroSaidas[[#This Row],[DATA DE CAIXA REALIZADO]],"mmm")))</f>
        <v>ABR</v>
      </c>
      <c r="K318" s="79" t="str">
        <f>IF(tbRegistroSaidas[[#This Row],[DATA DA COMPETÊNCIA]]="N/A","0",UPPER(TEXT(tbRegistroSaidas[[#This Row],[DATA DA COMPETÊNCIA]],"mmm")))</f>
        <v>MAR</v>
      </c>
      <c r="L318" s="79">
        <f>IF(tbRegistroSaidas[[#This Row],[DATA DA COMPETÊNCIA]]="N/A",0,YEAR(tbRegistroSaidas[[#This Row],[DATA DA COMPETÊNCIA]]))</f>
        <v>2021</v>
      </c>
      <c r="M318" s="5" t="str">
        <f>IF(tbRegistroSaidas[[#This Row],[DATA DO CAIXA PREVISTO]]="N/A","0",UPPER(TEXT(tbRegistroSaidas[[#This Row],[DATA DO CAIXA PREVISTO]],"mmm")))</f>
        <v>ABR</v>
      </c>
      <c r="N318" s="5">
        <f>IF(tbRegistroSaidas[[#This Row],[DATA DO CAIXA PREVISTO]]="N/A",0,YEAR(tbRegistroSaidas[[#This Row],[DATA DO CAIXA PREVISTO]]))</f>
        <v>2021</v>
      </c>
    </row>
    <row r="319" spans="1:14" s="5" customFormat="1" ht="14.4" x14ac:dyDescent="0.3">
      <c r="A319" s="49">
        <v>44829</v>
      </c>
      <c r="B319" s="49">
        <f t="shared" si="8"/>
        <v>44798</v>
      </c>
      <c r="C319" s="49">
        <f t="shared" si="9"/>
        <v>44814</v>
      </c>
      <c r="D319" s="52" t="s">
        <v>61</v>
      </c>
      <c r="E319" s="52" t="s">
        <v>1543</v>
      </c>
      <c r="F319" s="52" t="s">
        <v>17</v>
      </c>
      <c r="G319" s="52" t="s">
        <v>727</v>
      </c>
      <c r="H319" s="18">
        <v>2350</v>
      </c>
      <c r="I319" s="5">
        <f>IF(tbRegistroSaidas[[#This Row],[DATA DE CAIXA REALIZADO]]="N/A",0,YEAR(tbRegistroSaidas[[#This Row],[DATA DE CAIXA REALIZADO]]))</f>
        <v>2022</v>
      </c>
      <c r="J319" s="5" t="str">
        <f>IF(tbRegistroSaidas[[#This Row],[DATA DE CAIXA REALIZADO]]="N/A","0",UPPER(TEXT(tbRegistroSaidas[[#This Row],[DATA DE CAIXA REALIZADO]],"mmm")))</f>
        <v>SET</v>
      </c>
      <c r="K319" s="79" t="str">
        <f>IF(tbRegistroSaidas[[#This Row],[DATA DA COMPETÊNCIA]]="N/A","0",UPPER(TEXT(tbRegistroSaidas[[#This Row],[DATA DA COMPETÊNCIA]],"mmm")))</f>
        <v>AGO</v>
      </c>
      <c r="L319" s="79">
        <f>IF(tbRegistroSaidas[[#This Row],[DATA DA COMPETÊNCIA]]="N/A",0,YEAR(tbRegistroSaidas[[#This Row],[DATA DA COMPETÊNCIA]]))</f>
        <v>2022</v>
      </c>
      <c r="M319" s="5" t="str">
        <f>IF(tbRegistroSaidas[[#This Row],[DATA DO CAIXA PREVISTO]]="N/A","0",UPPER(TEXT(tbRegistroSaidas[[#This Row],[DATA DO CAIXA PREVISTO]],"mmm")))</f>
        <v>SET</v>
      </c>
      <c r="N319" s="5">
        <f>IF(tbRegistroSaidas[[#This Row],[DATA DO CAIXA PREVISTO]]="N/A",0,YEAR(tbRegistroSaidas[[#This Row],[DATA DO CAIXA PREVISTO]]))</f>
        <v>2022</v>
      </c>
    </row>
    <row r="320" spans="1:14" s="5" customFormat="1" ht="14.4" x14ac:dyDescent="0.3">
      <c r="A320" s="49">
        <v>45110</v>
      </c>
      <c r="B320" s="49">
        <f t="shared" si="8"/>
        <v>45079</v>
      </c>
      <c r="C320" s="49">
        <f t="shared" si="9"/>
        <v>45095</v>
      </c>
      <c r="D320" s="52" t="s">
        <v>63</v>
      </c>
      <c r="E320" s="52" t="s">
        <v>1543</v>
      </c>
      <c r="F320" s="52" t="s">
        <v>18</v>
      </c>
      <c r="G320" s="52" t="s">
        <v>1381</v>
      </c>
      <c r="H320" s="18">
        <v>2830</v>
      </c>
      <c r="I320" s="5">
        <f>IF(tbRegistroSaidas[[#This Row],[DATA DE CAIXA REALIZADO]]="N/A",0,YEAR(tbRegistroSaidas[[#This Row],[DATA DE CAIXA REALIZADO]]))</f>
        <v>2023</v>
      </c>
      <c r="J320" s="5" t="str">
        <f>IF(tbRegistroSaidas[[#This Row],[DATA DE CAIXA REALIZADO]]="N/A","0",UPPER(TEXT(tbRegistroSaidas[[#This Row],[DATA DE CAIXA REALIZADO]],"mmm")))</f>
        <v>JUL</v>
      </c>
      <c r="K320" s="79" t="str">
        <f>IF(tbRegistroSaidas[[#This Row],[DATA DA COMPETÊNCIA]]="N/A","0",UPPER(TEXT(tbRegistroSaidas[[#This Row],[DATA DA COMPETÊNCIA]],"mmm")))</f>
        <v>JUN</v>
      </c>
      <c r="L320" s="79">
        <f>IF(tbRegistroSaidas[[#This Row],[DATA DA COMPETÊNCIA]]="N/A",0,YEAR(tbRegistroSaidas[[#This Row],[DATA DA COMPETÊNCIA]]))</f>
        <v>2023</v>
      </c>
      <c r="M320" s="5" t="str">
        <f>IF(tbRegistroSaidas[[#This Row],[DATA DO CAIXA PREVISTO]]="N/A","0",UPPER(TEXT(tbRegistroSaidas[[#This Row],[DATA DO CAIXA PREVISTO]],"mmm")))</f>
        <v>JUN</v>
      </c>
      <c r="N320" s="5">
        <f>IF(tbRegistroSaidas[[#This Row],[DATA DO CAIXA PREVISTO]]="N/A",0,YEAR(tbRegistroSaidas[[#This Row],[DATA DO CAIXA PREVISTO]]))</f>
        <v>2023</v>
      </c>
    </row>
    <row r="321" spans="1:14" s="5" customFormat="1" ht="14.4" x14ac:dyDescent="0.3">
      <c r="A321" s="49">
        <v>44405</v>
      </c>
      <c r="B321" s="49">
        <f t="shared" si="8"/>
        <v>44374</v>
      </c>
      <c r="C321" s="49">
        <f t="shared" si="9"/>
        <v>44390</v>
      </c>
      <c r="D321" s="52" t="s">
        <v>63</v>
      </c>
      <c r="E321" s="52" t="s">
        <v>1543</v>
      </c>
      <c r="F321" s="52" t="s">
        <v>32</v>
      </c>
      <c r="G321" s="52" t="s">
        <v>1382</v>
      </c>
      <c r="H321" s="18">
        <v>2355</v>
      </c>
      <c r="I321" s="5">
        <f>IF(tbRegistroSaidas[[#This Row],[DATA DE CAIXA REALIZADO]]="N/A",0,YEAR(tbRegistroSaidas[[#This Row],[DATA DE CAIXA REALIZADO]]))</f>
        <v>2021</v>
      </c>
      <c r="J321" s="5" t="str">
        <f>IF(tbRegistroSaidas[[#This Row],[DATA DE CAIXA REALIZADO]]="N/A","0",UPPER(TEXT(tbRegistroSaidas[[#This Row],[DATA DE CAIXA REALIZADO]],"mmm")))</f>
        <v>JUL</v>
      </c>
      <c r="K321" s="79" t="str">
        <f>IF(tbRegistroSaidas[[#This Row],[DATA DA COMPETÊNCIA]]="N/A","0",UPPER(TEXT(tbRegistroSaidas[[#This Row],[DATA DA COMPETÊNCIA]],"mmm")))</f>
        <v>JUN</v>
      </c>
      <c r="L321" s="79">
        <f>IF(tbRegistroSaidas[[#This Row],[DATA DA COMPETÊNCIA]]="N/A",0,YEAR(tbRegistroSaidas[[#This Row],[DATA DA COMPETÊNCIA]]))</f>
        <v>2021</v>
      </c>
      <c r="M321" s="5" t="str">
        <f>IF(tbRegistroSaidas[[#This Row],[DATA DO CAIXA PREVISTO]]="N/A","0",UPPER(TEXT(tbRegistroSaidas[[#This Row],[DATA DO CAIXA PREVISTO]],"mmm")))</f>
        <v>JUL</v>
      </c>
      <c r="N321" s="5">
        <f>IF(tbRegistroSaidas[[#This Row],[DATA DO CAIXA PREVISTO]]="N/A",0,YEAR(tbRegistroSaidas[[#This Row],[DATA DO CAIXA PREVISTO]]))</f>
        <v>2021</v>
      </c>
    </row>
    <row r="322" spans="1:14" s="5" customFormat="1" ht="14.4" x14ac:dyDescent="0.3">
      <c r="A322" s="49">
        <v>45005</v>
      </c>
      <c r="B322" s="49">
        <f t="shared" si="8"/>
        <v>44974</v>
      </c>
      <c r="C322" s="49">
        <f t="shared" si="9"/>
        <v>44990</v>
      </c>
      <c r="D322" s="52" t="s">
        <v>63</v>
      </c>
      <c r="E322" s="52" t="s">
        <v>1543</v>
      </c>
      <c r="F322" s="52" t="s">
        <v>16</v>
      </c>
      <c r="G322" s="52" t="s">
        <v>1383</v>
      </c>
      <c r="H322" s="18">
        <v>617</v>
      </c>
      <c r="I322" s="5">
        <f>IF(tbRegistroSaidas[[#This Row],[DATA DE CAIXA REALIZADO]]="N/A",0,YEAR(tbRegistroSaidas[[#This Row],[DATA DE CAIXA REALIZADO]]))</f>
        <v>2023</v>
      </c>
      <c r="J322" s="5" t="str">
        <f>IF(tbRegistroSaidas[[#This Row],[DATA DE CAIXA REALIZADO]]="N/A","0",UPPER(TEXT(tbRegistroSaidas[[#This Row],[DATA DE CAIXA REALIZADO]],"mmm")))</f>
        <v>MAR</v>
      </c>
      <c r="K322" s="79" t="str">
        <f>IF(tbRegistroSaidas[[#This Row],[DATA DA COMPETÊNCIA]]="N/A","0",UPPER(TEXT(tbRegistroSaidas[[#This Row],[DATA DA COMPETÊNCIA]],"mmm")))</f>
        <v>FEV</v>
      </c>
      <c r="L322" s="79">
        <f>IF(tbRegistroSaidas[[#This Row],[DATA DA COMPETÊNCIA]]="N/A",0,YEAR(tbRegistroSaidas[[#This Row],[DATA DA COMPETÊNCIA]]))</f>
        <v>2023</v>
      </c>
      <c r="M322" s="5" t="str">
        <f>IF(tbRegistroSaidas[[#This Row],[DATA DO CAIXA PREVISTO]]="N/A","0",UPPER(TEXT(tbRegistroSaidas[[#This Row],[DATA DO CAIXA PREVISTO]],"mmm")))</f>
        <v>MAR</v>
      </c>
      <c r="N322" s="5">
        <f>IF(tbRegistroSaidas[[#This Row],[DATA DO CAIXA PREVISTO]]="N/A",0,YEAR(tbRegistroSaidas[[#This Row],[DATA DO CAIXA PREVISTO]]))</f>
        <v>2023</v>
      </c>
    </row>
    <row r="323" spans="1:14" s="5" customFormat="1" ht="14.4" x14ac:dyDescent="0.3">
      <c r="A323" s="49">
        <v>44205</v>
      </c>
      <c r="B323" s="49">
        <f t="shared" si="8"/>
        <v>44174</v>
      </c>
      <c r="C323" s="49">
        <f t="shared" si="9"/>
        <v>44190</v>
      </c>
      <c r="D323" s="52" t="s">
        <v>66</v>
      </c>
      <c r="E323" s="52" t="s">
        <v>1543</v>
      </c>
      <c r="F323" s="52" t="s">
        <v>18</v>
      </c>
      <c r="G323" s="52" t="s">
        <v>1384</v>
      </c>
      <c r="H323" s="18">
        <v>3672</v>
      </c>
      <c r="I323" s="5">
        <f>IF(tbRegistroSaidas[[#This Row],[DATA DE CAIXA REALIZADO]]="N/A",0,YEAR(tbRegistroSaidas[[#This Row],[DATA DE CAIXA REALIZADO]]))</f>
        <v>2021</v>
      </c>
      <c r="J323" s="5" t="str">
        <f>IF(tbRegistroSaidas[[#This Row],[DATA DE CAIXA REALIZADO]]="N/A","0",UPPER(TEXT(tbRegistroSaidas[[#This Row],[DATA DE CAIXA REALIZADO]],"mmm")))</f>
        <v>JAN</v>
      </c>
      <c r="K323" s="79" t="str">
        <f>IF(tbRegistroSaidas[[#This Row],[DATA DA COMPETÊNCIA]]="N/A","0",UPPER(TEXT(tbRegistroSaidas[[#This Row],[DATA DA COMPETÊNCIA]],"mmm")))</f>
        <v>DEZ</v>
      </c>
      <c r="L323" s="79">
        <f>IF(tbRegistroSaidas[[#This Row],[DATA DA COMPETÊNCIA]]="N/A",0,YEAR(tbRegistroSaidas[[#This Row],[DATA DA COMPETÊNCIA]]))</f>
        <v>2020</v>
      </c>
      <c r="M323" s="5" t="str">
        <f>IF(tbRegistroSaidas[[#This Row],[DATA DO CAIXA PREVISTO]]="N/A","0",UPPER(TEXT(tbRegistroSaidas[[#This Row],[DATA DO CAIXA PREVISTO]],"mmm")))</f>
        <v>DEZ</v>
      </c>
      <c r="N323" s="5">
        <f>IF(tbRegistroSaidas[[#This Row],[DATA DO CAIXA PREVISTO]]="N/A",0,YEAR(tbRegistroSaidas[[#This Row],[DATA DO CAIXA PREVISTO]]))</f>
        <v>2020</v>
      </c>
    </row>
    <row r="324" spans="1:14" s="5" customFormat="1" ht="14.4" x14ac:dyDescent="0.3">
      <c r="A324" s="49">
        <v>44822</v>
      </c>
      <c r="B324" s="49">
        <f t="shared" si="8"/>
        <v>44791</v>
      </c>
      <c r="C324" s="49">
        <f t="shared" si="9"/>
        <v>44807</v>
      </c>
      <c r="D324" s="52" t="s">
        <v>63</v>
      </c>
      <c r="E324" s="52" t="s">
        <v>1543</v>
      </c>
      <c r="F324" s="52" t="s">
        <v>18</v>
      </c>
      <c r="G324" s="52" t="s">
        <v>1385</v>
      </c>
      <c r="H324" s="18">
        <v>386</v>
      </c>
      <c r="I324" s="5">
        <f>IF(tbRegistroSaidas[[#This Row],[DATA DE CAIXA REALIZADO]]="N/A",0,YEAR(tbRegistroSaidas[[#This Row],[DATA DE CAIXA REALIZADO]]))</f>
        <v>2022</v>
      </c>
      <c r="J324" s="5" t="str">
        <f>IF(tbRegistroSaidas[[#This Row],[DATA DE CAIXA REALIZADO]]="N/A","0",UPPER(TEXT(tbRegistroSaidas[[#This Row],[DATA DE CAIXA REALIZADO]],"mmm")))</f>
        <v>SET</v>
      </c>
      <c r="K324" s="79" t="str">
        <f>IF(tbRegistroSaidas[[#This Row],[DATA DA COMPETÊNCIA]]="N/A","0",UPPER(TEXT(tbRegistroSaidas[[#This Row],[DATA DA COMPETÊNCIA]],"mmm")))</f>
        <v>AGO</v>
      </c>
      <c r="L324" s="79">
        <f>IF(tbRegistroSaidas[[#This Row],[DATA DA COMPETÊNCIA]]="N/A",0,YEAR(tbRegistroSaidas[[#This Row],[DATA DA COMPETÊNCIA]]))</f>
        <v>2022</v>
      </c>
      <c r="M324" s="5" t="str">
        <f>IF(tbRegistroSaidas[[#This Row],[DATA DO CAIXA PREVISTO]]="N/A","0",UPPER(TEXT(tbRegistroSaidas[[#This Row],[DATA DO CAIXA PREVISTO]],"mmm")))</f>
        <v>SET</v>
      </c>
      <c r="N324" s="5">
        <f>IF(tbRegistroSaidas[[#This Row],[DATA DO CAIXA PREVISTO]]="N/A",0,YEAR(tbRegistroSaidas[[#This Row],[DATA DO CAIXA PREVISTO]]))</f>
        <v>2022</v>
      </c>
    </row>
    <row r="325" spans="1:14" s="5" customFormat="1" ht="14.4" x14ac:dyDescent="0.3">
      <c r="A325" s="49">
        <v>44838</v>
      </c>
      <c r="B325" s="49">
        <f t="shared" si="8"/>
        <v>44807</v>
      </c>
      <c r="C325" s="49">
        <f t="shared" si="9"/>
        <v>44823</v>
      </c>
      <c r="D325" s="52" t="s">
        <v>138</v>
      </c>
      <c r="E325" s="52" t="s">
        <v>1543</v>
      </c>
      <c r="F325" s="52" t="s">
        <v>16</v>
      </c>
      <c r="G325" s="52" t="s">
        <v>1386</v>
      </c>
      <c r="H325" s="18">
        <v>3827</v>
      </c>
      <c r="I325" s="5">
        <f>IF(tbRegistroSaidas[[#This Row],[DATA DE CAIXA REALIZADO]]="N/A",0,YEAR(tbRegistroSaidas[[#This Row],[DATA DE CAIXA REALIZADO]]))</f>
        <v>2022</v>
      </c>
      <c r="J325" s="5" t="str">
        <f>IF(tbRegistroSaidas[[#This Row],[DATA DE CAIXA REALIZADO]]="N/A","0",UPPER(TEXT(tbRegistroSaidas[[#This Row],[DATA DE CAIXA REALIZADO]],"mmm")))</f>
        <v>OUT</v>
      </c>
      <c r="K325" s="79" t="str">
        <f>IF(tbRegistroSaidas[[#This Row],[DATA DA COMPETÊNCIA]]="N/A","0",UPPER(TEXT(tbRegistroSaidas[[#This Row],[DATA DA COMPETÊNCIA]],"mmm")))</f>
        <v>SET</v>
      </c>
      <c r="L325" s="79">
        <f>IF(tbRegistroSaidas[[#This Row],[DATA DA COMPETÊNCIA]]="N/A",0,YEAR(tbRegistroSaidas[[#This Row],[DATA DA COMPETÊNCIA]]))</f>
        <v>2022</v>
      </c>
      <c r="M325" s="5" t="str">
        <f>IF(tbRegistroSaidas[[#This Row],[DATA DO CAIXA PREVISTO]]="N/A","0",UPPER(TEXT(tbRegistroSaidas[[#This Row],[DATA DO CAIXA PREVISTO]],"mmm")))</f>
        <v>SET</v>
      </c>
      <c r="N325" s="5">
        <f>IF(tbRegistroSaidas[[#This Row],[DATA DO CAIXA PREVISTO]]="N/A",0,YEAR(tbRegistroSaidas[[#This Row],[DATA DO CAIXA PREVISTO]]))</f>
        <v>2022</v>
      </c>
    </row>
    <row r="326" spans="1:14" s="5" customFormat="1" ht="14.4" x14ac:dyDescent="0.3">
      <c r="A326" s="49">
        <v>44736</v>
      </c>
      <c r="B326" s="49">
        <f t="shared" si="8"/>
        <v>44705</v>
      </c>
      <c r="C326" s="49">
        <f t="shared" si="9"/>
        <v>44721</v>
      </c>
      <c r="D326" s="52" t="s">
        <v>66</v>
      </c>
      <c r="E326" s="52" t="s">
        <v>1543</v>
      </c>
      <c r="F326" s="52" t="s">
        <v>16</v>
      </c>
      <c r="G326" s="52" t="s">
        <v>1387</v>
      </c>
      <c r="H326" s="18">
        <v>356</v>
      </c>
      <c r="I326" s="5">
        <f>IF(tbRegistroSaidas[[#This Row],[DATA DE CAIXA REALIZADO]]="N/A",0,YEAR(tbRegistroSaidas[[#This Row],[DATA DE CAIXA REALIZADO]]))</f>
        <v>2022</v>
      </c>
      <c r="J326" s="5" t="str">
        <f>IF(tbRegistroSaidas[[#This Row],[DATA DE CAIXA REALIZADO]]="N/A","0",UPPER(TEXT(tbRegistroSaidas[[#This Row],[DATA DE CAIXA REALIZADO]],"mmm")))</f>
        <v>JUN</v>
      </c>
      <c r="K326" s="79" t="str">
        <f>IF(tbRegistroSaidas[[#This Row],[DATA DA COMPETÊNCIA]]="N/A","0",UPPER(TEXT(tbRegistroSaidas[[#This Row],[DATA DA COMPETÊNCIA]],"mmm")))</f>
        <v>MAI</v>
      </c>
      <c r="L326" s="79">
        <f>IF(tbRegistroSaidas[[#This Row],[DATA DA COMPETÊNCIA]]="N/A",0,YEAR(tbRegistroSaidas[[#This Row],[DATA DA COMPETÊNCIA]]))</f>
        <v>2022</v>
      </c>
      <c r="M326" s="5" t="str">
        <f>IF(tbRegistroSaidas[[#This Row],[DATA DO CAIXA PREVISTO]]="N/A","0",UPPER(TEXT(tbRegistroSaidas[[#This Row],[DATA DO CAIXA PREVISTO]],"mmm")))</f>
        <v>JUN</v>
      </c>
      <c r="N326" s="5">
        <f>IF(tbRegistroSaidas[[#This Row],[DATA DO CAIXA PREVISTO]]="N/A",0,YEAR(tbRegistroSaidas[[#This Row],[DATA DO CAIXA PREVISTO]]))</f>
        <v>2022</v>
      </c>
    </row>
    <row r="327" spans="1:14" s="5" customFormat="1" ht="14.4" x14ac:dyDescent="0.3">
      <c r="A327" s="49">
        <v>45164</v>
      </c>
      <c r="B327" s="49">
        <f t="shared" si="8"/>
        <v>45133</v>
      </c>
      <c r="C327" s="49">
        <f t="shared" si="9"/>
        <v>45149</v>
      </c>
      <c r="D327" s="52" t="s">
        <v>137</v>
      </c>
      <c r="E327" s="52" t="s">
        <v>1543</v>
      </c>
      <c r="F327" s="52" t="s">
        <v>18</v>
      </c>
      <c r="G327" s="52" t="s">
        <v>1388</v>
      </c>
      <c r="H327" s="18">
        <v>3367</v>
      </c>
      <c r="I327" s="5">
        <f>IF(tbRegistroSaidas[[#This Row],[DATA DE CAIXA REALIZADO]]="N/A",0,YEAR(tbRegistroSaidas[[#This Row],[DATA DE CAIXA REALIZADO]]))</f>
        <v>2023</v>
      </c>
      <c r="J327" s="5" t="str">
        <f>IF(tbRegistroSaidas[[#This Row],[DATA DE CAIXA REALIZADO]]="N/A","0",UPPER(TEXT(tbRegistroSaidas[[#This Row],[DATA DE CAIXA REALIZADO]],"mmm")))</f>
        <v>AGO</v>
      </c>
      <c r="K327" s="79" t="str">
        <f>IF(tbRegistroSaidas[[#This Row],[DATA DA COMPETÊNCIA]]="N/A","0",UPPER(TEXT(tbRegistroSaidas[[#This Row],[DATA DA COMPETÊNCIA]],"mmm")))</f>
        <v>JUL</v>
      </c>
      <c r="L327" s="79">
        <f>IF(tbRegistroSaidas[[#This Row],[DATA DA COMPETÊNCIA]]="N/A",0,YEAR(tbRegistroSaidas[[#This Row],[DATA DA COMPETÊNCIA]]))</f>
        <v>2023</v>
      </c>
      <c r="M327" s="5" t="str">
        <f>IF(tbRegistroSaidas[[#This Row],[DATA DO CAIXA PREVISTO]]="N/A","0",UPPER(TEXT(tbRegistroSaidas[[#This Row],[DATA DO CAIXA PREVISTO]],"mmm")))</f>
        <v>AGO</v>
      </c>
      <c r="N327" s="5">
        <f>IF(tbRegistroSaidas[[#This Row],[DATA DO CAIXA PREVISTO]]="N/A",0,YEAR(tbRegistroSaidas[[#This Row],[DATA DO CAIXA PREVISTO]]))</f>
        <v>2023</v>
      </c>
    </row>
    <row r="328" spans="1:14" s="5" customFormat="1" ht="14.4" x14ac:dyDescent="0.3">
      <c r="A328" s="49">
        <v>44625</v>
      </c>
      <c r="B328" s="49">
        <f t="shared" ref="B328:B391" si="10">A328-31</f>
        <v>44594</v>
      </c>
      <c r="C328" s="49">
        <f t="shared" ref="C328:C391" si="11">A328-B328+B328-15</f>
        <v>44610</v>
      </c>
      <c r="D328" s="52" t="s">
        <v>61</v>
      </c>
      <c r="E328" s="52" t="s">
        <v>1543</v>
      </c>
      <c r="F328" s="52" t="s">
        <v>16</v>
      </c>
      <c r="G328" s="52" t="s">
        <v>1389</v>
      </c>
      <c r="H328" s="18">
        <v>798</v>
      </c>
      <c r="I328" s="5">
        <f>IF(tbRegistroSaidas[[#This Row],[DATA DE CAIXA REALIZADO]]="N/A",0,YEAR(tbRegistroSaidas[[#This Row],[DATA DE CAIXA REALIZADO]]))</f>
        <v>2022</v>
      </c>
      <c r="J328" s="5" t="str">
        <f>IF(tbRegistroSaidas[[#This Row],[DATA DE CAIXA REALIZADO]]="N/A","0",UPPER(TEXT(tbRegistroSaidas[[#This Row],[DATA DE CAIXA REALIZADO]],"mmm")))</f>
        <v>MAR</v>
      </c>
      <c r="K328" s="79" t="str">
        <f>IF(tbRegistroSaidas[[#This Row],[DATA DA COMPETÊNCIA]]="N/A","0",UPPER(TEXT(tbRegistroSaidas[[#This Row],[DATA DA COMPETÊNCIA]],"mmm")))</f>
        <v>FEV</v>
      </c>
      <c r="L328" s="79">
        <f>IF(tbRegistroSaidas[[#This Row],[DATA DA COMPETÊNCIA]]="N/A",0,YEAR(tbRegistroSaidas[[#This Row],[DATA DA COMPETÊNCIA]]))</f>
        <v>2022</v>
      </c>
      <c r="M328" s="5" t="str">
        <f>IF(tbRegistroSaidas[[#This Row],[DATA DO CAIXA PREVISTO]]="N/A","0",UPPER(TEXT(tbRegistroSaidas[[#This Row],[DATA DO CAIXA PREVISTO]],"mmm")))</f>
        <v>FEV</v>
      </c>
      <c r="N328" s="5">
        <f>IF(tbRegistroSaidas[[#This Row],[DATA DO CAIXA PREVISTO]]="N/A",0,YEAR(tbRegistroSaidas[[#This Row],[DATA DO CAIXA PREVISTO]]))</f>
        <v>2022</v>
      </c>
    </row>
    <row r="329" spans="1:14" s="5" customFormat="1" ht="14.4" x14ac:dyDescent="0.3">
      <c r="A329" s="49">
        <v>44876</v>
      </c>
      <c r="B329" s="49">
        <f t="shared" si="10"/>
        <v>44845</v>
      </c>
      <c r="C329" s="49">
        <f t="shared" si="11"/>
        <v>44861</v>
      </c>
      <c r="D329" s="52" t="s">
        <v>63</v>
      </c>
      <c r="E329" s="52" t="s">
        <v>1543</v>
      </c>
      <c r="F329" s="52" t="s">
        <v>18</v>
      </c>
      <c r="G329" s="52" t="s">
        <v>1390</v>
      </c>
      <c r="H329" s="18">
        <v>558</v>
      </c>
      <c r="I329" s="5">
        <f>IF(tbRegistroSaidas[[#This Row],[DATA DE CAIXA REALIZADO]]="N/A",0,YEAR(tbRegistroSaidas[[#This Row],[DATA DE CAIXA REALIZADO]]))</f>
        <v>2022</v>
      </c>
      <c r="J329" s="5" t="str">
        <f>IF(tbRegistroSaidas[[#This Row],[DATA DE CAIXA REALIZADO]]="N/A","0",UPPER(TEXT(tbRegistroSaidas[[#This Row],[DATA DE CAIXA REALIZADO]],"mmm")))</f>
        <v>NOV</v>
      </c>
      <c r="K329" s="79" t="str">
        <f>IF(tbRegistroSaidas[[#This Row],[DATA DA COMPETÊNCIA]]="N/A","0",UPPER(TEXT(tbRegistroSaidas[[#This Row],[DATA DA COMPETÊNCIA]],"mmm")))</f>
        <v>OUT</v>
      </c>
      <c r="L329" s="79">
        <f>IF(tbRegistroSaidas[[#This Row],[DATA DA COMPETÊNCIA]]="N/A",0,YEAR(tbRegistroSaidas[[#This Row],[DATA DA COMPETÊNCIA]]))</f>
        <v>2022</v>
      </c>
      <c r="M329" s="5" t="str">
        <f>IF(tbRegistroSaidas[[#This Row],[DATA DO CAIXA PREVISTO]]="N/A","0",UPPER(TEXT(tbRegistroSaidas[[#This Row],[DATA DO CAIXA PREVISTO]],"mmm")))</f>
        <v>OUT</v>
      </c>
      <c r="N329" s="5">
        <f>IF(tbRegistroSaidas[[#This Row],[DATA DO CAIXA PREVISTO]]="N/A",0,YEAR(tbRegistroSaidas[[#This Row],[DATA DO CAIXA PREVISTO]]))</f>
        <v>2022</v>
      </c>
    </row>
    <row r="330" spans="1:14" s="5" customFormat="1" ht="14.4" x14ac:dyDescent="0.3">
      <c r="A330" s="49">
        <v>45135</v>
      </c>
      <c r="B330" s="49">
        <f t="shared" si="10"/>
        <v>45104</v>
      </c>
      <c r="C330" s="49">
        <f t="shared" si="11"/>
        <v>45120</v>
      </c>
      <c r="D330" s="52" t="s">
        <v>66</v>
      </c>
      <c r="E330" s="52" t="s">
        <v>1543</v>
      </c>
      <c r="F330" s="52" t="s">
        <v>16</v>
      </c>
      <c r="G330" s="52" t="s">
        <v>1391</v>
      </c>
      <c r="H330" s="18">
        <v>406</v>
      </c>
      <c r="I330" s="5">
        <f>IF(tbRegistroSaidas[[#This Row],[DATA DE CAIXA REALIZADO]]="N/A",0,YEAR(tbRegistroSaidas[[#This Row],[DATA DE CAIXA REALIZADO]]))</f>
        <v>2023</v>
      </c>
      <c r="J330" s="5" t="str">
        <f>IF(tbRegistroSaidas[[#This Row],[DATA DE CAIXA REALIZADO]]="N/A","0",UPPER(TEXT(tbRegistroSaidas[[#This Row],[DATA DE CAIXA REALIZADO]],"mmm")))</f>
        <v>JUL</v>
      </c>
      <c r="K330" s="79" t="str">
        <f>IF(tbRegistroSaidas[[#This Row],[DATA DA COMPETÊNCIA]]="N/A","0",UPPER(TEXT(tbRegistroSaidas[[#This Row],[DATA DA COMPETÊNCIA]],"mmm")))</f>
        <v>JUN</v>
      </c>
      <c r="L330" s="79">
        <f>IF(tbRegistroSaidas[[#This Row],[DATA DA COMPETÊNCIA]]="N/A",0,YEAR(tbRegistroSaidas[[#This Row],[DATA DA COMPETÊNCIA]]))</f>
        <v>2023</v>
      </c>
      <c r="M330" s="5" t="str">
        <f>IF(tbRegistroSaidas[[#This Row],[DATA DO CAIXA PREVISTO]]="N/A","0",UPPER(TEXT(tbRegistroSaidas[[#This Row],[DATA DO CAIXA PREVISTO]],"mmm")))</f>
        <v>JUL</v>
      </c>
      <c r="N330" s="5">
        <f>IF(tbRegistroSaidas[[#This Row],[DATA DO CAIXA PREVISTO]]="N/A",0,YEAR(tbRegistroSaidas[[#This Row],[DATA DO CAIXA PREVISTO]]))</f>
        <v>2023</v>
      </c>
    </row>
    <row r="331" spans="1:14" s="5" customFormat="1" ht="14.4" x14ac:dyDescent="0.3">
      <c r="A331" s="49">
        <v>44359</v>
      </c>
      <c r="B331" s="49">
        <f t="shared" si="10"/>
        <v>44328</v>
      </c>
      <c r="C331" s="49">
        <f t="shared" si="11"/>
        <v>44344</v>
      </c>
      <c r="D331" s="52" t="s">
        <v>66</v>
      </c>
      <c r="E331" s="52" t="s">
        <v>1543</v>
      </c>
      <c r="F331" s="52" t="s">
        <v>32</v>
      </c>
      <c r="G331" s="52" t="s">
        <v>1392</v>
      </c>
      <c r="H331" s="18">
        <v>3414</v>
      </c>
      <c r="I331" s="5">
        <f>IF(tbRegistroSaidas[[#This Row],[DATA DE CAIXA REALIZADO]]="N/A",0,YEAR(tbRegistroSaidas[[#This Row],[DATA DE CAIXA REALIZADO]]))</f>
        <v>2021</v>
      </c>
      <c r="J331" s="5" t="str">
        <f>IF(tbRegistroSaidas[[#This Row],[DATA DE CAIXA REALIZADO]]="N/A","0",UPPER(TEXT(tbRegistroSaidas[[#This Row],[DATA DE CAIXA REALIZADO]],"mmm")))</f>
        <v>JUN</v>
      </c>
      <c r="K331" s="79" t="str">
        <f>IF(tbRegistroSaidas[[#This Row],[DATA DA COMPETÊNCIA]]="N/A","0",UPPER(TEXT(tbRegistroSaidas[[#This Row],[DATA DA COMPETÊNCIA]],"mmm")))</f>
        <v>MAI</v>
      </c>
      <c r="L331" s="79">
        <f>IF(tbRegistroSaidas[[#This Row],[DATA DA COMPETÊNCIA]]="N/A",0,YEAR(tbRegistroSaidas[[#This Row],[DATA DA COMPETÊNCIA]]))</f>
        <v>2021</v>
      </c>
      <c r="M331" s="5" t="str">
        <f>IF(tbRegistroSaidas[[#This Row],[DATA DO CAIXA PREVISTO]]="N/A","0",UPPER(TEXT(tbRegistroSaidas[[#This Row],[DATA DO CAIXA PREVISTO]],"mmm")))</f>
        <v>MAI</v>
      </c>
      <c r="N331" s="5">
        <f>IF(tbRegistroSaidas[[#This Row],[DATA DO CAIXA PREVISTO]]="N/A",0,YEAR(tbRegistroSaidas[[#This Row],[DATA DO CAIXA PREVISTO]]))</f>
        <v>2021</v>
      </c>
    </row>
    <row r="332" spans="1:14" s="5" customFormat="1" ht="14.4" x14ac:dyDescent="0.3">
      <c r="A332" s="49">
        <v>45011</v>
      </c>
      <c r="B332" s="49">
        <f t="shared" si="10"/>
        <v>44980</v>
      </c>
      <c r="C332" s="49">
        <f t="shared" si="11"/>
        <v>44996</v>
      </c>
      <c r="D332" s="52" t="s">
        <v>138</v>
      </c>
      <c r="E332" s="52" t="s">
        <v>1543</v>
      </c>
      <c r="F332" s="52" t="s">
        <v>18</v>
      </c>
      <c r="G332" s="52" t="s">
        <v>1107</v>
      </c>
      <c r="H332" s="18">
        <v>2675</v>
      </c>
      <c r="I332" s="5">
        <f>IF(tbRegistroSaidas[[#This Row],[DATA DE CAIXA REALIZADO]]="N/A",0,YEAR(tbRegistroSaidas[[#This Row],[DATA DE CAIXA REALIZADO]]))</f>
        <v>2023</v>
      </c>
      <c r="J332" s="5" t="str">
        <f>IF(tbRegistroSaidas[[#This Row],[DATA DE CAIXA REALIZADO]]="N/A","0",UPPER(TEXT(tbRegistroSaidas[[#This Row],[DATA DE CAIXA REALIZADO]],"mmm")))</f>
        <v>MAR</v>
      </c>
      <c r="K332" s="79" t="str">
        <f>IF(tbRegistroSaidas[[#This Row],[DATA DA COMPETÊNCIA]]="N/A","0",UPPER(TEXT(tbRegistroSaidas[[#This Row],[DATA DA COMPETÊNCIA]],"mmm")))</f>
        <v>FEV</v>
      </c>
      <c r="L332" s="79">
        <f>IF(tbRegistroSaidas[[#This Row],[DATA DA COMPETÊNCIA]]="N/A",0,YEAR(tbRegistroSaidas[[#This Row],[DATA DA COMPETÊNCIA]]))</f>
        <v>2023</v>
      </c>
      <c r="M332" s="5" t="str">
        <f>IF(tbRegistroSaidas[[#This Row],[DATA DO CAIXA PREVISTO]]="N/A","0",UPPER(TEXT(tbRegistroSaidas[[#This Row],[DATA DO CAIXA PREVISTO]],"mmm")))</f>
        <v>MAR</v>
      </c>
      <c r="N332" s="5">
        <f>IF(tbRegistroSaidas[[#This Row],[DATA DO CAIXA PREVISTO]]="N/A",0,YEAR(tbRegistroSaidas[[#This Row],[DATA DO CAIXA PREVISTO]]))</f>
        <v>2023</v>
      </c>
    </row>
    <row r="333" spans="1:14" s="5" customFormat="1" ht="14.4" x14ac:dyDescent="0.3">
      <c r="A333" s="49">
        <v>44645</v>
      </c>
      <c r="B333" s="49">
        <f t="shared" si="10"/>
        <v>44614</v>
      </c>
      <c r="C333" s="49">
        <f t="shared" si="11"/>
        <v>44630</v>
      </c>
      <c r="D333" s="52" t="s">
        <v>67</v>
      </c>
      <c r="E333" s="52" t="s">
        <v>1543</v>
      </c>
      <c r="F333" s="52" t="s">
        <v>17</v>
      </c>
      <c r="G333" s="52" t="s">
        <v>1393</v>
      </c>
      <c r="H333" s="18">
        <v>1629</v>
      </c>
      <c r="I333" s="5">
        <f>IF(tbRegistroSaidas[[#This Row],[DATA DE CAIXA REALIZADO]]="N/A",0,YEAR(tbRegistroSaidas[[#This Row],[DATA DE CAIXA REALIZADO]]))</f>
        <v>2022</v>
      </c>
      <c r="J333" s="5" t="str">
        <f>IF(tbRegistroSaidas[[#This Row],[DATA DE CAIXA REALIZADO]]="N/A","0",UPPER(TEXT(tbRegistroSaidas[[#This Row],[DATA DE CAIXA REALIZADO]],"mmm")))</f>
        <v>MAR</v>
      </c>
      <c r="K333" s="79" t="str">
        <f>IF(tbRegistroSaidas[[#This Row],[DATA DA COMPETÊNCIA]]="N/A","0",UPPER(TEXT(tbRegistroSaidas[[#This Row],[DATA DA COMPETÊNCIA]],"mmm")))</f>
        <v>FEV</v>
      </c>
      <c r="L333" s="79">
        <f>IF(tbRegistroSaidas[[#This Row],[DATA DA COMPETÊNCIA]]="N/A",0,YEAR(tbRegistroSaidas[[#This Row],[DATA DA COMPETÊNCIA]]))</f>
        <v>2022</v>
      </c>
      <c r="M333" s="5" t="str">
        <f>IF(tbRegistroSaidas[[#This Row],[DATA DO CAIXA PREVISTO]]="N/A","0",UPPER(TEXT(tbRegistroSaidas[[#This Row],[DATA DO CAIXA PREVISTO]],"mmm")))</f>
        <v>MAR</v>
      </c>
      <c r="N333" s="5">
        <f>IF(tbRegistroSaidas[[#This Row],[DATA DO CAIXA PREVISTO]]="N/A",0,YEAR(tbRegistroSaidas[[#This Row],[DATA DO CAIXA PREVISTO]]))</f>
        <v>2022</v>
      </c>
    </row>
    <row r="334" spans="1:14" s="5" customFormat="1" ht="14.4" x14ac:dyDescent="0.3">
      <c r="A334" s="49">
        <v>44656</v>
      </c>
      <c r="B334" s="49">
        <f t="shared" si="10"/>
        <v>44625</v>
      </c>
      <c r="C334" s="49">
        <f t="shared" si="11"/>
        <v>44641</v>
      </c>
      <c r="D334" s="52" t="s">
        <v>137</v>
      </c>
      <c r="E334" s="52" t="s">
        <v>1543</v>
      </c>
      <c r="F334" s="52" t="s">
        <v>32</v>
      </c>
      <c r="G334" s="52" t="s">
        <v>1394</v>
      </c>
      <c r="H334" s="18">
        <v>809</v>
      </c>
      <c r="I334" s="5">
        <f>IF(tbRegistroSaidas[[#This Row],[DATA DE CAIXA REALIZADO]]="N/A",0,YEAR(tbRegistroSaidas[[#This Row],[DATA DE CAIXA REALIZADO]]))</f>
        <v>2022</v>
      </c>
      <c r="J334" s="5" t="str">
        <f>IF(tbRegistroSaidas[[#This Row],[DATA DE CAIXA REALIZADO]]="N/A","0",UPPER(TEXT(tbRegistroSaidas[[#This Row],[DATA DE CAIXA REALIZADO]],"mmm")))</f>
        <v>ABR</v>
      </c>
      <c r="K334" s="79" t="str">
        <f>IF(tbRegistroSaidas[[#This Row],[DATA DA COMPETÊNCIA]]="N/A","0",UPPER(TEXT(tbRegistroSaidas[[#This Row],[DATA DA COMPETÊNCIA]],"mmm")))</f>
        <v>MAR</v>
      </c>
      <c r="L334" s="79">
        <f>IF(tbRegistroSaidas[[#This Row],[DATA DA COMPETÊNCIA]]="N/A",0,YEAR(tbRegistroSaidas[[#This Row],[DATA DA COMPETÊNCIA]]))</f>
        <v>2022</v>
      </c>
      <c r="M334" s="5" t="str">
        <f>IF(tbRegistroSaidas[[#This Row],[DATA DO CAIXA PREVISTO]]="N/A","0",UPPER(TEXT(tbRegistroSaidas[[#This Row],[DATA DO CAIXA PREVISTO]],"mmm")))</f>
        <v>MAR</v>
      </c>
      <c r="N334" s="5">
        <f>IF(tbRegistroSaidas[[#This Row],[DATA DO CAIXA PREVISTO]]="N/A",0,YEAR(tbRegistroSaidas[[#This Row],[DATA DO CAIXA PREVISTO]]))</f>
        <v>2022</v>
      </c>
    </row>
    <row r="335" spans="1:14" s="5" customFormat="1" ht="14.4" x14ac:dyDescent="0.3">
      <c r="A335" s="49">
        <v>44356</v>
      </c>
      <c r="B335" s="49">
        <f t="shared" si="10"/>
        <v>44325</v>
      </c>
      <c r="C335" s="49">
        <f t="shared" si="11"/>
        <v>44341</v>
      </c>
      <c r="D335" s="52" t="s">
        <v>61</v>
      </c>
      <c r="E335" s="52" t="s">
        <v>1543</v>
      </c>
      <c r="F335" s="52" t="s">
        <v>19</v>
      </c>
      <c r="G335" s="52" t="s">
        <v>1395</v>
      </c>
      <c r="H335" s="18">
        <v>3583</v>
      </c>
      <c r="I335" s="5">
        <f>IF(tbRegistroSaidas[[#This Row],[DATA DE CAIXA REALIZADO]]="N/A",0,YEAR(tbRegistroSaidas[[#This Row],[DATA DE CAIXA REALIZADO]]))</f>
        <v>2021</v>
      </c>
      <c r="J335" s="5" t="str">
        <f>IF(tbRegistroSaidas[[#This Row],[DATA DE CAIXA REALIZADO]]="N/A","0",UPPER(TEXT(tbRegistroSaidas[[#This Row],[DATA DE CAIXA REALIZADO]],"mmm")))</f>
        <v>JUN</v>
      </c>
      <c r="K335" s="79" t="str">
        <f>IF(tbRegistroSaidas[[#This Row],[DATA DA COMPETÊNCIA]]="N/A","0",UPPER(TEXT(tbRegistroSaidas[[#This Row],[DATA DA COMPETÊNCIA]],"mmm")))</f>
        <v>MAI</v>
      </c>
      <c r="L335" s="79">
        <f>IF(tbRegistroSaidas[[#This Row],[DATA DA COMPETÊNCIA]]="N/A",0,YEAR(tbRegistroSaidas[[#This Row],[DATA DA COMPETÊNCIA]]))</f>
        <v>2021</v>
      </c>
      <c r="M335" s="5" t="str">
        <f>IF(tbRegistroSaidas[[#This Row],[DATA DO CAIXA PREVISTO]]="N/A","0",UPPER(TEXT(tbRegistroSaidas[[#This Row],[DATA DO CAIXA PREVISTO]],"mmm")))</f>
        <v>MAI</v>
      </c>
      <c r="N335" s="5">
        <f>IF(tbRegistroSaidas[[#This Row],[DATA DO CAIXA PREVISTO]]="N/A",0,YEAR(tbRegistroSaidas[[#This Row],[DATA DO CAIXA PREVISTO]]))</f>
        <v>2021</v>
      </c>
    </row>
    <row r="336" spans="1:14" s="5" customFormat="1" ht="14.4" x14ac:dyDescent="0.3">
      <c r="A336" s="49">
        <v>45147</v>
      </c>
      <c r="B336" s="49">
        <f t="shared" si="10"/>
        <v>45116</v>
      </c>
      <c r="C336" s="49">
        <f t="shared" si="11"/>
        <v>45132</v>
      </c>
      <c r="D336" s="52" t="s">
        <v>138</v>
      </c>
      <c r="E336" s="52" t="s">
        <v>1543</v>
      </c>
      <c r="F336" s="52" t="s">
        <v>16</v>
      </c>
      <c r="G336" s="52" t="s">
        <v>1396</v>
      </c>
      <c r="H336" s="18">
        <v>116</v>
      </c>
      <c r="I336" s="5">
        <f>IF(tbRegistroSaidas[[#This Row],[DATA DE CAIXA REALIZADO]]="N/A",0,YEAR(tbRegistroSaidas[[#This Row],[DATA DE CAIXA REALIZADO]]))</f>
        <v>2023</v>
      </c>
      <c r="J336" s="5" t="str">
        <f>IF(tbRegistroSaidas[[#This Row],[DATA DE CAIXA REALIZADO]]="N/A","0",UPPER(TEXT(tbRegistroSaidas[[#This Row],[DATA DE CAIXA REALIZADO]],"mmm")))</f>
        <v>AGO</v>
      </c>
      <c r="K336" s="79" t="str">
        <f>IF(tbRegistroSaidas[[#This Row],[DATA DA COMPETÊNCIA]]="N/A","0",UPPER(TEXT(tbRegistroSaidas[[#This Row],[DATA DA COMPETÊNCIA]],"mmm")))</f>
        <v>JUL</v>
      </c>
      <c r="L336" s="79">
        <f>IF(tbRegistroSaidas[[#This Row],[DATA DA COMPETÊNCIA]]="N/A",0,YEAR(tbRegistroSaidas[[#This Row],[DATA DA COMPETÊNCIA]]))</f>
        <v>2023</v>
      </c>
      <c r="M336" s="5" t="str">
        <f>IF(tbRegistroSaidas[[#This Row],[DATA DO CAIXA PREVISTO]]="N/A","0",UPPER(TEXT(tbRegistroSaidas[[#This Row],[DATA DO CAIXA PREVISTO]],"mmm")))</f>
        <v>JUL</v>
      </c>
      <c r="N336" s="5">
        <f>IF(tbRegistroSaidas[[#This Row],[DATA DO CAIXA PREVISTO]]="N/A",0,YEAR(tbRegistroSaidas[[#This Row],[DATA DO CAIXA PREVISTO]]))</f>
        <v>2023</v>
      </c>
    </row>
    <row r="337" spans="1:14" s="5" customFormat="1" ht="14.4" x14ac:dyDescent="0.3">
      <c r="A337" s="49">
        <v>45196</v>
      </c>
      <c r="B337" s="49">
        <f t="shared" si="10"/>
        <v>45165</v>
      </c>
      <c r="C337" s="49">
        <f t="shared" si="11"/>
        <v>45181</v>
      </c>
      <c r="D337" s="52" t="s">
        <v>137</v>
      </c>
      <c r="E337" s="52" t="s">
        <v>1543</v>
      </c>
      <c r="F337" s="52" t="s">
        <v>32</v>
      </c>
      <c r="G337" s="52" t="s">
        <v>332</v>
      </c>
      <c r="H337" s="18">
        <v>1391</v>
      </c>
      <c r="I337" s="5">
        <f>IF(tbRegistroSaidas[[#This Row],[DATA DE CAIXA REALIZADO]]="N/A",0,YEAR(tbRegistroSaidas[[#This Row],[DATA DE CAIXA REALIZADO]]))</f>
        <v>2023</v>
      </c>
      <c r="J337" s="5" t="str">
        <f>IF(tbRegistroSaidas[[#This Row],[DATA DE CAIXA REALIZADO]]="N/A","0",UPPER(TEXT(tbRegistroSaidas[[#This Row],[DATA DE CAIXA REALIZADO]],"mmm")))</f>
        <v>SET</v>
      </c>
      <c r="K337" s="79" t="str">
        <f>IF(tbRegistroSaidas[[#This Row],[DATA DA COMPETÊNCIA]]="N/A","0",UPPER(TEXT(tbRegistroSaidas[[#This Row],[DATA DA COMPETÊNCIA]],"mmm")))</f>
        <v>AGO</v>
      </c>
      <c r="L337" s="79">
        <f>IF(tbRegistroSaidas[[#This Row],[DATA DA COMPETÊNCIA]]="N/A",0,YEAR(tbRegistroSaidas[[#This Row],[DATA DA COMPETÊNCIA]]))</f>
        <v>2023</v>
      </c>
      <c r="M337" s="5" t="str">
        <f>IF(tbRegistroSaidas[[#This Row],[DATA DO CAIXA PREVISTO]]="N/A","0",UPPER(TEXT(tbRegistroSaidas[[#This Row],[DATA DO CAIXA PREVISTO]],"mmm")))</f>
        <v>SET</v>
      </c>
      <c r="N337" s="5">
        <f>IF(tbRegistroSaidas[[#This Row],[DATA DO CAIXA PREVISTO]]="N/A",0,YEAR(tbRegistroSaidas[[#This Row],[DATA DO CAIXA PREVISTO]]))</f>
        <v>2023</v>
      </c>
    </row>
    <row r="338" spans="1:14" s="5" customFormat="1" ht="14.4" x14ac:dyDescent="0.3">
      <c r="A338" s="49">
        <v>44205</v>
      </c>
      <c r="B338" s="49">
        <f t="shared" si="10"/>
        <v>44174</v>
      </c>
      <c r="C338" s="49">
        <f t="shared" si="11"/>
        <v>44190</v>
      </c>
      <c r="D338" s="52" t="s">
        <v>67</v>
      </c>
      <c r="E338" s="52" t="s">
        <v>1543</v>
      </c>
      <c r="F338" s="52" t="s">
        <v>16</v>
      </c>
      <c r="G338" s="52" t="s">
        <v>1397</v>
      </c>
      <c r="H338" s="18">
        <v>1778</v>
      </c>
      <c r="I338" s="5">
        <f>IF(tbRegistroSaidas[[#This Row],[DATA DE CAIXA REALIZADO]]="N/A",0,YEAR(tbRegistroSaidas[[#This Row],[DATA DE CAIXA REALIZADO]]))</f>
        <v>2021</v>
      </c>
      <c r="J338" s="5" t="str">
        <f>IF(tbRegistroSaidas[[#This Row],[DATA DE CAIXA REALIZADO]]="N/A","0",UPPER(TEXT(tbRegistroSaidas[[#This Row],[DATA DE CAIXA REALIZADO]],"mmm")))</f>
        <v>JAN</v>
      </c>
      <c r="K338" s="79" t="str">
        <f>IF(tbRegistroSaidas[[#This Row],[DATA DA COMPETÊNCIA]]="N/A","0",UPPER(TEXT(tbRegistroSaidas[[#This Row],[DATA DA COMPETÊNCIA]],"mmm")))</f>
        <v>DEZ</v>
      </c>
      <c r="L338" s="79">
        <f>IF(tbRegistroSaidas[[#This Row],[DATA DA COMPETÊNCIA]]="N/A",0,YEAR(tbRegistroSaidas[[#This Row],[DATA DA COMPETÊNCIA]]))</f>
        <v>2020</v>
      </c>
      <c r="M338" s="5" t="str">
        <f>IF(tbRegistroSaidas[[#This Row],[DATA DO CAIXA PREVISTO]]="N/A","0",UPPER(TEXT(tbRegistroSaidas[[#This Row],[DATA DO CAIXA PREVISTO]],"mmm")))</f>
        <v>DEZ</v>
      </c>
      <c r="N338" s="5">
        <f>IF(tbRegistroSaidas[[#This Row],[DATA DO CAIXA PREVISTO]]="N/A",0,YEAR(tbRegistroSaidas[[#This Row],[DATA DO CAIXA PREVISTO]]))</f>
        <v>2020</v>
      </c>
    </row>
    <row r="339" spans="1:14" s="5" customFormat="1" ht="14.4" x14ac:dyDescent="0.3">
      <c r="A339" s="49">
        <v>44867</v>
      </c>
      <c r="B339" s="49">
        <f t="shared" si="10"/>
        <v>44836</v>
      </c>
      <c r="C339" s="49">
        <f t="shared" si="11"/>
        <v>44852</v>
      </c>
      <c r="D339" s="52" t="s">
        <v>67</v>
      </c>
      <c r="E339" s="52" t="s">
        <v>1543</v>
      </c>
      <c r="F339" s="52" t="s">
        <v>18</v>
      </c>
      <c r="G339" s="52" t="s">
        <v>1398</v>
      </c>
      <c r="H339" s="18">
        <v>2502</v>
      </c>
      <c r="I339" s="5">
        <f>IF(tbRegistroSaidas[[#This Row],[DATA DE CAIXA REALIZADO]]="N/A",0,YEAR(tbRegistroSaidas[[#This Row],[DATA DE CAIXA REALIZADO]]))</f>
        <v>2022</v>
      </c>
      <c r="J339" s="5" t="str">
        <f>IF(tbRegistroSaidas[[#This Row],[DATA DE CAIXA REALIZADO]]="N/A","0",UPPER(TEXT(tbRegistroSaidas[[#This Row],[DATA DE CAIXA REALIZADO]],"mmm")))</f>
        <v>NOV</v>
      </c>
      <c r="K339" s="79" t="str">
        <f>IF(tbRegistroSaidas[[#This Row],[DATA DA COMPETÊNCIA]]="N/A","0",UPPER(TEXT(tbRegistroSaidas[[#This Row],[DATA DA COMPETÊNCIA]],"mmm")))</f>
        <v>OUT</v>
      </c>
      <c r="L339" s="79">
        <f>IF(tbRegistroSaidas[[#This Row],[DATA DA COMPETÊNCIA]]="N/A",0,YEAR(tbRegistroSaidas[[#This Row],[DATA DA COMPETÊNCIA]]))</f>
        <v>2022</v>
      </c>
      <c r="M339" s="5" t="str">
        <f>IF(tbRegistroSaidas[[#This Row],[DATA DO CAIXA PREVISTO]]="N/A","0",UPPER(TEXT(tbRegistroSaidas[[#This Row],[DATA DO CAIXA PREVISTO]],"mmm")))</f>
        <v>OUT</v>
      </c>
      <c r="N339" s="5">
        <f>IF(tbRegistroSaidas[[#This Row],[DATA DO CAIXA PREVISTO]]="N/A",0,YEAR(tbRegistroSaidas[[#This Row],[DATA DO CAIXA PREVISTO]]))</f>
        <v>2022</v>
      </c>
    </row>
    <row r="340" spans="1:14" s="5" customFormat="1" ht="14.4" x14ac:dyDescent="0.3">
      <c r="A340" s="49">
        <v>44841</v>
      </c>
      <c r="B340" s="49">
        <f t="shared" si="10"/>
        <v>44810</v>
      </c>
      <c r="C340" s="49">
        <f t="shared" si="11"/>
        <v>44826</v>
      </c>
      <c r="D340" s="52" t="s">
        <v>66</v>
      </c>
      <c r="E340" s="52" t="s">
        <v>1543</v>
      </c>
      <c r="F340" s="52" t="s">
        <v>19</v>
      </c>
      <c r="G340" s="52" t="s">
        <v>835</v>
      </c>
      <c r="H340" s="18">
        <v>2197</v>
      </c>
      <c r="I340" s="5">
        <f>IF(tbRegistroSaidas[[#This Row],[DATA DE CAIXA REALIZADO]]="N/A",0,YEAR(tbRegistroSaidas[[#This Row],[DATA DE CAIXA REALIZADO]]))</f>
        <v>2022</v>
      </c>
      <c r="J340" s="5" t="str">
        <f>IF(tbRegistroSaidas[[#This Row],[DATA DE CAIXA REALIZADO]]="N/A","0",UPPER(TEXT(tbRegistroSaidas[[#This Row],[DATA DE CAIXA REALIZADO]],"mmm")))</f>
        <v>OUT</v>
      </c>
      <c r="K340" s="79" t="str">
        <f>IF(tbRegistroSaidas[[#This Row],[DATA DA COMPETÊNCIA]]="N/A","0",UPPER(TEXT(tbRegistroSaidas[[#This Row],[DATA DA COMPETÊNCIA]],"mmm")))</f>
        <v>SET</v>
      </c>
      <c r="L340" s="79">
        <f>IF(tbRegistroSaidas[[#This Row],[DATA DA COMPETÊNCIA]]="N/A",0,YEAR(tbRegistroSaidas[[#This Row],[DATA DA COMPETÊNCIA]]))</f>
        <v>2022</v>
      </c>
      <c r="M340" s="5" t="str">
        <f>IF(tbRegistroSaidas[[#This Row],[DATA DO CAIXA PREVISTO]]="N/A","0",UPPER(TEXT(tbRegistroSaidas[[#This Row],[DATA DO CAIXA PREVISTO]],"mmm")))</f>
        <v>SET</v>
      </c>
      <c r="N340" s="5">
        <f>IF(tbRegistroSaidas[[#This Row],[DATA DO CAIXA PREVISTO]]="N/A",0,YEAR(tbRegistroSaidas[[#This Row],[DATA DO CAIXA PREVISTO]]))</f>
        <v>2022</v>
      </c>
    </row>
    <row r="341" spans="1:14" s="5" customFormat="1" ht="14.4" x14ac:dyDescent="0.3">
      <c r="A341" s="49">
        <v>44331</v>
      </c>
      <c r="B341" s="49">
        <f t="shared" si="10"/>
        <v>44300</v>
      </c>
      <c r="C341" s="49">
        <f t="shared" si="11"/>
        <v>44316</v>
      </c>
      <c r="D341" s="52" t="s">
        <v>61</v>
      </c>
      <c r="E341" s="52" t="s">
        <v>1543</v>
      </c>
      <c r="F341" s="52" t="s">
        <v>19</v>
      </c>
      <c r="G341" s="52" t="s">
        <v>1399</v>
      </c>
      <c r="H341" s="18">
        <v>1580</v>
      </c>
      <c r="I341" s="5">
        <f>IF(tbRegistroSaidas[[#This Row],[DATA DE CAIXA REALIZADO]]="N/A",0,YEAR(tbRegistroSaidas[[#This Row],[DATA DE CAIXA REALIZADO]]))</f>
        <v>2021</v>
      </c>
      <c r="J341" s="5" t="str">
        <f>IF(tbRegistroSaidas[[#This Row],[DATA DE CAIXA REALIZADO]]="N/A","0",UPPER(TEXT(tbRegistroSaidas[[#This Row],[DATA DE CAIXA REALIZADO]],"mmm")))</f>
        <v>MAI</v>
      </c>
      <c r="K341" s="79" t="str">
        <f>IF(tbRegistroSaidas[[#This Row],[DATA DA COMPETÊNCIA]]="N/A","0",UPPER(TEXT(tbRegistroSaidas[[#This Row],[DATA DA COMPETÊNCIA]],"mmm")))</f>
        <v>ABR</v>
      </c>
      <c r="L341" s="79">
        <f>IF(tbRegistroSaidas[[#This Row],[DATA DA COMPETÊNCIA]]="N/A",0,YEAR(tbRegistroSaidas[[#This Row],[DATA DA COMPETÊNCIA]]))</f>
        <v>2021</v>
      </c>
      <c r="M341" s="5" t="str">
        <f>IF(tbRegistroSaidas[[#This Row],[DATA DO CAIXA PREVISTO]]="N/A","0",UPPER(TEXT(tbRegistroSaidas[[#This Row],[DATA DO CAIXA PREVISTO]],"mmm")))</f>
        <v>ABR</v>
      </c>
      <c r="N341" s="5">
        <f>IF(tbRegistroSaidas[[#This Row],[DATA DO CAIXA PREVISTO]]="N/A",0,YEAR(tbRegistroSaidas[[#This Row],[DATA DO CAIXA PREVISTO]]))</f>
        <v>2021</v>
      </c>
    </row>
    <row r="342" spans="1:14" s="5" customFormat="1" ht="14.4" x14ac:dyDescent="0.3">
      <c r="A342" s="49">
        <v>44875</v>
      </c>
      <c r="B342" s="49">
        <f t="shared" si="10"/>
        <v>44844</v>
      </c>
      <c r="C342" s="49">
        <f t="shared" si="11"/>
        <v>44860</v>
      </c>
      <c r="D342" s="52" t="s">
        <v>67</v>
      </c>
      <c r="E342" s="52" t="s">
        <v>1543</v>
      </c>
      <c r="F342" s="52" t="s">
        <v>16</v>
      </c>
      <c r="G342" s="52" t="s">
        <v>1400</v>
      </c>
      <c r="H342" s="18">
        <v>311</v>
      </c>
      <c r="I342" s="5">
        <f>IF(tbRegistroSaidas[[#This Row],[DATA DE CAIXA REALIZADO]]="N/A",0,YEAR(tbRegistroSaidas[[#This Row],[DATA DE CAIXA REALIZADO]]))</f>
        <v>2022</v>
      </c>
      <c r="J342" s="5" t="str">
        <f>IF(tbRegistroSaidas[[#This Row],[DATA DE CAIXA REALIZADO]]="N/A","0",UPPER(TEXT(tbRegistroSaidas[[#This Row],[DATA DE CAIXA REALIZADO]],"mmm")))</f>
        <v>NOV</v>
      </c>
      <c r="K342" s="79" t="str">
        <f>IF(tbRegistroSaidas[[#This Row],[DATA DA COMPETÊNCIA]]="N/A","0",UPPER(TEXT(tbRegistroSaidas[[#This Row],[DATA DA COMPETÊNCIA]],"mmm")))</f>
        <v>OUT</v>
      </c>
      <c r="L342" s="79">
        <f>IF(tbRegistroSaidas[[#This Row],[DATA DA COMPETÊNCIA]]="N/A",0,YEAR(tbRegistroSaidas[[#This Row],[DATA DA COMPETÊNCIA]]))</f>
        <v>2022</v>
      </c>
      <c r="M342" s="5" t="str">
        <f>IF(tbRegistroSaidas[[#This Row],[DATA DO CAIXA PREVISTO]]="N/A","0",UPPER(TEXT(tbRegistroSaidas[[#This Row],[DATA DO CAIXA PREVISTO]],"mmm")))</f>
        <v>OUT</v>
      </c>
      <c r="N342" s="5">
        <f>IF(tbRegistroSaidas[[#This Row],[DATA DO CAIXA PREVISTO]]="N/A",0,YEAR(tbRegistroSaidas[[#This Row],[DATA DO CAIXA PREVISTO]]))</f>
        <v>2022</v>
      </c>
    </row>
    <row r="343" spans="1:14" s="5" customFormat="1" ht="14.4" x14ac:dyDescent="0.3">
      <c r="A343" s="49">
        <v>45265</v>
      </c>
      <c r="B343" s="49">
        <f t="shared" si="10"/>
        <v>45234</v>
      </c>
      <c r="C343" s="49">
        <f t="shared" si="11"/>
        <v>45250</v>
      </c>
      <c r="D343" s="52" t="s">
        <v>67</v>
      </c>
      <c r="E343" s="52" t="s">
        <v>1543</v>
      </c>
      <c r="F343" s="52" t="s">
        <v>19</v>
      </c>
      <c r="G343" s="52" t="s">
        <v>1401</v>
      </c>
      <c r="H343" s="18">
        <v>2239</v>
      </c>
      <c r="I343" s="5">
        <f>IF(tbRegistroSaidas[[#This Row],[DATA DE CAIXA REALIZADO]]="N/A",0,YEAR(tbRegistroSaidas[[#This Row],[DATA DE CAIXA REALIZADO]]))</f>
        <v>2023</v>
      </c>
      <c r="J343" s="5" t="str">
        <f>IF(tbRegistroSaidas[[#This Row],[DATA DE CAIXA REALIZADO]]="N/A","0",UPPER(TEXT(tbRegistroSaidas[[#This Row],[DATA DE CAIXA REALIZADO]],"mmm")))</f>
        <v>DEZ</v>
      </c>
      <c r="K343" s="79" t="str">
        <f>IF(tbRegistroSaidas[[#This Row],[DATA DA COMPETÊNCIA]]="N/A","0",UPPER(TEXT(tbRegistroSaidas[[#This Row],[DATA DA COMPETÊNCIA]],"mmm")))</f>
        <v>NOV</v>
      </c>
      <c r="L343" s="79">
        <f>IF(tbRegistroSaidas[[#This Row],[DATA DA COMPETÊNCIA]]="N/A",0,YEAR(tbRegistroSaidas[[#This Row],[DATA DA COMPETÊNCIA]]))</f>
        <v>2023</v>
      </c>
      <c r="M343" s="5" t="str">
        <f>IF(tbRegistroSaidas[[#This Row],[DATA DO CAIXA PREVISTO]]="N/A","0",UPPER(TEXT(tbRegistroSaidas[[#This Row],[DATA DO CAIXA PREVISTO]],"mmm")))</f>
        <v>NOV</v>
      </c>
      <c r="N343" s="5">
        <f>IF(tbRegistroSaidas[[#This Row],[DATA DO CAIXA PREVISTO]]="N/A",0,YEAR(tbRegistroSaidas[[#This Row],[DATA DO CAIXA PREVISTO]]))</f>
        <v>2023</v>
      </c>
    </row>
    <row r="344" spans="1:14" s="5" customFormat="1" ht="14.4" x14ac:dyDescent="0.3">
      <c r="A344" s="49">
        <v>44883</v>
      </c>
      <c r="B344" s="49">
        <f t="shared" si="10"/>
        <v>44852</v>
      </c>
      <c r="C344" s="49">
        <f t="shared" si="11"/>
        <v>44868</v>
      </c>
      <c r="D344" s="52" t="s">
        <v>64</v>
      </c>
      <c r="E344" s="52" t="s">
        <v>1543</v>
      </c>
      <c r="F344" s="52" t="s">
        <v>17</v>
      </c>
      <c r="G344" s="52" t="s">
        <v>1402</v>
      </c>
      <c r="H344" s="18">
        <v>3968</v>
      </c>
      <c r="I344" s="5">
        <f>IF(tbRegistroSaidas[[#This Row],[DATA DE CAIXA REALIZADO]]="N/A",0,YEAR(tbRegistroSaidas[[#This Row],[DATA DE CAIXA REALIZADO]]))</f>
        <v>2022</v>
      </c>
      <c r="J344" s="5" t="str">
        <f>IF(tbRegistroSaidas[[#This Row],[DATA DE CAIXA REALIZADO]]="N/A","0",UPPER(TEXT(tbRegistroSaidas[[#This Row],[DATA DE CAIXA REALIZADO]],"mmm")))</f>
        <v>NOV</v>
      </c>
      <c r="K344" s="79" t="str">
        <f>IF(tbRegistroSaidas[[#This Row],[DATA DA COMPETÊNCIA]]="N/A","0",UPPER(TEXT(tbRegistroSaidas[[#This Row],[DATA DA COMPETÊNCIA]],"mmm")))</f>
        <v>OUT</v>
      </c>
      <c r="L344" s="79">
        <f>IF(tbRegistroSaidas[[#This Row],[DATA DA COMPETÊNCIA]]="N/A",0,YEAR(tbRegistroSaidas[[#This Row],[DATA DA COMPETÊNCIA]]))</f>
        <v>2022</v>
      </c>
      <c r="M344" s="5" t="str">
        <f>IF(tbRegistroSaidas[[#This Row],[DATA DO CAIXA PREVISTO]]="N/A","0",UPPER(TEXT(tbRegistroSaidas[[#This Row],[DATA DO CAIXA PREVISTO]],"mmm")))</f>
        <v>NOV</v>
      </c>
      <c r="N344" s="5">
        <f>IF(tbRegistroSaidas[[#This Row],[DATA DO CAIXA PREVISTO]]="N/A",0,YEAR(tbRegistroSaidas[[#This Row],[DATA DO CAIXA PREVISTO]]))</f>
        <v>2022</v>
      </c>
    </row>
    <row r="345" spans="1:14" s="5" customFormat="1" ht="14.4" x14ac:dyDescent="0.3">
      <c r="A345" s="49">
        <v>44370</v>
      </c>
      <c r="B345" s="49">
        <f t="shared" si="10"/>
        <v>44339</v>
      </c>
      <c r="C345" s="49">
        <f t="shared" si="11"/>
        <v>44355</v>
      </c>
      <c r="D345" s="52" t="s">
        <v>67</v>
      </c>
      <c r="E345" s="52" t="s">
        <v>1543</v>
      </c>
      <c r="F345" s="52" t="s">
        <v>16</v>
      </c>
      <c r="G345" s="52" t="s">
        <v>1403</v>
      </c>
      <c r="H345" s="18">
        <v>3140</v>
      </c>
      <c r="I345" s="5">
        <f>IF(tbRegistroSaidas[[#This Row],[DATA DE CAIXA REALIZADO]]="N/A",0,YEAR(tbRegistroSaidas[[#This Row],[DATA DE CAIXA REALIZADO]]))</f>
        <v>2021</v>
      </c>
      <c r="J345" s="5" t="str">
        <f>IF(tbRegistroSaidas[[#This Row],[DATA DE CAIXA REALIZADO]]="N/A","0",UPPER(TEXT(tbRegistroSaidas[[#This Row],[DATA DE CAIXA REALIZADO]],"mmm")))</f>
        <v>JUN</v>
      </c>
      <c r="K345" s="79" t="str">
        <f>IF(tbRegistroSaidas[[#This Row],[DATA DA COMPETÊNCIA]]="N/A","0",UPPER(TEXT(tbRegistroSaidas[[#This Row],[DATA DA COMPETÊNCIA]],"mmm")))</f>
        <v>MAI</v>
      </c>
      <c r="L345" s="79">
        <f>IF(tbRegistroSaidas[[#This Row],[DATA DA COMPETÊNCIA]]="N/A",0,YEAR(tbRegistroSaidas[[#This Row],[DATA DA COMPETÊNCIA]]))</f>
        <v>2021</v>
      </c>
      <c r="M345" s="5" t="str">
        <f>IF(tbRegistroSaidas[[#This Row],[DATA DO CAIXA PREVISTO]]="N/A","0",UPPER(TEXT(tbRegistroSaidas[[#This Row],[DATA DO CAIXA PREVISTO]],"mmm")))</f>
        <v>JUN</v>
      </c>
      <c r="N345" s="5">
        <f>IF(tbRegistroSaidas[[#This Row],[DATA DO CAIXA PREVISTO]]="N/A",0,YEAR(tbRegistroSaidas[[#This Row],[DATA DO CAIXA PREVISTO]]))</f>
        <v>2021</v>
      </c>
    </row>
    <row r="346" spans="1:14" s="5" customFormat="1" ht="14.4" x14ac:dyDescent="0.3">
      <c r="A346" s="49">
        <v>44359</v>
      </c>
      <c r="B346" s="49">
        <f t="shared" si="10"/>
        <v>44328</v>
      </c>
      <c r="C346" s="49">
        <f t="shared" si="11"/>
        <v>44344</v>
      </c>
      <c r="D346" s="52" t="s">
        <v>67</v>
      </c>
      <c r="E346" s="52" t="s">
        <v>1543</v>
      </c>
      <c r="F346" s="52" t="s">
        <v>16</v>
      </c>
      <c r="G346" s="52" t="s">
        <v>1404</v>
      </c>
      <c r="H346" s="18">
        <v>2174</v>
      </c>
      <c r="I346" s="5">
        <f>IF(tbRegistroSaidas[[#This Row],[DATA DE CAIXA REALIZADO]]="N/A",0,YEAR(tbRegistroSaidas[[#This Row],[DATA DE CAIXA REALIZADO]]))</f>
        <v>2021</v>
      </c>
      <c r="J346" s="5" t="str">
        <f>IF(tbRegistroSaidas[[#This Row],[DATA DE CAIXA REALIZADO]]="N/A","0",UPPER(TEXT(tbRegistroSaidas[[#This Row],[DATA DE CAIXA REALIZADO]],"mmm")))</f>
        <v>JUN</v>
      </c>
      <c r="K346" s="79" t="str">
        <f>IF(tbRegistroSaidas[[#This Row],[DATA DA COMPETÊNCIA]]="N/A","0",UPPER(TEXT(tbRegistroSaidas[[#This Row],[DATA DA COMPETÊNCIA]],"mmm")))</f>
        <v>MAI</v>
      </c>
      <c r="L346" s="79">
        <f>IF(tbRegistroSaidas[[#This Row],[DATA DA COMPETÊNCIA]]="N/A",0,YEAR(tbRegistroSaidas[[#This Row],[DATA DA COMPETÊNCIA]]))</f>
        <v>2021</v>
      </c>
      <c r="M346" s="5" t="str">
        <f>IF(tbRegistroSaidas[[#This Row],[DATA DO CAIXA PREVISTO]]="N/A","0",UPPER(TEXT(tbRegistroSaidas[[#This Row],[DATA DO CAIXA PREVISTO]],"mmm")))</f>
        <v>MAI</v>
      </c>
      <c r="N346" s="5">
        <f>IF(tbRegistroSaidas[[#This Row],[DATA DO CAIXA PREVISTO]]="N/A",0,YEAR(tbRegistroSaidas[[#This Row],[DATA DO CAIXA PREVISTO]]))</f>
        <v>2021</v>
      </c>
    </row>
    <row r="347" spans="1:14" s="5" customFormat="1" ht="14.4" x14ac:dyDescent="0.3">
      <c r="A347" s="49">
        <v>45159</v>
      </c>
      <c r="B347" s="49">
        <f t="shared" si="10"/>
        <v>45128</v>
      </c>
      <c r="C347" s="49">
        <f t="shared" si="11"/>
        <v>45144</v>
      </c>
      <c r="D347" s="52" t="s">
        <v>137</v>
      </c>
      <c r="E347" s="52" t="s">
        <v>1543</v>
      </c>
      <c r="F347" s="52" t="s">
        <v>18</v>
      </c>
      <c r="G347" s="52" t="s">
        <v>1405</v>
      </c>
      <c r="H347" s="18">
        <v>2033</v>
      </c>
      <c r="I347" s="5">
        <f>IF(tbRegistroSaidas[[#This Row],[DATA DE CAIXA REALIZADO]]="N/A",0,YEAR(tbRegistroSaidas[[#This Row],[DATA DE CAIXA REALIZADO]]))</f>
        <v>2023</v>
      </c>
      <c r="J347" s="5" t="str">
        <f>IF(tbRegistroSaidas[[#This Row],[DATA DE CAIXA REALIZADO]]="N/A","0",UPPER(TEXT(tbRegistroSaidas[[#This Row],[DATA DE CAIXA REALIZADO]],"mmm")))</f>
        <v>AGO</v>
      </c>
      <c r="K347" s="79" t="str">
        <f>IF(tbRegistroSaidas[[#This Row],[DATA DA COMPETÊNCIA]]="N/A","0",UPPER(TEXT(tbRegistroSaidas[[#This Row],[DATA DA COMPETÊNCIA]],"mmm")))</f>
        <v>JUL</v>
      </c>
      <c r="L347" s="79">
        <f>IF(tbRegistroSaidas[[#This Row],[DATA DA COMPETÊNCIA]]="N/A",0,YEAR(tbRegistroSaidas[[#This Row],[DATA DA COMPETÊNCIA]]))</f>
        <v>2023</v>
      </c>
      <c r="M347" s="5" t="str">
        <f>IF(tbRegistroSaidas[[#This Row],[DATA DO CAIXA PREVISTO]]="N/A","0",UPPER(TEXT(tbRegistroSaidas[[#This Row],[DATA DO CAIXA PREVISTO]],"mmm")))</f>
        <v>AGO</v>
      </c>
      <c r="N347" s="5">
        <f>IF(tbRegistroSaidas[[#This Row],[DATA DO CAIXA PREVISTO]]="N/A",0,YEAR(tbRegistroSaidas[[#This Row],[DATA DO CAIXA PREVISTO]]))</f>
        <v>2023</v>
      </c>
    </row>
    <row r="348" spans="1:14" s="5" customFormat="1" ht="14.4" x14ac:dyDescent="0.3">
      <c r="A348" s="49">
        <v>44706</v>
      </c>
      <c r="B348" s="49">
        <f t="shared" si="10"/>
        <v>44675</v>
      </c>
      <c r="C348" s="49">
        <f t="shared" si="11"/>
        <v>44691</v>
      </c>
      <c r="D348" s="52" t="s">
        <v>137</v>
      </c>
      <c r="E348" s="52" t="s">
        <v>1543</v>
      </c>
      <c r="F348" s="52" t="s">
        <v>17</v>
      </c>
      <c r="G348" s="52" t="s">
        <v>1406</v>
      </c>
      <c r="H348" s="18">
        <v>3516</v>
      </c>
      <c r="I348" s="5">
        <f>IF(tbRegistroSaidas[[#This Row],[DATA DE CAIXA REALIZADO]]="N/A",0,YEAR(tbRegistroSaidas[[#This Row],[DATA DE CAIXA REALIZADO]]))</f>
        <v>2022</v>
      </c>
      <c r="J348" s="5" t="str">
        <f>IF(tbRegistroSaidas[[#This Row],[DATA DE CAIXA REALIZADO]]="N/A","0",UPPER(TEXT(tbRegistroSaidas[[#This Row],[DATA DE CAIXA REALIZADO]],"mmm")))</f>
        <v>MAI</v>
      </c>
      <c r="K348" s="79" t="str">
        <f>IF(tbRegistroSaidas[[#This Row],[DATA DA COMPETÊNCIA]]="N/A","0",UPPER(TEXT(tbRegistroSaidas[[#This Row],[DATA DA COMPETÊNCIA]],"mmm")))</f>
        <v>ABR</v>
      </c>
      <c r="L348" s="79">
        <f>IF(tbRegistroSaidas[[#This Row],[DATA DA COMPETÊNCIA]]="N/A",0,YEAR(tbRegistroSaidas[[#This Row],[DATA DA COMPETÊNCIA]]))</f>
        <v>2022</v>
      </c>
      <c r="M348" s="5" t="str">
        <f>IF(tbRegistroSaidas[[#This Row],[DATA DO CAIXA PREVISTO]]="N/A","0",UPPER(TEXT(tbRegistroSaidas[[#This Row],[DATA DO CAIXA PREVISTO]],"mmm")))</f>
        <v>MAI</v>
      </c>
      <c r="N348" s="5">
        <f>IF(tbRegistroSaidas[[#This Row],[DATA DO CAIXA PREVISTO]]="N/A",0,YEAR(tbRegistroSaidas[[#This Row],[DATA DO CAIXA PREVISTO]]))</f>
        <v>2022</v>
      </c>
    </row>
    <row r="349" spans="1:14" s="5" customFormat="1" ht="14.4" x14ac:dyDescent="0.3">
      <c r="A349" s="49">
        <v>44205</v>
      </c>
      <c r="B349" s="49">
        <f t="shared" si="10"/>
        <v>44174</v>
      </c>
      <c r="C349" s="49">
        <f t="shared" si="11"/>
        <v>44190</v>
      </c>
      <c r="D349" s="52" t="s">
        <v>63</v>
      </c>
      <c r="E349" s="52" t="s">
        <v>1543</v>
      </c>
      <c r="F349" s="52" t="s">
        <v>17</v>
      </c>
      <c r="G349" s="52" t="s">
        <v>852</v>
      </c>
      <c r="H349" s="18">
        <v>2440</v>
      </c>
      <c r="I349" s="5">
        <f>IF(tbRegistroSaidas[[#This Row],[DATA DE CAIXA REALIZADO]]="N/A",0,YEAR(tbRegistroSaidas[[#This Row],[DATA DE CAIXA REALIZADO]]))</f>
        <v>2021</v>
      </c>
      <c r="J349" s="5" t="str">
        <f>IF(tbRegistroSaidas[[#This Row],[DATA DE CAIXA REALIZADO]]="N/A","0",UPPER(TEXT(tbRegistroSaidas[[#This Row],[DATA DE CAIXA REALIZADO]],"mmm")))</f>
        <v>JAN</v>
      </c>
      <c r="K349" s="79" t="str">
        <f>IF(tbRegistroSaidas[[#This Row],[DATA DA COMPETÊNCIA]]="N/A","0",UPPER(TEXT(tbRegistroSaidas[[#This Row],[DATA DA COMPETÊNCIA]],"mmm")))</f>
        <v>DEZ</v>
      </c>
      <c r="L349" s="79">
        <f>IF(tbRegistroSaidas[[#This Row],[DATA DA COMPETÊNCIA]]="N/A",0,YEAR(tbRegistroSaidas[[#This Row],[DATA DA COMPETÊNCIA]]))</f>
        <v>2020</v>
      </c>
      <c r="M349" s="5" t="str">
        <f>IF(tbRegistroSaidas[[#This Row],[DATA DO CAIXA PREVISTO]]="N/A","0",UPPER(TEXT(tbRegistroSaidas[[#This Row],[DATA DO CAIXA PREVISTO]],"mmm")))</f>
        <v>DEZ</v>
      </c>
      <c r="N349" s="5">
        <f>IF(tbRegistroSaidas[[#This Row],[DATA DO CAIXA PREVISTO]]="N/A",0,YEAR(tbRegistroSaidas[[#This Row],[DATA DO CAIXA PREVISTO]]))</f>
        <v>2020</v>
      </c>
    </row>
    <row r="350" spans="1:14" s="5" customFormat="1" ht="14.4" x14ac:dyDescent="0.3">
      <c r="A350" s="49">
        <v>44824</v>
      </c>
      <c r="B350" s="49">
        <f t="shared" si="10"/>
        <v>44793</v>
      </c>
      <c r="C350" s="49">
        <f t="shared" si="11"/>
        <v>44809</v>
      </c>
      <c r="D350" s="52" t="s">
        <v>67</v>
      </c>
      <c r="E350" s="52" t="s">
        <v>1543</v>
      </c>
      <c r="F350" s="52" t="s">
        <v>17</v>
      </c>
      <c r="G350" s="52" t="s">
        <v>1407</v>
      </c>
      <c r="H350" s="18">
        <v>2986</v>
      </c>
      <c r="I350" s="5">
        <f>IF(tbRegistroSaidas[[#This Row],[DATA DE CAIXA REALIZADO]]="N/A",0,YEAR(tbRegistroSaidas[[#This Row],[DATA DE CAIXA REALIZADO]]))</f>
        <v>2022</v>
      </c>
      <c r="J350" s="5" t="str">
        <f>IF(tbRegistroSaidas[[#This Row],[DATA DE CAIXA REALIZADO]]="N/A","0",UPPER(TEXT(tbRegistroSaidas[[#This Row],[DATA DE CAIXA REALIZADO]],"mmm")))</f>
        <v>SET</v>
      </c>
      <c r="K350" s="79" t="str">
        <f>IF(tbRegistroSaidas[[#This Row],[DATA DA COMPETÊNCIA]]="N/A","0",UPPER(TEXT(tbRegistroSaidas[[#This Row],[DATA DA COMPETÊNCIA]],"mmm")))</f>
        <v>AGO</v>
      </c>
      <c r="L350" s="79">
        <f>IF(tbRegistroSaidas[[#This Row],[DATA DA COMPETÊNCIA]]="N/A",0,YEAR(tbRegistroSaidas[[#This Row],[DATA DA COMPETÊNCIA]]))</f>
        <v>2022</v>
      </c>
      <c r="M350" s="5" t="str">
        <f>IF(tbRegistroSaidas[[#This Row],[DATA DO CAIXA PREVISTO]]="N/A","0",UPPER(TEXT(tbRegistroSaidas[[#This Row],[DATA DO CAIXA PREVISTO]],"mmm")))</f>
        <v>SET</v>
      </c>
      <c r="N350" s="5">
        <f>IF(tbRegistroSaidas[[#This Row],[DATA DO CAIXA PREVISTO]]="N/A",0,YEAR(tbRegistroSaidas[[#This Row],[DATA DO CAIXA PREVISTO]]))</f>
        <v>2022</v>
      </c>
    </row>
    <row r="351" spans="1:14" s="5" customFormat="1" ht="14.4" x14ac:dyDescent="0.3">
      <c r="A351" s="49">
        <v>44731</v>
      </c>
      <c r="B351" s="49">
        <f t="shared" si="10"/>
        <v>44700</v>
      </c>
      <c r="C351" s="49">
        <f t="shared" si="11"/>
        <v>44716</v>
      </c>
      <c r="D351" s="52" t="s">
        <v>138</v>
      </c>
      <c r="E351" s="52" t="s">
        <v>1543</v>
      </c>
      <c r="F351" s="52" t="s">
        <v>32</v>
      </c>
      <c r="G351" s="52" t="s">
        <v>1300</v>
      </c>
      <c r="H351" s="18">
        <v>150</v>
      </c>
      <c r="I351" s="5">
        <f>IF(tbRegistroSaidas[[#This Row],[DATA DE CAIXA REALIZADO]]="N/A",0,YEAR(tbRegistroSaidas[[#This Row],[DATA DE CAIXA REALIZADO]]))</f>
        <v>2022</v>
      </c>
      <c r="J351" s="5" t="str">
        <f>IF(tbRegistroSaidas[[#This Row],[DATA DE CAIXA REALIZADO]]="N/A","0",UPPER(TEXT(tbRegistroSaidas[[#This Row],[DATA DE CAIXA REALIZADO]],"mmm")))</f>
        <v>JUN</v>
      </c>
      <c r="K351" s="79" t="str">
        <f>IF(tbRegistroSaidas[[#This Row],[DATA DA COMPETÊNCIA]]="N/A","0",UPPER(TEXT(tbRegistroSaidas[[#This Row],[DATA DA COMPETÊNCIA]],"mmm")))</f>
        <v>MAI</v>
      </c>
      <c r="L351" s="79">
        <f>IF(tbRegistroSaidas[[#This Row],[DATA DA COMPETÊNCIA]]="N/A",0,YEAR(tbRegistroSaidas[[#This Row],[DATA DA COMPETÊNCIA]]))</f>
        <v>2022</v>
      </c>
      <c r="M351" s="5" t="str">
        <f>IF(tbRegistroSaidas[[#This Row],[DATA DO CAIXA PREVISTO]]="N/A","0",UPPER(TEXT(tbRegistroSaidas[[#This Row],[DATA DO CAIXA PREVISTO]],"mmm")))</f>
        <v>JUN</v>
      </c>
      <c r="N351" s="5">
        <f>IF(tbRegistroSaidas[[#This Row],[DATA DO CAIXA PREVISTO]]="N/A",0,YEAR(tbRegistroSaidas[[#This Row],[DATA DO CAIXA PREVISTO]]))</f>
        <v>2022</v>
      </c>
    </row>
    <row r="352" spans="1:14" s="5" customFormat="1" ht="14.4" x14ac:dyDescent="0.3">
      <c r="A352" s="49">
        <v>44970</v>
      </c>
      <c r="B352" s="49">
        <f t="shared" si="10"/>
        <v>44939</v>
      </c>
      <c r="C352" s="49">
        <f t="shared" si="11"/>
        <v>44955</v>
      </c>
      <c r="D352" s="52" t="s">
        <v>67</v>
      </c>
      <c r="E352" s="52" t="s">
        <v>1543</v>
      </c>
      <c r="F352" s="52" t="s">
        <v>18</v>
      </c>
      <c r="G352" s="52" t="s">
        <v>1408</v>
      </c>
      <c r="H352" s="18">
        <v>845</v>
      </c>
      <c r="I352" s="5">
        <f>IF(tbRegistroSaidas[[#This Row],[DATA DE CAIXA REALIZADO]]="N/A",0,YEAR(tbRegistroSaidas[[#This Row],[DATA DE CAIXA REALIZADO]]))</f>
        <v>2023</v>
      </c>
      <c r="J352" s="5" t="str">
        <f>IF(tbRegistroSaidas[[#This Row],[DATA DE CAIXA REALIZADO]]="N/A","0",UPPER(TEXT(tbRegistroSaidas[[#This Row],[DATA DE CAIXA REALIZADO]],"mmm")))</f>
        <v>FEV</v>
      </c>
      <c r="K352" s="79" t="str">
        <f>IF(tbRegistroSaidas[[#This Row],[DATA DA COMPETÊNCIA]]="N/A","0",UPPER(TEXT(tbRegistroSaidas[[#This Row],[DATA DA COMPETÊNCIA]],"mmm")))</f>
        <v>JAN</v>
      </c>
      <c r="L352" s="79">
        <f>IF(tbRegistroSaidas[[#This Row],[DATA DA COMPETÊNCIA]]="N/A",0,YEAR(tbRegistroSaidas[[#This Row],[DATA DA COMPETÊNCIA]]))</f>
        <v>2023</v>
      </c>
      <c r="M352" s="5" t="str">
        <f>IF(tbRegistroSaidas[[#This Row],[DATA DO CAIXA PREVISTO]]="N/A","0",UPPER(TEXT(tbRegistroSaidas[[#This Row],[DATA DO CAIXA PREVISTO]],"mmm")))</f>
        <v>JAN</v>
      </c>
      <c r="N352" s="5">
        <f>IF(tbRegistroSaidas[[#This Row],[DATA DO CAIXA PREVISTO]]="N/A",0,YEAR(tbRegistroSaidas[[#This Row],[DATA DO CAIXA PREVISTO]]))</f>
        <v>2023</v>
      </c>
    </row>
    <row r="353" spans="1:14" s="5" customFormat="1" ht="14.4" x14ac:dyDescent="0.3">
      <c r="A353" s="49">
        <v>44998</v>
      </c>
      <c r="B353" s="49">
        <f t="shared" si="10"/>
        <v>44967</v>
      </c>
      <c r="C353" s="49">
        <f t="shared" si="11"/>
        <v>44983</v>
      </c>
      <c r="D353" s="52" t="s">
        <v>66</v>
      </c>
      <c r="E353" s="52" t="s">
        <v>1543</v>
      </c>
      <c r="F353" s="52" t="s">
        <v>19</v>
      </c>
      <c r="G353" s="52" t="s">
        <v>1409</v>
      </c>
      <c r="H353" s="18">
        <v>2521</v>
      </c>
      <c r="I353" s="5">
        <f>IF(tbRegistroSaidas[[#This Row],[DATA DE CAIXA REALIZADO]]="N/A",0,YEAR(tbRegistroSaidas[[#This Row],[DATA DE CAIXA REALIZADO]]))</f>
        <v>2023</v>
      </c>
      <c r="J353" s="5" t="str">
        <f>IF(tbRegistroSaidas[[#This Row],[DATA DE CAIXA REALIZADO]]="N/A","0",UPPER(TEXT(tbRegistroSaidas[[#This Row],[DATA DE CAIXA REALIZADO]],"mmm")))</f>
        <v>MAR</v>
      </c>
      <c r="K353" s="79" t="str">
        <f>IF(tbRegistroSaidas[[#This Row],[DATA DA COMPETÊNCIA]]="N/A","0",UPPER(TEXT(tbRegistroSaidas[[#This Row],[DATA DA COMPETÊNCIA]],"mmm")))</f>
        <v>FEV</v>
      </c>
      <c r="L353" s="79">
        <f>IF(tbRegistroSaidas[[#This Row],[DATA DA COMPETÊNCIA]]="N/A",0,YEAR(tbRegistroSaidas[[#This Row],[DATA DA COMPETÊNCIA]]))</f>
        <v>2023</v>
      </c>
      <c r="M353" s="5" t="str">
        <f>IF(tbRegistroSaidas[[#This Row],[DATA DO CAIXA PREVISTO]]="N/A","0",UPPER(TEXT(tbRegistroSaidas[[#This Row],[DATA DO CAIXA PREVISTO]],"mmm")))</f>
        <v>FEV</v>
      </c>
      <c r="N353" s="5">
        <f>IF(tbRegistroSaidas[[#This Row],[DATA DO CAIXA PREVISTO]]="N/A",0,YEAR(tbRegistroSaidas[[#This Row],[DATA DO CAIXA PREVISTO]]))</f>
        <v>2023</v>
      </c>
    </row>
    <row r="354" spans="1:14" s="5" customFormat="1" ht="14.4" x14ac:dyDescent="0.3">
      <c r="A354" s="49">
        <v>44986</v>
      </c>
      <c r="B354" s="49">
        <f t="shared" si="10"/>
        <v>44955</v>
      </c>
      <c r="C354" s="49">
        <f t="shared" si="11"/>
        <v>44971</v>
      </c>
      <c r="D354" s="52" t="s">
        <v>137</v>
      </c>
      <c r="E354" s="52" t="s">
        <v>1543</v>
      </c>
      <c r="F354" s="52" t="s">
        <v>19</v>
      </c>
      <c r="G354" s="52" t="s">
        <v>1410</v>
      </c>
      <c r="H354" s="18">
        <v>1509</v>
      </c>
      <c r="I354" s="5">
        <f>IF(tbRegistroSaidas[[#This Row],[DATA DE CAIXA REALIZADO]]="N/A",0,YEAR(tbRegistroSaidas[[#This Row],[DATA DE CAIXA REALIZADO]]))</f>
        <v>2023</v>
      </c>
      <c r="J354" s="5" t="str">
        <f>IF(tbRegistroSaidas[[#This Row],[DATA DE CAIXA REALIZADO]]="N/A","0",UPPER(TEXT(tbRegistroSaidas[[#This Row],[DATA DE CAIXA REALIZADO]],"mmm")))</f>
        <v>MAR</v>
      </c>
      <c r="K354" s="79" t="str">
        <f>IF(tbRegistroSaidas[[#This Row],[DATA DA COMPETÊNCIA]]="N/A","0",UPPER(TEXT(tbRegistroSaidas[[#This Row],[DATA DA COMPETÊNCIA]],"mmm")))</f>
        <v>JAN</v>
      </c>
      <c r="L354" s="79">
        <f>IF(tbRegistroSaidas[[#This Row],[DATA DA COMPETÊNCIA]]="N/A",0,YEAR(tbRegistroSaidas[[#This Row],[DATA DA COMPETÊNCIA]]))</f>
        <v>2023</v>
      </c>
      <c r="M354" s="5" t="str">
        <f>IF(tbRegistroSaidas[[#This Row],[DATA DO CAIXA PREVISTO]]="N/A","0",UPPER(TEXT(tbRegistroSaidas[[#This Row],[DATA DO CAIXA PREVISTO]],"mmm")))</f>
        <v>FEV</v>
      </c>
      <c r="N354" s="5">
        <f>IF(tbRegistroSaidas[[#This Row],[DATA DO CAIXA PREVISTO]]="N/A",0,YEAR(tbRegistroSaidas[[#This Row],[DATA DO CAIXA PREVISTO]]))</f>
        <v>2023</v>
      </c>
    </row>
    <row r="355" spans="1:14" s="5" customFormat="1" ht="14.4" x14ac:dyDescent="0.3">
      <c r="A355" s="49">
        <v>44985</v>
      </c>
      <c r="B355" s="49">
        <f t="shared" si="10"/>
        <v>44954</v>
      </c>
      <c r="C355" s="49">
        <f t="shared" si="11"/>
        <v>44970</v>
      </c>
      <c r="D355" s="52" t="s">
        <v>63</v>
      </c>
      <c r="E355" s="52" t="s">
        <v>1543</v>
      </c>
      <c r="F355" s="52" t="s">
        <v>32</v>
      </c>
      <c r="G355" s="52" t="s">
        <v>156</v>
      </c>
      <c r="H355" s="18">
        <v>2767</v>
      </c>
      <c r="I355" s="5">
        <f>IF(tbRegistroSaidas[[#This Row],[DATA DE CAIXA REALIZADO]]="N/A",0,YEAR(tbRegistroSaidas[[#This Row],[DATA DE CAIXA REALIZADO]]))</f>
        <v>2023</v>
      </c>
      <c r="J355" s="5" t="str">
        <f>IF(tbRegistroSaidas[[#This Row],[DATA DE CAIXA REALIZADO]]="N/A","0",UPPER(TEXT(tbRegistroSaidas[[#This Row],[DATA DE CAIXA REALIZADO]],"mmm")))</f>
        <v>FEV</v>
      </c>
      <c r="K355" s="79" t="str">
        <f>IF(tbRegistroSaidas[[#This Row],[DATA DA COMPETÊNCIA]]="N/A","0",UPPER(TEXT(tbRegistroSaidas[[#This Row],[DATA DA COMPETÊNCIA]],"mmm")))</f>
        <v>JAN</v>
      </c>
      <c r="L355" s="79">
        <f>IF(tbRegistroSaidas[[#This Row],[DATA DA COMPETÊNCIA]]="N/A",0,YEAR(tbRegistroSaidas[[#This Row],[DATA DA COMPETÊNCIA]]))</f>
        <v>2023</v>
      </c>
      <c r="M355" s="5" t="str">
        <f>IF(tbRegistroSaidas[[#This Row],[DATA DO CAIXA PREVISTO]]="N/A","0",UPPER(TEXT(tbRegistroSaidas[[#This Row],[DATA DO CAIXA PREVISTO]],"mmm")))</f>
        <v>FEV</v>
      </c>
      <c r="N355" s="5">
        <f>IF(tbRegistroSaidas[[#This Row],[DATA DO CAIXA PREVISTO]]="N/A",0,YEAR(tbRegistroSaidas[[#This Row],[DATA DO CAIXA PREVISTO]]))</f>
        <v>2023</v>
      </c>
    </row>
    <row r="356" spans="1:14" s="5" customFormat="1" ht="14.4" x14ac:dyDescent="0.3">
      <c r="A356" s="49">
        <v>45188</v>
      </c>
      <c r="B356" s="49">
        <f t="shared" si="10"/>
        <v>45157</v>
      </c>
      <c r="C356" s="49">
        <f t="shared" si="11"/>
        <v>45173</v>
      </c>
      <c r="D356" s="52" t="s">
        <v>138</v>
      </c>
      <c r="E356" s="52" t="s">
        <v>1543</v>
      </c>
      <c r="F356" s="52" t="s">
        <v>16</v>
      </c>
      <c r="G356" s="52" t="s">
        <v>1411</v>
      </c>
      <c r="H356" s="18">
        <v>592</v>
      </c>
      <c r="I356" s="5">
        <f>IF(tbRegistroSaidas[[#This Row],[DATA DE CAIXA REALIZADO]]="N/A",0,YEAR(tbRegistroSaidas[[#This Row],[DATA DE CAIXA REALIZADO]]))</f>
        <v>2023</v>
      </c>
      <c r="J356" s="5" t="str">
        <f>IF(tbRegistroSaidas[[#This Row],[DATA DE CAIXA REALIZADO]]="N/A","0",UPPER(TEXT(tbRegistroSaidas[[#This Row],[DATA DE CAIXA REALIZADO]],"mmm")))</f>
        <v>SET</v>
      </c>
      <c r="K356" s="79" t="str">
        <f>IF(tbRegistroSaidas[[#This Row],[DATA DA COMPETÊNCIA]]="N/A","0",UPPER(TEXT(tbRegistroSaidas[[#This Row],[DATA DA COMPETÊNCIA]],"mmm")))</f>
        <v>AGO</v>
      </c>
      <c r="L356" s="79">
        <f>IF(tbRegistroSaidas[[#This Row],[DATA DA COMPETÊNCIA]]="N/A",0,YEAR(tbRegistroSaidas[[#This Row],[DATA DA COMPETÊNCIA]]))</f>
        <v>2023</v>
      </c>
      <c r="M356" s="5" t="str">
        <f>IF(tbRegistroSaidas[[#This Row],[DATA DO CAIXA PREVISTO]]="N/A","0",UPPER(TEXT(tbRegistroSaidas[[#This Row],[DATA DO CAIXA PREVISTO]],"mmm")))</f>
        <v>SET</v>
      </c>
      <c r="N356" s="5">
        <f>IF(tbRegistroSaidas[[#This Row],[DATA DO CAIXA PREVISTO]]="N/A",0,YEAR(tbRegistroSaidas[[#This Row],[DATA DO CAIXA PREVISTO]]))</f>
        <v>2023</v>
      </c>
    </row>
    <row r="357" spans="1:14" s="5" customFormat="1" ht="14.4" x14ac:dyDescent="0.3">
      <c r="A357" s="49">
        <v>45275</v>
      </c>
      <c r="B357" s="49">
        <f t="shared" si="10"/>
        <v>45244</v>
      </c>
      <c r="C357" s="49">
        <f t="shared" si="11"/>
        <v>45260</v>
      </c>
      <c r="D357" s="52" t="s">
        <v>61</v>
      </c>
      <c r="E357" s="52" t="s">
        <v>1543</v>
      </c>
      <c r="F357" s="52" t="s">
        <v>18</v>
      </c>
      <c r="G357" s="52" t="s">
        <v>1412</v>
      </c>
      <c r="H357" s="18">
        <v>239</v>
      </c>
      <c r="I357" s="5">
        <f>IF(tbRegistroSaidas[[#This Row],[DATA DE CAIXA REALIZADO]]="N/A",0,YEAR(tbRegistroSaidas[[#This Row],[DATA DE CAIXA REALIZADO]]))</f>
        <v>2023</v>
      </c>
      <c r="J357" s="5" t="str">
        <f>IF(tbRegistroSaidas[[#This Row],[DATA DE CAIXA REALIZADO]]="N/A","0",UPPER(TEXT(tbRegistroSaidas[[#This Row],[DATA DE CAIXA REALIZADO]],"mmm")))</f>
        <v>DEZ</v>
      </c>
      <c r="K357" s="79" t="str">
        <f>IF(tbRegistroSaidas[[#This Row],[DATA DA COMPETÊNCIA]]="N/A","0",UPPER(TEXT(tbRegistroSaidas[[#This Row],[DATA DA COMPETÊNCIA]],"mmm")))</f>
        <v>NOV</v>
      </c>
      <c r="L357" s="79">
        <f>IF(tbRegistroSaidas[[#This Row],[DATA DA COMPETÊNCIA]]="N/A",0,YEAR(tbRegistroSaidas[[#This Row],[DATA DA COMPETÊNCIA]]))</f>
        <v>2023</v>
      </c>
      <c r="M357" s="5" t="str">
        <f>IF(tbRegistroSaidas[[#This Row],[DATA DO CAIXA PREVISTO]]="N/A","0",UPPER(TEXT(tbRegistroSaidas[[#This Row],[DATA DO CAIXA PREVISTO]],"mmm")))</f>
        <v>NOV</v>
      </c>
      <c r="N357" s="5">
        <f>IF(tbRegistroSaidas[[#This Row],[DATA DO CAIXA PREVISTO]]="N/A",0,YEAR(tbRegistroSaidas[[#This Row],[DATA DO CAIXA PREVISTO]]))</f>
        <v>2023</v>
      </c>
    </row>
    <row r="358" spans="1:14" s="5" customFormat="1" ht="14.4" x14ac:dyDescent="0.3">
      <c r="A358" s="49">
        <v>44254</v>
      </c>
      <c r="B358" s="49">
        <f t="shared" si="10"/>
        <v>44223</v>
      </c>
      <c r="C358" s="49">
        <f t="shared" si="11"/>
        <v>44239</v>
      </c>
      <c r="D358" s="52" t="s">
        <v>63</v>
      </c>
      <c r="E358" s="52" t="s">
        <v>1543</v>
      </c>
      <c r="F358" s="52" t="s">
        <v>16</v>
      </c>
      <c r="G358" s="52" t="s">
        <v>1413</v>
      </c>
      <c r="H358" s="18">
        <v>1230</v>
      </c>
      <c r="I358" s="5">
        <f>IF(tbRegistroSaidas[[#This Row],[DATA DE CAIXA REALIZADO]]="N/A",0,YEAR(tbRegistroSaidas[[#This Row],[DATA DE CAIXA REALIZADO]]))</f>
        <v>2021</v>
      </c>
      <c r="J358" s="5" t="str">
        <f>IF(tbRegistroSaidas[[#This Row],[DATA DE CAIXA REALIZADO]]="N/A","0",UPPER(TEXT(tbRegistroSaidas[[#This Row],[DATA DE CAIXA REALIZADO]],"mmm")))</f>
        <v>FEV</v>
      </c>
      <c r="K358" s="79" t="str">
        <f>IF(tbRegistroSaidas[[#This Row],[DATA DA COMPETÊNCIA]]="N/A","0",UPPER(TEXT(tbRegistroSaidas[[#This Row],[DATA DA COMPETÊNCIA]],"mmm")))</f>
        <v>JAN</v>
      </c>
      <c r="L358" s="79">
        <f>IF(tbRegistroSaidas[[#This Row],[DATA DA COMPETÊNCIA]]="N/A",0,YEAR(tbRegistroSaidas[[#This Row],[DATA DA COMPETÊNCIA]]))</f>
        <v>2021</v>
      </c>
      <c r="M358" s="5" t="str">
        <f>IF(tbRegistroSaidas[[#This Row],[DATA DO CAIXA PREVISTO]]="N/A","0",UPPER(TEXT(tbRegistroSaidas[[#This Row],[DATA DO CAIXA PREVISTO]],"mmm")))</f>
        <v>FEV</v>
      </c>
      <c r="N358" s="5">
        <f>IF(tbRegistroSaidas[[#This Row],[DATA DO CAIXA PREVISTO]]="N/A",0,YEAR(tbRegistroSaidas[[#This Row],[DATA DO CAIXA PREVISTO]]))</f>
        <v>2021</v>
      </c>
    </row>
    <row r="359" spans="1:14" s="5" customFormat="1" ht="14.4" x14ac:dyDescent="0.3">
      <c r="A359" s="49">
        <v>45204</v>
      </c>
      <c r="B359" s="49">
        <f t="shared" si="10"/>
        <v>45173</v>
      </c>
      <c r="C359" s="49">
        <f t="shared" si="11"/>
        <v>45189</v>
      </c>
      <c r="D359" s="52" t="s">
        <v>67</v>
      </c>
      <c r="E359" s="52" t="s">
        <v>1543</v>
      </c>
      <c r="F359" s="52" t="s">
        <v>32</v>
      </c>
      <c r="G359" s="52" t="s">
        <v>1414</v>
      </c>
      <c r="H359" s="18">
        <v>3400</v>
      </c>
      <c r="I359" s="5">
        <f>IF(tbRegistroSaidas[[#This Row],[DATA DE CAIXA REALIZADO]]="N/A",0,YEAR(tbRegistroSaidas[[#This Row],[DATA DE CAIXA REALIZADO]]))</f>
        <v>2023</v>
      </c>
      <c r="J359" s="5" t="str">
        <f>IF(tbRegistroSaidas[[#This Row],[DATA DE CAIXA REALIZADO]]="N/A","0",UPPER(TEXT(tbRegistroSaidas[[#This Row],[DATA DE CAIXA REALIZADO]],"mmm")))</f>
        <v>OUT</v>
      </c>
      <c r="K359" s="79" t="str">
        <f>IF(tbRegistroSaidas[[#This Row],[DATA DA COMPETÊNCIA]]="N/A","0",UPPER(TEXT(tbRegistroSaidas[[#This Row],[DATA DA COMPETÊNCIA]],"mmm")))</f>
        <v>SET</v>
      </c>
      <c r="L359" s="79">
        <f>IF(tbRegistroSaidas[[#This Row],[DATA DA COMPETÊNCIA]]="N/A",0,YEAR(tbRegistroSaidas[[#This Row],[DATA DA COMPETÊNCIA]]))</f>
        <v>2023</v>
      </c>
      <c r="M359" s="5" t="str">
        <f>IF(tbRegistroSaidas[[#This Row],[DATA DO CAIXA PREVISTO]]="N/A","0",UPPER(TEXT(tbRegistroSaidas[[#This Row],[DATA DO CAIXA PREVISTO]],"mmm")))</f>
        <v>SET</v>
      </c>
      <c r="N359" s="5">
        <f>IF(tbRegistroSaidas[[#This Row],[DATA DO CAIXA PREVISTO]]="N/A",0,YEAR(tbRegistroSaidas[[#This Row],[DATA DO CAIXA PREVISTO]]))</f>
        <v>2023</v>
      </c>
    </row>
    <row r="360" spans="1:14" s="5" customFormat="1" ht="14.4" x14ac:dyDescent="0.3">
      <c r="A360" s="49">
        <v>44363</v>
      </c>
      <c r="B360" s="49">
        <f t="shared" si="10"/>
        <v>44332</v>
      </c>
      <c r="C360" s="49">
        <f t="shared" si="11"/>
        <v>44348</v>
      </c>
      <c r="D360" s="52" t="s">
        <v>63</v>
      </c>
      <c r="E360" s="52" t="s">
        <v>1543</v>
      </c>
      <c r="F360" s="52" t="s">
        <v>32</v>
      </c>
      <c r="G360" s="52" t="s">
        <v>1415</v>
      </c>
      <c r="H360" s="18">
        <v>657</v>
      </c>
      <c r="I360" s="5">
        <f>IF(tbRegistroSaidas[[#This Row],[DATA DE CAIXA REALIZADO]]="N/A",0,YEAR(tbRegistroSaidas[[#This Row],[DATA DE CAIXA REALIZADO]]))</f>
        <v>2021</v>
      </c>
      <c r="J360" s="5" t="str">
        <f>IF(tbRegistroSaidas[[#This Row],[DATA DE CAIXA REALIZADO]]="N/A","0",UPPER(TEXT(tbRegistroSaidas[[#This Row],[DATA DE CAIXA REALIZADO]],"mmm")))</f>
        <v>JUN</v>
      </c>
      <c r="K360" s="79" t="str">
        <f>IF(tbRegistroSaidas[[#This Row],[DATA DA COMPETÊNCIA]]="N/A","0",UPPER(TEXT(tbRegistroSaidas[[#This Row],[DATA DA COMPETÊNCIA]],"mmm")))</f>
        <v>MAI</v>
      </c>
      <c r="L360" s="79">
        <f>IF(tbRegistroSaidas[[#This Row],[DATA DA COMPETÊNCIA]]="N/A",0,YEAR(tbRegistroSaidas[[#This Row],[DATA DA COMPETÊNCIA]]))</f>
        <v>2021</v>
      </c>
      <c r="M360" s="5" t="str">
        <f>IF(tbRegistroSaidas[[#This Row],[DATA DO CAIXA PREVISTO]]="N/A","0",UPPER(TEXT(tbRegistroSaidas[[#This Row],[DATA DO CAIXA PREVISTO]],"mmm")))</f>
        <v>JUN</v>
      </c>
      <c r="N360" s="5">
        <f>IF(tbRegistroSaidas[[#This Row],[DATA DO CAIXA PREVISTO]]="N/A",0,YEAR(tbRegistroSaidas[[#This Row],[DATA DO CAIXA PREVISTO]]))</f>
        <v>2021</v>
      </c>
    </row>
    <row r="361" spans="1:14" s="5" customFormat="1" ht="14.4" x14ac:dyDescent="0.3">
      <c r="A361" s="49">
        <v>44815</v>
      </c>
      <c r="B361" s="49">
        <f t="shared" si="10"/>
        <v>44784</v>
      </c>
      <c r="C361" s="49">
        <f t="shared" si="11"/>
        <v>44800</v>
      </c>
      <c r="D361" s="52" t="s">
        <v>64</v>
      </c>
      <c r="E361" s="52" t="s">
        <v>1543</v>
      </c>
      <c r="F361" s="52" t="s">
        <v>32</v>
      </c>
      <c r="G361" s="52" t="s">
        <v>1416</v>
      </c>
      <c r="H361" s="18">
        <v>801</v>
      </c>
      <c r="I361" s="5">
        <f>IF(tbRegistroSaidas[[#This Row],[DATA DE CAIXA REALIZADO]]="N/A",0,YEAR(tbRegistroSaidas[[#This Row],[DATA DE CAIXA REALIZADO]]))</f>
        <v>2022</v>
      </c>
      <c r="J361" s="5" t="str">
        <f>IF(tbRegistroSaidas[[#This Row],[DATA DE CAIXA REALIZADO]]="N/A","0",UPPER(TEXT(tbRegistroSaidas[[#This Row],[DATA DE CAIXA REALIZADO]],"mmm")))</f>
        <v>SET</v>
      </c>
      <c r="K361" s="79" t="str">
        <f>IF(tbRegistroSaidas[[#This Row],[DATA DA COMPETÊNCIA]]="N/A","0",UPPER(TEXT(tbRegistroSaidas[[#This Row],[DATA DA COMPETÊNCIA]],"mmm")))</f>
        <v>AGO</v>
      </c>
      <c r="L361" s="79">
        <f>IF(tbRegistroSaidas[[#This Row],[DATA DA COMPETÊNCIA]]="N/A",0,YEAR(tbRegistroSaidas[[#This Row],[DATA DA COMPETÊNCIA]]))</f>
        <v>2022</v>
      </c>
      <c r="M361" s="5" t="str">
        <f>IF(tbRegistroSaidas[[#This Row],[DATA DO CAIXA PREVISTO]]="N/A","0",UPPER(TEXT(tbRegistroSaidas[[#This Row],[DATA DO CAIXA PREVISTO]],"mmm")))</f>
        <v>AGO</v>
      </c>
      <c r="N361" s="5">
        <f>IF(tbRegistroSaidas[[#This Row],[DATA DO CAIXA PREVISTO]]="N/A",0,YEAR(tbRegistroSaidas[[#This Row],[DATA DO CAIXA PREVISTO]]))</f>
        <v>2022</v>
      </c>
    </row>
    <row r="362" spans="1:14" s="5" customFormat="1" ht="14.4" x14ac:dyDescent="0.3">
      <c r="A362" s="49">
        <v>44280</v>
      </c>
      <c r="B362" s="49">
        <f t="shared" si="10"/>
        <v>44249</v>
      </c>
      <c r="C362" s="49">
        <f t="shared" si="11"/>
        <v>44265</v>
      </c>
      <c r="D362" s="52" t="s">
        <v>63</v>
      </c>
      <c r="E362" s="52" t="s">
        <v>1543</v>
      </c>
      <c r="F362" s="52" t="s">
        <v>19</v>
      </c>
      <c r="G362" s="52" t="s">
        <v>1417</v>
      </c>
      <c r="H362" s="18">
        <v>3571</v>
      </c>
      <c r="I362" s="5">
        <f>IF(tbRegistroSaidas[[#This Row],[DATA DE CAIXA REALIZADO]]="N/A",0,YEAR(tbRegistroSaidas[[#This Row],[DATA DE CAIXA REALIZADO]]))</f>
        <v>2021</v>
      </c>
      <c r="J362" s="5" t="str">
        <f>IF(tbRegistroSaidas[[#This Row],[DATA DE CAIXA REALIZADO]]="N/A","0",UPPER(TEXT(tbRegistroSaidas[[#This Row],[DATA DE CAIXA REALIZADO]],"mmm")))</f>
        <v>MAR</v>
      </c>
      <c r="K362" s="79" t="str">
        <f>IF(tbRegistroSaidas[[#This Row],[DATA DA COMPETÊNCIA]]="N/A","0",UPPER(TEXT(tbRegistroSaidas[[#This Row],[DATA DA COMPETÊNCIA]],"mmm")))</f>
        <v>FEV</v>
      </c>
      <c r="L362" s="79">
        <f>IF(tbRegistroSaidas[[#This Row],[DATA DA COMPETÊNCIA]]="N/A",0,YEAR(tbRegistroSaidas[[#This Row],[DATA DA COMPETÊNCIA]]))</f>
        <v>2021</v>
      </c>
      <c r="M362" s="5" t="str">
        <f>IF(tbRegistroSaidas[[#This Row],[DATA DO CAIXA PREVISTO]]="N/A","0",UPPER(TEXT(tbRegistroSaidas[[#This Row],[DATA DO CAIXA PREVISTO]],"mmm")))</f>
        <v>MAR</v>
      </c>
      <c r="N362" s="5">
        <f>IF(tbRegistroSaidas[[#This Row],[DATA DO CAIXA PREVISTO]]="N/A",0,YEAR(tbRegistroSaidas[[#This Row],[DATA DO CAIXA PREVISTO]]))</f>
        <v>2021</v>
      </c>
    </row>
    <row r="363" spans="1:14" s="5" customFormat="1" ht="14.4" x14ac:dyDescent="0.3">
      <c r="A363" s="49">
        <v>44206</v>
      </c>
      <c r="B363" s="49">
        <f t="shared" si="10"/>
        <v>44175</v>
      </c>
      <c r="C363" s="49">
        <f t="shared" si="11"/>
        <v>44191</v>
      </c>
      <c r="D363" s="52" t="s">
        <v>63</v>
      </c>
      <c r="E363" s="52" t="s">
        <v>1543</v>
      </c>
      <c r="F363" s="52" t="s">
        <v>18</v>
      </c>
      <c r="G363" s="52" t="s">
        <v>748</v>
      </c>
      <c r="H363" s="18">
        <v>3691</v>
      </c>
      <c r="I363" s="5">
        <f>IF(tbRegistroSaidas[[#This Row],[DATA DE CAIXA REALIZADO]]="N/A",0,YEAR(tbRegistroSaidas[[#This Row],[DATA DE CAIXA REALIZADO]]))</f>
        <v>2021</v>
      </c>
      <c r="J363" s="5" t="str">
        <f>IF(tbRegistroSaidas[[#This Row],[DATA DE CAIXA REALIZADO]]="N/A","0",UPPER(TEXT(tbRegistroSaidas[[#This Row],[DATA DE CAIXA REALIZADO]],"mmm")))</f>
        <v>JAN</v>
      </c>
      <c r="K363" s="79" t="str">
        <f>IF(tbRegistroSaidas[[#This Row],[DATA DA COMPETÊNCIA]]="N/A","0",UPPER(TEXT(tbRegistroSaidas[[#This Row],[DATA DA COMPETÊNCIA]],"mmm")))</f>
        <v>DEZ</v>
      </c>
      <c r="L363" s="79">
        <f>IF(tbRegistroSaidas[[#This Row],[DATA DA COMPETÊNCIA]]="N/A",0,YEAR(tbRegistroSaidas[[#This Row],[DATA DA COMPETÊNCIA]]))</f>
        <v>2020</v>
      </c>
      <c r="M363" s="5" t="str">
        <f>IF(tbRegistroSaidas[[#This Row],[DATA DO CAIXA PREVISTO]]="N/A","0",UPPER(TEXT(tbRegistroSaidas[[#This Row],[DATA DO CAIXA PREVISTO]],"mmm")))</f>
        <v>DEZ</v>
      </c>
      <c r="N363" s="5">
        <f>IF(tbRegistroSaidas[[#This Row],[DATA DO CAIXA PREVISTO]]="N/A",0,YEAR(tbRegistroSaidas[[#This Row],[DATA DO CAIXA PREVISTO]]))</f>
        <v>2020</v>
      </c>
    </row>
    <row r="364" spans="1:14" s="5" customFormat="1" ht="14.4" x14ac:dyDescent="0.3">
      <c r="A364" s="49">
        <v>44374</v>
      </c>
      <c r="B364" s="49">
        <f t="shared" si="10"/>
        <v>44343</v>
      </c>
      <c r="C364" s="49">
        <f t="shared" si="11"/>
        <v>44359</v>
      </c>
      <c r="D364" s="52" t="s">
        <v>63</v>
      </c>
      <c r="E364" s="52" t="s">
        <v>1543</v>
      </c>
      <c r="F364" s="52" t="s">
        <v>16</v>
      </c>
      <c r="G364" s="52" t="s">
        <v>1418</v>
      </c>
      <c r="H364" s="18">
        <v>1140</v>
      </c>
      <c r="I364" s="5">
        <f>IF(tbRegistroSaidas[[#This Row],[DATA DE CAIXA REALIZADO]]="N/A",0,YEAR(tbRegistroSaidas[[#This Row],[DATA DE CAIXA REALIZADO]]))</f>
        <v>2021</v>
      </c>
      <c r="J364" s="5" t="str">
        <f>IF(tbRegistroSaidas[[#This Row],[DATA DE CAIXA REALIZADO]]="N/A","0",UPPER(TEXT(tbRegistroSaidas[[#This Row],[DATA DE CAIXA REALIZADO]],"mmm")))</f>
        <v>JUN</v>
      </c>
      <c r="K364" s="79" t="str">
        <f>IF(tbRegistroSaidas[[#This Row],[DATA DA COMPETÊNCIA]]="N/A","0",UPPER(TEXT(tbRegistroSaidas[[#This Row],[DATA DA COMPETÊNCIA]],"mmm")))</f>
        <v>MAI</v>
      </c>
      <c r="L364" s="79">
        <f>IF(tbRegistroSaidas[[#This Row],[DATA DA COMPETÊNCIA]]="N/A",0,YEAR(tbRegistroSaidas[[#This Row],[DATA DA COMPETÊNCIA]]))</f>
        <v>2021</v>
      </c>
      <c r="M364" s="5" t="str">
        <f>IF(tbRegistroSaidas[[#This Row],[DATA DO CAIXA PREVISTO]]="N/A","0",UPPER(TEXT(tbRegistroSaidas[[#This Row],[DATA DO CAIXA PREVISTO]],"mmm")))</f>
        <v>JUN</v>
      </c>
      <c r="N364" s="5">
        <f>IF(tbRegistroSaidas[[#This Row],[DATA DO CAIXA PREVISTO]]="N/A",0,YEAR(tbRegistroSaidas[[#This Row],[DATA DO CAIXA PREVISTO]]))</f>
        <v>2021</v>
      </c>
    </row>
    <row r="365" spans="1:14" s="5" customFormat="1" ht="14.4" x14ac:dyDescent="0.3">
      <c r="A365" s="49">
        <v>44545</v>
      </c>
      <c r="B365" s="49">
        <f t="shared" si="10"/>
        <v>44514</v>
      </c>
      <c r="C365" s="49">
        <f t="shared" si="11"/>
        <v>44530</v>
      </c>
      <c r="D365" s="52" t="s">
        <v>64</v>
      </c>
      <c r="E365" s="52" t="s">
        <v>1543</v>
      </c>
      <c r="F365" s="52" t="s">
        <v>19</v>
      </c>
      <c r="G365" s="52" t="s">
        <v>1419</v>
      </c>
      <c r="H365" s="18">
        <v>433</v>
      </c>
      <c r="I365" s="5">
        <f>IF(tbRegistroSaidas[[#This Row],[DATA DE CAIXA REALIZADO]]="N/A",0,YEAR(tbRegistroSaidas[[#This Row],[DATA DE CAIXA REALIZADO]]))</f>
        <v>2021</v>
      </c>
      <c r="J365" s="5" t="str">
        <f>IF(tbRegistroSaidas[[#This Row],[DATA DE CAIXA REALIZADO]]="N/A","0",UPPER(TEXT(tbRegistroSaidas[[#This Row],[DATA DE CAIXA REALIZADO]],"mmm")))</f>
        <v>DEZ</v>
      </c>
      <c r="K365" s="79" t="str">
        <f>IF(tbRegistroSaidas[[#This Row],[DATA DA COMPETÊNCIA]]="N/A","0",UPPER(TEXT(tbRegistroSaidas[[#This Row],[DATA DA COMPETÊNCIA]],"mmm")))</f>
        <v>NOV</v>
      </c>
      <c r="L365" s="79">
        <f>IF(tbRegistroSaidas[[#This Row],[DATA DA COMPETÊNCIA]]="N/A",0,YEAR(tbRegistroSaidas[[#This Row],[DATA DA COMPETÊNCIA]]))</f>
        <v>2021</v>
      </c>
      <c r="M365" s="5" t="str">
        <f>IF(tbRegistroSaidas[[#This Row],[DATA DO CAIXA PREVISTO]]="N/A","0",UPPER(TEXT(tbRegistroSaidas[[#This Row],[DATA DO CAIXA PREVISTO]],"mmm")))</f>
        <v>NOV</v>
      </c>
      <c r="N365" s="5">
        <f>IF(tbRegistroSaidas[[#This Row],[DATA DO CAIXA PREVISTO]]="N/A",0,YEAR(tbRegistroSaidas[[#This Row],[DATA DO CAIXA PREVISTO]]))</f>
        <v>2021</v>
      </c>
    </row>
    <row r="366" spans="1:14" s="5" customFormat="1" ht="14.4" x14ac:dyDescent="0.3">
      <c r="A366" s="49">
        <v>45253</v>
      </c>
      <c r="B366" s="49">
        <f t="shared" si="10"/>
        <v>45222</v>
      </c>
      <c r="C366" s="49">
        <f t="shared" si="11"/>
        <v>45238</v>
      </c>
      <c r="D366" s="52" t="s">
        <v>137</v>
      </c>
      <c r="E366" s="52" t="s">
        <v>1543</v>
      </c>
      <c r="F366" s="52" t="s">
        <v>32</v>
      </c>
      <c r="G366" s="52" t="s">
        <v>1420</v>
      </c>
      <c r="H366" s="18">
        <v>597</v>
      </c>
      <c r="I366" s="5">
        <f>IF(tbRegistroSaidas[[#This Row],[DATA DE CAIXA REALIZADO]]="N/A",0,YEAR(tbRegistroSaidas[[#This Row],[DATA DE CAIXA REALIZADO]]))</f>
        <v>2023</v>
      </c>
      <c r="J366" s="5" t="str">
        <f>IF(tbRegistroSaidas[[#This Row],[DATA DE CAIXA REALIZADO]]="N/A","0",UPPER(TEXT(tbRegistroSaidas[[#This Row],[DATA DE CAIXA REALIZADO]],"mmm")))</f>
        <v>NOV</v>
      </c>
      <c r="K366" s="79" t="str">
        <f>IF(tbRegistroSaidas[[#This Row],[DATA DA COMPETÊNCIA]]="N/A","0",UPPER(TEXT(tbRegistroSaidas[[#This Row],[DATA DA COMPETÊNCIA]],"mmm")))</f>
        <v>OUT</v>
      </c>
      <c r="L366" s="79">
        <f>IF(tbRegistroSaidas[[#This Row],[DATA DA COMPETÊNCIA]]="N/A",0,YEAR(tbRegistroSaidas[[#This Row],[DATA DA COMPETÊNCIA]]))</f>
        <v>2023</v>
      </c>
      <c r="M366" s="5" t="str">
        <f>IF(tbRegistroSaidas[[#This Row],[DATA DO CAIXA PREVISTO]]="N/A","0",UPPER(TEXT(tbRegistroSaidas[[#This Row],[DATA DO CAIXA PREVISTO]],"mmm")))</f>
        <v>NOV</v>
      </c>
      <c r="N366" s="5">
        <f>IF(tbRegistroSaidas[[#This Row],[DATA DO CAIXA PREVISTO]]="N/A",0,YEAR(tbRegistroSaidas[[#This Row],[DATA DO CAIXA PREVISTO]]))</f>
        <v>2023</v>
      </c>
    </row>
    <row r="367" spans="1:14" s="5" customFormat="1" ht="14.4" x14ac:dyDescent="0.3">
      <c r="A367" s="49">
        <v>44354</v>
      </c>
      <c r="B367" s="49">
        <f t="shared" si="10"/>
        <v>44323</v>
      </c>
      <c r="C367" s="49">
        <f t="shared" si="11"/>
        <v>44339</v>
      </c>
      <c r="D367" s="52" t="s">
        <v>64</v>
      </c>
      <c r="E367" s="52" t="s">
        <v>1543</v>
      </c>
      <c r="F367" s="52" t="s">
        <v>16</v>
      </c>
      <c r="G367" s="52" t="s">
        <v>1421</v>
      </c>
      <c r="H367" s="18">
        <v>1991</v>
      </c>
      <c r="I367" s="5">
        <f>IF(tbRegistroSaidas[[#This Row],[DATA DE CAIXA REALIZADO]]="N/A",0,YEAR(tbRegistroSaidas[[#This Row],[DATA DE CAIXA REALIZADO]]))</f>
        <v>2021</v>
      </c>
      <c r="J367" s="5" t="str">
        <f>IF(tbRegistroSaidas[[#This Row],[DATA DE CAIXA REALIZADO]]="N/A","0",UPPER(TEXT(tbRegistroSaidas[[#This Row],[DATA DE CAIXA REALIZADO]],"mmm")))</f>
        <v>JUN</v>
      </c>
      <c r="K367" s="79" t="str">
        <f>IF(tbRegistroSaidas[[#This Row],[DATA DA COMPETÊNCIA]]="N/A","0",UPPER(TEXT(tbRegistroSaidas[[#This Row],[DATA DA COMPETÊNCIA]],"mmm")))</f>
        <v>MAI</v>
      </c>
      <c r="L367" s="79">
        <f>IF(tbRegistroSaidas[[#This Row],[DATA DA COMPETÊNCIA]]="N/A",0,YEAR(tbRegistroSaidas[[#This Row],[DATA DA COMPETÊNCIA]]))</f>
        <v>2021</v>
      </c>
      <c r="M367" s="5" t="str">
        <f>IF(tbRegistroSaidas[[#This Row],[DATA DO CAIXA PREVISTO]]="N/A","0",UPPER(TEXT(tbRegistroSaidas[[#This Row],[DATA DO CAIXA PREVISTO]],"mmm")))</f>
        <v>MAI</v>
      </c>
      <c r="N367" s="5">
        <f>IF(tbRegistroSaidas[[#This Row],[DATA DO CAIXA PREVISTO]]="N/A",0,YEAR(tbRegistroSaidas[[#This Row],[DATA DO CAIXA PREVISTO]]))</f>
        <v>2021</v>
      </c>
    </row>
    <row r="368" spans="1:14" s="5" customFormat="1" ht="14.4" x14ac:dyDescent="0.3">
      <c r="A368" s="49">
        <v>44841</v>
      </c>
      <c r="B368" s="49">
        <f t="shared" si="10"/>
        <v>44810</v>
      </c>
      <c r="C368" s="49">
        <f t="shared" si="11"/>
        <v>44826</v>
      </c>
      <c r="D368" s="52" t="s">
        <v>65</v>
      </c>
      <c r="E368" s="52" t="s">
        <v>1543</v>
      </c>
      <c r="F368" s="52" t="s">
        <v>16</v>
      </c>
      <c r="G368" s="52" t="s">
        <v>1422</v>
      </c>
      <c r="H368" s="18">
        <v>3076</v>
      </c>
      <c r="I368" s="5">
        <f>IF(tbRegistroSaidas[[#This Row],[DATA DE CAIXA REALIZADO]]="N/A",0,YEAR(tbRegistroSaidas[[#This Row],[DATA DE CAIXA REALIZADO]]))</f>
        <v>2022</v>
      </c>
      <c r="J368" s="5" t="str">
        <f>IF(tbRegistroSaidas[[#This Row],[DATA DE CAIXA REALIZADO]]="N/A","0",UPPER(TEXT(tbRegistroSaidas[[#This Row],[DATA DE CAIXA REALIZADO]],"mmm")))</f>
        <v>OUT</v>
      </c>
      <c r="K368" s="79" t="str">
        <f>IF(tbRegistroSaidas[[#This Row],[DATA DA COMPETÊNCIA]]="N/A","0",UPPER(TEXT(tbRegistroSaidas[[#This Row],[DATA DA COMPETÊNCIA]],"mmm")))</f>
        <v>SET</v>
      </c>
      <c r="L368" s="79">
        <f>IF(tbRegistroSaidas[[#This Row],[DATA DA COMPETÊNCIA]]="N/A",0,YEAR(tbRegistroSaidas[[#This Row],[DATA DA COMPETÊNCIA]]))</f>
        <v>2022</v>
      </c>
      <c r="M368" s="5" t="str">
        <f>IF(tbRegistroSaidas[[#This Row],[DATA DO CAIXA PREVISTO]]="N/A","0",UPPER(TEXT(tbRegistroSaidas[[#This Row],[DATA DO CAIXA PREVISTO]],"mmm")))</f>
        <v>SET</v>
      </c>
      <c r="N368" s="5">
        <f>IF(tbRegistroSaidas[[#This Row],[DATA DO CAIXA PREVISTO]]="N/A",0,YEAR(tbRegistroSaidas[[#This Row],[DATA DO CAIXA PREVISTO]]))</f>
        <v>2022</v>
      </c>
    </row>
    <row r="369" spans="1:14" s="5" customFormat="1" ht="14.4" x14ac:dyDescent="0.3">
      <c r="A369" s="49">
        <v>44961</v>
      </c>
      <c r="B369" s="49">
        <f t="shared" si="10"/>
        <v>44930</v>
      </c>
      <c r="C369" s="49">
        <f t="shared" si="11"/>
        <v>44946</v>
      </c>
      <c r="D369" s="52" t="s">
        <v>138</v>
      </c>
      <c r="E369" s="52" t="s">
        <v>1543</v>
      </c>
      <c r="F369" s="52" t="s">
        <v>32</v>
      </c>
      <c r="G369" s="52" t="s">
        <v>1423</v>
      </c>
      <c r="H369" s="18">
        <v>3088</v>
      </c>
      <c r="I369" s="5">
        <f>IF(tbRegistroSaidas[[#This Row],[DATA DE CAIXA REALIZADO]]="N/A",0,YEAR(tbRegistroSaidas[[#This Row],[DATA DE CAIXA REALIZADO]]))</f>
        <v>2023</v>
      </c>
      <c r="J369" s="5" t="str">
        <f>IF(tbRegistroSaidas[[#This Row],[DATA DE CAIXA REALIZADO]]="N/A","0",UPPER(TEXT(tbRegistroSaidas[[#This Row],[DATA DE CAIXA REALIZADO]],"mmm")))</f>
        <v>FEV</v>
      </c>
      <c r="K369" s="79" t="str">
        <f>IF(tbRegistroSaidas[[#This Row],[DATA DA COMPETÊNCIA]]="N/A","0",UPPER(TEXT(tbRegistroSaidas[[#This Row],[DATA DA COMPETÊNCIA]],"mmm")))</f>
        <v>JAN</v>
      </c>
      <c r="L369" s="79">
        <f>IF(tbRegistroSaidas[[#This Row],[DATA DA COMPETÊNCIA]]="N/A",0,YEAR(tbRegistroSaidas[[#This Row],[DATA DA COMPETÊNCIA]]))</f>
        <v>2023</v>
      </c>
      <c r="M369" s="5" t="str">
        <f>IF(tbRegistroSaidas[[#This Row],[DATA DO CAIXA PREVISTO]]="N/A","0",UPPER(TEXT(tbRegistroSaidas[[#This Row],[DATA DO CAIXA PREVISTO]],"mmm")))</f>
        <v>JAN</v>
      </c>
      <c r="N369" s="5">
        <f>IF(tbRegistroSaidas[[#This Row],[DATA DO CAIXA PREVISTO]]="N/A",0,YEAR(tbRegistroSaidas[[#This Row],[DATA DO CAIXA PREVISTO]]))</f>
        <v>2023</v>
      </c>
    </row>
    <row r="370" spans="1:14" s="5" customFormat="1" ht="14.4" x14ac:dyDescent="0.3">
      <c r="A370" s="49">
        <v>44230</v>
      </c>
      <c r="B370" s="49">
        <f t="shared" si="10"/>
        <v>44199</v>
      </c>
      <c r="C370" s="49">
        <f t="shared" si="11"/>
        <v>44215</v>
      </c>
      <c r="D370" s="52" t="s">
        <v>138</v>
      </c>
      <c r="E370" s="52" t="s">
        <v>1543</v>
      </c>
      <c r="F370" s="52" t="s">
        <v>19</v>
      </c>
      <c r="G370" s="52" t="s">
        <v>1424</v>
      </c>
      <c r="H370" s="18">
        <v>1958</v>
      </c>
      <c r="I370" s="5">
        <f>IF(tbRegistroSaidas[[#This Row],[DATA DE CAIXA REALIZADO]]="N/A",0,YEAR(tbRegistroSaidas[[#This Row],[DATA DE CAIXA REALIZADO]]))</f>
        <v>2021</v>
      </c>
      <c r="J370" s="5" t="str">
        <f>IF(tbRegistroSaidas[[#This Row],[DATA DE CAIXA REALIZADO]]="N/A","0",UPPER(TEXT(tbRegistroSaidas[[#This Row],[DATA DE CAIXA REALIZADO]],"mmm")))</f>
        <v>FEV</v>
      </c>
      <c r="K370" s="79" t="str">
        <f>IF(tbRegistroSaidas[[#This Row],[DATA DA COMPETÊNCIA]]="N/A","0",UPPER(TEXT(tbRegistroSaidas[[#This Row],[DATA DA COMPETÊNCIA]],"mmm")))</f>
        <v>JAN</v>
      </c>
      <c r="L370" s="79">
        <f>IF(tbRegistroSaidas[[#This Row],[DATA DA COMPETÊNCIA]]="N/A",0,YEAR(tbRegistroSaidas[[#This Row],[DATA DA COMPETÊNCIA]]))</f>
        <v>2021</v>
      </c>
      <c r="M370" s="5" t="str">
        <f>IF(tbRegistroSaidas[[#This Row],[DATA DO CAIXA PREVISTO]]="N/A","0",UPPER(TEXT(tbRegistroSaidas[[#This Row],[DATA DO CAIXA PREVISTO]],"mmm")))</f>
        <v>JAN</v>
      </c>
      <c r="N370" s="5">
        <f>IF(tbRegistroSaidas[[#This Row],[DATA DO CAIXA PREVISTO]]="N/A",0,YEAR(tbRegistroSaidas[[#This Row],[DATA DO CAIXA PREVISTO]]))</f>
        <v>2021</v>
      </c>
    </row>
    <row r="371" spans="1:14" s="5" customFormat="1" ht="14.4" x14ac:dyDescent="0.3">
      <c r="A371" s="49">
        <v>45001</v>
      </c>
      <c r="B371" s="49">
        <f t="shared" si="10"/>
        <v>44970</v>
      </c>
      <c r="C371" s="49">
        <f t="shared" si="11"/>
        <v>44986</v>
      </c>
      <c r="D371" s="52" t="s">
        <v>61</v>
      </c>
      <c r="E371" s="52" t="s">
        <v>1543</v>
      </c>
      <c r="F371" s="52" t="s">
        <v>17</v>
      </c>
      <c r="G371" s="52" t="s">
        <v>978</v>
      </c>
      <c r="H371" s="18">
        <v>3170</v>
      </c>
      <c r="I371" s="5">
        <f>IF(tbRegistroSaidas[[#This Row],[DATA DE CAIXA REALIZADO]]="N/A",0,YEAR(tbRegistroSaidas[[#This Row],[DATA DE CAIXA REALIZADO]]))</f>
        <v>2023</v>
      </c>
      <c r="J371" s="5" t="str">
        <f>IF(tbRegistroSaidas[[#This Row],[DATA DE CAIXA REALIZADO]]="N/A","0",UPPER(TEXT(tbRegistroSaidas[[#This Row],[DATA DE CAIXA REALIZADO]],"mmm")))</f>
        <v>MAR</v>
      </c>
      <c r="K371" s="79" t="str">
        <f>IF(tbRegistroSaidas[[#This Row],[DATA DA COMPETÊNCIA]]="N/A","0",UPPER(TEXT(tbRegistroSaidas[[#This Row],[DATA DA COMPETÊNCIA]],"mmm")))</f>
        <v>FEV</v>
      </c>
      <c r="L371" s="79">
        <f>IF(tbRegistroSaidas[[#This Row],[DATA DA COMPETÊNCIA]]="N/A",0,YEAR(tbRegistroSaidas[[#This Row],[DATA DA COMPETÊNCIA]]))</f>
        <v>2023</v>
      </c>
      <c r="M371" s="5" t="str">
        <f>IF(tbRegistroSaidas[[#This Row],[DATA DO CAIXA PREVISTO]]="N/A","0",UPPER(TEXT(tbRegistroSaidas[[#This Row],[DATA DO CAIXA PREVISTO]],"mmm")))</f>
        <v>MAR</v>
      </c>
      <c r="N371" s="5">
        <f>IF(tbRegistroSaidas[[#This Row],[DATA DO CAIXA PREVISTO]]="N/A",0,YEAR(tbRegistroSaidas[[#This Row],[DATA DO CAIXA PREVISTO]]))</f>
        <v>2023</v>
      </c>
    </row>
    <row r="372" spans="1:14" s="5" customFormat="1" ht="14.4" x14ac:dyDescent="0.3">
      <c r="A372" s="49">
        <v>44946</v>
      </c>
      <c r="B372" s="49">
        <f t="shared" si="10"/>
        <v>44915</v>
      </c>
      <c r="C372" s="49">
        <f t="shared" si="11"/>
        <v>44931</v>
      </c>
      <c r="D372" s="52" t="s">
        <v>64</v>
      </c>
      <c r="E372" s="52" t="s">
        <v>1543</v>
      </c>
      <c r="F372" s="52" t="s">
        <v>16</v>
      </c>
      <c r="G372" s="52" t="s">
        <v>1425</v>
      </c>
      <c r="H372" s="18">
        <v>1174</v>
      </c>
      <c r="I372" s="5">
        <f>IF(tbRegistroSaidas[[#This Row],[DATA DE CAIXA REALIZADO]]="N/A",0,YEAR(tbRegistroSaidas[[#This Row],[DATA DE CAIXA REALIZADO]]))</f>
        <v>2023</v>
      </c>
      <c r="J372" s="5" t="str">
        <f>IF(tbRegistroSaidas[[#This Row],[DATA DE CAIXA REALIZADO]]="N/A","0",UPPER(TEXT(tbRegistroSaidas[[#This Row],[DATA DE CAIXA REALIZADO]],"mmm")))</f>
        <v>JAN</v>
      </c>
      <c r="K372" s="79" t="str">
        <f>IF(tbRegistroSaidas[[#This Row],[DATA DA COMPETÊNCIA]]="N/A","0",UPPER(TEXT(tbRegistroSaidas[[#This Row],[DATA DA COMPETÊNCIA]],"mmm")))</f>
        <v>DEZ</v>
      </c>
      <c r="L372" s="79">
        <f>IF(tbRegistroSaidas[[#This Row],[DATA DA COMPETÊNCIA]]="N/A",0,YEAR(tbRegistroSaidas[[#This Row],[DATA DA COMPETÊNCIA]]))</f>
        <v>2022</v>
      </c>
      <c r="M372" s="5" t="str">
        <f>IF(tbRegistroSaidas[[#This Row],[DATA DO CAIXA PREVISTO]]="N/A","0",UPPER(TEXT(tbRegistroSaidas[[#This Row],[DATA DO CAIXA PREVISTO]],"mmm")))</f>
        <v>JAN</v>
      </c>
      <c r="N372" s="5">
        <f>IF(tbRegistroSaidas[[#This Row],[DATA DO CAIXA PREVISTO]]="N/A",0,YEAR(tbRegistroSaidas[[#This Row],[DATA DO CAIXA PREVISTO]]))</f>
        <v>2023</v>
      </c>
    </row>
    <row r="373" spans="1:14" s="5" customFormat="1" ht="14.4" x14ac:dyDescent="0.3">
      <c r="A373" s="49">
        <v>44884</v>
      </c>
      <c r="B373" s="49">
        <f t="shared" si="10"/>
        <v>44853</v>
      </c>
      <c r="C373" s="49">
        <f t="shared" si="11"/>
        <v>44869</v>
      </c>
      <c r="D373" s="52" t="s">
        <v>67</v>
      </c>
      <c r="E373" s="52" t="s">
        <v>1543</v>
      </c>
      <c r="F373" s="52" t="s">
        <v>17</v>
      </c>
      <c r="G373" s="52" t="s">
        <v>1426</v>
      </c>
      <c r="H373" s="18">
        <v>2505</v>
      </c>
      <c r="I373" s="5">
        <f>IF(tbRegistroSaidas[[#This Row],[DATA DE CAIXA REALIZADO]]="N/A",0,YEAR(tbRegistroSaidas[[#This Row],[DATA DE CAIXA REALIZADO]]))</f>
        <v>2022</v>
      </c>
      <c r="J373" s="5" t="str">
        <f>IF(tbRegistroSaidas[[#This Row],[DATA DE CAIXA REALIZADO]]="N/A","0",UPPER(TEXT(tbRegistroSaidas[[#This Row],[DATA DE CAIXA REALIZADO]],"mmm")))</f>
        <v>NOV</v>
      </c>
      <c r="K373" s="79" t="str">
        <f>IF(tbRegistroSaidas[[#This Row],[DATA DA COMPETÊNCIA]]="N/A","0",UPPER(TEXT(tbRegistroSaidas[[#This Row],[DATA DA COMPETÊNCIA]],"mmm")))</f>
        <v>OUT</v>
      </c>
      <c r="L373" s="79">
        <f>IF(tbRegistroSaidas[[#This Row],[DATA DA COMPETÊNCIA]]="N/A",0,YEAR(tbRegistroSaidas[[#This Row],[DATA DA COMPETÊNCIA]]))</f>
        <v>2022</v>
      </c>
      <c r="M373" s="5" t="str">
        <f>IF(tbRegistroSaidas[[#This Row],[DATA DO CAIXA PREVISTO]]="N/A","0",UPPER(TEXT(tbRegistroSaidas[[#This Row],[DATA DO CAIXA PREVISTO]],"mmm")))</f>
        <v>NOV</v>
      </c>
      <c r="N373" s="5">
        <f>IF(tbRegistroSaidas[[#This Row],[DATA DO CAIXA PREVISTO]]="N/A",0,YEAR(tbRegistroSaidas[[#This Row],[DATA DO CAIXA PREVISTO]]))</f>
        <v>2022</v>
      </c>
    </row>
    <row r="374" spans="1:14" s="5" customFormat="1" ht="14.4" x14ac:dyDescent="0.3">
      <c r="A374" s="49">
        <v>45215</v>
      </c>
      <c r="B374" s="49">
        <f t="shared" si="10"/>
        <v>45184</v>
      </c>
      <c r="C374" s="49">
        <f t="shared" si="11"/>
        <v>45200</v>
      </c>
      <c r="D374" s="52" t="s">
        <v>63</v>
      </c>
      <c r="E374" s="52" t="s">
        <v>1543</v>
      </c>
      <c r="F374" s="52" t="s">
        <v>19</v>
      </c>
      <c r="G374" s="52" t="s">
        <v>1427</v>
      </c>
      <c r="H374" s="18">
        <v>3843</v>
      </c>
      <c r="I374" s="5">
        <f>IF(tbRegistroSaidas[[#This Row],[DATA DE CAIXA REALIZADO]]="N/A",0,YEAR(tbRegistroSaidas[[#This Row],[DATA DE CAIXA REALIZADO]]))</f>
        <v>2023</v>
      </c>
      <c r="J374" s="5" t="str">
        <f>IF(tbRegistroSaidas[[#This Row],[DATA DE CAIXA REALIZADO]]="N/A","0",UPPER(TEXT(tbRegistroSaidas[[#This Row],[DATA DE CAIXA REALIZADO]],"mmm")))</f>
        <v>OUT</v>
      </c>
      <c r="K374" s="79" t="str">
        <f>IF(tbRegistroSaidas[[#This Row],[DATA DA COMPETÊNCIA]]="N/A","0",UPPER(TEXT(tbRegistroSaidas[[#This Row],[DATA DA COMPETÊNCIA]],"mmm")))</f>
        <v>SET</v>
      </c>
      <c r="L374" s="79">
        <f>IF(tbRegistroSaidas[[#This Row],[DATA DA COMPETÊNCIA]]="N/A",0,YEAR(tbRegistroSaidas[[#This Row],[DATA DA COMPETÊNCIA]]))</f>
        <v>2023</v>
      </c>
      <c r="M374" s="5" t="str">
        <f>IF(tbRegistroSaidas[[#This Row],[DATA DO CAIXA PREVISTO]]="N/A","0",UPPER(TEXT(tbRegistroSaidas[[#This Row],[DATA DO CAIXA PREVISTO]],"mmm")))</f>
        <v>OUT</v>
      </c>
      <c r="N374" s="5">
        <f>IF(tbRegistroSaidas[[#This Row],[DATA DO CAIXA PREVISTO]]="N/A",0,YEAR(tbRegistroSaidas[[#This Row],[DATA DO CAIXA PREVISTO]]))</f>
        <v>2023</v>
      </c>
    </row>
    <row r="375" spans="1:14" s="5" customFormat="1" ht="14.4" x14ac:dyDescent="0.3">
      <c r="A375" s="49">
        <v>45284</v>
      </c>
      <c r="B375" s="49">
        <f t="shared" si="10"/>
        <v>45253</v>
      </c>
      <c r="C375" s="49">
        <f t="shared" si="11"/>
        <v>45269</v>
      </c>
      <c r="D375" s="52" t="s">
        <v>66</v>
      </c>
      <c r="E375" s="52" t="s">
        <v>1543</v>
      </c>
      <c r="F375" s="52" t="s">
        <v>16</v>
      </c>
      <c r="G375" s="52" t="s">
        <v>1428</v>
      </c>
      <c r="H375" s="18">
        <v>2389</v>
      </c>
      <c r="I375" s="5">
        <f>IF(tbRegistroSaidas[[#This Row],[DATA DE CAIXA REALIZADO]]="N/A",0,YEAR(tbRegistroSaidas[[#This Row],[DATA DE CAIXA REALIZADO]]))</f>
        <v>2023</v>
      </c>
      <c r="J375" s="5" t="str">
        <f>IF(tbRegistroSaidas[[#This Row],[DATA DE CAIXA REALIZADO]]="N/A","0",UPPER(TEXT(tbRegistroSaidas[[#This Row],[DATA DE CAIXA REALIZADO]],"mmm")))</f>
        <v>DEZ</v>
      </c>
      <c r="K375" s="79" t="str">
        <f>IF(tbRegistroSaidas[[#This Row],[DATA DA COMPETÊNCIA]]="N/A","0",UPPER(TEXT(tbRegistroSaidas[[#This Row],[DATA DA COMPETÊNCIA]],"mmm")))</f>
        <v>NOV</v>
      </c>
      <c r="L375" s="79">
        <f>IF(tbRegistroSaidas[[#This Row],[DATA DA COMPETÊNCIA]]="N/A",0,YEAR(tbRegistroSaidas[[#This Row],[DATA DA COMPETÊNCIA]]))</f>
        <v>2023</v>
      </c>
      <c r="M375" s="5" t="str">
        <f>IF(tbRegistroSaidas[[#This Row],[DATA DO CAIXA PREVISTO]]="N/A","0",UPPER(TEXT(tbRegistroSaidas[[#This Row],[DATA DO CAIXA PREVISTO]],"mmm")))</f>
        <v>DEZ</v>
      </c>
      <c r="N375" s="5">
        <f>IF(tbRegistroSaidas[[#This Row],[DATA DO CAIXA PREVISTO]]="N/A",0,YEAR(tbRegistroSaidas[[#This Row],[DATA DO CAIXA PREVISTO]]))</f>
        <v>2023</v>
      </c>
    </row>
    <row r="376" spans="1:14" s="5" customFormat="1" ht="14.4" x14ac:dyDescent="0.3">
      <c r="A376" s="49">
        <v>44524</v>
      </c>
      <c r="B376" s="49">
        <f t="shared" si="10"/>
        <v>44493</v>
      </c>
      <c r="C376" s="49">
        <f t="shared" si="11"/>
        <v>44509</v>
      </c>
      <c r="D376" s="52" t="s">
        <v>66</v>
      </c>
      <c r="E376" s="52" t="s">
        <v>1543</v>
      </c>
      <c r="F376" s="52" t="s">
        <v>16</v>
      </c>
      <c r="G376" s="52" t="s">
        <v>1429</v>
      </c>
      <c r="H376" s="18">
        <v>547</v>
      </c>
      <c r="I376" s="5">
        <f>IF(tbRegistroSaidas[[#This Row],[DATA DE CAIXA REALIZADO]]="N/A",0,YEAR(tbRegistroSaidas[[#This Row],[DATA DE CAIXA REALIZADO]]))</f>
        <v>2021</v>
      </c>
      <c r="J376" s="5" t="str">
        <f>IF(tbRegistroSaidas[[#This Row],[DATA DE CAIXA REALIZADO]]="N/A","0",UPPER(TEXT(tbRegistroSaidas[[#This Row],[DATA DE CAIXA REALIZADO]],"mmm")))</f>
        <v>NOV</v>
      </c>
      <c r="K376" s="79" t="str">
        <f>IF(tbRegistroSaidas[[#This Row],[DATA DA COMPETÊNCIA]]="N/A","0",UPPER(TEXT(tbRegistroSaidas[[#This Row],[DATA DA COMPETÊNCIA]],"mmm")))</f>
        <v>OUT</v>
      </c>
      <c r="L376" s="79">
        <f>IF(tbRegistroSaidas[[#This Row],[DATA DA COMPETÊNCIA]]="N/A",0,YEAR(tbRegistroSaidas[[#This Row],[DATA DA COMPETÊNCIA]]))</f>
        <v>2021</v>
      </c>
      <c r="M376" s="5" t="str">
        <f>IF(tbRegistroSaidas[[#This Row],[DATA DO CAIXA PREVISTO]]="N/A","0",UPPER(TEXT(tbRegistroSaidas[[#This Row],[DATA DO CAIXA PREVISTO]],"mmm")))</f>
        <v>NOV</v>
      </c>
      <c r="N376" s="5">
        <f>IF(tbRegistroSaidas[[#This Row],[DATA DO CAIXA PREVISTO]]="N/A",0,YEAR(tbRegistroSaidas[[#This Row],[DATA DO CAIXA PREVISTO]]))</f>
        <v>2021</v>
      </c>
    </row>
    <row r="377" spans="1:14" s="5" customFormat="1" ht="14.4" x14ac:dyDescent="0.3">
      <c r="A377" s="49">
        <v>44524</v>
      </c>
      <c r="B377" s="49">
        <f t="shared" si="10"/>
        <v>44493</v>
      </c>
      <c r="C377" s="49">
        <f t="shared" si="11"/>
        <v>44509</v>
      </c>
      <c r="D377" s="52" t="s">
        <v>67</v>
      </c>
      <c r="E377" s="52" t="s">
        <v>1543</v>
      </c>
      <c r="F377" s="52" t="s">
        <v>19</v>
      </c>
      <c r="G377" s="52" t="s">
        <v>1430</v>
      </c>
      <c r="H377" s="18">
        <v>3398</v>
      </c>
      <c r="I377" s="5">
        <f>IF(tbRegistroSaidas[[#This Row],[DATA DE CAIXA REALIZADO]]="N/A",0,YEAR(tbRegistroSaidas[[#This Row],[DATA DE CAIXA REALIZADO]]))</f>
        <v>2021</v>
      </c>
      <c r="J377" s="5" t="str">
        <f>IF(tbRegistroSaidas[[#This Row],[DATA DE CAIXA REALIZADO]]="N/A","0",UPPER(TEXT(tbRegistroSaidas[[#This Row],[DATA DE CAIXA REALIZADO]],"mmm")))</f>
        <v>NOV</v>
      </c>
      <c r="K377" s="79" t="str">
        <f>IF(tbRegistroSaidas[[#This Row],[DATA DA COMPETÊNCIA]]="N/A","0",UPPER(TEXT(tbRegistroSaidas[[#This Row],[DATA DA COMPETÊNCIA]],"mmm")))</f>
        <v>OUT</v>
      </c>
      <c r="L377" s="79">
        <f>IF(tbRegistroSaidas[[#This Row],[DATA DA COMPETÊNCIA]]="N/A",0,YEAR(tbRegistroSaidas[[#This Row],[DATA DA COMPETÊNCIA]]))</f>
        <v>2021</v>
      </c>
      <c r="M377" s="5" t="str">
        <f>IF(tbRegistroSaidas[[#This Row],[DATA DO CAIXA PREVISTO]]="N/A","0",UPPER(TEXT(tbRegistroSaidas[[#This Row],[DATA DO CAIXA PREVISTO]],"mmm")))</f>
        <v>NOV</v>
      </c>
      <c r="N377" s="5">
        <f>IF(tbRegistroSaidas[[#This Row],[DATA DO CAIXA PREVISTO]]="N/A",0,YEAR(tbRegistroSaidas[[#This Row],[DATA DO CAIXA PREVISTO]]))</f>
        <v>2021</v>
      </c>
    </row>
    <row r="378" spans="1:14" s="5" customFormat="1" ht="14.4" x14ac:dyDescent="0.3">
      <c r="A378" s="49">
        <v>44611</v>
      </c>
      <c r="B378" s="49">
        <f t="shared" si="10"/>
        <v>44580</v>
      </c>
      <c r="C378" s="49">
        <f t="shared" si="11"/>
        <v>44596</v>
      </c>
      <c r="D378" s="52" t="s">
        <v>67</v>
      </c>
      <c r="E378" s="52" t="s">
        <v>1543</v>
      </c>
      <c r="F378" s="52" t="s">
        <v>16</v>
      </c>
      <c r="G378" s="52" t="s">
        <v>499</v>
      </c>
      <c r="H378" s="18">
        <v>220</v>
      </c>
      <c r="I378" s="5">
        <f>IF(tbRegistroSaidas[[#This Row],[DATA DE CAIXA REALIZADO]]="N/A",0,YEAR(tbRegistroSaidas[[#This Row],[DATA DE CAIXA REALIZADO]]))</f>
        <v>2022</v>
      </c>
      <c r="J378" s="5" t="str">
        <f>IF(tbRegistroSaidas[[#This Row],[DATA DE CAIXA REALIZADO]]="N/A","0",UPPER(TEXT(tbRegistroSaidas[[#This Row],[DATA DE CAIXA REALIZADO]],"mmm")))</f>
        <v>FEV</v>
      </c>
      <c r="K378" s="79" t="str">
        <f>IF(tbRegistroSaidas[[#This Row],[DATA DA COMPETÊNCIA]]="N/A","0",UPPER(TEXT(tbRegistroSaidas[[#This Row],[DATA DA COMPETÊNCIA]],"mmm")))</f>
        <v>JAN</v>
      </c>
      <c r="L378" s="79">
        <f>IF(tbRegistroSaidas[[#This Row],[DATA DA COMPETÊNCIA]]="N/A",0,YEAR(tbRegistroSaidas[[#This Row],[DATA DA COMPETÊNCIA]]))</f>
        <v>2022</v>
      </c>
      <c r="M378" s="5" t="str">
        <f>IF(tbRegistroSaidas[[#This Row],[DATA DO CAIXA PREVISTO]]="N/A","0",UPPER(TEXT(tbRegistroSaidas[[#This Row],[DATA DO CAIXA PREVISTO]],"mmm")))</f>
        <v>FEV</v>
      </c>
      <c r="N378" s="5">
        <f>IF(tbRegistroSaidas[[#This Row],[DATA DO CAIXA PREVISTO]]="N/A",0,YEAR(tbRegistroSaidas[[#This Row],[DATA DO CAIXA PREVISTO]]))</f>
        <v>2022</v>
      </c>
    </row>
    <row r="379" spans="1:14" s="5" customFormat="1" ht="14.4" x14ac:dyDescent="0.3">
      <c r="A379" s="49">
        <v>44949</v>
      </c>
      <c r="B379" s="49">
        <f t="shared" si="10"/>
        <v>44918</v>
      </c>
      <c r="C379" s="49">
        <f t="shared" si="11"/>
        <v>44934</v>
      </c>
      <c r="D379" s="52" t="s">
        <v>65</v>
      </c>
      <c r="E379" s="52" t="s">
        <v>1543</v>
      </c>
      <c r="F379" s="52" t="s">
        <v>16</v>
      </c>
      <c r="G379" s="52" t="s">
        <v>406</v>
      </c>
      <c r="H379" s="18">
        <v>525</v>
      </c>
      <c r="I379" s="5">
        <f>IF(tbRegistroSaidas[[#This Row],[DATA DE CAIXA REALIZADO]]="N/A",0,YEAR(tbRegistroSaidas[[#This Row],[DATA DE CAIXA REALIZADO]]))</f>
        <v>2023</v>
      </c>
      <c r="J379" s="5" t="str">
        <f>IF(tbRegistroSaidas[[#This Row],[DATA DE CAIXA REALIZADO]]="N/A","0",UPPER(TEXT(tbRegistroSaidas[[#This Row],[DATA DE CAIXA REALIZADO]],"mmm")))</f>
        <v>JAN</v>
      </c>
      <c r="K379" s="79" t="str">
        <f>IF(tbRegistroSaidas[[#This Row],[DATA DA COMPETÊNCIA]]="N/A","0",UPPER(TEXT(tbRegistroSaidas[[#This Row],[DATA DA COMPETÊNCIA]],"mmm")))</f>
        <v>DEZ</v>
      </c>
      <c r="L379" s="79">
        <f>IF(tbRegistroSaidas[[#This Row],[DATA DA COMPETÊNCIA]]="N/A",0,YEAR(tbRegistroSaidas[[#This Row],[DATA DA COMPETÊNCIA]]))</f>
        <v>2022</v>
      </c>
      <c r="M379" s="5" t="str">
        <f>IF(tbRegistroSaidas[[#This Row],[DATA DO CAIXA PREVISTO]]="N/A","0",UPPER(TEXT(tbRegistroSaidas[[#This Row],[DATA DO CAIXA PREVISTO]],"mmm")))</f>
        <v>JAN</v>
      </c>
      <c r="N379" s="5">
        <f>IF(tbRegistroSaidas[[#This Row],[DATA DO CAIXA PREVISTO]]="N/A",0,YEAR(tbRegistroSaidas[[#This Row],[DATA DO CAIXA PREVISTO]]))</f>
        <v>2023</v>
      </c>
    </row>
    <row r="380" spans="1:14" s="5" customFormat="1" ht="14.4" x14ac:dyDescent="0.3">
      <c r="A380" s="49">
        <v>44241</v>
      </c>
      <c r="B380" s="49">
        <f t="shared" si="10"/>
        <v>44210</v>
      </c>
      <c r="C380" s="49">
        <f t="shared" si="11"/>
        <v>44226</v>
      </c>
      <c r="D380" s="52" t="s">
        <v>65</v>
      </c>
      <c r="E380" s="52" t="s">
        <v>1543</v>
      </c>
      <c r="F380" s="52" t="s">
        <v>18</v>
      </c>
      <c r="G380" s="52" t="s">
        <v>1431</v>
      </c>
      <c r="H380" s="18">
        <v>1880</v>
      </c>
      <c r="I380" s="5">
        <f>IF(tbRegistroSaidas[[#This Row],[DATA DE CAIXA REALIZADO]]="N/A",0,YEAR(tbRegistroSaidas[[#This Row],[DATA DE CAIXA REALIZADO]]))</f>
        <v>2021</v>
      </c>
      <c r="J380" s="5" t="str">
        <f>IF(tbRegistroSaidas[[#This Row],[DATA DE CAIXA REALIZADO]]="N/A","0",UPPER(TEXT(tbRegistroSaidas[[#This Row],[DATA DE CAIXA REALIZADO]],"mmm")))</f>
        <v>FEV</v>
      </c>
      <c r="K380" s="79" t="str">
        <f>IF(tbRegistroSaidas[[#This Row],[DATA DA COMPETÊNCIA]]="N/A","0",UPPER(TEXT(tbRegistroSaidas[[#This Row],[DATA DA COMPETÊNCIA]],"mmm")))</f>
        <v>JAN</v>
      </c>
      <c r="L380" s="79">
        <f>IF(tbRegistroSaidas[[#This Row],[DATA DA COMPETÊNCIA]]="N/A",0,YEAR(tbRegistroSaidas[[#This Row],[DATA DA COMPETÊNCIA]]))</f>
        <v>2021</v>
      </c>
      <c r="M380" s="5" t="str">
        <f>IF(tbRegistroSaidas[[#This Row],[DATA DO CAIXA PREVISTO]]="N/A","0",UPPER(TEXT(tbRegistroSaidas[[#This Row],[DATA DO CAIXA PREVISTO]],"mmm")))</f>
        <v>JAN</v>
      </c>
      <c r="N380" s="5">
        <f>IF(tbRegistroSaidas[[#This Row],[DATA DO CAIXA PREVISTO]]="N/A",0,YEAR(tbRegistroSaidas[[#This Row],[DATA DO CAIXA PREVISTO]]))</f>
        <v>2021</v>
      </c>
    </row>
    <row r="381" spans="1:14" s="5" customFormat="1" ht="14.4" x14ac:dyDescent="0.3">
      <c r="A381" s="49">
        <v>45229</v>
      </c>
      <c r="B381" s="49">
        <f t="shared" si="10"/>
        <v>45198</v>
      </c>
      <c r="C381" s="49">
        <f t="shared" si="11"/>
        <v>45214</v>
      </c>
      <c r="D381" s="52" t="s">
        <v>64</v>
      </c>
      <c r="E381" s="52" t="s">
        <v>1543</v>
      </c>
      <c r="F381" s="52" t="s">
        <v>32</v>
      </c>
      <c r="G381" s="52" t="s">
        <v>1432</v>
      </c>
      <c r="H381" s="18">
        <v>1014</v>
      </c>
      <c r="I381" s="5">
        <f>IF(tbRegistroSaidas[[#This Row],[DATA DE CAIXA REALIZADO]]="N/A",0,YEAR(tbRegistroSaidas[[#This Row],[DATA DE CAIXA REALIZADO]]))</f>
        <v>2023</v>
      </c>
      <c r="J381" s="5" t="str">
        <f>IF(tbRegistroSaidas[[#This Row],[DATA DE CAIXA REALIZADO]]="N/A","0",UPPER(TEXT(tbRegistroSaidas[[#This Row],[DATA DE CAIXA REALIZADO]],"mmm")))</f>
        <v>OUT</v>
      </c>
      <c r="K381" s="79" t="str">
        <f>IF(tbRegistroSaidas[[#This Row],[DATA DA COMPETÊNCIA]]="N/A","0",UPPER(TEXT(tbRegistroSaidas[[#This Row],[DATA DA COMPETÊNCIA]],"mmm")))</f>
        <v>SET</v>
      </c>
      <c r="L381" s="79">
        <f>IF(tbRegistroSaidas[[#This Row],[DATA DA COMPETÊNCIA]]="N/A",0,YEAR(tbRegistroSaidas[[#This Row],[DATA DA COMPETÊNCIA]]))</f>
        <v>2023</v>
      </c>
      <c r="M381" s="5" t="str">
        <f>IF(tbRegistroSaidas[[#This Row],[DATA DO CAIXA PREVISTO]]="N/A","0",UPPER(TEXT(tbRegistroSaidas[[#This Row],[DATA DO CAIXA PREVISTO]],"mmm")))</f>
        <v>OUT</v>
      </c>
      <c r="N381" s="5">
        <f>IF(tbRegistroSaidas[[#This Row],[DATA DO CAIXA PREVISTO]]="N/A",0,YEAR(tbRegistroSaidas[[#This Row],[DATA DO CAIXA PREVISTO]]))</f>
        <v>2023</v>
      </c>
    </row>
    <row r="382" spans="1:14" s="5" customFormat="1" ht="14.4" x14ac:dyDescent="0.3">
      <c r="A382" s="49">
        <v>44362</v>
      </c>
      <c r="B382" s="49">
        <f t="shared" si="10"/>
        <v>44331</v>
      </c>
      <c r="C382" s="49">
        <f t="shared" si="11"/>
        <v>44347</v>
      </c>
      <c r="D382" s="52" t="s">
        <v>63</v>
      </c>
      <c r="E382" s="52" t="s">
        <v>1543</v>
      </c>
      <c r="F382" s="52" t="s">
        <v>18</v>
      </c>
      <c r="G382" s="52" t="s">
        <v>1433</v>
      </c>
      <c r="H382" s="18">
        <v>1906</v>
      </c>
      <c r="I382" s="5">
        <f>IF(tbRegistroSaidas[[#This Row],[DATA DE CAIXA REALIZADO]]="N/A",0,YEAR(tbRegistroSaidas[[#This Row],[DATA DE CAIXA REALIZADO]]))</f>
        <v>2021</v>
      </c>
      <c r="J382" s="5" t="str">
        <f>IF(tbRegistroSaidas[[#This Row],[DATA DE CAIXA REALIZADO]]="N/A","0",UPPER(TEXT(tbRegistroSaidas[[#This Row],[DATA DE CAIXA REALIZADO]],"mmm")))</f>
        <v>JUN</v>
      </c>
      <c r="K382" s="79" t="str">
        <f>IF(tbRegistroSaidas[[#This Row],[DATA DA COMPETÊNCIA]]="N/A","0",UPPER(TEXT(tbRegistroSaidas[[#This Row],[DATA DA COMPETÊNCIA]],"mmm")))</f>
        <v>MAI</v>
      </c>
      <c r="L382" s="79">
        <f>IF(tbRegistroSaidas[[#This Row],[DATA DA COMPETÊNCIA]]="N/A",0,YEAR(tbRegistroSaidas[[#This Row],[DATA DA COMPETÊNCIA]]))</f>
        <v>2021</v>
      </c>
      <c r="M382" s="5" t="str">
        <f>IF(tbRegistroSaidas[[#This Row],[DATA DO CAIXA PREVISTO]]="N/A","0",UPPER(TEXT(tbRegistroSaidas[[#This Row],[DATA DO CAIXA PREVISTO]],"mmm")))</f>
        <v>MAI</v>
      </c>
      <c r="N382" s="5">
        <f>IF(tbRegistroSaidas[[#This Row],[DATA DO CAIXA PREVISTO]]="N/A",0,YEAR(tbRegistroSaidas[[#This Row],[DATA DO CAIXA PREVISTO]]))</f>
        <v>2021</v>
      </c>
    </row>
    <row r="383" spans="1:14" s="5" customFormat="1" ht="14.4" x14ac:dyDescent="0.3">
      <c r="A383" s="49">
        <v>44641</v>
      </c>
      <c r="B383" s="49">
        <f t="shared" si="10"/>
        <v>44610</v>
      </c>
      <c r="C383" s="49">
        <f t="shared" si="11"/>
        <v>44626</v>
      </c>
      <c r="D383" s="52" t="s">
        <v>138</v>
      </c>
      <c r="E383" s="52" t="s">
        <v>1543</v>
      </c>
      <c r="F383" s="52" t="s">
        <v>16</v>
      </c>
      <c r="G383" s="52" t="s">
        <v>1434</v>
      </c>
      <c r="H383" s="18">
        <v>1165</v>
      </c>
      <c r="I383" s="5">
        <f>IF(tbRegistroSaidas[[#This Row],[DATA DE CAIXA REALIZADO]]="N/A",0,YEAR(tbRegistroSaidas[[#This Row],[DATA DE CAIXA REALIZADO]]))</f>
        <v>2022</v>
      </c>
      <c r="J383" s="5" t="str">
        <f>IF(tbRegistroSaidas[[#This Row],[DATA DE CAIXA REALIZADO]]="N/A","0",UPPER(TEXT(tbRegistroSaidas[[#This Row],[DATA DE CAIXA REALIZADO]],"mmm")))</f>
        <v>MAR</v>
      </c>
      <c r="K383" s="79" t="str">
        <f>IF(tbRegistroSaidas[[#This Row],[DATA DA COMPETÊNCIA]]="N/A","0",UPPER(TEXT(tbRegistroSaidas[[#This Row],[DATA DA COMPETÊNCIA]],"mmm")))</f>
        <v>FEV</v>
      </c>
      <c r="L383" s="79">
        <f>IF(tbRegistroSaidas[[#This Row],[DATA DA COMPETÊNCIA]]="N/A",0,YEAR(tbRegistroSaidas[[#This Row],[DATA DA COMPETÊNCIA]]))</f>
        <v>2022</v>
      </c>
      <c r="M383" s="5" t="str">
        <f>IF(tbRegistroSaidas[[#This Row],[DATA DO CAIXA PREVISTO]]="N/A","0",UPPER(TEXT(tbRegistroSaidas[[#This Row],[DATA DO CAIXA PREVISTO]],"mmm")))</f>
        <v>MAR</v>
      </c>
      <c r="N383" s="5">
        <f>IF(tbRegistroSaidas[[#This Row],[DATA DO CAIXA PREVISTO]]="N/A",0,YEAR(tbRegistroSaidas[[#This Row],[DATA DO CAIXA PREVISTO]]))</f>
        <v>2022</v>
      </c>
    </row>
    <row r="384" spans="1:14" s="5" customFormat="1" ht="14.4" x14ac:dyDescent="0.3">
      <c r="A384" s="49">
        <v>44419</v>
      </c>
      <c r="B384" s="49">
        <f t="shared" si="10"/>
        <v>44388</v>
      </c>
      <c r="C384" s="49">
        <f t="shared" si="11"/>
        <v>44404</v>
      </c>
      <c r="D384" s="52" t="s">
        <v>67</v>
      </c>
      <c r="E384" s="52" t="s">
        <v>1543</v>
      </c>
      <c r="F384" s="52" t="s">
        <v>17</v>
      </c>
      <c r="G384" s="52" t="s">
        <v>1435</v>
      </c>
      <c r="H384" s="18">
        <v>2120</v>
      </c>
      <c r="I384" s="5">
        <f>IF(tbRegistroSaidas[[#This Row],[DATA DE CAIXA REALIZADO]]="N/A",0,YEAR(tbRegistroSaidas[[#This Row],[DATA DE CAIXA REALIZADO]]))</f>
        <v>2021</v>
      </c>
      <c r="J384" s="5" t="str">
        <f>IF(tbRegistroSaidas[[#This Row],[DATA DE CAIXA REALIZADO]]="N/A","0",UPPER(TEXT(tbRegistroSaidas[[#This Row],[DATA DE CAIXA REALIZADO]],"mmm")))</f>
        <v>AGO</v>
      </c>
      <c r="K384" s="79" t="str">
        <f>IF(tbRegistroSaidas[[#This Row],[DATA DA COMPETÊNCIA]]="N/A","0",UPPER(TEXT(tbRegistroSaidas[[#This Row],[DATA DA COMPETÊNCIA]],"mmm")))</f>
        <v>JUL</v>
      </c>
      <c r="L384" s="79">
        <f>IF(tbRegistroSaidas[[#This Row],[DATA DA COMPETÊNCIA]]="N/A",0,YEAR(tbRegistroSaidas[[#This Row],[DATA DA COMPETÊNCIA]]))</f>
        <v>2021</v>
      </c>
      <c r="M384" s="5" t="str">
        <f>IF(tbRegistroSaidas[[#This Row],[DATA DO CAIXA PREVISTO]]="N/A","0",UPPER(TEXT(tbRegistroSaidas[[#This Row],[DATA DO CAIXA PREVISTO]],"mmm")))</f>
        <v>JUL</v>
      </c>
      <c r="N384" s="5">
        <f>IF(tbRegistroSaidas[[#This Row],[DATA DO CAIXA PREVISTO]]="N/A",0,YEAR(tbRegistroSaidas[[#This Row],[DATA DO CAIXA PREVISTO]]))</f>
        <v>2021</v>
      </c>
    </row>
    <row r="385" spans="1:14" s="5" customFormat="1" ht="14.4" x14ac:dyDescent="0.3">
      <c r="A385" s="49">
        <v>44937</v>
      </c>
      <c r="B385" s="49">
        <f t="shared" si="10"/>
        <v>44906</v>
      </c>
      <c r="C385" s="49">
        <f t="shared" si="11"/>
        <v>44922</v>
      </c>
      <c r="D385" s="52" t="s">
        <v>61</v>
      </c>
      <c r="E385" s="52" t="s">
        <v>1543</v>
      </c>
      <c r="F385" s="52" t="s">
        <v>16</v>
      </c>
      <c r="G385" s="52" t="s">
        <v>1436</v>
      </c>
      <c r="H385" s="18">
        <v>2571</v>
      </c>
      <c r="I385" s="5">
        <f>IF(tbRegistroSaidas[[#This Row],[DATA DE CAIXA REALIZADO]]="N/A",0,YEAR(tbRegistroSaidas[[#This Row],[DATA DE CAIXA REALIZADO]]))</f>
        <v>2023</v>
      </c>
      <c r="J385" s="5" t="str">
        <f>IF(tbRegistroSaidas[[#This Row],[DATA DE CAIXA REALIZADO]]="N/A","0",UPPER(TEXT(tbRegistroSaidas[[#This Row],[DATA DE CAIXA REALIZADO]],"mmm")))</f>
        <v>JAN</v>
      </c>
      <c r="K385" s="79" t="str">
        <f>IF(tbRegistroSaidas[[#This Row],[DATA DA COMPETÊNCIA]]="N/A","0",UPPER(TEXT(tbRegistroSaidas[[#This Row],[DATA DA COMPETÊNCIA]],"mmm")))</f>
        <v>DEZ</v>
      </c>
      <c r="L385" s="79">
        <f>IF(tbRegistroSaidas[[#This Row],[DATA DA COMPETÊNCIA]]="N/A",0,YEAR(tbRegistroSaidas[[#This Row],[DATA DA COMPETÊNCIA]]))</f>
        <v>2022</v>
      </c>
      <c r="M385" s="5" t="str">
        <f>IF(tbRegistroSaidas[[#This Row],[DATA DO CAIXA PREVISTO]]="N/A","0",UPPER(TEXT(tbRegistroSaidas[[#This Row],[DATA DO CAIXA PREVISTO]],"mmm")))</f>
        <v>DEZ</v>
      </c>
      <c r="N385" s="5">
        <f>IF(tbRegistroSaidas[[#This Row],[DATA DO CAIXA PREVISTO]]="N/A",0,YEAR(tbRegistroSaidas[[#This Row],[DATA DO CAIXA PREVISTO]]))</f>
        <v>2022</v>
      </c>
    </row>
    <row r="386" spans="1:14" s="5" customFormat="1" ht="14.4" x14ac:dyDescent="0.3">
      <c r="A386" s="49">
        <v>44367</v>
      </c>
      <c r="B386" s="49">
        <f t="shared" si="10"/>
        <v>44336</v>
      </c>
      <c r="C386" s="49">
        <f t="shared" si="11"/>
        <v>44352</v>
      </c>
      <c r="D386" s="52" t="s">
        <v>64</v>
      </c>
      <c r="E386" s="52" t="s">
        <v>1543</v>
      </c>
      <c r="F386" s="52" t="s">
        <v>16</v>
      </c>
      <c r="G386" s="52" t="s">
        <v>1437</v>
      </c>
      <c r="H386" s="18">
        <v>1651</v>
      </c>
      <c r="I386" s="5">
        <f>IF(tbRegistroSaidas[[#This Row],[DATA DE CAIXA REALIZADO]]="N/A",0,YEAR(tbRegistroSaidas[[#This Row],[DATA DE CAIXA REALIZADO]]))</f>
        <v>2021</v>
      </c>
      <c r="J386" s="5" t="str">
        <f>IF(tbRegistroSaidas[[#This Row],[DATA DE CAIXA REALIZADO]]="N/A","0",UPPER(TEXT(tbRegistroSaidas[[#This Row],[DATA DE CAIXA REALIZADO]],"mmm")))</f>
        <v>JUN</v>
      </c>
      <c r="K386" s="79" t="str">
        <f>IF(tbRegistroSaidas[[#This Row],[DATA DA COMPETÊNCIA]]="N/A","0",UPPER(TEXT(tbRegistroSaidas[[#This Row],[DATA DA COMPETÊNCIA]],"mmm")))</f>
        <v>MAI</v>
      </c>
      <c r="L386" s="79">
        <f>IF(tbRegistroSaidas[[#This Row],[DATA DA COMPETÊNCIA]]="N/A",0,YEAR(tbRegistroSaidas[[#This Row],[DATA DA COMPETÊNCIA]]))</f>
        <v>2021</v>
      </c>
      <c r="M386" s="5" t="str">
        <f>IF(tbRegistroSaidas[[#This Row],[DATA DO CAIXA PREVISTO]]="N/A","0",UPPER(TEXT(tbRegistroSaidas[[#This Row],[DATA DO CAIXA PREVISTO]],"mmm")))</f>
        <v>JUN</v>
      </c>
      <c r="N386" s="5">
        <f>IF(tbRegistroSaidas[[#This Row],[DATA DO CAIXA PREVISTO]]="N/A",0,YEAR(tbRegistroSaidas[[#This Row],[DATA DO CAIXA PREVISTO]]))</f>
        <v>2021</v>
      </c>
    </row>
    <row r="387" spans="1:14" s="5" customFormat="1" ht="14.4" x14ac:dyDescent="0.3">
      <c r="A387" s="49">
        <v>44720</v>
      </c>
      <c r="B387" s="49">
        <f t="shared" si="10"/>
        <v>44689</v>
      </c>
      <c r="C387" s="49">
        <f t="shared" si="11"/>
        <v>44705</v>
      </c>
      <c r="D387" s="52" t="s">
        <v>66</v>
      </c>
      <c r="E387" s="52" t="s">
        <v>1543</v>
      </c>
      <c r="F387" s="52" t="s">
        <v>17</v>
      </c>
      <c r="G387" s="52" t="s">
        <v>1438</v>
      </c>
      <c r="H387" s="18">
        <v>1620</v>
      </c>
      <c r="I387" s="5">
        <f>IF(tbRegistroSaidas[[#This Row],[DATA DE CAIXA REALIZADO]]="N/A",0,YEAR(tbRegistroSaidas[[#This Row],[DATA DE CAIXA REALIZADO]]))</f>
        <v>2022</v>
      </c>
      <c r="J387" s="5" t="str">
        <f>IF(tbRegistroSaidas[[#This Row],[DATA DE CAIXA REALIZADO]]="N/A","0",UPPER(TEXT(tbRegistroSaidas[[#This Row],[DATA DE CAIXA REALIZADO]],"mmm")))</f>
        <v>JUN</v>
      </c>
      <c r="K387" s="79" t="str">
        <f>IF(tbRegistroSaidas[[#This Row],[DATA DA COMPETÊNCIA]]="N/A","0",UPPER(TEXT(tbRegistroSaidas[[#This Row],[DATA DA COMPETÊNCIA]],"mmm")))</f>
        <v>MAI</v>
      </c>
      <c r="L387" s="79">
        <f>IF(tbRegistroSaidas[[#This Row],[DATA DA COMPETÊNCIA]]="N/A",0,YEAR(tbRegistroSaidas[[#This Row],[DATA DA COMPETÊNCIA]]))</f>
        <v>2022</v>
      </c>
      <c r="M387" s="5" t="str">
        <f>IF(tbRegistroSaidas[[#This Row],[DATA DO CAIXA PREVISTO]]="N/A","0",UPPER(TEXT(tbRegistroSaidas[[#This Row],[DATA DO CAIXA PREVISTO]],"mmm")))</f>
        <v>MAI</v>
      </c>
      <c r="N387" s="5">
        <f>IF(tbRegistroSaidas[[#This Row],[DATA DO CAIXA PREVISTO]]="N/A",0,YEAR(tbRegistroSaidas[[#This Row],[DATA DO CAIXA PREVISTO]]))</f>
        <v>2022</v>
      </c>
    </row>
    <row r="388" spans="1:14" s="5" customFormat="1" ht="14.4" x14ac:dyDescent="0.3">
      <c r="A388" s="49">
        <v>44973</v>
      </c>
      <c r="B388" s="49">
        <f t="shared" si="10"/>
        <v>44942</v>
      </c>
      <c r="C388" s="49">
        <f t="shared" si="11"/>
        <v>44958</v>
      </c>
      <c r="D388" s="52" t="s">
        <v>65</v>
      </c>
      <c r="E388" s="52" t="s">
        <v>1543</v>
      </c>
      <c r="F388" s="52" t="s">
        <v>16</v>
      </c>
      <c r="G388" s="52" t="s">
        <v>1439</v>
      </c>
      <c r="H388" s="18">
        <v>3864</v>
      </c>
      <c r="I388" s="5">
        <f>IF(tbRegistroSaidas[[#This Row],[DATA DE CAIXA REALIZADO]]="N/A",0,YEAR(tbRegistroSaidas[[#This Row],[DATA DE CAIXA REALIZADO]]))</f>
        <v>2023</v>
      </c>
      <c r="J388" s="5" t="str">
        <f>IF(tbRegistroSaidas[[#This Row],[DATA DE CAIXA REALIZADO]]="N/A","0",UPPER(TEXT(tbRegistroSaidas[[#This Row],[DATA DE CAIXA REALIZADO]],"mmm")))</f>
        <v>FEV</v>
      </c>
      <c r="K388" s="79" t="str">
        <f>IF(tbRegistroSaidas[[#This Row],[DATA DA COMPETÊNCIA]]="N/A","0",UPPER(TEXT(tbRegistroSaidas[[#This Row],[DATA DA COMPETÊNCIA]],"mmm")))</f>
        <v>JAN</v>
      </c>
      <c r="L388" s="79">
        <f>IF(tbRegistroSaidas[[#This Row],[DATA DA COMPETÊNCIA]]="N/A",0,YEAR(tbRegistroSaidas[[#This Row],[DATA DA COMPETÊNCIA]]))</f>
        <v>2023</v>
      </c>
      <c r="M388" s="5" t="str">
        <f>IF(tbRegistroSaidas[[#This Row],[DATA DO CAIXA PREVISTO]]="N/A","0",UPPER(TEXT(tbRegistroSaidas[[#This Row],[DATA DO CAIXA PREVISTO]],"mmm")))</f>
        <v>FEV</v>
      </c>
      <c r="N388" s="5">
        <f>IF(tbRegistroSaidas[[#This Row],[DATA DO CAIXA PREVISTO]]="N/A",0,YEAR(tbRegistroSaidas[[#This Row],[DATA DO CAIXA PREVISTO]]))</f>
        <v>2023</v>
      </c>
    </row>
    <row r="389" spans="1:14" s="5" customFormat="1" ht="14.4" x14ac:dyDescent="0.3">
      <c r="A389" s="49">
        <v>44601</v>
      </c>
      <c r="B389" s="49">
        <f t="shared" si="10"/>
        <v>44570</v>
      </c>
      <c r="C389" s="49">
        <f t="shared" si="11"/>
        <v>44586</v>
      </c>
      <c r="D389" s="52" t="s">
        <v>66</v>
      </c>
      <c r="E389" s="52" t="s">
        <v>1543</v>
      </c>
      <c r="F389" s="52" t="s">
        <v>16</v>
      </c>
      <c r="G389" s="52" t="s">
        <v>761</v>
      </c>
      <c r="H389" s="18">
        <v>3724</v>
      </c>
      <c r="I389" s="5">
        <f>IF(tbRegistroSaidas[[#This Row],[DATA DE CAIXA REALIZADO]]="N/A",0,YEAR(tbRegistroSaidas[[#This Row],[DATA DE CAIXA REALIZADO]]))</f>
        <v>2022</v>
      </c>
      <c r="J389" s="5" t="str">
        <f>IF(tbRegistroSaidas[[#This Row],[DATA DE CAIXA REALIZADO]]="N/A","0",UPPER(TEXT(tbRegistroSaidas[[#This Row],[DATA DE CAIXA REALIZADO]],"mmm")))</f>
        <v>FEV</v>
      </c>
      <c r="K389" s="79" t="str">
        <f>IF(tbRegistroSaidas[[#This Row],[DATA DA COMPETÊNCIA]]="N/A","0",UPPER(TEXT(tbRegistroSaidas[[#This Row],[DATA DA COMPETÊNCIA]],"mmm")))</f>
        <v>JAN</v>
      </c>
      <c r="L389" s="79">
        <f>IF(tbRegistroSaidas[[#This Row],[DATA DA COMPETÊNCIA]]="N/A",0,YEAR(tbRegistroSaidas[[#This Row],[DATA DA COMPETÊNCIA]]))</f>
        <v>2022</v>
      </c>
      <c r="M389" s="5" t="str">
        <f>IF(tbRegistroSaidas[[#This Row],[DATA DO CAIXA PREVISTO]]="N/A","0",UPPER(TEXT(tbRegistroSaidas[[#This Row],[DATA DO CAIXA PREVISTO]],"mmm")))</f>
        <v>JAN</v>
      </c>
      <c r="N389" s="5">
        <f>IF(tbRegistroSaidas[[#This Row],[DATA DO CAIXA PREVISTO]]="N/A",0,YEAR(tbRegistroSaidas[[#This Row],[DATA DO CAIXA PREVISTO]]))</f>
        <v>2022</v>
      </c>
    </row>
    <row r="390" spans="1:14" s="5" customFormat="1" ht="14.4" x14ac:dyDescent="0.3">
      <c r="A390" s="49">
        <v>44661</v>
      </c>
      <c r="B390" s="49">
        <f t="shared" si="10"/>
        <v>44630</v>
      </c>
      <c r="C390" s="49">
        <f t="shared" si="11"/>
        <v>44646</v>
      </c>
      <c r="D390" s="52" t="s">
        <v>65</v>
      </c>
      <c r="E390" s="52" t="s">
        <v>1543</v>
      </c>
      <c r="F390" s="52" t="s">
        <v>17</v>
      </c>
      <c r="G390" s="52" t="s">
        <v>1440</v>
      </c>
      <c r="H390" s="18">
        <v>2608</v>
      </c>
      <c r="I390" s="5">
        <f>IF(tbRegistroSaidas[[#This Row],[DATA DE CAIXA REALIZADO]]="N/A",0,YEAR(tbRegistroSaidas[[#This Row],[DATA DE CAIXA REALIZADO]]))</f>
        <v>2022</v>
      </c>
      <c r="J390" s="5" t="str">
        <f>IF(tbRegistroSaidas[[#This Row],[DATA DE CAIXA REALIZADO]]="N/A","0",UPPER(TEXT(tbRegistroSaidas[[#This Row],[DATA DE CAIXA REALIZADO]],"mmm")))</f>
        <v>ABR</v>
      </c>
      <c r="K390" s="79" t="str">
        <f>IF(tbRegistroSaidas[[#This Row],[DATA DA COMPETÊNCIA]]="N/A","0",UPPER(TEXT(tbRegistroSaidas[[#This Row],[DATA DA COMPETÊNCIA]],"mmm")))</f>
        <v>MAR</v>
      </c>
      <c r="L390" s="79">
        <f>IF(tbRegistroSaidas[[#This Row],[DATA DA COMPETÊNCIA]]="N/A",0,YEAR(tbRegistroSaidas[[#This Row],[DATA DA COMPETÊNCIA]]))</f>
        <v>2022</v>
      </c>
      <c r="M390" s="5" t="str">
        <f>IF(tbRegistroSaidas[[#This Row],[DATA DO CAIXA PREVISTO]]="N/A","0",UPPER(TEXT(tbRegistroSaidas[[#This Row],[DATA DO CAIXA PREVISTO]],"mmm")))</f>
        <v>MAR</v>
      </c>
      <c r="N390" s="5">
        <f>IF(tbRegistroSaidas[[#This Row],[DATA DO CAIXA PREVISTO]]="N/A",0,YEAR(tbRegistroSaidas[[#This Row],[DATA DO CAIXA PREVISTO]]))</f>
        <v>2022</v>
      </c>
    </row>
    <row r="391" spans="1:14" s="5" customFormat="1" ht="14.4" x14ac:dyDescent="0.3">
      <c r="A391" s="49">
        <v>45146</v>
      </c>
      <c r="B391" s="49">
        <f t="shared" si="10"/>
        <v>45115</v>
      </c>
      <c r="C391" s="49">
        <f t="shared" si="11"/>
        <v>45131</v>
      </c>
      <c r="D391" s="52" t="s">
        <v>67</v>
      </c>
      <c r="E391" s="52" t="s">
        <v>1543</v>
      </c>
      <c r="F391" s="52" t="s">
        <v>32</v>
      </c>
      <c r="G391" s="52" t="s">
        <v>1441</v>
      </c>
      <c r="H391" s="18">
        <v>226</v>
      </c>
      <c r="I391" s="5">
        <f>IF(tbRegistroSaidas[[#This Row],[DATA DE CAIXA REALIZADO]]="N/A",0,YEAR(tbRegistroSaidas[[#This Row],[DATA DE CAIXA REALIZADO]]))</f>
        <v>2023</v>
      </c>
      <c r="J391" s="5" t="str">
        <f>IF(tbRegistroSaidas[[#This Row],[DATA DE CAIXA REALIZADO]]="N/A","0",UPPER(TEXT(tbRegistroSaidas[[#This Row],[DATA DE CAIXA REALIZADO]],"mmm")))</f>
        <v>AGO</v>
      </c>
      <c r="K391" s="79" t="str">
        <f>IF(tbRegistroSaidas[[#This Row],[DATA DA COMPETÊNCIA]]="N/A","0",UPPER(TEXT(tbRegistroSaidas[[#This Row],[DATA DA COMPETÊNCIA]],"mmm")))</f>
        <v>JUL</v>
      </c>
      <c r="L391" s="79">
        <f>IF(tbRegistroSaidas[[#This Row],[DATA DA COMPETÊNCIA]]="N/A",0,YEAR(tbRegistroSaidas[[#This Row],[DATA DA COMPETÊNCIA]]))</f>
        <v>2023</v>
      </c>
      <c r="M391" s="5" t="str">
        <f>IF(tbRegistroSaidas[[#This Row],[DATA DO CAIXA PREVISTO]]="N/A","0",UPPER(TEXT(tbRegistroSaidas[[#This Row],[DATA DO CAIXA PREVISTO]],"mmm")))</f>
        <v>JUL</v>
      </c>
      <c r="N391" s="5">
        <f>IF(tbRegistroSaidas[[#This Row],[DATA DO CAIXA PREVISTO]]="N/A",0,YEAR(tbRegistroSaidas[[#This Row],[DATA DO CAIXA PREVISTO]]))</f>
        <v>2023</v>
      </c>
    </row>
    <row r="392" spans="1:14" s="5" customFormat="1" ht="14.4" x14ac:dyDescent="0.3">
      <c r="A392" s="49">
        <v>45247</v>
      </c>
      <c r="B392" s="49">
        <f t="shared" ref="B392:B455" si="12">A392-31</f>
        <v>45216</v>
      </c>
      <c r="C392" s="49">
        <f t="shared" ref="C392:C455" si="13">A392-B392+B392-15</f>
        <v>45232</v>
      </c>
      <c r="D392" s="52" t="s">
        <v>63</v>
      </c>
      <c r="E392" s="52" t="s">
        <v>1543</v>
      </c>
      <c r="F392" s="52" t="s">
        <v>16</v>
      </c>
      <c r="G392" s="52" t="s">
        <v>1442</v>
      </c>
      <c r="H392" s="18">
        <v>2039</v>
      </c>
      <c r="I392" s="5">
        <f>IF(tbRegistroSaidas[[#This Row],[DATA DE CAIXA REALIZADO]]="N/A",0,YEAR(tbRegistroSaidas[[#This Row],[DATA DE CAIXA REALIZADO]]))</f>
        <v>2023</v>
      </c>
      <c r="J392" s="5" t="str">
        <f>IF(tbRegistroSaidas[[#This Row],[DATA DE CAIXA REALIZADO]]="N/A","0",UPPER(TEXT(tbRegistroSaidas[[#This Row],[DATA DE CAIXA REALIZADO]],"mmm")))</f>
        <v>NOV</v>
      </c>
      <c r="K392" s="79" t="str">
        <f>IF(tbRegistroSaidas[[#This Row],[DATA DA COMPETÊNCIA]]="N/A","0",UPPER(TEXT(tbRegistroSaidas[[#This Row],[DATA DA COMPETÊNCIA]],"mmm")))</f>
        <v>OUT</v>
      </c>
      <c r="L392" s="79">
        <f>IF(tbRegistroSaidas[[#This Row],[DATA DA COMPETÊNCIA]]="N/A",0,YEAR(tbRegistroSaidas[[#This Row],[DATA DA COMPETÊNCIA]]))</f>
        <v>2023</v>
      </c>
      <c r="M392" s="5" t="str">
        <f>IF(tbRegistroSaidas[[#This Row],[DATA DO CAIXA PREVISTO]]="N/A","0",UPPER(TEXT(tbRegistroSaidas[[#This Row],[DATA DO CAIXA PREVISTO]],"mmm")))</f>
        <v>NOV</v>
      </c>
      <c r="N392" s="5">
        <f>IF(tbRegistroSaidas[[#This Row],[DATA DO CAIXA PREVISTO]]="N/A",0,YEAR(tbRegistroSaidas[[#This Row],[DATA DO CAIXA PREVISTO]]))</f>
        <v>2023</v>
      </c>
    </row>
    <row r="393" spans="1:14" s="5" customFormat="1" ht="14.4" x14ac:dyDescent="0.3">
      <c r="A393" s="49">
        <v>45217</v>
      </c>
      <c r="B393" s="49">
        <f t="shared" si="12"/>
        <v>45186</v>
      </c>
      <c r="C393" s="49">
        <f t="shared" si="13"/>
        <v>45202</v>
      </c>
      <c r="D393" s="52" t="s">
        <v>138</v>
      </c>
      <c r="E393" s="52" t="s">
        <v>1543</v>
      </c>
      <c r="F393" s="52" t="s">
        <v>32</v>
      </c>
      <c r="G393" s="52" t="s">
        <v>1443</v>
      </c>
      <c r="H393" s="18">
        <v>3601</v>
      </c>
      <c r="I393" s="5">
        <f>IF(tbRegistroSaidas[[#This Row],[DATA DE CAIXA REALIZADO]]="N/A",0,YEAR(tbRegistroSaidas[[#This Row],[DATA DE CAIXA REALIZADO]]))</f>
        <v>2023</v>
      </c>
      <c r="J393" s="5" t="str">
        <f>IF(tbRegistroSaidas[[#This Row],[DATA DE CAIXA REALIZADO]]="N/A","0",UPPER(TEXT(tbRegistroSaidas[[#This Row],[DATA DE CAIXA REALIZADO]],"mmm")))</f>
        <v>OUT</v>
      </c>
      <c r="K393" s="79" t="str">
        <f>IF(tbRegistroSaidas[[#This Row],[DATA DA COMPETÊNCIA]]="N/A","0",UPPER(TEXT(tbRegistroSaidas[[#This Row],[DATA DA COMPETÊNCIA]],"mmm")))</f>
        <v>SET</v>
      </c>
      <c r="L393" s="79">
        <f>IF(tbRegistroSaidas[[#This Row],[DATA DA COMPETÊNCIA]]="N/A",0,YEAR(tbRegistroSaidas[[#This Row],[DATA DA COMPETÊNCIA]]))</f>
        <v>2023</v>
      </c>
      <c r="M393" s="5" t="str">
        <f>IF(tbRegistroSaidas[[#This Row],[DATA DO CAIXA PREVISTO]]="N/A","0",UPPER(TEXT(tbRegistroSaidas[[#This Row],[DATA DO CAIXA PREVISTO]],"mmm")))</f>
        <v>OUT</v>
      </c>
      <c r="N393" s="5">
        <f>IF(tbRegistroSaidas[[#This Row],[DATA DO CAIXA PREVISTO]]="N/A",0,YEAR(tbRegistroSaidas[[#This Row],[DATA DO CAIXA PREVISTO]]))</f>
        <v>2023</v>
      </c>
    </row>
    <row r="394" spans="1:14" s="5" customFormat="1" ht="14.4" x14ac:dyDescent="0.3">
      <c r="A394" s="49">
        <v>45089</v>
      </c>
      <c r="B394" s="49">
        <f t="shared" si="12"/>
        <v>45058</v>
      </c>
      <c r="C394" s="49">
        <f t="shared" si="13"/>
        <v>45074</v>
      </c>
      <c r="D394" s="52" t="s">
        <v>61</v>
      </c>
      <c r="E394" s="52" t="s">
        <v>1543</v>
      </c>
      <c r="F394" s="52" t="s">
        <v>19</v>
      </c>
      <c r="G394" s="52" t="s">
        <v>1444</v>
      </c>
      <c r="H394" s="18">
        <v>2554</v>
      </c>
      <c r="I394" s="5">
        <f>IF(tbRegistroSaidas[[#This Row],[DATA DE CAIXA REALIZADO]]="N/A",0,YEAR(tbRegistroSaidas[[#This Row],[DATA DE CAIXA REALIZADO]]))</f>
        <v>2023</v>
      </c>
      <c r="J394" s="5" t="str">
        <f>IF(tbRegistroSaidas[[#This Row],[DATA DE CAIXA REALIZADO]]="N/A","0",UPPER(TEXT(tbRegistroSaidas[[#This Row],[DATA DE CAIXA REALIZADO]],"mmm")))</f>
        <v>JUN</v>
      </c>
      <c r="K394" s="79" t="str">
        <f>IF(tbRegistroSaidas[[#This Row],[DATA DA COMPETÊNCIA]]="N/A","0",UPPER(TEXT(tbRegistroSaidas[[#This Row],[DATA DA COMPETÊNCIA]],"mmm")))</f>
        <v>MAI</v>
      </c>
      <c r="L394" s="79">
        <f>IF(tbRegistroSaidas[[#This Row],[DATA DA COMPETÊNCIA]]="N/A",0,YEAR(tbRegistroSaidas[[#This Row],[DATA DA COMPETÊNCIA]]))</f>
        <v>2023</v>
      </c>
      <c r="M394" s="5" t="str">
        <f>IF(tbRegistroSaidas[[#This Row],[DATA DO CAIXA PREVISTO]]="N/A","0",UPPER(TEXT(tbRegistroSaidas[[#This Row],[DATA DO CAIXA PREVISTO]],"mmm")))</f>
        <v>MAI</v>
      </c>
      <c r="N394" s="5">
        <f>IF(tbRegistroSaidas[[#This Row],[DATA DO CAIXA PREVISTO]]="N/A",0,YEAR(tbRegistroSaidas[[#This Row],[DATA DO CAIXA PREVISTO]]))</f>
        <v>2023</v>
      </c>
    </row>
    <row r="395" spans="1:14" s="5" customFormat="1" ht="14.4" x14ac:dyDescent="0.3">
      <c r="A395" s="49">
        <v>44917</v>
      </c>
      <c r="B395" s="49">
        <f t="shared" si="12"/>
        <v>44886</v>
      </c>
      <c r="C395" s="49">
        <f t="shared" si="13"/>
        <v>44902</v>
      </c>
      <c r="D395" s="52" t="s">
        <v>67</v>
      </c>
      <c r="E395" s="52" t="s">
        <v>1543</v>
      </c>
      <c r="F395" s="52" t="s">
        <v>32</v>
      </c>
      <c r="G395" s="52" t="s">
        <v>1445</v>
      </c>
      <c r="H395" s="18">
        <v>2079</v>
      </c>
      <c r="I395" s="5">
        <f>IF(tbRegistroSaidas[[#This Row],[DATA DE CAIXA REALIZADO]]="N/A",0,YEAR(tbRegistroSaidas[[#This Row],[DATA DE CAIXA REALIZADO]]))</f>
        <v>2022</v>
      </c>
      <c r="J395" s="5" t="str">
        <f>IF(tbRegistroSaidas[[#This Row],[DATA DE CAIXA REALIZADO]]="N/A","0",UPPER(TEXT(tbRegistroSaidas[[#This Row],[DATA DE CAIXA REALIZADO]],"mmm")))</f>
        <v>DEZ</v>
      </c>
      <c r="K395" s="79" t="str">
        <f>IF(tbRegistroSaidas[[#This Row],[DATA DA COMPETÊNCIA]]="N/A","0",UPPER(TEXT(tbRegistroSaidas[[#This Row],[DATA DA COMPETÊNCIA]],"mmm")))</f>
        <v>NOV</v>
      </c>
      <c r="L395" s="79">
        <f>IF(tbRegistroSaidas[[#This Row],[DATA DA COMPETÊNCIA]]="N/A",0,YEAR(tbRegistroSaidas[[#This Row],[DATA DA COMPETÊNCIA]]))</f>
        <v>2022</v>
      </c>
      <c r="M395" s="5" t="str">
        <f>IF(tbRegistroSaidas[[#This Row],[DATA DO CAIXA PREVISTO]]="N/A","0",UPPER(TEXT(tbRegistroSaidas[[#This Row],[DATA DO CAIXA PREVISTO]],"mmm")))</f>
        <v>DEZ</v>
      </c>
      <c r="N395" s="5">
        <f>IF(tbRegistroSaidas[[#This Row],[DATA DO CAIXA PREVISTO]]="N/A",0,YEAR(tbRegistroSaidas[[#This Row],[DATA DO CAIXA PREVISTO]]))</f>
        <v>2022</v>
      </c>
    </row>
    <row r="396" spans="1:14" s="5" customFormat="1" ht="14.4" x14ac:dyDescent="0.3">
      <c r="A396" s="49">
        <v>44241</v>
      </c>
      <c r="B396" s="49">
        <f t="shared" si="12"/>
        <v>44210</v>
      </c>
      <c r="C396" s="49">
        <f t="shared" si="13"/>
        <v>44226</v>
      </c>
      <c r="D396" s="52" t="s">
        <v>65</v>
      </c>
      <c r="E396" s="52" t="s">
        <v>1543</v>
      </c>
      <c r="F396" s="52" t="s">
        <v>32</v>
      </c>
      <c r="G396" s="52" t="s">
        <v>1446</v>
      </c>
      <c r="H396" s="18">
        <v>2113</v>
      </c>
      <c r="I396" s="5">
        <f>IF(tbRegistroSaidas[[#This Row],[DATA DE CAIXA REALIZADO]]="N/A",0,YEAR(tbRegistroSaidas[[#This Row],[DATA DE CAIXA REALIZADO]]))</f>
        <v>2021</v>
      </c>
      <c r="J396" s="5" t="str">
        <f>IF(tbRegistroSaidas[[#This Row],[DATA DE CAIXA REALIZADO]]="N/A","0",UPPER(TEXT(tbRegistroSaidas[[#This Row],[DATA DE CAIXA REALIZADO]],"mmm")))</f>
        <v>FEV</v>
      </c>
      <c r="K396" s="79" t="str">
        <f>IF(tbRegistroSaidas[[#This Row],[DATA DA COMPETÊNCIA]]="N/A","0",UPPER(TEXT(tbRegistroSaidas[[#This Row],[DATA DA COMPETÊNCIA]],"mmm")))</f>
        <v>JAN</v>
      </c>
      <c r="L396" s="79">
        <f>IF(tbRegistroSaidas[[#This Row],[DATA DA COMPETÊNCIA]]="N/A",0,YEAR(tbRegistroSaidas[[#This Row],[DATA DA COMPETÊNCIA]]))</f>
        <v>2021</v>
      </c>
      <c r="M396" s="5" t="str">
        <f>IF(tbRegistroSaidas[[#This Row],[DATA DO CAIXA PREVISTO]]="N/A","0",UPPER(TEXT(tbRegistroSaidas[[#This Row],[DATA DO CAIXA PREVISTO]],"mmm")))</f>
        <v>JAN</v>
      </c>
      <c r="N396" s="5">
        <f>IF(tbRegistroSaidas[[#This Row],[DATA DO CAIXA PREVISTO]]="N/A",0,YEAR(tbRegistroSaidas[[#This Row],[DATA DO CAIXA PREVISTO]]))</f>
        <v>2021</v>
      </c>
    </row>
    <row r="397" spans="1:14" s="5" customFormat="1" ht="14.4" x14ac:dyDescent="0.3">
      <c r="A397" s="49">
        <v>44918</v>
      </c>
      <c r="B397" s="49">
        <f t="shared" si="12"/>
        <v>44887</v>
      </c>
      <c r="C397" s="49">
        <f t="shared" si="13"/>
        <v>44903</v>
      </c>
      <c r="D397" s="52" t="s">
        <v>63</v>
      </c>
      <c r="E397" s="52" t="s">
        <v>1543</v>
      </c>
      <c r="F397" s="52" t="s">
        <v>19</v>
      </c>
      <c r="G397" s="52" t="s">
        <v>1447</v>
      </c>
      <c r="H397" s="18">
        <v>2175</v>
      </c>
      <c r="I397" s="5">
        <f>IF(tbRegistroSaidas[[#This Row],[DATA DE CAIXA REALIZADO]]="N/A",0,YEAR(tbRegistroSaidas[[#This Row],[DATA DE CAIXA REALIZADO]]))</f>
        <v>2022</v>
      </c>
      <c r="J397" s="5" t="str">
        <f>IF(tbRegistroSaidas[[#This Row],[DATA DE CAIXA REALIZADO]]="N/A","0",UPPER(TEXT(tbRegistroSaidas[[#This Row],[DATA DE CAIXA REALIZADO]],"mmm")))</f>
        <v>DEZ</v>
      </c>
      <c r="K397" s="79" t="str">
        <f>IF(tbRegistroSaidas[[#This Row],[DATA DA COMPETÊNCIA]]="N/A","0",UPPER(TEXT(tbRegistroSaidas[[#This Row],[DATA DA COMPETÊNCIA]],"mmm")))</f>
        <v>NOV</v>
      </c>
      <c r="L397" s="79">
        <f>IF(tbRegistroSaidas[[#This Row],[DATA DA COMPETÊNCIA]]="N/A",0,YEAR(tbRegistroSaidas[[#This Row],[DATA DA COMPETÊNCIA]]))</f>
        <v>2022</v>
      </c>
      <c r="M397" s="5" t="str">
        <f>IF(tbRegistroSaidas[[#This Row],[DATA DO CAIXA PREVISTO]]="N/A","0",UPPER(TEXT(tbRegistroSaidas[[#This Row],[DATA DO CAIXA PREVISTO]],"mmm")))</f>
        <v>DEZ</v>
      </c>
      <c r="N397" s="5">
        <f>IF(tbRegistroSaidas[[#This Row],[DATA DO CAIXA PREVISTO]]="N/A",0,YEAR(tbRegistroSaidas[[#This Row],[DATA DO CAIXA PREVISTO]]))</f>
        <v>2022</v>
      </c>
    </row>
    <row r="398" spans="1:14" s="5" customFormat="1" ht="14.4" x14ac:dyDescent="0.3">
      <c r="A398" s="49">
        <v>44340</v>
      </c>
      <c r="B398" s="49">
        <f t="shared" si="12"/>
        <v>44309</v>
      </c>
      <c r="C398" s="49">
        <f t="shared" si="13"/>
        <v>44325</v>
      </c>
      <c r="D398" s="52" t="s">
        <v>65</v>
      </c>
      <c r="E398" s="52" t="s">
        <v>1543</v>
      </c>
      <c r="F398" s="52" t="s">
        <v>32</v>
      </c>
      <c r="G398" s="52" t="s">
        <v>1448</v>
      </c>
      <c r="H398" s="18">
        <v>714</v>
      </c>
      <c r="I398" s="5">
        <f>IF(tbRegistroSaidas[[#This Row],[DATA DE CAIXA REALIZADO]]="N/A",0,YEAR(tbRegistroSaidas[[#This Row],[DATA DE CAIXA REALIZADO]]))</f>
        <v>2021</v>
      </c>
      <c r="J398" s="5" t="str">
        <f>IF(tbRegistroSaidas[[#This Row],[DATA DE CAIXA REALIZADO]]="N/A","0",UPPER(TEXT(tbRegistroSaidas[[#This Row],[DATA DE CAIXA REALIZADO]],"mmm")))</f>
        <v>MAI</v>
      </c>
      <c r="K398" s="79" t="str">
        <f>IF(tbRegistroSaidas[[#This Row],[DATA DA COMPETÊNCIA]]="N/A","0",UPPER(TEXT(tbRegistroSaidas[[#This Row],[DATA DA COMPETÊNCIA]],"mmm")))</f>
        <v>ABR</v>
      </c>
      <c r="L398" s="79">
        <f>IF(tbRegistroSaidas[[#This Row],[DATA DA COMPETÊNCIA]]="N/A",0,YEAR(tbRegistroSaidas[[#This Row],[DATA DA COMPETÊNCIA]]))</f>
        <v>2021</v>
      </c>
      <c r="M398" s="5" t="str">
        <f>IF(tbRegistroSaidas[[#This Row],[DATA DO CAIXA PREVISTO]]="N/A","0",UPPER(TEXT(tbRegistroSaidas[[#This Row],[DATA DO CAIXA PREVISTO]],"mmm")))</f>
        <v>MAI</v>
      </c>
      <c r="N398" s="5">
        <f>IF(tbRegistroSaidas[[#This Row],[DATA DO CAIXA PREVISTO]]="N/A",0,YEAR(tbRegistroSaidas[[#This Row],[DATA DO CAIXA PREVISTO]]))</f>
        <v>2021</v>
      </c>
    </row>
    <row r="399" spans="1:14" s="5" customFormat="1" ht="14.4" x14ac:dyDescent="0.3">
      <c r="A399" s="49">
        <v>44835</v>
      </c>
      <c r="B399" s="49">
        <f t="shared" si="12"/>
        <v>44804</v>
      </c>
      <c r="C399" s="49">
        <f t="shared" si="13"/>
        <v>44820</v>
      </c>
      <c r="D399" s="52" t="s">
        <v>137</v>
      </c>
      <c r="E399" s="52" t="s">
        <v>1543</v>
      </c>
      <c r="F399" s="52" t="s">
        <v>17</v>
      </c>
      <c r="G399" s="52" t="s">
        <v>1449</v>
      </c>
      <c r="H399" s="18">
        <v>3419</v>
      </c>
      <c r="I399" s="5">
        <f>IF(tbRegistroSaidas[[#This Row],[DATA DE CAIXA REALIZADO]]="N/A",0,YEAR(tbRegistroSaidas[[#This Row],[DATA DE CAIXA REALIZADO]]))</f>
        <v>2022</v>
      </c>
      <c r="J399" s="5" t="str">
        <f>IF(tbRegistroSaidas[[#This Row],[DATA DE CAIXA REALIZADO]]="N/A","0",UPPER(TEXT(tbRegistroSaidas[[#This Row],[DATA DE CAIXA REALIZADO]],"mmm")))</f>
        <v>OUT</v>
      </c>
      <c r="K399" s="79" t="str">
        <f>IF(tbRegistroSaidas[[#This Row],[DATA DA COMPETÊNCIA]]="N/A","0",UPPER(TEXT(tbRegistroSaidas[[#This Row],[DATA DA COMPETÊNCIA]],"mmm")))</f>
        <v>AGO</v>
      </c>
      <c r="L399" s="79">
        <f>IF(tbRegistroSaidas[[#This Row],[DATA DA COMPETÊNCIA]]="N/A",0,YEAR(tbRegistroSaidas[[#This Row],[DATA DA COMPETÊNCIA]]))</f>
        <v>2022</v>
      </c>
      <c r="M399" s="5" t="str">
        <f>IF(tbRegistroSaidas[[#This Row],[DATA DO CAIXA PREVISTO]]="N/A","0",UPPER(TEXT(tbRegistroSaidas[[#This Row],[DATA DO CAIXA PREVISTO]],"mmm")))</f>
        <v>SET</v>
      </c>
      <c r="N399" s="5">
        <f>IF(tbRegistroSaidas[[#This Row],[DATA DO CAIXA PREVISTO]]="N/A",0,YEAR(tbRegistroSaidas[[#This Row],[DATA DO CAIXA PREVISTO]]))</f>
        <v>2022</v>
      </c>
    </row>
    <row r="400" spans="1:14" s="5" customFormat="1" ht="14.4" x14ac:dyDescent="0.3">
      <c r="A400" s="49">
        <v>45000</v>
      </c>
      <c r="B400" s="49">
        <f t="shared" si="12"/>
        <v>44969</v>
      </c>
      <c r="C400" s="49">
        <f t="shared" si="13"/>
        <v>44985</v>
      </c>
      <c r="D400" s="52" t="s">
        <v>67</v>
      </c>
      <c r="E400" s="52" t="s">
        <v>1543</v>
      </c>
      <c r="F400" s="52" t="s">
        <v>17</v>
      </c>
      <c r="G400" s="52" t="s">
        <v>1450</v>
      </c>
      <c r="H400" s="18">
        <v>1591</v>
      </c>
      <c r="I400" s="5">
        <f>IF(tbRegistroSaidas[[#This Row],[DATA DE CAIXA REALIZADO]]="N/A",0,YEAR(tbRegistroSaidas[[#This Row],[DATA DE CAIXA REALIZADO]]))</f>
        <v>2023</v>
      </c>
      <c r="J400" s="5" t="str">
        <f>IF(tbRegistroSaidas[[#This Row],[DATA DE CAIXA REALIZADO]]="N/A","0",UPPER(TEXT(tbRegistroSaidas[[#This Row],[DATA DE CAIXA REALIZADO]],"mmm")))</f>
        <v>MAR</v>
      </c>
      <c r="K400" s="79" t="str">
        <f>IF(tbRegistroSaidas[[#This Row],[DATA DA COMPETÊNCIA]]="N/A","0",UPPER(TEXT(tbRegistroSaidas[[#This Row],[DATA DA COMPETÊNCIA]],"mmm")))</f>
        <v>FEV</v>
      </c>
      <c r="L400" s="79">
        <f>IF(tbRegistroSaidas[[#This Row],[DATA DA COMPETÊNCIA]]="N/A",0,YEAR(tbRegistroSaidas[[#This Row],[DATA DA COMPETÊNCIA]]))</f>
        <v>2023</v>
      </c>
      <c r="M400" s="5" t="str">
        <f>IF(tbRegistroSaidas[[#This Row],[DATA DO CAIXA PREVISTO]]="N/A","0",UPPER(TEXT(tbRegistroSaidas[[#This Row],[DATA DO CAIXA PREVISTO]],"mmm")))</f>
        <v>FEV</v>
      </c>
      <c r="N400" s="5">
        <f>IF(tbRegistroSaidas[[#This Row],[DATA DO CAIXA PREVISTO]]="N/A",0,YEAR(tbRegistroSaidas[[#This Row],[DATA DO CAIXA PREVISTO]]))</f>
        <v>2023</v>
      </c>
    </row>
    <row r="401" spans="1:14" s="5" customFormat="1" ht="14.4" x14ac:dyDescent="0.3">
      <c r="A401" s="49">
        <v>44736</v>
      </c>
      <c r="B401" s="49">
        <f t="shared" si="12"/>
        <v>44705</v>
      </c>
      <c r="C401" s="49">
        <f t="shared" si="13"/>
        <v>44721</v>
      </c>
      <c r="D401" s="52" t="s">
        <v>66</v>
      </c>
      <c r="E401" s="52" t="s">
        <v>1543</v>
      </c>
      <c r="F401" s="52" t="s">
        <v>32</v>
      </c>
      <c r="G401" s="52" t="s">
        <v>1365</v>
      </c>
      <c r="H401" s="18">
        <v>1597</v>
      </c>
      <c r="I401" s="5">
        <f>IF(tbRegistroSaidas[[#This Row],[DATA DE CAIXA REALIZADO]]="N/A",0,YEAR(tbRegistroSaidas[[#This Row],[DATA DE CAIXA REALIZADO]]))</f>
        <v>2022</v>
      </c>
      <c r="J401" s="5" t="str">
        <f>IF(tbRegistroSaidas[[#This Row],[DATA DE CAIXA REALIZADO]]="N/A","0",UPPER(TEXT(tbRegistroSaidas[[#This Row],[DATA DE CAIXA REALIZADO]],"mmm")))</f>
        <v>JUN</v>
      </c>
      <c r="K401" s="79" t="str">
        <f>IF(tbRegistroSaidas[[#This Row],[DATA DA COMPETÊNCIA]]="N/A","0",UPPER(TEXT(tbRegistroSaidas[[#This Row],[DATA DA COMPETÊNCIA]],"mmm")))</f>
        <v>MAI</v>
      </c>
      <c r="L401" s="79">
        <f>IF(tbRegistroSaidas[[#This Row],[DATA DA COMPETÊNCIA]]="N/A",0,YEAR(tbRegistroSaidas[[#This Row],[DATA DA COMPETÊNCIA]]))</f>
        <v>2022</v>
      </c>
      <c r="M401" s="5" t="str">
        <f>IF(tbRegistroSaidas[[#This Row],[DATA DO CAIXA PREVISTO]]="N/A","0",UPPER(TEXT(tbRegistroSaidas[[#This Row],[DATA DO CAIXA PREVISTO]],"mmm")))</f>
        <v>JUN</v>
      </c>
      <c r="N401" s="5">
        <f>IF(tbRegistroSaidas[[#This Row],[DATA DO CAIXA PREVISTO]]="N/A",0,YEAR(tbRegistroSaidas[[#This Row],[DATA DO CAIXA PREVISTO]]))</f>
        <v>2022</v>
      </c>
    </row>
    <row r="402" spans="1:14" s="5" customFormat="1" ht="14.4" x14ac:dyDescent="0.3">
      <c r="A402" s="49">
        <v>44511</v>
      </c>
      <c r="B402" s="49">
        <f t="shared" si="12"/>
        <v>44480</v>
      </c>
      <c r="C402" s="49">
        <f t="shared" si="13"/>
        <v>44496</v>
      </c>
      <c r="D402" s="52" t="s">
        <v>137</v>
      </c>
      <c r="E402" s="52" t="s">
        <v>1543</v>
      </c>
      <c r="F402" s="52" t="s">
        <v>17</v>
      </c>
      <c r="G402" s="52" t="s">
        <v>1451</v>
      </c>
      <c r="H402" s="18">
        <v>3042</v>
      </c>
      <c r="I402" s="5">
        <f>IF(tbRegistroSaidas[[#This Row],[DATA DE CAIXA REALIZADO]]="N/A",0,YEAR(tbRegistroSaidas[[#This Row],[DATA DE CAIXA REALIZADO]]))</f>
        <v>2021</v>
      </c>
      <c r="J402" s="5" t="str">
        <f>IF(tbRegistroSaidas[[#This Row],[DATA DE CAIXA REALIZADO]]="N/A","0",UPPER(TEXT(tbRegistroSaidas[[#This Row],[DATA DE CAIXA REALIZADO]],"mmm")))</f>
        <v>NOV</v>
      </c>
      <c r="K402" s="79" t="str">
        <f>IF(tbRegistroSaidas[[#This Row],[DATA DA COMPETÊNCIA]]="N/A","0",UPPER(TEXT(tbRegistroSaidas[[#This Row],[DATA DA COMPETÊNCIA]],"mmm")))</f>
        <v>OUT</v>
      </c>
      <c r="L402" s="79">
        <f>IF(tbRegistroSaidas[[#This Row],[DATA DA COMPETÊNCIA]]="N/A",0,YEAR(tbRegistroSaidas[[#This Row],[DATA DA COMPETÊNCIA]]))</f>
        <v>2021</v>
      </c>
      <c r="M402" s="5" t="str">
        <f>IF(tbRegistroSaidas[[#This Row],[DATA DO CAIXA PREVISTO]]="N/A","0",UPPER(TEXT(tbRegistroSaidas[[#This Row],[DATA DO CAIXA PREVISTO]],"mmm")))</f>
        <v>OUT</v>
      </c>
      <c r="N402" s="5">
        <f>IF(tbRegistroSaidas[[#This Row],[DATA DO CAIXA PREVISTO]]="N/A",0,YEAR(tbRegistroSaidas[[#This Row],[DATA DO CAIXA PREVISTO]]))</f>
        <v>2021</v>
      </c>
    </row>
    <row r="403" spans="1:14" s="5" customFormat="1" ht="14.4" x14ac:dyDescent="0.3">
      <c r="A403" s="49">
        <v>44463</v>
      </c>
      <c r="B403" s="49">
        <f t="shared" si="12"/>
        <v>44432</v>
      </c>
      <c r="C403" s="49">
        <f t="shared" si="13"/>
        <v>44448</v>
      </c>
      <c r="D403" s="52" t="s">
        <v>137</v>
      </c>
      <c r="E403" s="52" t="s">
        <v>1543</v>
      </c>
      <c r="F403" s="52" t="s">
        <v>16</v>
      </c>
      <c r="G403" s="52" t="s">
        <v>1452</v>
      </c>
      <c r="H403" s="18">
        <v>3720</v>
      </c>
      <c r="I403" s="5">
        <f>IF(tbRegistroSaidas[[#This Row],[DATA DE CAIXA REALIZADO]]="N/A",0,YEAR(tbRegistroSaidas[[#This Row],[DATA DE CAIXA REALIZADO]]))</f>
        <v>2021</v>
      </c>
      <c r="J403" s="5" t="str">
        <f>IF(tbRegistroSaidas[[#This Row],[DATA DE CAIXA REALIZADO]]="N/A","0",UPPER(TEXT(tbRegistroSaidas[[#This Row],[DATA DE CAIXA REALIZADO]],"mmm")))</f>
        <v>SET</v>
      </c>
      <c r="K403" s="79" t="str">
        <f>IF(tbRegistroSaidas[[#This Row],[DATA DA COMPETÊNCIA]]="N/A","0",UPPER(TEXT(tbRegistroSaidas[[#This Row],[DATA DA COMPETÊNCIA]],"mmm")))</f>
        <v>AGO</v>
      </c>
      <c r="L403" s="79">
        <f>IF(tbRegistroSaidas[[#This Row],[DATA DA COMPETÊNCIA]]="N/A",0,YEAR(tbRegistroSaidas[[#This Row],[DATA DA COMPETÊNCIA]]))</f>
        <v>2021</v>
      </c>
      <c r="M403" s="5" t="str">
        <f>IF(tbRegistroSaidas[[#This Row],[DATA DO CAIXA PREVISTO]]="N/A","0",UPPER(TEXT(tbRegistroSaidas[[#This Row],[DATA DO CAIXA PREVISTO]],"mmm")))</f>
        <v>SET</v>
      </c>
      <c r="N403" s="5">
        <f>IF(tbRegistroSaidas[[#This Row],[DATA DO CAIXA PREVISTO]]="N/A",0,YEAR(tbRegistroSaidas[[#This Row],[DATA DO CAIXA PREVISTO]]))</f>
        <v>2021</v>
      </c>
    </row>
    <row r="404" spans="1:14" s="5" customFormat="1" ht="14.4" x14ac:dyDescent="0.3">
      <c r="A404" s="49">
        <v>44977</v>
      </c>
      <c r="B404" s="49">
        <f t="shared" si="12"/>
        <v>44946</v>
      </c>
      <c r="C404" s="49">
        <f t="shared" si="13"/>
        <v>44962</v>
      </c>
      <c r="D404" s="52" t="s">
        <v>137</v>
      </c>
      <c r="E404" s="52" t="s">
        <v>1543</v>
      </c>
      <c r="F404" s="52" t="s">
        <v>32</v>
      </c>
      <c r="G404" s="52" t="s">
        <v>1453</v>
      </c>
      <c r="H404" s="18">
        <v>3300</v>
      </c>
      <c r="I404" s="5">
        <f>IF(tbRegistroSaidas[[#This Row],[DATA DE CAIXA REALIZADO]]="N/A",0,YEAR(tbRegistroSaidas[[#This Row],[DATA DE CAIXA REALIZADO]]))</f>
        <v>2023</v>
      </c>
      <c r="J404" s="5" t="str">
        <f>IF(tbRegistroSaidas[[#This Row],[DATA DE CAIXA REALIZADO]]="N/A","0",UPPER(TEXT(tbRegistroSaidas[[#This Row],[DATA DE CAIXA REALIZADO]],"mmm")))</f>
        <v>FEV</v>
      </c>
      <c r="K404" s="79" t="str">
        <f>IF(tbRegistroSaidas[[#This Row],[DATA DA COMPETÊNCIA]]="N/A","0",UPPER(TEXT(tbRegistroSaidas[[#This Row],[DATA DA COMPETÊNCIA]],"mmm")))</f>
        <v>JAN</v>
      </c>
      <c r="L404" s="79">
        <f>IF(tbRegistroSaidas[[#This Row],[DATA DA COMPETÊNCIA]]="N/A",0,YEAR(tbRegistroSaidas[[#This Row],[DATA DA COMPETÊNCIA]]))</f>
        <v>2023</v>
      </c>
      <c r="M404" s="5" t="str">
        <f>IF(tbRegistroSaidas[[#This Row],[DATA DO CAIXA PREVISTO]]="N/A","0",UPPER(TEXT(tbRegistroSaidas[[#This Row],[DATA DO CAIXA PREVISTO]],"mmm")))</f>
        <v>FEV</v>
      </c>
      <c r="N404" s="5">
        <f>IF(tbRegistroSaidas[[#This Row],[DATA DO CAIXA PREVISTO]]="N/A",0,YEAR(tbRegistroSaidas[[#This Row],[DATA DO CAIXA PREVISTO]]))</f>
        <v>2023</v>
      </c>
    </row>
    <row r="405" spans="1:14" s="5" customFormat="1" ht="14.4" x14ac:dyDescent="0.3">
      <c r="A405" s="49">
        <v>45277</v>
      </c>
      <c r="B405" s="49">
        <f t="shared" si="12"/>
        <v>45246</v>
      </c>
      <c r="C405" s="49">
        <f t="shared" si="13"/>
        <v>45262</v>
      </c>
      <c r="D405" s="52" t="s">
        <v>67</v>
      </c>
      <c r="E405" s="52" t="s">
        <v>1543</v>
      </c>
      <c r="F405" s="52" t="s">
        <v>32</v>
      </c>
      <c r="G405" s="52" t="s">
        <v>1454</v>
      </c>
      <c r="H405" s="18">
        <v>2975</v>
      </c>
      <c r="I405" s="5">
        <f>IF(tbRegistroSaidas[[#This Row],[DATA DE CAIXA REALIZADO]]="N/A",0,YEAR(tbRegistroSaidas[[#This Row],[DATA DE CAIXA REALIZADO]]))</f>
        <v>2023</v>
      </c>
      <c r="J405" s="5" t="str">
        <f>IF(tbRegistroSaidas[[#This Row],[DATA DE CAIXA REALIZADO]]="N/A","0",UPPER(TEXT(tbRegistroSaidas[[#This Row],[DATA DE CAIXA REALIZADO]],"mmm")))</f>
        <v>DEZ</v>
      </c>
      <c r="K405" s="79" t="str">
        <f>IF(tbRegistroSaidas[[#This Row],[DATA DA COMPETÊNCIA]]="N/A","0",UPPER(TEXT(tbRegistroSaidas[[#This Row],[DATA DA COMPETÊNCIA]],"mmm")))</f>
        <v>NOV</v>
      </c>
      <c r="L405" s="79">
        <f>IF(tbRegistroSaidas[[#This Row],[DATA DA COMPETÊNCIA]]="N/A",0,YEAR(tbRegistroSaidas[[#This Row],[DATA DA COMPETÊNCIA]]))</f>
        <v>2023</v>
      </c>
      <c r="M405" s="5" t="str">
        <f>IF(tbRegistroSaidas[[#This Row],[DATA DO CAIXA PREVISTO]]="N/A","0",UPPER(TEXT(tbRegistroSaidas[[#This Row],[DATA DO CAIXA PREVISTO]],"mmm")))</f>
        <v>DEZ</v>
      </c>
      <c r="N405" s="5">
        <f>IF(tbRegistroSaidas[[#This Row],[DATA DO CAIXA PREVISTO]]="N/A",0,YEAR(tbRegistroSaidas[[#This Row],[DATA DO CAIXA PREVISTO]]))</f>
        <v>2023</v>
      </c>
    </row>
    <row r="406" spans="1:14" s="5" customFormat="1" ht="14.4" x14ac:dyDescent="0.3">
      <c r="A406" s="49">
        <v>44677</v>
      </c>
      <c r="B406" s="49">
        <f t="shared" si="12"/>
        <v>44646</v>
      </c>
      <c r="C406" s="49">
        <f t="shared" si="13"/>
        <v>44662</v>
      </c>
      <c r="D406" s="52" t="s">
        <v>64</v>
      </c>
      <c r="E406" s="52" t="s">
        <v>1543</v>
      </c>
      <c r="F406" s="52" t="s">
        <v>32</v>
      </c>
      <c r="G406" s="52" t="s">
        <v>1455</v>
      </c>
      <c r="H406" s="18">
        <v>2085</v>
      </c>
      <c r="I406" s="5">
        <f>IF(tbRegistroSaidas[[#This Row],[DATA DE CAIXA REALIZADO]]="N/A",0,YEAR(tbRegistroSaidas[[#This Row],[DATA DE CAIXA REALIZADO]]))</f>
        <v>2022</v>
      </c>
      <c r="J406" s="5" t="str">
        <f>IF(tbRegistroSaidas[[#This Row],[DATA DE CAIXA REALIZADO]]="N/A","0",UPPER(TEXT(tbRegistroSaidas[[#This Row],[DATA DE CAIXA REALIZADO]],"mmm")))</f>
        <v>ABR</v>
      </c>
      <c r="K406" s="79" t="str">
        <f>IF(tbRegistroSaidas[[#This Row],[DATA DA COMPETÊNCIA]]="N/A","0",UPPER(TEXT(tbRegistroSaidas[[#This Row],[DATA DA COMPETÊNCIA]],"mmm")))</f>
        <v>MAR</v>
      </c>
      <c r="L406" s="79">
        <f>IF(tbRegistroSaidas[[#This Row],[DATA DA COMPETÊNCIA]]="N/A",0,YEAR(tbRegistroSaidas[[#This Row],[DATA DA COMPETÊNCIA]]))</f>
        <v>2022</v>
      </c>
      <c r="M406" s="5" t="str">
        <f>IF(tbRegistroSaidas[[#This Row],[DATA DO CAIXA PREVISTO]]="N/A","0",UPPER(TEXT(tbRegistroSaidas[[#This Row],[DATA DO CAIXA PREVISTO]],"mmm")))</f>
        <v>ABR</v>
      </c>
      <c r="N406" s="5">
        <f>IF(tbRegistroSaidas[[#This Row],[DATA DO CAIXA PREVISTO]]="N/A",0,YEAR(tbRegistroSaidas[[#This Row],[DATA DO CAIXA PREVISTO]]))</f>
        <v>2022</v>
      </c>
    </row>
    <row r="407" spans="1:14" s="5" customFormat="1" ht="14.4" x14ac:dyDescent="0.3">
      <c r="A407" s="49">
        <v>44538</v>
      </c>
      <c r="B407" s="49">
        <f t="shared" si="12"/>
        <v>44507</v>
      </c>
      <c r="C407" s="49">
        <f t="shared" si="13"/>
        <v>44523</v>
      </c>
      <c r="D407" s="52" t="s">
        <v>61</v>
      </c>
      <c r="E407" s="52" t="s">
        <v>1543</v>
      </c>
      <c r="F407" s="52" t="s">
        <v>19</v>
      </c>
      <c r="G407" s="52" t="s">
        <v>1456</v>
      </c>
      <c r="H407" s="18">
        <v>2702</v>
      </c>
      <c r="I407" s="5">
        <f>IF(tbRegistroSaidas[[#This Row],[DATA DE CAIXA REALIZADO]]="N/A",0,YEAR(tbRegistroSaidas[[#This Row],[DATA DE CAIXA REALIZADO]]))</f>
        <v>2021</v>
      </c>
      <c r="J407" s="5" t="str">
        <f>IF(tbRegistroSaidas[[#This Row],[DATA DE CAIXA REALIZADO]]="N/A","0",UPPER(TEXT(tbRegistroSaidas[[#This Row],[DATA DE CAIXA REALIZADO]],"mmm")))</f>
        <v>DEZ</v>
      </c>
      <c r="K407" s="79" t="str">
        <f>IF(tbRegistroSaidas[[#This Row],[DATA DA COMPETÊNCIA]]="N/A","0",UPPER(TEXT(tbRegistroSaidas[[#This Row],[DATA DA COMPETÊNCIA]],"mmm")))</f>
        <v>NOV</v>
      </c>
      <c r="L407" s="79">
        <f>IF(tbRegistroSaidas[[#This Row],[DATA DA COMPETÊNCIA]]="N/A",0,YEAR(tbRegistroSaidas[[#This Row],[DATA DA COMPETÊNCIA]]))</f>
        <v>2021</v>
      </c>
      <c r="M407" s="5" t="str">
        <f>IF(tbRegistroSaidas[[#This Row],[DATA DO CAIXA PREVISTO]]="N/A","0",UPPER(TEXT(tbRegistroSaidas[[#This Row],[DATA DO CAIXA PREVISTO]],"mmm")))</f>
        <v>NOV</v>
      </c>
      <c r="N407" s="5">
        <f>IF(tbRegistroSaidas[[#This Row],[DATA DO CAIXA PREVISTO]]="N/A",0,YEAR(tbRegistroSaidas[[#This Row],[DATA DO CAIXA PREVISTO]]))</f>
        <v>2021</v>
      </c>
    </row>
    <row r="408" spans="1:14" s="5" customFormat="1" ht="14.4" x14ac:dyDescent="0.3">
      <c r="A408" s="49">
        <v>44867</v>
      </c>
      <c r="B408" s="49">
        <f t="shared" si="12"/>
        <v>44836</v>
      </c>
      <c r="C408" s="49">
        <f t="shared" si="13"/>
        <v>44852</v>
      </c>
      <c r="D408" s="52" t="s">
        <v>137</v>
      </c>
      <c r="E408" s="52" t="s">
        <v>1543</v>
      </c>
      <c r="F408" s="52" t="s">
        <v>16</v>
      </c>
      <c r="G408" s="52" t="s">
        <v>892</v>
      </c>
      <c r="H408" s="18">
        <v>2451</v>
      </c>
      <c r="I408" s="5">
        <f>IF(tbRegistroSaidas[[#This Row],[DATA DE CAIXA REALIZADO]]="N/A",0,YEAR(tbRegistroSaidas[[#This Row],[DATA DE CAIXA REALIZADO]]))</f>
        <v>2022</v>
      </c>
      <c r="J408" s="5" t="str">
        <f>IF(tbRegistroSaidas[[#This Row],[DATA DE CAIXA REALIZADO]]="N/A","0",UPPER(TEXT(tbRegistroSaidas[[#This Row],[DATA DE CAIXA REALIZADO]],"mmm")))</f>
        <v>NOV</v>
      </c>
      <c r="K408" s="79" t="str">
        <f>IF(tbRegistroSaidas[[#This Row],[DATA DA COMPETÊNCIA]]="N/A","0",UPPER(TEXT(tbRegistroSaidas[[#This Row],[DATA DA COMPETÊNCIA]],"mmm")))</f>
        <v>OUT</v>
      </c>
      <c r="L408" s="79">
        <f>IF(tbRegistroSaidas[[#This Row],[DATA DA COMPETÊNCIA]]="N/A",0,YEAR(tbRegistroSaidas[[#This Row],[DATA DA COMPETÊNCIA]]))</f>
        <v>2022</v>
      </c>
      <c r="M408" s="5" t="str">
        <f>IF(tbRegistroSaidas[[#This Row],[DATA DO CAIXA PREVISTO]]="N/A","0",UPPER(TEXT(tbRegistroSaidas[[#This Row],[DATA DO CAIXA PREVISTO]],"mmm")))</f>
        <v>OUT</v>
      </c>
      <c r="N408" s="5">
        <f>IF(tbRegistroSaidas[[#This Row],[DATA DO CAIXA PREVISTO]]="N/A",0,YEAR(tbRegistroSaidas[[#This Row],[DATA DO CAIXA PREVISTO]]))</f>
        <v>2022</v>
      </c>
    </row>
    <row r="409" spans="1:14" s="5" customFormat="1" ht="14.4" x14ac:dyDescent="0.3">
      <c r="A409" s="49">
        <v>44631</v>
      </c>
      <c r="B409" s="49">
        <f t="shared" si="12"/>
        <v>44600</v>
      </c>
      <c r="C409" s="49">
        <f t="shared" si="13"/>
        <v>44616</v>
      </c>
      <c r="D409" s="52" t="s">
        <v>63</v>
      </c>
      <c r="E409" s="52" t="s">
        <v>1543</v>
      </c>
      <c r="F409" s="52" t="s">
        <v>18</v>
      </c>
      <c r="G409" s="52" t="s">
        <v>1457</v>
      </c>
      <c r="H409" s="18">
        <v>2520</v>
      </c>
      <c r="I409" s="5">
        <f>IF(tbRegistroSaidas[[#This Row],[DATA DE CAIXA REALIZADO]]="N/A",0,YEAR(tbRegistroSaidas[[#This Row],[DATA DE CAIXA REALIZADO]]))</f>
        <v>2022</v>
      </c>
      <c r="J409" s="5" t="str">
        <f>IF(tbRegistroSaidas[[#This Row],[DATA DE CAIXA REALIZADO]]="N/A","0",UPPER(TEXT(tbRegistroSaidas[[#This Row],[DATA DE CAIXA REALIZADO]],"mmm")))</f>
        <v>MAR</v>
      </c>
      <c r="K409" s="79" t="str">
        <f>IF(tbRegistroSaidas[[#This Row],[DATA DA COMPETÊNCIA]]="N/A","0",UPPER(TEXT(tbRegistroSaidas[[#This Row],[DATA DA COMPETÊNCIA]],"mmm")))</f>
        <v>FEV</v>
      </c>
      <c r="L409" s="79">
        <f>IF(tbRegistroSaidas[[#This Row],[DATA DA COMPETÊNCIA]]="N/A",0,YEAR(tbRegistroSaidas[[#This Row],[DATA DA COMPETÊNCIA]]))</f>
        <v>2022</v>
      </c>
      <c r="M409" s="5" t="str">
        <f>IF(tbRegistroSaidas[[#This Row],[DATA DO CAIXA PREVISTO]]="N/A","0",UPPER(TEXT(tbRegistroSaidas[[#This Row],[DATA DO CAIXA PREVISTO]],"mmm")))</f>
        <v>FEV</v>
      </c>
      <c r="N409" s="5">
        <f>IF(tbRegistroSaidas[[#This Row],[DATA DO CAIXA PREVISTO]]="N/A",0,YEAR(tbRegistroSaidas[[#This Row],[DATA DO CAIXA PREVISTO]]))</f>
        <v>2022</v>
      </c>
    </row>
    <row r="410" spans="1:14" s="5" customFormat="1" ht="14.4" x14ac:dyDescent="0.3">
      <c r="A410" s="49">
        <v>45146</v>
      </c>
      <c r="B410" s="49">
        <f t="shared" si="12"/>
        <v>45115</v>
      </c>
      <c r="C410" s="49">
        <f t="shared" si="13"/>
        <v>45131</v>
      </c>
      <c r="D410" s="52" t="s">
        <v>137</v>
      </c>
      <c r="E410" s="52" t="s">
        <v>1543</v>
      </c>
      <c r="F410" s="52" t="s">
        <v>16</v>
      </c>
      <c r="G410" s="52" t="s">
        <v>1458</v>
      </c>
      <c r="H410" s="18">
        <v>2364</v>
      </c>
      <c r="I410" s="5">
        <f>IF(tbRegistroSaidas[[#This Row],[DATA DE CAIXA REALIZADO]]="N/A",0,YEAR(tbRegistroSaidas[[#This Row],[DATA DE CAIXA REALIZADO]]))</f>
        <v>2023</v>
      </c>
      <c r="J410" s="5" t="str">
        <f>IF(tbRegistroSaidas[[#This Row],[DATA DE CAIXA REALIZADO]]="N/A","0",UPPER(TEXT(tbRegistroSaidas[[#This Row],[DATA DE CAIXA REALIZADO]],"mmm")))</f>
        <v>AGO</v>
      </c>
      <c r="K410" s="79" t="str">
        <f>IF(tbRegistroSaidas[[#This Row],[DATA DA COMPETÊNCIA]]="N/A","0",UPPER(TEXT(tbRegistroSaidas[[#This Row],[DATA DA COMPETÊNCIA]],"mmm")))</f>
        <v>JUL</v>
      </c>
      <c r="L410" s="79">
        <f>IF(tbRegistroSaidas[[#This Row],[DATA DA COMPETÊNCIA]]="N/A",0,YEAR(tbRegistroSaidas[[#This Row],[DATA DA COMPETÊNCIA]]))</f>
        <v>2023</v>
      </c>
      <c r="M410" s="5" t="str">
        <f>IF(tbRegistroSaidas[[#This Row],[DATA DO CAIXA PREVISTO]]="N/A","0",UPPER(TEXT(tbRegistroSaidas[[#This Row],[DATA DO CAIXA PREVISTO]],"mmm")))</f>
        <v>JUL</v>
      </c>
      <c r="N410" s="5">
        <f>IF(tbRegistroSaidas[[#This Row],[DATA DO CAIXA PREVISTO]]="N/A",0,YEAR(tbRegistroSaidas[[#This Row],[DATA DO CAIXA PREVISTO]]))</f>
        <v>2023</v>
      </c>
    </row>
    <row r="411" spans="1:14" s="5" customFormat="1" ht="14.4" x14ac:dyDescent="0.3">
      <c r="A411" s="49">
        <v>44715</v>
      </c>
      <c r="B411" s="49">
        <f t="shared" si="12"/>
        <v>44684</v>
      </c>
      <c r="C411" s="49">
        <f t="shared" si="13"/>
        <v>44700</v>
      </c>
      <c r="D411" s="52" t="s">
        <v>61</v>
      </c>
      <c r="E411" s="52" t="s">
        <v>1543</v>
      </c>
      <c r="F411" s="52" t="s">
        <v>19</v>
      </c>
      <c r="G411" s="52" t="s">
        <v>1459</v>
      </c>
      <c r="H411" s="18">
        <v>3975</v>
      </c>
      <c r="I411" s="5">
        <f>IF(tbRegistroSaidas[[#This Row],[DATA DE CAIXA REALIZADO]]="N/A",0,YEAR(tbRegistroSaidas[[#This Row],[DATA DE CAIXA REALIZADO]]))</f>
        <v>2022</v>
      </c>
      <c r="J411" s="5" t="str">
        <f>IF(tbRegistroSaidas[[#This Row],[DATA DE CAIXA REALIZADO]]="N/A","0",UPPER(TEXT(tbRegistroSaidas[[#This Row],[DATA DE CAIXA REALIZADO]],"mmm")))</f>
        <v>JUN</v>
      </c>
      <c r="K411" s="79" t="str">
        <f>IF(tbRegistroSaidas[[#This Row],[DATA DA COMPETÊNCIA]]="N/A","0",UPPER(TEXT(tbRegistroSaidas[[#This Row],[DATA DA COMPETÊNCIA]],"mmm")))</f>
        <v>MAI</v>
      </c>
      <c r="L411" s="79">
        <f>IF(tbRegistroSaidas[[#This Row],[DATA DA COMPETÊNCIA]]="N/A",0,YEAR(tbRegistroSaidas[[#This Row],[DATA DA COMPETÊNCIA]]))</f>
        <v>2022</v>
      </c>
      <c r="M411" s="5" t="str">
        <f>IF(tbRegistroSaidas[[#This Row],[DATA DO CAIXA PREVISTO]]="N/A","0",UPPER(TEXT(tbRegistroSaidas[[#This Row],[DATA DO CAIXA PREVISTO]],"mmm")))</f>
        <v>MAI</v>
      </c>
      <c r="N411" s="5">
        <f>IF(tbRegistroSaidas[[#This Row],[DATA DO CAIXA PREVISTO]]="N/A",0,YEAR(tbRegistroSaidas[[#This Row],[DATA DO CAIXA PREVISTO]]))</f>
        <v>2022</v>
      </c>
    </row>
    <row r="412" spans="1:14" s="5" customFormat="1" ht="14.4" x14ac:dyDescent="0.3">
      <c r="A412" s="49">
        <v>44418</v>
      </c>
      <c r="B412" s="49">
        <f t="shared" si="12"/>
        <v>44387</v>
      </c>
      <c r="C412" s="49">
        <f t="shared" si="13"/>
        <v>44403</v>
      </c>
      <c r="D412" s="52" t="s">
        <v>63</v>
      </c>
      <c r="E412" s="52" t="s">
        <v>1543</v>
      </c>
      <c r="F412" s="52" t="s">
        <v>18</v>
      </c>
      <c r="G412" s="52" t="s">
        <v>1460</v>
      </c>
      <c r="H412" s="18">
        <v>2510</v>
      </c>
      <c r="I412" s="5">
        <f>IF(tbRegistroSaidas[[#This Row],[DATA DE CAIXA REALIZADO]]="N/A",0,YEAR(tbRegistroSaidas[[#This Row],[DATA DE CAIXA REALIZADO]]))</f>
        <v>2021</v>
      </c>
      <c r="J412" s="5" t="str">
        <f>IF(tbRegistroSaidas[[#This Row],[DATA DE CAIXA REALIZADO]]="N/A","0",UPPER(TEXT(tbRegistroSaidas[[#This Row],[DATA DE CAIXA REALIZADO]],"mmm")))</f>
        <v>AGO</v>
      </c>
      <c r="K412" s="79" t="str">
        <f>IF(tbRegistroSaidas[[#This Row],[DATA DA COMPETÊNCIA]]="N/A","0",UPPER(TEXT(tbRegistroSaidas[[#This Row],[DATA DA COMPETÊNCIA]],"mmm")))</f>
        <v>JUL</v>
      </c>
      <c r="L412" s="79">
        <f>IF(tbRegistroSaidas[[#This Row],[DATA DA COMPETÊNCIA]]="N/A",0,YEAR(tbRegistroSaidas[[#This Row],[DATA DA COMPETÊNCIA]]))</f>
        <v>2021</v>
      </c>
      <c r="M412" s="5" t="str">
        <f>IF(tbRegistroSaidas[[#This Row],[DATA DO CAIXA PREVISTO]]="N/A","0",UPPER(TEXT(tbRegistroSaidas[[#This Row],[DATA DO CAIXA PREVISTO]],"mmm")))</f>
        <v>JUL</v>
      </c>
      <c r="N412" s="5">
        <f>IF(tbRegistroSaidas[[#This Row],[DATA DO CAIXA PREVISTO]]="N/A",0,YEAR(tbRegistroSaidas[[#This Row],[DATA DO CAIXA PREVISTO]]))</f>
        <v>2021</v>
      </c>
    </row>
    <row r="413" spans="1:14" s="5" customFormat="1" ht="14.4" x14ac:dyDescent="0.3">
      <c r="A413" s="49">
        <v>44845</v>
      </c>
      <c r="B413" s="49">
        <f t="shared" si="12"/>
        <v>44814</v>
      </c>
      <c r="C413" s="49">
        <f t="shared" si="13"/>
        <v>44830</v>
      </c>
      <c r="D413" s="52" t="s">
        <v>67</v>
      </c>
      <c r="E413" s="52" t="s">
        <v>1543</v>
      </c>
      <c r="F413" s="52" t="s">
        <v>16</v>
      </c>
      <c r="G413" s="52" t="s">
        <v>1461</v>
      </c>
      <c r="H413" s="18">
        <v>1995</v>
      </c>
      <c r="I413" s="5">
        <f>IF(tbRegistroSaidas[[#This Row],[DATA DE CAIXA REALIZADO]]="N/A",0,YEAR(tbRegistroSaidas[[#This Row],[DATA DE CAIXA REALIZADO]]))</f>
        <v>2022</v>
      </c>
      <c r="J413" s="5" t="str">
        <f>IF(tbRegistroSaidas[[#This Row],[DATA DE CAIXA REALIZADO]]="N/A","0",UPPER(TEXT(tbRegistroSaidas[[#This Row],[DATA DE CAIXA REALIZADO]],"mmm")))</f>
        <v>OUT</v>
      </c>
      <c r="K413" s="79" t="str">
        <f>IF(tbRegistroSaidas[[#This Row],[DATA DA COMPETÊNCIA]]="N/A","0",UPPER(TEXT(tbRegistroSaidas[[#This Row],[DATA DA COMPETÊNCIA]],"mmm")))</f>
        <v>SET</v>
      </c>
      <c r="L413" s="79">
        <f>IF(tbRegistroSaidas[[#This Row],[DATA DA COMPETÊNCIA]]="N/A",0,YEAR(tbRegistroSaidas[[#This Row],[DATA DA COMPETÊNCIA]]))</f>
        <v>2022</v>
      </c>
      <c r="M413" s="5" t="str">
        <f>IF(tbRegistroSaidas[[#This Row],[DATA DO CAIXA PREVISTO]]="N/A","0",UPPER(TEXT(tbRegistroSaidas[[#This Row],[DATA DO CAIXA PREVISTO]],"mmm")))</f>
        <v>SET</v>
      </c>
      <c r="N413" s="5">
        <f>IF(tbRegistroSaidas[[#This Row],[DATA DO CAIXA PREVISTO]]="N/A",0,YEAR(tbRegistroSaidas[[#This Row],[DATA DO CAIXA PREVISTO]]))</f>
        <v>2022</v>
      </c>
    </row>
    <row r="414" spans="1:14" s="5" customFormat="1" ht="14.4" x14ac:dyDescent="0.3">
      <c r="A414" s="49">
        <v>44874</v>
      </c>
      <c r="B414" s="49">
        <f t="shared" si="12"/>
        <v>44843</v>
      </c>
      <c r="C414" s="49">
        <f t="shared" si="13"/>
        <v>44859</v>
      </c>
      <c r="D414" s="52" t="s">
        <v>64</v>
      </c>
      <c r="E414" s="52" t="s">
        <v>1543</v>
      </c>
      <c r="F414" s="52" t="s">
        <v>18</v>
      </c>
      <c r="G414" s="52" t="s">
        <v>1462</v>
      </c>
      <c r="H414" s="18">
        <v>3183</v>
      </c>
      <c r="I414" s="5">
        <f>IF(tbRegistroSaidas[[#This Row],[DATA DE CAIXA REALIZADO]]="N/A",0,YEAR(tbRegistroSaidas[[#This Row],[DATA DE CAIXA REALIZADO]]))</f>
        <v>2022</v>
      </c>
      <c r="J414" s="5" t="str">
        <f>IF(tbRegistroSaidas[[#This Row],[DATA DE CAIXA REALIZADO]]="N/A","0",UPPER(TEXT(tbRegistroSaidas[[#This Row],[DATA DE CAIXA REALIZADO]],"mmm")))</f>
        <v>NOV</v>
      </c>
      <c r="K414" s="79" t="str">
        <f>IF(tbRegistroSaidas[[#This Row],[DATA DA COMPETÊNCIA]]="N/A","0",UPPER(TEXT(tbRegistroSaidas[[#This Row],[DATA DA COMPETÊNCIA]],"mmm")))</f>
        <v>OUT</v>
      </c>
      <c r="L414" s="79">
        <f>IF(tbRegistroSaidas[[#This Row],[DATA DA COMPETÊNCIA]]="N/A",0,YEAR(tbRegistroSaidas[[#This Row],[DATA DA COMPETÊNCIA]]))</f>
        <v>2022</v>
      </c>
      <c r="M414" s="5" t="str">
        <f>IF(tbRegistroSaidas[[#This Row],[DATA DO CAIXA PREVISTO]]="N/A","0",UPPER(TEXT(tbRegistroSaidas[[#This Row],[DATA DO CAIXA PREVISTO]],"mmm")))</f>
        <v>OUT</v>
      </c>
      <c r="N414" s="5">
        <f>IF(tbRegistroSaidas[[#This Row],[DATA DO CAIXA PREVISTO]]="N/A",0,YEAR(tbRegistroSaidas[[#This Row],[DATA DO CAIXA PREVISTO]]))</f>
        <v>2022</v>
      </c>
    </row>
    <row r="415" spans="1:14" s="5" customFormat="1" ht="14.4" x14ac:dyDescent="0.3">
      <c r="A415" s="49">
        <v>45195</v>
      </c>
      <c r="B415" s="49">
        <f t="shared" si="12"/>
        <v>45164</v>
      </c>
      <c r="C415" s="49">
        <f t="shared" si="13"/>
        <v>45180</v>
      </c>
      <c r="D415" s="52" t="s">
        <v>66</v>
      </c>
      <c r="E415" s="52" t="s">
        <v>1543</v>
      </c>
      <c r="F415" s="52" t="s">
        <v>32</v>
      </c>
      <c r="G415" s="52" t="s">
        <v>1463</v>
      </c>
      <c r="H415" s="18">
        <v>1671</v>
      </c>
      <c r="I415" s="5">
        <f>IF(tbRegistroSaidas[[#This Row],[DATA DE CAIXA REALIZADO]]="N/A",0,YEAR(tbRegistroSaidas[[#This Row],[DATA DE CAIXA REALIZADO]]))</f>
        <v>2023</v>
      </c>
      <c r="J415" s="5" t="str">
        <f>IF(tbRegistroSaidas[[#This Row],[DATA DE CAIXA REALIZADO]]="N/A","0",UPPER(TEXT(tbRegistroSaidas[[#This Row],[DATA DE CAIXA REALIZADO]],"mmm")))</f>
        <v>SET</v>
      </c>
      <c r="K415" s="79" t="str">
        <f>IF(tbRegistroSaidas[[#This Row],[DATA DA COMPETÊNCIA]]="N/A","0",UPPER(TEXT(tbRegistroSaidas[[#This Row],[DATA DA COMPETÊNCIA]],"mmm")))</f>
        <v>AGO</v>
      </c>
      <c r="L415" s="79">
        <f>IF(tbRegistroSaidas[[#This Row],[DATA DA COMPETÊNCIA]]="N/A",0,YEAR(tbRegistroSaidas[[#This Row],[DATA DA COMPETÊNCIA]]))</f>
        <v>2023</v>
      </c>
      <c r="M415" s="5" t="str">
        <f>IF(tbRegistroSaidas[[#This Row],[DATA DO CAIXA PREVISTO]]="N/A","0",UPPER(TEXT(tbRegistroSaidas[[#This Row],[DATA DO CAIXA PREVISTO]],"mmm")))</f>
        <v>SET</v>
      </c>
      <c r="N415" s="5">
        <f>IF(tbRegistroSaidas[[#This Row],[DATA DO CAIXA PREVISTO]]="N/A",0,YEAR(tbRegistroSaidas[[#This Row],[DATA DO CAIXA PREVISTO]]))</f>
        <v>2023</v>
      </c>
    </row>
    <row r="416" spans="1:14" s="5" customFormat="1" ht="14.4" x14ac:dyDescent="0.3">
      <c r="A416" s="49">
        <v>44218</v>
      </c>
      <c r="B416" s="49">
        <f t="shared" si="12"/>
        <v>44187</v>
      </c>
      <c r="C416" s="49">
        <f t="shared" si="13"/>
        <v>44203</v>
      </c>
      <c r="D416" s="52" t="s">
        <v>67</v>
      </c>
      <c r="E416" s="52" t="s">
        <v>1543</v>
      </c>
      <c r="F416" s="52" t="s">
        <v>17</v>
      </c>
      <c r="G416" s="52" t="s">
        <v>1380</v>
      </c>
      <c r="H416" s="18">
        <v>1546</v>
      </c>
      <c r="I416" s="5">
        <f>IF(tbRegistroSaidas[[#This Row],[DATA DE CAIXA REALIZADO]]="N/A",0,YEAR(tbRegistroSaidas[[#This Row],[DATA DE CAIXA REALIZADO]]))</f>
        <v>2021</v>
      </c>
      <c r="J416" s="5" t="str">
        <f>IF(tbRegistroSaidas[[#This Row],[DATA DE CAIXA REALIZADO]]="N/A","0",UPPER(TEXT(tbRegistroSaidas[[#This Row],[DATA DE CAIXA REALIZADO]],"mmm")))</f>
        <v>JAN</v>
      </c>
      <c r="K416" s="79" t="str">
        <f>IF(tbRegistroSaidas[[#This Row],[DATA DA COMPETÊNCIA]]="N/A","0",UPPER(TEXT(tbRegistroSaidas[[#This Row],[DATA DA COMPETÊNCIA]],"mmm")))</f>
        <v>DEZ</v>
      </c>
      <c r="L416" s="79">
        <f>IF(tbRegistroSaidas[[#This Row],[DATA DA COMPETÊNCIA]]="N/A",0,YEAR(tbRegistroSaidas[[#This Row],[DATA DA COMPETÊNCIA]]))</f>
        <v>2020</v>
      </c>
      <c r="M416" s="5" t="str">
        <f>IF(tbRegistroSaidas[[#This Row],[DATA DO CAIXA PREVISTO]]="N/A","0",UPPER(TEXT(tbRegistroSaidas[[#This Row],[DATA DO CAIXA PREVISTO]],"mmm")))</f>
        <v>JAN</v>
      </c>
      <c r="N416" s="5">
        <f>IF(tbRegistroSaidas[[#This Row],[DATA DO CAIXA PREVISTO]]="N/A",0,YEAR(tbRegistroSaidas[[#This Row],[DATA DO CAIXA PREVISTO]]))</f>
        <v>2021</v>
      </c>
    </row>
    <row r="417" spans="1:14" s="5" customFormat="1" ht="14.4" x14ac:dyDescent="0.3">
      <c r="A417" s="49">
        <v>44395</v>
      </c>
      <c r="B417" s="49">
        <f t="shared" si="12"/>
        <v>44364</v>
      </c>
      <c r="C417" s="49">
        <f t="shared" si="13"/>
        <v>44380</v>
      </c>
      <c r="D417" s="52" t="s">
        <v>66</v>
      </c>
      <c r="E417" s="52" t="s">
        <v>1543</v>
      </c>
      <c r="F417" s="52" t="s">
        <v>17</v>
      </c>
      <c r="G417" s="52" t="s">
        <v>1464</v>
      </c>
      <c r="H417" s="18">
        <v>2491</v>
      </c>
      <c r="I417" s="5">
        <f>IF(tbRegistroSaidas[[#This Row],[DATA DE CAIXA REALIZADO]]="N/A",0,YEAR(tbRegistroSaidas[[#This Row],[DATA DE CAIXA REALIZADO]]))</f>
        <v>2021</v>
      </c>
      <c r="J417" s="5" t="str">
        <f>IF(tbRegistroSaidas[[#This Row],[DATA DE CAIXA REALIZADO]]="N/A","0",UPPER(TEXT(tbRegistroSaidas[[#This Row],[DATA DE CAIXA REALIZADO]],"mmm")))</f>
        <v>JUL</v>
      </c>
      <c r="K417" s="79" t="str">
        <f>IF(tbRegistroSaidas[[#This Row],[DATA DA COMPETÊNCIA]]="N/A","0",UPPER(TEXT(tbRegistroSaidas[[#This Row],[DATA DA COMPETÊNCIA]],"mmm")))</f>
        <v>JUN</v>
      </c>
      <c r="L417" s="79">
        <f>IF(tbRegistroSaidas[[#This Row],[DATA DA COMPETÊNCIA]]="N/A",0,YEAR(tbRegistroSaidas[[#This Row],[DATA DA COMPETÊNCIA]]))</f>
        <v>2021</v>
      </c>
      <c r="M417" s="5" t="str">
        <f>IF(tbRegistroSaidas[[#This Row],[DATA DO CAIXA PREVISTO]]="N/A","0",UPPER(TEXT(tbRegistroSaidas[[#This Row],[DATA DO CAIXA PREVISTO]],"mmm")))</f>
        <v>JUL</v>
      </c>
      <c r="N417" s="5">
        <f>IF(tbRegistroSaidas[[#This Row],[DATA DO CAIXA PREVISTO]]="N/A",0,YEAR(tbRegistroSaidas[[#This Row],[DATA DO CAIXA PREVISTO]]))</f>
        <v>2021</v>
      </c>
    </row>
    <row r="418" spans="1:14" s="5" customFormat="1" ht="14.4" x14ac:dyDescent="0.3">
      <c r="A418" s="49">
        <v>44679</v>
      </c>
      <c r="B418" s="49">
        <f t="shared" si="12"/>
        <v>44648</v>
      </c>
      <c r="C418" s="49">
        <f t="shared" si="13"/>
        <v>44664</v>
      </c>
      <c r="D418" s="52" t="s">
        <v>67</v>
      </c>
      <c r="E418" s="52" t="s">
        <v>1543</v>
      </c>
      <c r="F418" s="52" t="s">
        <v>19</v>
      </c>
      <c r="G418" s="52" t="s">
        <v>1465</v>
      </c>
      <c r="H418" s="18">
        <v>1084</v>
      </c>
      <c r="I418" s="5">
        <f>IF(tbRegistroSaidas[[#This Row],[DATA DE CAIXA REALIZADO]]="N/A",0,YEAR(tbRegistroSaidas[[#This Row],[DATA DE CAIXA REALIZADO]]))</f>
        <v>2022</v>
      </c>
      <c r="J418" s="5" t="str">
        <f>IF(tbRegistroSaidas[[#This Row],[DATA DE CAIXA REALIZADO]]="N/A","0",UPPER(TEXT(tbRegistroSaidas[[#This Row],[DATA DE CAIXA REALIZADO]],"mmm")))</f>
        <v>ABR</v>
      </c>
      <c r="K418" s="79" t="str">
        <f>IF(tbRegistroSaidas[[#This Row],[DATA DA COMPETÊNCIA]]="N/A","0",UPPER(TEXT(tbRegistroSaidas[[#This Row],[DATA DA COMPETÊNCIA]],"mmm")))</f>
        <v>MAR</v>
      </c>
      <c r="L418" s="79">
        <f>IF(tbRegistroSaidas[[#This Row],[DATA DA COMPETÊNCIA]]="N/A",0,YEAR(tbRegistroSaidas[[#This Row],[DATA DA COMPETÊNCIA]]))</f>
        <v>2022</v>
      </c>
      <c r="M418" s="5" t="str">
        <f>IF(tbRegistroSaidas[[#This Row],[DATA DO CAIXA PREVISTO]]="N/A","0",UPPER(TEXT(tbRegistroSaidas[[#This Row],[DATA DO CAIXA PREVISTO]],"mmm")))</f>
        <v>ABR</v>
      </c>
      <c r="N418" s="5">
        <f>IF(tbRegistroSaidas[[#This Row],[DATA DO CAIXA PREVISTO]]="N/A",0,YEAR(tbRegistroSaidas[[#This Row],[DATA DO CAIXA PREVISTO]]))</f>
        <v>2022</v>
      </c>
    </row>
    <row r="419" spans="1:14" s="5" customFormat="1" ht="14.4" x14ac:dyDescent="0.3">
      <c r="A419" s="49">
        <v>44781</v>
      </c>
      <c r="B419" s="49">
        <f t="shared" si="12"/>
        <v>44750</v>
      </c>
      <c r="C419" s="49">
        <f t="shared" si="13"/>
        <v>44766</v>
      </c>
      <c r="D419" s="52" t="s">
        <v>66</v>
      </c>
      <c r="E419" s="52" t="s">
        <v>1543</v>
      </c>
      <c r="F419" s="52" t="s">
        <v>16</v>
      </c>
      <c r="G419" s="52" t="s">
        <v>1466</v>
      </c>
      <c r="H419" s="18">
        <v>1605</v>
      </c>
      <c r="I419" s="5">
        <f>IF(tbRegistroSaidas[[#This Row],[DATA DE CAIXA REALIZADO]]="N/A",0,YEAR(tbRegistroSaidas[[#This Row],[DATA DE CAIXA REALIZADO]]))</f>
        <v>2022</v>
      </c>
      <c r="J419" s="5" t="str">
        <f>IF(tbRegistroSaidas[[#This Row],[DATA DE CAIXA REALIZADO]]="N/A","0",UPPER(TEXT(tbRegistroSaidas[[#This Row],[DATA DE CAIXA REALIZADO]],"mmm")))</f>
        <v>AGO</v>
      </c>
      <c r="K419" s="79" t="str">
        <f>IF(tbRegistroSaidas[[#This Row],[DATA DA COMPETÊNCIA]]="N/A","0",UPPER(TEXT(tbRegistroSaidas[[#This Row],[DATA DA COMPETÊNCIA]],"mmm")))</f>
        <v>JUL</v>
      </c>
      <c r="L419" s="79">
        <f>IF(tbRegistroSaidas[[#This Row],[DATA DA COMPETÊNCIA]]="N/A",0,YEAR(tbRegistroSaidas[[#This Row],[DATA DA COMPETÊNCIA]]))</f>
        <v>2022</v>
      </c>
      <c r="M419" s="5" t="str">
        <f>IF(tbRegistroSaidas[[#This Row],[DATA DO CAIXA PREVISTO]]="N/A","0",UPPER(TEXT(tbRegistroSaidas[[#This Row],[DATA DO CAIXA PREVISTO]],"mmm")))</f>
        <v>JUL</v>
      </c>
      <c r="N419" s="5">
        <f>IF(tbRegistroSaidas[[#This Row],[DATA DO CAIXA PREVISTO]]="N/A",0,YEAR(tbRegistroSaidas[[#This Row],[DATA DO CAIXA PREVISTO]]))</f>
        <v>2022</v>
      </c>
    </row>
    <row r="420" spans="1:14" s="5" customFormat="1" ht="14.4" x14ac:dyDescent="0.3">
      <c r="A420" s="49">
        <v>44600</v>
      </c>
      <c r="B420" s="49">
        <f t="shared" si="12"/>
        <v>44569</v>
      </c>
      <c r="C420" s="49">
        <f t="shared" si="13"/>
        <v>44585</v>
      </c>
      <c r="D420" s="52" t="s">
        <v>61</v>
      </c>
      <c r="E420" s="52" t="s">
        <v>1543</v>
      </c>
      <c r="F420" s="52" t="s">
        <v>18</v>
      </c>
      <c r="G420" s="52" t="s">
        <v>1467</v>
      </c>
      <c r="H420" s="18">
        <v>2097</v>
      </c>
      <c r="I420" s="5">
        <f>IF(tbRegistroSaidas[[#This Row],[DATA DE CAIXA REALIZADO]]="N/A",0,YEAR(tbRegistroSaidas[[#This Row],[DATA DE CAIXA REALIZADO]]))</f>
        <v>2022</v>
      </c>
      <c r="J420" s="5" t="str">
        <f>IF(tbRegistroSaidas[[#This Row],[DATA DE CAIXA REALIZADO]]="N/A","0",UPPER(TEXT(tbRegistroSaidas[[#This Row],[DATA DE CAIXA REALIZADO]],"mmm")))</f>
        <v>FEV</v>
      </c>
      <c r="K420" s="79" t="str">
        <f>IF(tbRegistroSaidas[[#This Row],[DATA DA COMPETÊNCIA]]="N/A","0",UPPER(TEXT(tbRegistroSaidas[[#This Row],[DATA DA COMPETÊNCIA]],"mmm")))</f>
        <v>JAN</v>
      </c>
      <c r="L420" s="79">
        <f>IF(tbRegistroSaidas[[#This Row],[DATA DA COMPETÊNCIA]]="N/A",0,YEAR(tbRegistroSaidas[[#This Row],[DATA DA COMPETÊNCIA]]))</f>
        <v>2022</v>
      </c>
      <c r="M420" s="5" t="str">
        <f>IF(tbRegistroSaidas[[#This Row],[DATA DO CAIXA PREVISTO]]="N/A","0",UPPER(TEXT(tbRegistroSaidas[[#This Row],[DATA DO CAIXA PREVISTO]],"mmm")))</f>
        <v>JAN</v>
      </c>
      <c r="N420" s="5">
        <f>IF(tbRegistroSaidas[[#This Row],[DATA DO CAIXA PREVISTO]]="N/A",0,YEAR(tbRegistroSaidas[[#This Row],[DATA DO CAIXA PREVISTO]]))</f>
        <v>2022</v>
      </c>
    </row>
    <row r="421" spans="1:14" s="5" customFormat="1" ht="14.4" x14ac:dyDescent="0.3">
      <c r="A421" s="49">
        <v>44545</v>
      </c>
      <c r="B421" s="49">
        <f t="shared" si="12"/>
        <v>44514</v>
      </c>
      <c r="C421" s="49">
        <f t="shared" si="13"/>
        <v>44530</v>
      </c>
      <c r="D421" s="52" t="s">
        <v>138</v>
      </c>
      <c r="E421" s="52" t="s">
        <v>1543</v>
      </c>
      <c r="F421" s="52" t="s">
        <v>19</v>
      </c>
      <c r="G421" s="52" t="s">
        <v>1202</v>
      </c>
      <c r="H421" s="18">
        <v>1195</v>
      </c>
      <c r="I421" s="5">
        <f>IF(tbRegistroSaidas[[#This Row],[DATA DE CAIXA REALIZADO]]="N/A",0,YEAR(tbRegistroSaidas[[#This Row],[DATA DE CAIXA REALIZADO]]))</f>
        <v>2021</v>
      </c>
      <c r="J421" s="5" t="str">
        <f>IF(tbRegistroSaidas[[#This Row],[DATA DE CAIXA REALIZADO]]="N/A","0",UPPER(TEXT(tbRegistroSaidas[[#This Row],[DATA DE CAIXA REALIZADO]],"mmm")))</f>
        <v>DEZ</v>
      </c>
      <c r="K421" s="79" t="str">
        <f>IF(tbRegistroSaidas[[#This Row],[DATA DA COMPETÊNCIA]]="N/A","0",UPPER(TEXT(tbRegistroSaidas[[#This Row],[DATA DA COMPETÊNCIA]],"mmm")))</f>
        <v>NOV</v>
      </c>
      <c r="L421" s="79">
        <f>IF(tbRegistroSaidas[[#This Row],[DATA DA COMPETÊNCIA]]="N/A",0,YEAR(tbRegistroSaidas[[#This Row],[DATA DA COMPETÊNCIA]]))</f>
        <v>2021</v>
      </c>
      <c r="M421" s="5" t="str">
        <f>IF(tbRegistroSaidas[[#This Row],[DATA DO CAIXA PREVISTO]]="N/A","0",UPPER(TEXT(tbRegistroSaidas[[#This Row],[DATA DO CAIXA PREVISTO]],"mmm")))</f>
        <v>NOV</v>
      </c>
      <c r="N421" s="5">
        <f>IF(tbRegistroSaidas[[#This Row],[DATA DO CAIXA PREVISTO]]="N/A",0,YEAR(tbRegistroSaidas[[#This Row],[DATA DO CAIXA PREVISTO]]))</f>
        <v>2021</v>
      </c>
    </row>
    <row r="422" spans="1:14" s="5" customFormat="1" ht="14.4" x14ac:dyDescent="0.3">
      <c r="A422" s="49">
        <v>44374</v>
      </c>
      <c r="B422" s="49">
        <f t="shared" si="12"/>
        <v>44343</v>
      </c>
      <c r="C422" s="49">
        <f t="shared" si="13"/>
        <v>44359</v>
      </c>
      <c r="D422" s="52" t="s">
        <v>67</v>
      </c>
      <c r="E422" s="52" t="s">
        <v>1543</v>
      </c>
      <c r="F422" s="52" t="s">
        <v>19</v>
      </c>
      <c r="G422" s="52" t="s">
        <v>1026</v>
      </c>
      <c r="H422" s="18">
        <v>1477</v>
      </c>
      <c r="I422" s="5">
        <f>IF(tbRegistroSaidas[[#This Row],[DATA DE CAIXA REALIZADO]]="N/A",0,YEAR(tbRegistroSaidas[[#This Row],[DATA DE CAIXA REALIZADO]]))</f>
        <v>2021</v>
      </c>
      <c r="J422" s="5" t="str">
        <f>IF(tbRegistroSaidas[[#This Row],[DATA DE CAIXA REALIZADO]]="N/A","0",UPPER(TEXT(tbRegistroSaidas[[#This Row],[DATA DE CAIXA REALIZADO]],"mmm")))</f>
        <v>JUN</v>
      </c>
      <c r="K422" s="79" t="str">
        <f>IF(tbRegistroSaidas[[#This Row],[DATA DA COMPETÊNCIA]]="N/A","0",UPPER(TEXT(tbRegistroSaidas[[#This Row],[DATA DA COMPETÊNCIA]],"mmm")))</f>
        <v>MAI</v>
      </c>
      <c r="L422" s="79">
        <f>IF(tbRegistroSaidas[[#This Row],[DATA DA COMPETÊNCIA]]="N/A",0,YEAR(tbRegistroSaidas[[#This Row],[DATA DA COMPETÊNCIA]]))</f>
        <v>2021</v>
      </c>
      <c r="M422" s="5" t="str">
        <f>IF(tbRegistroSaidas[[#This Row],[DATA DO CAIXA PREVISTO]]="N/A","0",UPPER(TEXT(tbRegistroSaidas[[#This Row],[DATA DO CAIXA PREVISTO]],"mmm")))</f>
        <v>JUN</v>
      </c>
      <c r="N422" s="5">
        <f>IF(tbRegistroSaidas[[#This Row],[DATA DO CAIXA PREVISTO]]="N/A",0,YEAR(tbRegistroSaidas[[#This Row],[DATA DO CAIXA PREVISTO]]))</f>
        <v>2021</v>
      </c>
    </row>
    <row r="423" spans="1:14" s="5" customFormat="1" ht="14.4" x14ac:dyDescent="0.3">
      <c r="A423" s="49">
        <v>45187</v>
      </c>
      <c r="B423" s="49">
        <f t="shared" si="12"/>
        <v>45156</v>
      </c>
      <c r="C423" s="49">
        <f t="shared" si="13"/>
        <v>45172</v>
      </c>
      <c r="D423" s="52" t="s">
        <v>66</v>
      </c>
      <c r="E423" s="52" t="s">
        <v>1543</v>
      </c>
      <c r="F423" s="52" t="s">
        <v>32</v>
      </c>
      <c r="G423" s="52" t="s">
        <v>1468</v>
      </c>
      <c r="H423" s="18">
        <v>749</v>
      </c>
      <c r="I423" s="5">
        <f>IF(tbRegistroSaidas[[#This Row],[DATA DE CAIXA REALIZADO]]="N/A",0,YEAR(tbRegistroSaidas[[#This Row],[DATA DE CAIXA REALIZADO]]))</f>
        <v>2023</v>
      </c>
      <c r="J423" s="5" t="str">
        <f>IF(tbRegistroSaidas[[#This Row],[DATA DE CAIXA REALIZADO]]="N/A","0",UPPER(TEXT(tbRegistroSaidas[[#This Row],[DATA DE CAIXA REALIZADO]],"mmm")))</f>
        <v>SET</v>
      </c>
      <c r="K423" s="79" t="str">
        <f>IF(tbRegistroSaidas[[#This Row],[DATA DA COMPETÊNCIA]]="N/A","0",UPPER(TEXT(tbRegistroSaidas[[#This Row],[DATA DA COMPETÊNCIA]],"mmm")))</f>
        <v>AGO</v>
      </c>
      <c r="L423" s="79">
        <f>IF(tbRegistroSaidas[[#This Row],[DATA DA COMPETÊNCIA]]="N/A",0,YEAR(tbRegistroSaidas[[#This Row],[DATA DA COMPETÊNCIA]]))</f>
        <v>2023</v>
      </c>
      <c r="M423" s="5" t="str">
        <f>IF(tbRegistroSaidas[[#This Row],[DATA DO CAIXA PREVISTO]]="N/A","0",UPPER(TEXT(tbRegistroSaidas[[#This Row],[DATA DO CAIXA PREVISTO]],"mmm")))</f>
        <v>SET</v>
      </c>
      <c r="N423" s="5">
        <f>IF(tbRegistroSaidas[[#This Row],[DATA DO CAIXA PREVISTO]]="N/A",0,YEAR(tbRegistroSaidas[[#This Row],[DATA DO CAIXA PREVISTO]]))</f>
        <v>2023</v>
      </c>
    </row>
    <row r="424" spans="1:14" s="5" customFormat="1" ht="14.4" x14ac:dyDescent="0.3">
      <c r="A424" s="49">
        <v>44648</v>
      </c>
      <c r="B424" s="49">
        <f t="shared" si="12"/>
        <v>44617</v>
      </c>
      <c r="C424" s="49">
        <f t="shared" si="13"/>
        <v>44633</v>
      </c>
      <c r="D424" s="52" t="s">
        <v>66</v>
      </c>
      <c r="E424" s="52" t="s">
        <v>1543</v>
      </c>
      <c r="F424" s="52" t="s">
        <v>17</v>
      </c>
      <c r="G424" s="52" t="s">
        <v>1324</v>
      </c>
      <c r="H424" s="18">
        <v>315</v>
      </c>
      <c r="I424" s="5">
        <f>IF(tbRegistroSaidas[[#This Row],[DATA DE CAIXA REALIZADO]]="N/A",0,YEAR(tbRegistroSaidas[[#This Row],[DATA DE CAIXA REALIZADO]]))</f>
        <v>2022</v>
      </c>
      <c r="J424" s="5" t="str">
        <f>IF(tbRegistroSaidas[[#This Row],[DATA DE CAIXA REALIZADO]]="N/A","0",UPPER(TEXT(tbRegistroSaidas[[#This Row],[DATA DE CAIXA REALIZADO]],"mmm")))</f>
        <v>MAR</v>
      </c>
      <c r="K424" s="79" t="str">
        <f>IF(tbRegistroSaidas[[#This Row],[DATA DA COMPETÊNCIA]]="N/A","0",UPPER(TEXT(tbRegistroSaidas[[#This Row],[DATA DA COMPETÊNCIA]],"mmm")))</f>
        <v>FEV</v>
      </c>
      <c r="L424" s="79">
        <f>IF(tbRegistroSaidas[[#This Row],[DATA DA COMPETÊNCIA]]="N/A",0,YEAR(tbRegistroSaidas[[#This Row],[DATA DA COMPETÊNCIA]]))</f>
        <v>2022</v>
      </c>
      <c r="M424" s="5" t="str">
        <f>IF(tbRegistroSaidas[[#This Row],[DATA DO CAIXA PREVISTO]]="N/A","0",UPPER(TEXT(tbRegistroSaidas[[#This Row],[DATA DO CAIXA PREVISTO]],"mmm")))</f>
        <v>MAR</v>
      </c>
      <c r="N424" s="5">
        <f>IF(tbRegistroSaidas[[#This Row],[DATA DO CAIXA PREVISTO]]="N/A",0,YEAR(tbRegistroSaidas[[#This Row],[DATA DO CAIXA PREVISTO]]))</f>
        <v>2022</v>
      </c>
    </row>
    <row r="425" spans="1:14" s="5" customFormat="1" ht="14.4" x14ac:dyDescent="0.3">
      <c r="A425" s="49">
        <v>44669</v>
      </c>
      <c r="B425" s="49">
        <f t="shared" si="12"/>
        <v>44638</v>
      </c>
      <c r="C425" s="49">
        <f t="shared" si="13"/>
        <v>44654</v>
      </c>
      <c r="D425" s="52" t="s">
        <v>64</v>
      </c>
      <c r="E425" s="52" t="s">
        <v>1543</v>
      </c>
      <c r="F425" s="52" t="s">
        <v>32</v>
      </c>
      <c r="G425" s="52" t="s">
        <v>433</v>
      </c>
      <c r="H425" s="18">
        <v>449</v>
      </c>
      <c r="I425" s="5">
        <f>IF(tbRegistroSaidas[[#This Row],[DATA DE CAIXA REALIZADO]]="N/A",0,YEAR(tbRegistroSaidas[[#This Row],[DATA DE CAIXA REALIZADO]]))</f>
        <v>2022</v>
      </c>
      <c r="J425" s="5" t="str">
        <f>IF(tbRegistroSaidas[[#This Row],[DATA DE CAIXA REALIZADO]]="N/A","0",UPPER(TEXT(tbRegistroSaidas[[#This Row],[DATA DE CAIXA REALIZADO]],"mmm")))</f>
        <v>ABR</v>
      </c>
      <c r="K425" s="79" t="str">
        <f>IF(tbRegistroSaidas[[#This Row],[DATA DA COMPETÊNCIA]]="N/A","0",UPPER(TEXT(tbRegistroSaidas[[#This Row],[DATA DA COMPETÊNCIA]],"mmm")))</f>
        <v>MAR</v>
      </c>
      <c r="L425" s="79">
        <f>IF(tbRegistroSaidas[[#This Row],[DATA DA COMPETÊNCIA]]="N/A",0,YEAR(tbRegistroSaidas[[#This Row],[DATA DA COMPETÊNCIA]]))</f>
        <v>2022</v>
      </c>
      <c r="M425" s="5" t="str">
        <f>IF(tbRegistroSaidas[[#This Row],[DATA DO CAIXA PREVISTO]]="N/A","0",UPPER(TEXT(tbRegistroSaidas[[#This Row],[DATA DO CAIXA PREVISTO]],"mmm")))</f>
        <v>ABR</v>
      </c>
      <c r="N425" s="5">
        <f>IF(tbRegistroSaidas[[#This Row],[DATA DO CAIXA PREVISTO]]="N/A",0,YEAR(tbRegistroSaidas[[#This Row],[DATA DO CAIXA PREVISTO]]))</f>
        <v>2022</v>
      </c>
    </row>
    <row r="426" spans="1:14" s="5" customFormat="1" ht="14.4" x14ac:dyDescent="0.3">
      <c r="A426" s="49">
        <v>44679</v>
      </c>
      <c r="B426" s="49">
        <f t="shared" si="12"/>
        <v>44648</v>
      </c>
      <c r="C426" s="49">
        <f t="shared" si="13"/>
        <v>44664</v>
      </c>
      <c r="D426" s="52" t="s">
        <v>137</v>
      </c>
      <c r="E426" s="52" t="s">
        <v>1543</v>
      </c>
      <c r="F426" s="52" t="s">
        <v>18</v>
      </c>
      <c r="G426" s="52" t="s">
        <v>502</v>
      </c>
      <c r="H426" s="18">
        <v>3694</v>
      </c>
      <c r="I426" s="5">
        <f>IF(tbRegistroSaidas[[#This Row],[DATA DE CAIXA REALIZADO]]="N/A",0,YEAR(tbRegistroSaidas[[#This Row],[DATA DE CAIXA REALIZADO]]))</f>
        <v>2022</v>
      </c>
      <c r="J426" s="5" t="str">
        <f>IF(tbRegistroSaidas[[#This Row],[DATA DE CAIXA REALIZADO]]="N/A","0",UPPER(TEXT(tbRegistroSaidas[[#This Row],[DATA DE CAIXA REALIZADO]],"mmm")))</f>
        <v>ABR</v>
      </c>
      <c r="K426" s="79" t="str">
        <f>IF(tbRegistroSaidas[[#This Row],[DATA DA COMPETÊNCIA]]="N/A","0",UPPER(TEXT(tbRegistroSaidas[[#This Row],[DATA DA COMPETÊNCIA]],"mmm")))</f>
        <v>MAR</v>
      </c>
      <c r="L426" s="79">
        <f>IF(tbRegistroSaidas[[#This Row],[DATA DA COMPETÊNCIA]]="N/A",0,YEAR(tbRegistroSaidas[[#This Row],[DATA DA COMPETÊNCIA]]))</f>
        <v>2022</v>
      </c>
      <c r="M426" s="5" t="str">
        <f>IF(tbRegistroSaidas[[#This Row],[DATA DO CAIXA PREVISTO]]="N/A","0",UPPER(TEXT(tbRegistroSaidas[[#This Row],[DATA DO CAIXA PREVISTO]],"mmm")))</f>
        <v>ABR</v>
      </c>
      <c r="N426" s="5">
        <f>IF(tbRegistroSaidas[[#This Row],[DATA DO CAIXA PREVISTO]]="N/A",0,YEAR(tbRegistroSaidas[[#This Row],[DATA DO CAIXA PREVISTO]]))</f>
        <v>2022</v>
      </c>
    </row>
    <row r="427" spans="1:14" s="5" customFormat="1" ht="14.4" x14ac:dyDescent="0.3">
      <c r="A427" s="49">
        <v>45198</v>
      </c>
      <c r="B427" s="49">
        <f t="shared" si="12"/>
        <v>45167</v>
      </c>
      <c r="C427" s="49">
        <f t="shared" si="13"/>
        <v>45183</v>
      </c>
      <c r="D427" s="52" t="s">
        <v>64</v>
      </c>
      <c r="E427" s="52" t="s">
        <v>1543</v>
      </c>
      <c r="F427" s="52" t="s">
        <v>17</v>
      </c>
      <c r="G427" s="52" t="s">
        <v>1469</v>
      </c>
      <c r="H427" s="18">
        <v>3424</v>
      </c>
      <c r="I427" s="5">
        <f>IF(tbRegistroSaidas[[#This Row],[DATA DE CAIXA REALIZADO]]="N/A",0,YEAR(tbRegistroSaidas[[#This Row],[DATA DE CAIXA REALIZADO]]))</f>
        <v>2023</v>
      </c>
      <c r="J427" s="5" t="str">
        <f>IF(tbRegistroSaidas[[#This Row],[DATA DE CAIXA REALIZADO]]="N/A","0",UPPER(TEXT(tbRegistroSaidas[[#This Row],[DATA DE CAIXA REALIZADO]],"mmm")))</f>
        <v>SET</v>
      </c>
      <c r="K427" s="79" t="str">
        <f>IF(tbRegistroSaidas[[#This Row],[DATA DA COMPETÊNCIA]]="N/A","0",UPPER(TEXT(tbRegistroSaidas[[#This Row],[DATA DA COMPETÊNCIA]],"mmm")))</f>
        <v>AGO</v>
      </c>
      <c r="L427" s="79">
        <f>IF(tbRegistroSaidas[[#This Row],[DATA DA COMPETÊNCIA]]="N/A",0,YEAR(tbRegistroSaidas[[#This Row],[DATA DA COMPETÊNCIA]]))</f>
        <v>2023</v>
      </c>
      <c r="M427" s="5" t="str">
        <f>IF(tbRegistroSaidas[[#This Row],[DATA DO CAIXA PREVISTO]]="N/A","0",UPPER(TEXT(tbRegistroSaidas[[#This Row],[DATA DO CAIXA PREVISTO]],"mmm")))</f>
        <v>SET</v>
      </c>
      <c r="N427" s="5">
        <f>IF(tbRegistroSaidas[[#This Row],[DATA DO CAIXA PREVISTO]]="N/A",0,YEAR(tbRegistroSaidas[[#This Row],[DATA DO CAIXA PREVISTO]]))</f>
        <v>2023</v>
      </c>
    </row>
    <row r="428" spans="1:14" s="5" customFormat="1" ht="14.4" x14ac:dyDescent="0.3">
      <c r="A428" s="49">
        <v>44547</v>
      </c>
      <c r="B428" s="49">
        <f t="shared" si="12"/>
        <v>44516</v>
      </c>
      <c r="C428" s="49">
        <f t="shared" si="13"/>
        <v>44532</v>
      </c>
      <c r="D428" s="52" t="s">
        <v>63</v>
      </c>
      <c r="E428" s="52" t="s">
        <v>1543</v>
      </c>
      <c r="F428" s="52" t="s">
        <v>16</v>
      </c>
      <c r="G428" s="52" t="s">
        <v>1470</v>
      </c>
      <c r="H428" s="18">
        <v>1537</v>
      </c>
      <c r="I428" s="5">
        <f>IF(tbRegistroSaidas[[#This Row],[DATA DE CAIXA REALIZADO]]="N/A",0,YEAR(tbRegistroSaidas[[#This Row],[DATA DE CAIXA REALIZADO]]))</f>
        <v>2021</v>
      </c>
      <c r="J428" s="5" t="str">
        <f>IF(tbRegistroSaidas[[#This Row],[DATA DE CAIXA REALIZADO]]="N/A","0",UPPER(TEXT(tbRegistroSaidas[[#This Row],[DATA DE CAIXA REALIZADO]],"mmm")))</f>
        <v>DEZ</v>
      </c>
      <c r="K428" s="79" t="str">
        <f>IF(tbRegistroSaidas[[#This Row],[DATA DA COMPETÊNCIA]]="N/A","0",UPPER(TEXT(tbRegistroSaidas[[#This Row],[DATA DA COMPETÊNCIA]],"mmm")))</f>
        <v>NOV</v>
      </c>
      <c r="L428" s="79">
        <f>IF(tbRegistroSaidas[[#This Row],[DATA DA COMPETÊNCIA]]="N/A",0,YEAR(tbRegistroSaidas[[#This Row],[DATA DA COMPETÊNCIA]]))</f>
        <v>2021</v>
      </c>
      <c r="M428" s="5" t="str">
        <f>IF(tbRegistroSaidas[[#This Row],[DATA DO CAIXA PREVISTO]]="N/A","0",UPPER(TEXT(tbRegistroSaidas[[#This Row],[DATA DO CAIXA PREVISTO]],"mmm")))</f>
        <v>DEZ</v>
      </c>
      <c r="N428" s="5">
        <f>IF(tbRegistroSaidas[[#This Row],[DATA DO CAIXA PREVISTO]]="N/A",0,YEAR(tbRegistroSaidas[[#This Row],[DATA DO CAIXA PREVISTO]]))</f>
        <v>2021</v>
      </c>
    </row>
    <row r="429" spans="1:14" s="5" customFormat="1" ht="14.4" x14ac:dyDescent="0.3">
      <c r="A429" s="49">
        <v>45281</v>
      </c>
      <c r="B429" s="49">
        <f t="shared" si="12"/>
        <v>45250</v>
      </c>
      <c r="C429" s="49">
        <f t="shared" si="13"/>
        <v>45266</v>
      </c>
      <c r="D429" s="52" t="s">
        <v>137</v>
      </c>
      <c r="E429" s="52" t="s">
        <v>1543</v>
      </c>
      <c r="F429" s="52" t="s">
        <v>32</v>
      </c>
      <c r="G429" s="52" t="s">
        <v>1471</v>
      </c>
      <c r="H429" s="18">
        <v>2795</v>
      </c>
      <c r="I429" s="5">
        <f>IF(tbRegistroSaidas[[#This Row],[DATA DE CAIXA REALIZADO]]="N/A",0,YEAR(tbRegistroSaidas[[#This Row],[DATA DE CAIXA REALIZADO]]))</f>
        <v>2023</v>
      </c>
      <c r="J429" s="5" t="str">
        <f>IF(tbRegistroSaidas[[#This Row],[DATA DE CAIXA REALIZADO]]="N/A","0",UPPER(TEXT(tbRegistroSaidas[[#This Row],[DATA DE CAIXA REALIZADO]],"mmm")))</f>
        <v>DEZ</v>
      </c>
      <c r="K429" s="79" t="str">
        <f>IF(tbRegistroSaidas[[#This Row],[DATA DA COMPETÊNCIA]]="N/A","0",UPPER(TEXT(tbRegistroSaidas[[#This Row],[DATA DA COMPETÊNCIA]],"mmm")))</f>
        <v>NOV</v>
      </c>
      <c r="L429" s="79">
        <f>IF(tbRegistroSaidas[[#This Row],[DATA DA COMPETÊNCIA]]="N/A",0,YEAR(tbRegistroSaidas[[#This Row],[DATA DA COMPETÊNCIA]]))</f>
        <v>2023</v>
      </c>
      <c r="M429" s="5" t="str">
        <f>IF(tbRegistroSaidas[[#This Row],[DATA DO CAIXA PREVISTO]]="N/A","0",UPPER(TEXT(tbRegistroSaidas[[#This Row],[DATA DO CAIXA PREVISTO]],"mmm")))</f>
        <v>DEZ</v>
      </c>
      <c r="N429" s="5">
        <f>IF(tbRegistroSaidas[[#This Row],[DATA DO CAIXA PREVISTO]]="N/A",0,YEAR(tbRegistroSaidas[[#This Row],[DATA DO CAIXA PREVISTO]]))</f>
        <v>2023</v>
      </c>
    </row>
    <row r="430" spans="1:14" s="5" customFormat="1" ht="14.4" x14ac:dyDescent="0.3">
      <c r="A430" s="49">
        <v>44741</v>
      </c>
      <c r="B430" s="49">
        <f t="shared" si="12"/>
        <v>44710</v>
      </c>
      <c r="C430" s="49">
        <f t="shared" si="13"/>
        <v>44726</v>
      </c>
      <c r="D430" s="52" t="s">
        <v>61</v>
      </c>
      <c r="E430" s="52" t="s">
        <v>1543</v>
      </c>
      <c r="F430" s="52" t="s">
        <v>17</v>
      </c>
      <c r="G430" s="52" t="s">
        <v>1472</v>
      </c>
      <c r="H430" s="18">
        <v>3596</v>
      </c>
      <c r="I430" s="5">
        <f>IF(tbRegistroSaidas[[#This Row],[DATA DE CAIXA REALIZADO]]="N/A",0,YEAR(tbRegistroSaidas[[#This Row],[DATA DE CAIXA REALIZADO]]))</f>
        <v>2022</v>
      </c>
      <c r="J430" s="5" t="str">
        <f>IF(tbRegistroSaidas[[#This Row],[DATA DE CAIXA REALIZADO]]="N/A","0",UPPER(TEXT(tbRegistroSaidas[[#This Row],[DATA DE CAIXA REALIZADO]],"mmm")))</f>
        <v>JUN</v>
      </c>
      <c r="K430" s="79" t="str">
        <f>IF(tbRegistroSaidas[[#This Row],[DATA DA COMPETÊNCIA]]="N/A","0",UPPER(TEXT(tbRegistroSaidas[[#This Row],[DATA DA COMPETÊNCIA]],"mmm")))</f>
        <v>MAI</v>
      </c>
      <c r="L430" s="79">
        <f>IF(tbRegistroSaidas[[#This Row],[DATA DA COMPETÊNCIA]]="N/A",0,YEAR(tbRegistroSaidas[[#This Row],[DATA DA COMPETÊNCIA]]))</f>
        <v>2022</v>
      </c>
      <c r="M430" s="5" t="str">
        <f>IF(tbRegistroSaidas[[#This Row],[DATA DO CAIXA PREVISTO]]="N/A","0",UPPER(TEXT(tbRegistroSaidas[[#This Row],[DATA DO CAIXA PREVISTO]],"mmm")))</f>
        <v>JUN</v>
      </c>
      <c r="N430" s="5">
        <f>IF(tbRegistroSaidas[[#This Row],[DATA DO CAIXA PREVISTO]]="N/A",0,YEAR(tbRegistroSaidas[[#This Row],[DATA DO CAIXA PREVISTO]]))</f>
        <v>2022</v>
      </c>
    </row>
    <row r="431" spans="1:14" s="5" customFormat="1" ht="14.4" x14ac:dyDescent="0.3">
      <c r="A431" s="49">
        <v>44332</v>
      </c>
      <c r="B431" s="49">
        <f t="shared" si="12"/>
        <v>44301</v>
      </c>
      <c r="C431" s="49">
        <f t="shared" si="13"/>
        <v>44317</v>
      </c>
      <c r="D431" s="52" t="s">
        <v>138</v>
      </c>
      <c r="E431" s="52" t="s">
        <v>1543</v>
      </c>
      <c r="F431" s="52" t="s">
        <v>16</v>
      </c>
      <c r="G431" s="52" t="s">
        <v>1473</v>
      </c>
      <c r="H431" s="18">
        <v>312</v>
      </c>
      <c r="I431" s="5">
        <f>IF(tbRegistroSaidas[[#This Row],[DATA DE CAIXA REALIZADO]]="N/A",0,YEAR(tbRegistroSaidas[[#This Row],[DATA DE CAIXA REALIZADO]]))</f>
        <v>2021</v>
      </c>
      <c r="J431" s="5" t="str">
        <f>IF(tbRegistroSaidas[[#This Row],[DATA DE CAIXA REALIZADO]]="N/A","0",UPPER(TEXT(tbRegistroSaidas[[#This Row],[DATA DE CAIXA REALIZADO]],"mmm")))</f>
        <v>MAI</v>
      </c>
      <c r="K431" s="79" t="str">
        <f>IF(tbRegistroSaidas[[#This Row],[DATA DA COMPETÊNCIA]]="N/A","0",UPPER(TEXT(tbRegistroSaidas[[#This Row],[DATA DA COMPETÊNCIA]],"mmm")))</f>
        <v>ABR</v>
      </c>
      <c r="L431" s="79">
        <f>IF(tbRegistroSaidas[[#This Row],[DATA DA COMPETÊNCIA]]="N/A",0,YEAR(tbRegistroSaidas[[#This Row],[DATA DA COMPETÊNCIA]]))</f>
        <v>2021</v>
      </c>
      <c r="M431" s="5" t="str">
        <f>IF(tbRegistroSaidas[[#This Row],[DATA DO CAIXA PREVISTO]]="N/A","0",UPPER(TEXT(tbRegistroSaidas[[#This Row],[DATA DO CAIXA PREVISTO]],"mmm")))</f>
        <v>MAI</v>
      </c>
      <c r="N431" s="5">
        <f>IF(tbRegistroSaidas[[#This Row],[DATA DO CAIXA PREVISTO]]="N/A",0,YEAR(tbRegistroSaidas[[#This Row],[DATA DO CAIXA PREVISTO]]))</f>
        <v>2021</v>
      </c>
    </row>
    <row r="432" spans="1:14" s="5" customFormat="1" ht="14.4" x14ac:dyDescent="0.3">
      <c r="A432" s="49">
        <v>45264</v>
      </c>
      <c r="B432" s="49">
        <f t="shared" si="12"/>
        <v>45233</v>
      </c>
      <c r="C432" s="49">
        <f t="shared" si="13"/>
        <v>45249</v>
      </c>
      <c r="D432" s="52" t="s">
        <v>67</v>
      </c>
      <c r="E432" s="52" t="s">
        <v>1543</v>
      </c>
      <c r="F432" s="52" t="s">
        <v>32</v>
      </c>
      <c r="G432" s="52" t="s">
        <v>1474</v>
      </c>
      <c r="H432" s="18">
        <v>1250</v>
      </c>
      <c r="I432" s="5">
        <f>IF(tbRegistroSaidas[[#This Row],[DATA DE CAIXA REALIZADO]]="N/A",0,YEAR(tbRegistroSaidas[[#This Row],[DATA DE CAIXA REALIZADO]]))</f>
        <v>2023</v>
      </c>
      <c r="J432" s="5" t="str">
        <f>IF(tbRegistroSaidas[[#This Row],[DATA DE CAIXA REALIZADO]]="N/A","0",UPPER(TEXT(tbRegistroSaidas[[#This Row],[DATA DE CAIXA REALIZADO]],"mmm")))</f>
        <v>DEZ</v>
      </c>
      <c r="K432" s="79" t="str">
        <f>IF(tbRegistroSaidas[[#This Row],[DATA DA COMPETÊNCIA]]="N/A","0",UPPER(TEXT(tbRegistroSaidas[[#This Row],[DATA DA COMPETÊNCIA]],"mmm")))</f>
        <v>NOV</v>
      </c>
      <c r="L432" s="79">
        <f>IF(tbRegistroSaidas[[#This Row],[DATA DA COMPETÊNCIA]]="N/A",0,YEAR(tbRegistroSaidas[[#This Row],[DATA DA COMPETÊNCIA]]))</f>
        <v>2023</v>
      </c>
      <c r="M432" s="5" t="str">
        <f>IF(tbRegistroSaidas[[#This Row],[DATA DO CAIXA PREVISTO]]="N/A","0",UPPER(TEXT(tbRegistroSaidas[[#This Row],[DATA DO CAIXA PREVISTO]],"mmm")))</f>
        <v>NOV</v>
      </c>
      <c r="N432" s="5">
        <f>IF(tbRegistroSaidas[[#This Row],[DATA DO CAIXA PREVISTO]]="N/A",0,YEAR(tbRegistroSaidas[[#This Row],[DATA DO CAIXA PREVISTO]]))</f>
        <v>2023</v>
      </c>
    </row>
    <row r="433" spans="1:14" s="5" customFormat="1" ht="14.4" x14ac:dyDescent="0.3">
      <c r="A433" s="49">
        <v>44688</v>
      </c>
      <c r="B433" s="49">
        <f t="shared" si="12"/>
        <v>44657</v>
      </c>
      <c r="C433" s="49">
        <f t="shared" si="13"/>
        <v>44673</v>
      </c>
      <c r="D433" s="52" t="s">
        <v>67</v>
      </c>
      <c r="E433" s="52" t="s">
        <v>1543</v>
      </c>
      <c r="F433" s="52" t="s">
        <v>18</v>
      </c>
      <c r="G433" s="52" t="s">
        <v>1475</v>
      </c>
      <c r="H433" s="18">
        <v>3599</v>
      </c>
      <c r="I433" s="5">
        <f>IF(tbRegistroSaidas[[#This Row],[DATA DE CAIXA REALIZADO]]="N/A",0,YEAR(tbRegistroSaidas[[#This Row],[DATA DE CAIXA REALIZADO]]))</f>
        <v>2022</v>
      </c>
      <c r="J433" s="5" t="str">
        <f>IF(tbRegistroSaidas[[#This Row],[DATA DE CAIXA REALIZADO]]="N/A","0",UPPER(TEXT(tbRegistroSaidas[[#This Row],[DATA DE CAIXA REALIZADO]],"mmm")))</f>
        <v>MAI</v>
      </c>
      <c r="K433" s="79" t="str">
        <f>IF(tbRegistroSaidas[[#This Row],[DATA DA COMPETÊNCIA]]="N/A","0",UPPER(TEXT(tbRegistroSaidas[[#This Row],[DATA DA COMPETÊNCIA]],"mmm")))</f>
        <v>ABR</v>
      </c>
      <c r="L433" s="79">
        <f>IF(tbRegistroSaidas[[#This Row],[DATA DA COMPETÊNCIA]]="N/A",0,YEAR(tbRegistroSaidas[[#This Row],[DATA DA COMPETÊNCIA]]))</f>
        <v>2022</v>
      </c>
      <c r="M433" s="5" t="str">
        <f>IF(tbRegistroSaidas[[#This Row],[DATA DO CAIXA PREVISTO]]="N/A","0",UPPER(TEXT(tbRegistroSaidas[[#This Row],[DATA DO CAIXA PREVISTO]],"mmm")))</f>
        <v>ABR</v>
      </c>
      <c r="N433" s="5">
        <f>IF(tbRegistroSaidas[[#This Row],[DATA DO CAIXA PREVISTO]]="N/A",0,YEAR(tbRegistroSaidas[[#This Row],[DATA DO CAIXA PREVISTO]]))</f>
        <v>2022</v>
      </c>
    </row>
    <row r="434" spans="1:14" s="5" customFormat="1" ht="14.4" x14ac:dyDescent="0.3">
      <c r="A434" s="49">
        <v>44372</v>
      </c>
      <c r="B434" s="49">
        <f t="shared" si="12"/>
        <v>44341</v>
      </c>
      <c r="C434" s="49">
        <f t="shared" si="13"/>
        <v>44357</v>
      </c>
      <c r="D434" s="52" t="s">
        <v>137</v>
      </c>
      <c r="E434" s="52" t="s">
        <v>1543</v>
      </c>
      <c r="F434" s="52" t="s">
        <v>19</v>
      </c>
      <c r="G434" s="52" t="s">
        <v>1476</v>
      </c>
      <c r="H434" s="18">
        <v>1877</v>
      </c>
      <c r="I434" s="5">
        <f>IF(tbRegistroSaidas[[#This Row],[DATA DE CAIXA REALIZADO]]="N/A",0,YEAR(tbRegistroSaidas[[#This Row],[DATA DE CAIXA REALIZADO]]))</f>
        <v>2021</v>
      </c>
      <c r="J434" s="5" t="str">
        <f>IF(tbRegistroSaidas[[#This Row],[DATA DE CAIXA REALIZADO]]="N/A","0",UPPER(TEXT(tbRegistroSaidas[[#This Row],[DATA DE CAIXA REALIZADO]],"mmm")))</f>
        <v>JUN</v>
      </c>
      <c r="K434" s="79" t="str">
        <f>IF(tbRegistroSaidas[[#This Row],[DATA DA COMPETÊNCIA]]="N/A","0",UPPER(TEXT(tbRegistroSaidas[[#This Row],[DATA DA COMPETÊNCIA]],"mmm")))</f>
        <v>MAI</v>
      </c>
      <c r="L434" s="79">
        <f>IF(tbRegistroSaidas[[#This Row],[DATA DA COMPETÊNCIA]]="N/A",0,YEAR(tbRegistroSaidas[[#This Row],[DATA DA COMPETÊNCIA]]))</f>
        <v>2021</v>
      </c>
      <c r="M434" s="5" t="str">
        <f>IF(tbRegistroSaidas[[#This Row],[DATA DO CAIXA PREVISTO]]="N/A","0",UPPER(TEXT(tbRegistroSaidas[[#This Row],[DATA DO CAIXA PREVISTO]],"mmm")))</f>
        <v>JUN</v>
      </c>
      <c r="N434" s="5">
        <f>IF(tbRegistroSaidas[[#This Row],[DATA DO CAIXA PREVISTO]]="N/A",0,YEAR(tbRegistroSaidas[[#This Row],[DATA DO CAIXA PREVISTO]]))</f>
        <v>2021</v>
      </c>
    </row>
    <row r="435" spans="1:14" s="5" customFormat="1" ht="14.4" x14ac:dyDescent="0.3">
      <c r="A435" s="49">
        <v>45278</v>
      </c>
      <c r="B435" s="49">
        <f t="shared" si="12"/>
        <v>45247</v>
      </c>
      <c r="C435" s="49">
        <f t="shared" si="13"/>
        <v>45263</v>
      </c>
      <c r="D435" s="52" t="s">
        <v>64</v>
      </c>
      <c r="E435" s="52" t="s">
        <v>1543</v>
      </c>
      <c r="F435" s="52" t="s">
        <v>17</v>
      </c>
      <c r="G435" s="52" t="s">
        <v>403</v>
      </c>
      <c r="H435" s="18">
        <v>162</v>
      </c>
      <c r="I435" s="5">
        <f>IF(tbRegistroSaidas[[#This Row],[DATA DE CAIXA REALIZADO]]="N/A",0,YEAR(tbRegistroSaidas[[#This Row],[DATA DE CAIXA REALIZADO]]))</f>
        <v>2023</v>
      </c>
      <c r="J435" s="5" t="str">
        <f>IF(tbRegistroSaidas[[#This Row],[DATA DE CAIXA REALIZADO]]="N/A","0",UPPER(TEXT(tbRegistroSaidas[[#This Row],[DATA DE CAIXA REALIZADO]],"mmm")))</f>
        <v>DEZ</v>
      </c>
      <c r="K435" s="79" t="str">
        <f>IF(tbRegistroSaidas[[#This Row],[DATA DA COMPETÊNCIA]]="N/A","0",UPPER(TEXT(tbRegistroSaidas[[#This Row],[DATA DA COMPETÊNCIA]],"mmm")))</f>
        <v>NOV</v>
      </c>
      <c r="L435" s="79">
        <f>IF(tbRegistroSaidas[[#This Row],[DATA DA COMPETÊNCIA]]="N/A",0,YEAR(tbRegistroSaidas[[#This Row],[DATA DA COMPETÊNCIA]]))</f>
        <v>2023</v>
      </c>
      <c r="M435" s="5" t="str">
        <f>IF(tbRegistroSaidas[[#This Row],[DATA DO CAIXA PREVISTO]]="N/A","0",UPPER(TEXT(tbRegistroSaidas[[#This Row],[DATA DO CAIXA PREVISTO]],"mmm")))</f>
        <v>DEZ</v>
      </c>
      <c r="N435" s="5">
        <f>IF(tbRegistroSaidas[[#This Row],[DATA DO CAIXA PREVISTO]]="N/A",0,YEAR(tbRegistroSaidas[[#This Row],[DATA DO CAIXA PREVISTO]]))</f>
        <v>2023</v>
      </c>
    </row>
    <row r="436" spans="1:14" s="5" customFormat="1" ht="14.4" x14ac:dyDescent="0.3">
      <c r="A436" s="49">
        <v>44410</v>
      </c>
      <c r="B436" s="49">
        <f t="shared" si="12"/>
        <v>44379</v>
      </c>
      <c r="C436" s="49">
        <f t="shared" si="13"/>
        <v>44395</v>
      </c>
      <c r="D436" s="52" t="s">
        <v>64</v>
      </c>
      <c r="E436" s="52" t="s">
        <v>1543</v>
      </c>
      <c r="F436" s="52" t="s">
        <v>32</v>
      </c>
      <c r="G436" s="52" t="s">
        <v>1477</v>
      </c>
      <c r="H436" s="18">
        <v>486</v>
      </c>
      <c r="I436" s="5">
        <f>IF(tbRegistroSaidas[[#This Row],[DATA DE CAIXA REALIZADO]]="N/A",0,YEAR(tbRegistroSaidas[[#This Row],[DATA DE CAIXA REALIZADO]]))</f>
        <v>2021</v>
      </c>
      <c r="J436" s="5" t="str">
        <f>IF(tbRegistroSaidas[[#This Row],[DATA DE CAIXA REALIZADO]]="N/A","0",UPPER(TEXT(tbRegistroSaidas[[#This Row],[DATA DE CAIXA REALIZADO]],"mmm")))</f>
        <v>AGO</v>
      </c>
      <c r="K436" s="79" t="str">
        <f>IF(tbRegistroSaidas[[#This Row],[DATA DA COMPETÊNCIA]]="N/A","0",UPPER(TEXT(tbRegistroSaidas[[#This Row],[DATA DA COMPETÊNCIA]],"mmm")))</f>
        <v>JUL</v>
      </c>
      <c r="L436" s="79">
        <f>IF(tbRegistroSaidas[[#This Row],[DATA DA COMPETÊNCIA]]="N/A",0,YEAR(tbRegistroSaidas[[#This Row],[DATA DA COMPETÊNCIA]]))</f>
        <v>2021</v>
      </c>
      <c r="M436" s="5" t="str">
        <f>IF(tbRegistroSaidas[[#This Row],[DATA DO CAIXA PREVISTO]]="N/A","0",UPPER(TEXT(tbRegistroSaidas[[#This Row],[DATA DO CAIXA PREVISTO]],"mmm")))</f>
        <v>JUL</v>
      </c>
      <c r="N436" s="5">
        <f>IF(tbRegistroSaidas[[#This Row],[DATA DO CAIXA PREVISTO]]="N/A",0,YEAR(tbRegistroSaidas[[#This Row],[DATA DO CAIXA PREVISTO]]))</f>
        <v>2021</v>
      </c>
    </row>
    <row r="437" spans="1:14" s="5" customFormat="1" ht="14.4" x14ac:dyDescent="0.3">
      <c r="A437" s="49">
        <v>44561</v>
      </c>
      <c r="B437" s="49">
        <f t="shared" si="12"/>
        <v>44530</v>
      </c>
      <c r="C437" s="49">
        <f t="shared" si="13"/>
        <v>44546</v>
      </c>
      <c r="D437" s="52" t="s">
        <v>67</v>
      </c>
      <c r="E437" s="52" t="s">
        <v>1543</v>
      </c>
      <c r="F437" s="52" t="s">
        <v>17</v>
      </c>
      <c r="G437" s="52" t="s">
        <v>1478</v>
      </c>
      <c r="H437" s="18">
        <v>1406</v>
      </c>
      <c r="I437" s="5">
        <f>IF(tbRegistroSaidas[[#This Row],[DATA DE CAIXA REALIZADO]]="N/A",0,YEAR(tbRegistroSaidas[[#This Row],[DATA DE CAIXA REALIZADO]]))</f>
        <v>2021</v>
      </c>
      <c r="J437" s="5" t="str">
        <f>IF(tbRegistroSaidas[[#This Row],[DATA DE CAIXA REALIZADO]]="N/A","0",UPPER(TEXT(tbRegistroSaidas[[#This Row],[DATA DE CAIXA REALIZADO]],"mmm")))</f>
        <v>DEZ</v>
      </c>
      <c r="K437" s="79" t="str">
        <f>IF(tbRegistroSaidas[[#This Row],[DATA DA COMPETÊNCIA]]="N/A","0",UPPER(TEXT(tbRegistroSaidas[[#This Row],[DATA DA COMPETÊNCIA]],"mmm")))</f>
        <v>NOV</v>
      </c>
      <c r="L437" s="79">
        <f>IF(tbRegistroSaidas[[#This Row],[DATA DA COMPETÊNCIA]]="N/A",0,YEAR(tbRegistroSaidas[[#This Row],[DATA DA COMPETÊNCIA]]))</f>
        <v>2021</v>
      </c>
      <c r="M437" s="5" t="str">
        <f>IF(tbRegistroSaidas[[#This Row],[DATA DO CAIXA PREVISTO]]="N/A","0",UPPER(TEXT(tbRegistroSaidas[[#This Row],[DATA DO CAIXA PREVISTO]],"mmm")))</f>
        <v>DEZ</v>
      </c>
      <c r="N437" s="5">
        <f>IF(tbRegistroSaidas[[#This Row],[DATA DO CAIXA PREVISTO]]="N/A",0,YEAR(tbRegistroSaidas[[#This Row],[DATA DO CAIXA PREVISTO]]))</f>
        <v>2021</v>
      </c>
    </row>
    <row r="438" spans="1:14" s="5" customFormat="1" ht="14.4" x14ac:dyDescent="0.3">
      <c r="A438" s="49">
        <v>44659</v>
      </c>
      <c r="B438" s="49">
        <f t="shared" si="12"/>
        <v>44628</v>
      </c>
      <c r="C438" s="49">
        <f t="shared" si="13"/>
        <v>44644</v>
      </c>
      <c r="D438" s="52" t="s">
        <v>64</v>
      </c>
      <c r="E438" s="52" t="s">
        <v>1543</v>
      </c>
      <c r="F438" s="52" t="s">
        <v>18</v>
      </c>
      <c r="G438" s="52" t="s">
        <v>1479</v>
      </c>
      <c r="H438" s="18">
        <v>3316</v>
      </c>
      <c r="I438" s="5">
        <f>IF(tbRegistroSaidas[[#This Row],[DATA DE CAIXA REALIZADO]]="N/A",0,YEAR(tbRegistroSaidas[[#This Row],[DATA DE CAIXA REALIZADO]]))</f>
        <v>2022</v>
      </c>
      <c r="J438" s="5" t="str">
        <f>IF(tbRegistroSaidas[[#This Row],[DATA DE CAIXA REALIZADO]]="N/A","0",UPPER(TEXT(tbRegistroSaidas[[#This Row],[DATA DE CAIXA REALIZADO]],"mmm")))</f>
        <v>ABR</v>
      </c>
      <c r="K438" s="79" t="str">
        <f>IF(tbRegistroSaidas[[#This Row],[DATA DA COMPETÊNCIA]]="N/A","0",UPPER(TEXT(tbRegistroSaidas[[#This Row],[DATA DA COMPETÊNCIA]],"mmm")))</f>
        <v>MAR</v>
      </c>
      <c r="L438" s="79">
        <f>IF(tbRegistroSaidas[[#This Row],[DATA DA COMPETÊNCIA]]="N/A",0,YEAR(tbRegistroSaidas[[#This Row],[DATA DA COMPETÊNCIA]]))</f>
        <v>2022</v>
      </c>
      <c r="M438" s="5" t="str">
        <f>IF(tbRegistroSaidas[[#This Row],[DATA DO CAIXA PREVISTO]]="N/A","0",UPPER(TEXT(tbRegistroSaidas[[#This Row],[DATA DO CAIXA PREVISTO]],"mmm")))</f>
        <v>MAR</v>
      </c>
      <c r="N438" s="5">
        <f>IF(tbRegistroSaidas[[#This Row],[DATA DO CAIXA PREVISTO]]="N/A",0,YEAR(tbRegistroSaidas[[#This Row],[DATA DO CAIXA PREVISTO]]))</f>
        <v>2022</v>
      </c>
    </row>
    <row r="439" spans="1:14" s="5" customFormat="1" ht="14.4" x14ac:dyDescent="0.3">
      <c r="A439" s="49">
        <v>44715</v>
      </c>
      <c r="B439" s="49">
        <f t="shared" si="12"/>
        <v>44684</v>
      </c>
      <c r="C439" s="49">
        <f t="shared" si="13"/>
        <v>44700</v>
      </c>
      <c r="D439" s="52" t="s">
        <v>66</v>
      </c>
      <c r="E439" s="52" t="s">
        <v>1543</v>
      </c>
      <c r="F439" s="52" t="s">
        <v>32</v>
      </c>
      <c r="G439" s="52" t="s">
        <v>1480</v>
      </c>
      <c r="H439" s="18">
        <v>2462</v>
      </c>
      <c r="I439" s="5">
        <f>IF(tbRegistroSaidas[[#This Row],[DATA DE CAIXA REALIZADO]]="N/A",0,YEAR(tbRegistroSaidas[[#This Row],[DATA DE CAIXA REALIZADO]]))</f>
        <v>2022</v>
      </c>
      <c r="J439" s="5" t="str">
        <f>IF(tbRegistroSaidas[[#This Row],[DATA DE CAIXA REALIZADO]]="N/A","0",UPPER(TEXT(tbRegistroSaidas[[#This Row],[DATA DE CAIXA REALIZADO]],"mmm")))</f>
        <v>JUN</v>
      </c>
      <c r="K439" s="79" t="str">
        <f>IF(tbRegistroSaidas[[#This Row],[DATA DA COMPETÊNCIA]]="N/A","0",UPPER(TEXT(tbRegistroSaidas[[#This Row],[DATA DA COMPETÊNCIA]],"mmm")))</f>
        <v>MAI</v>
      </c>
      <c r="L439" s="79">
        <f>IF(tbRegistroSaidas[[#This Row],[DATA DA COMPETÊNCIA]]="N/A",0,YEAR(tbRegistroSaidas[[#This Row],[DATA DA COMPETÊNCIA]]))</f>
        <v>2022</v>
      </c>
      <c r="M439" s="5" t="str">
        <f>IF(tbRegistroSaidas[[#This Row],[DATA DO CAIXA PREVISTO]]="N/A","0",UPPER(TEXT(tbRegistroSaidas[[#This Row],[DATA DO CAIXA PREVISTO]],"mmm")))</f>
        <v>MAI</v>
      </c>
      <c r="N439" s="5">
        <f>IF(tbRegistroSaidas[[#This Row],[DATA DO CAIXA PREVISTO]]="N/A",0,YEAR(tbRegistroSaidas[[#This Row],[DATA DO CAIXA PREVISTO]]))</f>
        <v>2022</v>
      </c>
    </row>
    <row r="440" spans="1:14" s="5" customFormat="1" ht="14.4" x14ac:dyDescent="0.3">
      <c r="A440" s="49">
        <v>44201</v>
      </c>
      <c r="B440" s="49">
        <f t="shared" si="12"/>
        <v>44170</v>
      </c>
      <c r="C440" s="49">
        <f t="shared" si="13"/>
        <v>44186</v>
      </c>
      <c r="D440" s="52" t="s">
        <v>137</v>
      </c>
      <c r="E440" s="52" t="s">
        <v>1543</v>
      </c>
      <c r="F440" s="52" t="s">
        <v>16</v>
      </c>
      <c r="G440" s="52" t="s">
        <v>1481</v>
      </c>
      <c r="H440" s="18">
        <v>1090</v>
      </c>
      <c r="I440" s="5">
        <f>IF(tbRegistroSaidas[[#This Row],[DATA DE CAIXA REALIZADO]]="N/A",0,YEAR(tbRegistroSaidas[[#This Row],[DATA DE CAIXA REALIZADO]]))</f>
        <v>2021</v>
      </c>
      <c r="J440" s="5" t="str">
        <f>IF(tbRegistroSaidas[[#This Row],[DATA DE CAIXA REALIZADO]]="N/A","0",UPPER(TEXT(tbRegistroSaidas[[#This Row],[DATA DE CAIXA REALIZADO]],"mmm")))</f>
        <v>JAN</v>
      </c>
      <c r="K440" s="79" t="str">
        <f>IF(tbRegistroSaidas[[#This Row],[DATA DA COMPETÊNCIA]]="N/A","0",UPPER(TEXT(tbRegistroSaidas[[#This Row],[DATA DA COMPETÊNCIA]],"mmm")))</f>
        <v>DEZ</v>
      </c>
      <c r="L440" s="79">
        <f>IF(tbRegistroSaidas[[#This Row],[DATA DA COMPETÊNCIA]]="N/A",0,YEAR(tbRegistroSaidas[[#This Row],[DATA DA COMPETÊNCIA]]))</f>
        <v>2020</v>
      </c>
      <c r="M440" s="5" t="str">
        <f>IF(tbRegistroSaidas[[#This Row],[DATA DO CAIXA PREVISTO]]="N/A","0",UPPER(TEXT(tbRegistroSaidas[[#This Row],[DATA DO CAIXA PREVISTO]],"mmm")))</f>
        <v>DEZ</v>
      </c>
      <c r="N440" s="5">
        <f>IF(tbRegistroSaidas[[#This Row],[DATA DO CAIXA PREVISTO]]="N/A",0,YEAR(tbRegistroSaidas[[#This Row],[DATA DO CAIXA PREVISTO]]))</f>
        <v>2020</v>
      </c>
    </row>
    <row r="441" spans="1:14" s="5" customFormat="1" ht="14.4" x14ac:dyDescent="0.3">
      <c r="A441" s="49">
        <v>44551</v>
      </c>
      <c r="B441" s="49">
        <f t="shared" si="12"/>
        <v>44520</v>
      </c>
      <c r="C441" s="49">
        <f t="shared" si="13"/>
        <v>44536</v>
      </c>
      <c r="D441" s="52" t="s">
        <v>138</v>
      </c>
      <c r="E441" s="52" t="s">
        <v>1543</v>
      </c>
      <c r="F441" s="52" t="s">
        <v>18</v>
      </c>
      <c r="G441" s="52" t="s">
        <v>1482</v>
      </c>
      <c r="H441" s="18">
        <v>1364</v>
      </c>
      <c r="I441" s="5">
        <f>IF(tbRegistroSaidas[[#This Row],[DATA DE CAIXA REALIZADO]]="N/A",0,YEAR(tbRegistroSaidas[[#This Row],[DATA DE CAIXA REALIZADO]]))</f>
        <v>2021</v>
      </c>
      <c r="J441" s="5" t="str">
        <f>IF(tbRegistroSaidas[[#This Row],[DATA DE CAIXA REALIZADO]]="N/A","0",UPPER(TEXT(tbRegistroSaidas[[#This Row],[DATA DE CAIXA REALIZADO]],"mmm")))</f>
        <v>DEZ</v>
      </c>
      <c r="K441" s="79" t="str">
        <f>IF(tbRegistroSaidas[[#This Row],[DATA DA COMPETÊNCIA]]="N/A","0",UPPER(TEXT(tbRegistroSaidas[[#This Row],[DATA DA COMPETÊNCIA]],"mmm")))</f>
        <v>NOV</v>
      </c>
      <c r="L441" s="79">
        <f>IF(tbRegistroSaidas[[#This Row],[DATA DA COMPETÊNCIA]]="N/A",0,YEAR(tbRegistroSaidas[[#This Row],[DATA DA COMPETÊNCIA]]))</f>
        <v>2021</v>
      </c>
      <c r="M441" s="5" t="str">
        <f>IF(tbRegistroSaidas[[#This Row],[DATA DO CAIXA PREVISTO]]="N/A","0",UPPER(TEXT(tbRegistroSaidas[[#This Row],[DATA DO CAIXA PREVISTO]],"mmm")))</f>
        <v>DEZ</v>
      </c>
      <c r="N441" s="5">
        <f>IF(tbRegistroSaidas[[#This Row],[DATA DO CAIXA PREVISTO]]="N/A",0,YEAR(tbRegistroSaidas[[#This Row],[DATA DO CAIXA PREVISTO]]))</f>
        <v>2021</v>
      </c>
    </row>
    <row r="442" spans="1:14" s="5" customFormat="1" ht="14.4" x14ac:dyDescent="0.3">
      <c r="A442" s="49">
        <v>44395</v>
      </c>
      <c r="B442" s="49">
        <f t="shared" si="12"/>
        <v>44364</v>
      </c>
      <c r="C442" s="49">
        <f t="shared" si="13"/>
        <v>44380</v>
      </c>
      <c r="D442" s="52" t="s">
        <v>67</v>
      </c>
      <c r="E442" s="52" t="s">
        <v>1543</v>
      </c>
      <c r="F442" s="52" t="s">
        <v>17</v>
      </c>
      <c r="G442" s="52" t="s">
        <v>1483</v>
      </c>
      <c r="H442" s="18">
        <v>2880</v>
      </c>
      <c r="I442" s="5">
        <f>IF(tbRegistroSaidas[[#This Row],[DATA DE CAIXA REALIZADO]]="N/A",0,YEAR(tbRegistroSaidas[[#This Row],[DATA DE CAIXA REALIZADO]]))</f>
        <v>2021</v>
      </c>
      <c r="J442" s="5" t="str">
        <f>IF(tbRegistroSaidas[[#This Row],[DATA DE CAIXA REALIZADO]]="N/A","0",UPPER(TEXT(tbRegistroSaidas[[#This Row],[DATA DE CAIXA REALIZADO]],"mmm")))</f>
        <v>JUL</v>
      </c>
      <c r="K442" s="79" t="str">
        <f>IF(tbRegistroSaidas[[#This Row],[DATA DA COMPETÊNCIA]]="N/A","0",UPPER(TEXT(tbRegistroSaidas[[#This Row],[DATA DA COMPETÊNCIA]],"mmm")))</f>
        <v>JUN</v>
      </c>
      <c r="L442" s="79">
        <f>IF(tbRegistroSaidas[[#This Row],[DATA DA COMPETÊNCIA]]="N/A",0,YEAR(tbRegistroSaidas[[#This Row],[DATA DA COMPETÊNCIA]]))</f>
        <v>2021</v>
      </c>
      <c r="M442" s="5" t="str">
        <f>IF(tbRegistroSaidas[[#This Row],[DATA DO CAIXA PREVISTO]]="N/A","0",UPPER(TEXT(tbRegistroSaidas[[#This Row],[DATA DO CAIXA PREVISTO]],"mmm")))</f>
        <v>JUL</v>
      </c>
      <c r="N442" s="5">
        <f>IF(tbRegistroSaidas[[#This Row],[DATA DO CAIXA PREVISTO]]="N/A",0,YEAR(tbRegistroSaidas[[#This Row],[DATA DO CAIXA PREVISTO]]))</f>
        <v>2021</v>
      </c>
    </row>
    <row r="443" spans="1:14" s="5" customFormat="1" ht="14.4" x14ac:dyDescent="0.3">
      <c r="A443" s="49">
        <v>44538</v>
      </c>
      <c r="B443" s="49">
        <f t="shared" si="12"/>
        <v>44507</v>
      </c>
      <c r="C443" s="49">
        <f t="shared" si="13"/>
        <v>44523</v>
      </c>
      <c r="D443" s="52" t="s">
        <v>61</v>
      </c>
      <c r="E443" s="52" t="s">
        <v>1543</v>
      </c>
      <c r="F443" s="52" t="s">
        <v>32</v>
      </c>
      <c r="G443" s="52" t="s">
        <v>1484</v>
      </c>
      <c r="H443" s="18">
        <v>436</v>
      </c>
      <c r="I443" s="5">
        <f>IF(tbRegistroSaidas[[#This Row],[DATA DE CAIXA REALIZADO]]="N/A",0,YEAR(tbRegistroSaidas[[#This Row],[DATA DE CAIXA REALIZADO]]))</f>
        <v>2021</v>
      </c>
      <c r="J443" s="5" t="str">
        <f>IF(tbRegistroSaidas[[#This Row],[DATA DE CAIXA REALIZADO]]="N/A","0",UPPER(TEXT(tbRegistroSaidas[[#This Row],[DATA DE CAIXA REALIZADO]],"mmm")))</f>
        <v>DEZ</v>
      </c>
      <c r="K443" s="79" t="str">
        <f>IF(tbRegistroSaidas[[#This Row],[DATA DA COMPETÊNCIA]]="N/A","0",UPPER(TEXT(tbRegistroSaidas[[#This Row],[DATA DA COMPETÊNCIA]],"mmm")))</f>
        <v>NOV</v>
      </c>
      <c r="L443" s="79">
        <f>IF(tbRegistroSaidas[[#This Row],[DATA DA COMPETÊNCIA]]="N/A",0,YEAR(tbRegistroSaidas[[#This Row],[DATA DA COMPETÊNCIA]]))</f>
        <v>2021</v>
      </c>
      <c r="M443" s="5" t="str">
        <f>IF(tbRegistroSaidas[[#This Row],[DATA DO CAIXA PREVISTO]]="N/A","0",UPPER(TEXT(tbRegistroSaidas[[#This Row],[DATA DO CAIXA PREVISTO]],"mmm")))</f>
        <v>NOV</v>
      </c>
      <c r="N443" s="5">
        <f>IF(tbRegistroSaidas[[#This Row],[DATA DO CAIXA PREVISTO]]="N/A",0,YEAR(tbRegistroSaidas[[#This Row],[DATA DO CAIXA PREVISTO]]))</f>
        <v>2021</v>
      </c>
    </row>
    <row r="444" spans="1:14" s="5" customFormat="1" ht="14.4" x14ac:dyDescent="0.3">
      <c r="A444" s="49">
        <v>44630</v>
      </c>
      <c r="B444" s="49">
        <f t="shared" si="12"/>
        <v>44599</v>
      </c>
      <c r="C444" s="49">
        <f t="shared" si="13"/>
        <v>44615</v>
      </c>
      <c r="D444" s="52" t="s">
        <v>67</v>
      </c>
      <c r="E444" s="52" t="s">
        <v>1543</v>
      </c>
      <c r="F444" s="52" t="s">
        <v>16</v>
      </c>
      <c r="G444" s="52" t="s">
        <v>1485</v>
      </c>
      <c r="H444" s="18">
        <v>1362</v>
      </c>
      <c r="I444" s="5">
        <f>IF(tbRegistroSaidas[[#This Row],[DATA DE CAIXA REALIZADO]]="N/A",0,YEAR(tbRegistroSaidas[[#This Row],[DATA DE CAIXA REALIZADO]]))</f>
        <v>2022</v>
      </c>
      <c r="J444" s="5" t="str">
        <f>IF(tbRegistroSaidas[[#This Row],[DATA DE CAIXA REALIZADO]]="N/A","0",UPPER(TEXT(tbRegistroSaidas[[#This Row],[DATA DE CAIXA REALIZADO]],"mmm")))</f>
        <v>MAR</v>
      </c>
      <c r="K444" s="79" t="str">
        <f>IF(tbRegistroSaidas[[#This Row],[DATA DA COMPETÊNCIA]]="N/A","0",UPPER(TEXT(tbRegistroSaidas[[#This Row],[DATA DA COMPETÊNCIA]],"mmm")))</f>
        <v>FEV</v>
      </c>
      <c r="L444" s="79">
        <f>IF(tbRegistroSaidas[[#This Row],[DATA DA COMPETÊNCIA]]="N/A",0,YEAR(tbRegistroSaidas[[#This Row],[DATA DA COMPETÊNCIA]]))</f>
        <v>2022</v>
      </c>
      <c r="M444" s="5" t="str">
        <f>IF(tbRegistroSaidas[[#This Row],[DATA DO CAIXA PREVISTO]]="N/A","0",UPPER(TEXT(tbRegistroSaidas[[#This Row],[DATA DO CAIXA PREVISTO]],"mmm")))</f>
        <v>FEV</v>
      </c>
      <c r="N444" s="5">
        <f>IF(tbRegistroSaidas[[#This Row],[DATA DO CAIXA PREVISTO]]="N/A",0,YEAR(tbRegistroSaidas[[#This Row],[DATA DO CAIXA PREVISTO]]))</f>
        <v>2022</v>
      </c>
    </row>
    <row r="445" spans="1:14" s="5" customFormat="1" ht="14.4" x14ac:dyDescent="0.3">
      <c r="A445" s="49">
        <v>44658</v>
      </c>
      <c r="B445" s="49">
        <f t="shared" si="12"/>
        <v>44627</v>
      </c>
      <c r="C445" s="49">
        <f t="shared" si="13"/>
        <v>44643</v>
      </c>
      <c r="D445" s="52" t="s">
        <v>67</v>
      </c>
      <c r="E445" s="52" t="s">
        <v>1543</v>
      </c>
      <c r="F445" s="52" t="s">
        <v>18</v>
      </c>
      <c r="G445" s="52" t="s">
        <v>1486</v>
      </c>
      <c r="H445" s="18">
        <v>1694</v>
      </c>
      <c r="I445" s="5">
        <f>IF(tbRegistroSaidas[[#This Row],[DATA DE CAIXA REALIZADO]]="N/A",0,YEAR(tbRegistroSaidas[[#This Row],[DATA DE CAIXA REALIZADO]]))</f>
        <v>2022</v>
      </c>
      <c r="J445" s="5" t="str">
        <f>IF(tbRegistroSaidas[[#This Row],[DATA DE CAIXA REALIZADO]]="N/A","0",UPPER(TEXT(tbRegistroSaidas[[#This Row],[DATA DE CAIXA REALIZADO]],"mmm")))</f>
        <v>ABR</v>
      </c>
      <c r="K445" s="79" t="str">
        <f>IF(tbRegistroSaidas[[#This Row],[DATA DA COMPETÊNCIA]]="N/A","0",UPPER(TEXT(tbRegistroSaidas[[#This Row],[DATA DA COMPETÊNCIA]],"mmm")))</f>
        <v>MAR</v>
      </c>
      <c r="L445" s="79">
        <f>IF(tbRegistroSaidas[[#This Row],[DATA DA COMPETÊNCIA]]="N/A",0,YEAR(tbRegistroSaidas[[#This Row],[DATA DA COMPETÊNCIA]]))</f>
        <v>2022</v>
      </c>
      <c r="M445" s="5" t="str">
        <f>IF(tbRegistroSaidas[[#This Row],[DATA DO CAIXA PREVISTO]]="N/A","0",UPPER(TEXT(tbRegistroSaidas[[#This Row],[DATA DO CAIXA PREVISTO]],"mmm")))</f>
        <v>MAR</v>
      </c>
      <c r="N445" s="5">
        <f>IF(tbRegistroSaidas[[#This Row],[DATA DO CAIXA PREVISTO]]="N/A",0,YEAR(tbRegistroSaidas[[#This Row],[DATA DO CAIXA PREVISTO]]))</f>
        <v>2022</v>
      </c>
    </row>
    <row r="446" spans="1:14" s="5" customFormat="1" ht="14.4" x14ac:dyDescent="0.3">
      <c r="A446" s="49">
        <v>44201</v>
      </c>
      <c r="B446" s="49">
        <f t="shared" si="12"/>
        <v>44170</v>
      </c>
      <c r="C446" s="49">
        <f t="shared" si="13"/>
        <v>44186</v>
      </c>
      <c r="D446" s="52" t="s">
        <v>61</v>
      </c>
      <c r="E446" s="52" t="s">
        <v>1543</v>
      </c>
      <c r="F446" s="52" t="s">
        <v>18</v>
      </c>
      <c r="G446" s="52" t="s">
        <v>1487</v>
      </c>
      <c r="H446" s="18">
        <v>2839</v>
      </c>
      <c r="I446" s="5">
        <f>IF(tbRegistroSaidas[[#This Row],[DATA DE CAIXA REALIZADO]]="N/A",0,YEAR(tbRegistroSaidas[[#This Row],[DATA DE CAIXA REALIZADO]]))</f>
        <v>2021</v>
      </c>
      <c r="J446" s="5" t="str">
        <f>IF(tbRegistroSaidas[[#This Row],[DATA DE CAIXA REALIZADO]]="N/A","0",UPPER(TEXT(tbRegistroSaidas[[#This Row],[DATA DE CAIXA REALIZADO]],"mmm")))</f>
        <v>JAN</v>
      </c>
      <c r="K446" s="79" t="str">
        <f>IF(tbRegistroSaidas[[#This Row],[DATA DA COMPETÊNCIA]]="N/A","0",UPPER(TEXT(tbRegistroSaidas[[#This Row],[DATA DA COMPETÊNCIA]],"mmm")))</f>
        <v>DEZ</v>
      </c>
      <c r="L446" s="79">
        <f>IF(tbRegistroSaidas[[#This Row],[DATA DA COMPETÊNCIA]]="N/A",0,YEAR(tbRegistroSaidas[[#This Row],[DATA DA COMPETÊNCIA]]))</f>
        <v>2020</v>
      </c>
      <c r="M446" s="5" t="str">
        <f>IF(tbRegistroSaidas[[#This Row],[DATA DO CAIXA PREVISTO]]="N/A","0",UPPER(TEXT(tbRegistroSaidas[[#This Row],[DATA DO CAIXA PREVISTO]],"mmm")))</f>
        <v>DEZ</v>
      </c>
      <c r="N446" s="5">
        <f>IF(tbRegistroSaidas[[#This Row],[DATA DO CAIXA PREVISTO]]="N/A",0,YEAR(tbRegistroSaidas[[#This Row],[DATA DO CAIXA PREVISTO]]))</f>
        <v>2020</v>
      </c>
    </row>
    <row r="447" spans="1:14" s="5" customFormat="1" ht="14.4" x14ac:dyDescent="0.3">
      <c r="A447" s="49">
        <v>44692</v>
      </c>
      <c r="B447" s="49">
        <f t="shared" si="12"/>
        <v>44661</v>
      </c>
      <c r="C447" s="49">
        <f t="shared" si="13"/>
        <v>44677</v>
      </c>
      <c r="D447" s="52" t="s">
        <v>64</v>
      </c>
      <c r="E447" s="52" t="s">
        <v>1543</v>
      </c>
      <c r="F447" s="52" t="s">
        <v>18</v>
      </c>
      <c r="G447" s="52" t="s">
        <v>1488</v>
      </c>
      <c r="H447" s="18">
        <v>682</v>
      </c>
      <c r="I447" s="5">
        <f>IF(tbRegistroSaidas[[#This Row],[DATA DE CAIXA REALIZADO]]="N/A",0,YEAR(tbRegistroSaidas[[#This Row],[DATA DE CAIXA REALIZADO]]))</f>
        <v>2022</v>
      </c>
      <c r="J447" s="5" t="str">
        <f>IF(tbRegistroSaidas[[#This Row],[DATA DE CAIXA REALIZADO]]="N/A","0",UPPER(TEXT(tbRegistroSaidas[[#This Row],[DATA DE CAIXA REALIZADO]],"mmm")))</f>
        <v>MAI</v>
      </c>
      <c r="K447" s="79" t="str">
        <f>IF(tbRegistroSaidas[[#This Row],[DATA DA COMPETÊNCIA]]="N/A","0",UPPER(TEXT(tbRegistroSaidas[[#This Row],[DATA DA COMPETÊNCIA]],"mmm")))</f>
        <v>ABR</v>
      </c>
      <c r="L447" s="79">
        <f>IF(tbRegistroSaidas[[#This Row],[DATA DA COMPETÊNCIA]]="N/A",0,YEAR(tbRegistroSaidas[[#This Row],[DATA DA COMPETÊNCIA]]))</f>
        <v>2022</v>
      </c>
      <c r="M447" s="5" t="str">
        <f>IF(tbRegistroSaidas[[#This Row],[DATA DO CAIXA PREVISTO]]="N/A","0",UPPER(TEXT(tbRegistroSaidas[[#This Row],[DATA DO CAIXA PREVISTO]],"mmm")))</f>
        <v>ABR</v>
      </c>
      <c r="N447" s="5">
        <f>IF(tbRegistroSaidas[[#This Row],[DATA DO CAIXA PREVISTO]]="N/A",0,YEAR(tbRegistroSaidas[[#This Row],[DATA DO CAIXA PREVISTO]]))</f>
        <v>2022</v>
      </c>
    </row>
    <row r="448" spans="1:14" s="5" customFormat="1" ht="14.4" x14ac:dyDescent="0.3">
      <c r="A448" s="49">
        <v>44692</v>
      </c>
      <c r="B448" s="49">
        <f t="shared" si="12"/>
        <v>44661</v>
      </c>
      <c r="C448" s="49">
        <f t="shared" si="13"/>
        <v>44677</v>
      </c>
      <c r="D448" s="52" t="s">
        <v>138</v>
      </c>
      <c r="E448" s="52" t="s">
        <v>1543</v>
      </c>
      <c r="F448" s="52" t="s">
        <v>16</v>
      </c>
      <c r="G448" s="52" t="s">
        <v>1489</v>
      </c>
      <c r="H448" s="18">
        <v>1248</v>
      </c>
      <c r="I448" s="5">
        <f>IF(tbRegistroSaidas[[#This Row],[DATA DE CAIXA REALIZADO]]="N/A",0,YEAR(tbRegistroSaidas[[#This Row],[DATA DE CAIXA REALIZADO]]))</f>
        <v>2022</v>
      </c>
      <c r="J448" s="5" t="str">
        <f>IF(tbRegistroSaidas[[#This Row],[DATA DE CAIXA REALIZADO]]="N/A","0",UPPER(TEXT(tbRegistroSaidas[[#This Row],[DATA DE CAIXA REALIZADO]],"mmm")))</f>
        <v>MAI</v>
      </c>
      <c r="K448" s="79" t="str">
        <f>IF(tbRegistroSaidas[[#This Row],[DATA DA COMPETÊNCIA]]="N/A","0",UPPER(TEXT(tbRegistroSaidas[[#This Row],[DATA DA COMPETÊNCIA]],"mmm")))</f>
        <v>ABR</v>
      </c>
      <c r="L448" s="79">
        <f>IF(tbRegistroSaidas[[#This Row],[DATA DA COMPETÊNCIA]]="N/A",0,YEAR(tbRegistroSaidas[[#This Row],[DATA DA COMPETÊNCIA]]))</f>
        <v>2022</v>
      </c>
      <c r="M448" s="5" t="str">
        <f>IF(tbRegistroSaidas[[#This Row],[DATA DO CAIXA PREVISTO]]="N/A","0",UPPER(TEXT(tbRegistroSaidas[[#This Row],[DATA DO CAIXA PREVISTO]],"mmm")))</f>
        <v>ABR</v>
      </c>
      <c r="N448" s="5">
        <f>IF(tbRegistroSaidas[[#This Row],[DATA DO CAIXA PREVISTO]]="N/A",0,YEAR(tbRegistroSaidas[[#This Row],[DATA DO CAIXA PREVISTO]]))</f>
        <v>2022</v>
      </c>
    </row>
    <row r="449" spans="1:14" s="5" customFormat="1" ht="14.4" x14ac:dyDescent="0.3">
      <c r="A449" s="49">
        <v>44541</v>
      </c>
      <c r="B449" s="49">
        <f t="shared" si="12"/>
        <v>44510</v>
      </c>
      <c r="C449" s="49">
        <f t="shared" si="13"/>
        <v>44526</v>
      </c>
      <c r="D449" s="52" t="s">
        <v>64</v>
      </c>
      <c r="E449" s="52" t="s">
        <v>1543</v>
      </c>
      <c r="F449" s="52" t="s">
        <v>19</v>
      </c>
      <c r="G449" s="52" t="s">
        <v>1490</v>
      </c>
      <c r="H449" s="18">
        <v>3989</v>
      </c>
      <c r="I449" s="5">
        <f>IF(tbRegistroSaidas[[#This Row],[DATA DE CAIXA REALIZADO]]="N/A",0,YEAR(tbRegistroSaidas[[#This Row],[DATA DE CAIXA REALIZADO]]))</f>
        <v>2021</v>
      </c>
      <c r="J449" s="5" t="str">
        <f>IF(tbRegistroSaidas[[#This Row],[DATA DE CAIXA REALIZADO]]="N/A","0",UPPER(TEXT(tbRegistroSaidas[[#This Row],[DATA DE CAIXA REALIZADO]],"mmm")))</f>
        <v>DEZ</v>
      </c>
      <c r="K449" s="79" t="str">
        <f>IF(tbRegistroSaidas[[#This Row],[DATA DA COMPETÊNCIA]]="N/A","0",UPPER(TEXT(tbRegistroSaidas[[#This Row],[DATA DA COMPETÊNCIA]],"mmm")))</f>
        <v>NOV</v>
      </c>
      <c r="L449" s="79">
        <f>IF(tbRegistroSaidas[[#This Row],[DATA DA COMPETÊNCIA]]="N/A",0,YEAR(tbRegistroSaidas[[#This Row],[DATA DA COMPETÊNCIA]]))</f>
        <v>2021</v>
      </c>
      <c r="M449" s="5" t="str">
        <f>IF(tbRegistroSaidas[[#This Row],[DATA DO CAIXA PREVISTO]]="N/A","0",UPPER(TEXT(tbRegistroSaidas[[#This Row],[DATA DO CAIXA PREVISTO]],"mmm")))</f>
        <v>NOV</v>
      </c>
      <c r="N449" s="5">
        <f>IF(tbRegistroSaidas[[#This Row],[DATA DO CAIXA PREVISTO]]="N/A",0,YEAR(tbRegistroSaidas[[#This Row],[DATA DO CAIXA PREVISTO]]))</f>
        <v>2021</v>
      </c>
    </row>
    <row r="450" spans="1:14" s="5" customFormat="1" ht="14.4" x14ac:dyDescent="0.3">
      <c r="A450" s="49">
        <v>44208</v>
      </c>
      <c r="B450" s="49">
        <f t="shared" si="12"/>
        <v>44177</v>
      </c>
      <c r="C450" s="49">
        <f t="shared" si="13"/>
        <v>44193</v>
      </c>
      <c r="D450" s="52" t="s">
        <v>61</v>
      </c>
      <c r="E450" s="52" t="s">
        <v>1543</v>
      </c>
      <c r="F450" s="52" t="s">
        <v>19</v>
      </c>
      <c r="G450" s="52" t="s">
        <v>1491</v>
      </c>
      <c r="H450" s="18">
        <v>2417</v>
      </c>
      <c r="I450" s="5">
        <f>IF(tbRegistroSaidas[[#This Row],[DATA DE CAIXA REALIZADO]]="N/A",0,YEAR(tbRegistroSaidas[[#This Row],[DATA DE CAIXA REALIZADO]]))</f>
        <v>2021</v>
      </c>
      <c r="J450" s="5" t="str">
        <f>IF(tbRegistroSaidas[[#This Row],[DATA DE CAIXA REALIZADO]]="N/A","0",UPPER(TEXT(tbRegistroSaidas[[#This Row],[DATA DE CAIXA REALIZADO]],"mmm")))</f>
        <v>JAN</v>
      </c>
      <c r="K450" s="79" t="str">
        <f>IF(tbRegistroSaidas[[#This Row],[DATA DA COMPETÊNCIA]]="N/A","0",UPPER(TEXT(tbRegistroSaidas[[#This Row],[DATA DA COMPETÊNCIA]],"mmm")))</f>
        <v>DEZ</v>
      </c>
      <c r="L450" s="79">
        <f>IF(tbRegistroSaidas[[#This Row],[DATA DA COMPETÊNCIA]]="N/A",0,YEAR(tbRegistroSaidas[[#This Row],[DATA DA COMPETÊNCIA]]))</f>
        <v>2020</v>
      </c>
      <c r="M450" s="5" t="str">
        <f>IF(tbRegistroSaidas[[#This Row],[DATA DO CAIXA PREVISTO]]="N/A","0",UPPER(TEXT(tbRegistroSaidas[[#This Row],[DATA DO CAIXA PREVISTO]],"mmm")))</f>
        <v>DEZ</v>
      </c>
      <c r="N450" s="5">
        <f>IF(tbRegistroSaidas[[#This Row],[DATA DO CAIXA PREVISTO]]="N/A",0,YEAR(tbRegistroSaidas[[#This Row],[DATA DO CAIXA PREVISTO]]))</f>
        <v>2020</v>
      </c>
    </row>
    <row r="451" spans="1:14" s="5" customFormat="1" ht="14.4" x14ac:dyDescent="0.3">
      <c r="A451" s="49">
        <v>44367</v>
      </c>
      <c r="B451" s="49">
        <f t="shared" si="12"/>
        <v>44336</v>
      </c>
      <c r="C451" s="49">
        <f t="shared" si="13"/>
        <v>44352</v>
      </c>
      <c r="D451" s="52" t="s">
        <v>63</v>
      </c>
      <c r="E451" s="52" t="s">
        <v>1543</v>
      </c>
      <c r="F451" s="52" t="s">
        <v>18</v>
      </c>
      <c r="G451" s="52" t="s">
        <v>1492</v>
      </c>
      <c r="H451" s="18">
        <v>3467</v>
      </c>
      <c r="I451" s="5">
        <f>IF(tbRegistroSaidas[[#This Row],[DATA DE CAIXA REALIZADO]]="N/A",0,YEAR(tbRegistroSaidas[[#This Row],[DATA DE CAIXA REALIZADO]]))</f>
        <v>2021</v>
      </c>
      <c r="J451" s="5" t="str">
        <f>IF(tbRegistroSaidas[[#This Row],[DATA DE CAIXA REALIZADO]]="N/A","0",UPPER(TEXT(tbRegistroSaidas[[#This Row],[DATA DE CAIXA REALIZADO]],"mmm")))</f>
        <v>JUN</v>
      </c>
      <c r="K451" s="79" t="str">
        <f>IF(tbRegistroSaidas[[#This Row],[DATA DA COMPETÊNCIA]]="N/A","0",UPPER(TEXT(tbRegistroSaidas[[#This Row],[DATA DA COMPETÊNCIA]],"mmm")))</f>
        <v>MAI</v>
      </c>
      <c r="L451" s="79">
        <f>IF(tbRegistroSaidas[[#This Row],[DATA DA COMPETÊNCIA]]="N/A",0,YEAR(tbRegistroSaidas[[#This Row],[DATA DA COMPETÊNCIA]]))</f>
        <v>2021</v>
      </c>
      <c r="M451" s="5" t="str">
        <f>IF(tbRegistroSaidas[[#This Row],[DATA DO CAIXA PREVISTO]]="N/A","0",UPPER(TEXT(tbRegistroSaidas[[#This Row],[DATA DO CAIXA PREVISTO]],"mmm")))</f>
        <v>JUN</v>
      </c>
      <c r="N451" s="5">
        <f>IF(tbRegistroSaidas[[#This Row],[DATA DO CAIXA PREVISTO]]="N/A",0,YEAR(tbRegistroSaidas[[#This Row],[DATA DO CAIXA PREVISTO]]))</f>
        <v>2021</v>
      </c>
    </row>
    <row r="452" spans="1:14" s="5" customFormat="1" ht="14.4" x14ac:dyDescent="0.3">
      <c r="A452" s="49">
        <v>44688</v>
      </c>
      <c r="B452" s="49">
        <f t="shared" si="12"/>
        <v>44657</v>
      </c>
      <c r="C452" s="49">
        <f t="shared" si="13"/>
        <v>44673</v>
      </c>
      <c r="D452" s="52" t="s">
        <v>138</v>
      </c>
      <c r="E452" s="52" t="s">
        <v>1543</v>
      </c>
      <c r="F452" s="52" t="s">
        <v>16</v>
      </c>
      <c r="G452" s="52" t="s">
        <v>1493</v>
      </c>
      <c r="H452" s="18">
        <v>1592</v>
      </c>
      <c r="I452" s="5">
        <f>IF(tbRegistroSaidas[[#This Row],[DATA DE CAIXA REALIZADO]]="N/A",0,YEAR(tbRegistroSaidas[[#This Row],[DATA DE CAIXA REALIZADO]]))</f>
        <v>2022</v>
      </c>
      <c r="J452" s="5" t="str">
        <f>IF(tbRegistroSaidas[[#This Row],[DATA DE CAIXA REALIZADO]]="N/A","0",UPPER(TEXT(tbRegistroSaidas[[#This Row],[DATA DE CAIXA REALIZADO]],"mmm")))</f>
        <v>MAI</v>
      </c>
      <c r="K452" s="79" t="str">
        <f>IF(tbRegistroSaidas[[#This Row],[DATA DA COMPETÊNCIA]]="N/A","0",UPPER(TEXT(tbRegistroSaidas[[#This Row],[DATA DA COMPETÊNCIA]],"mmm")))</f>
        <v>ABR</v>
      </c>
      <c r="L452" s="79">
        <f>IF(tbRegistroSaidas[[#This Row],[DATA DA COMPETÊNCIA]]="N/A",0,YEAR(tbRegistroSaidas[[#This Row],[DATA DA COMPETÊNCIA]]))</f>
        <v>2022</v>
      </c>
      <c r="M452" s="5" t="str">
        <f>IF(tbRegistroSaidas[[#This Row],[DATA DO CAIXA PREVISTO]]="N/A","0",UPPER(TEXT(tbRegistroSaidas[[#This Row],[DATA DO CAIXA PREVISTO]],"mmm")))</f>
        <v>ABR</v>
      </c>
      <c r="N452" s="5">
        <f>IF(tbRegistroSaidas[[#This Row],[DATA DO CAIXA PREVISTO]]="N/A",0,YEAR(tbRegistroSaidas[[#This Row],[DATA DO CAIXA PREVISTO]]))</f>
        <v>2022</v>
      </c>
    </row>
    <row r="453" spans="1:14" s="5" customFormat="1" ht="14.4" x14ac:dyDescent="0.3">
      <c r="A453" s="49">
        <v>44689</v>
      </c>
      <c r="B453" s="49">
        <f t="shared" si="12"/>
        <v>44658</v>
      </c>
      <c r="C453" s="49">
        <f t="shared" si="13"/>
        <v>44674</v>
      </c>
      <c r="D453" s="52" t="s">
        <v>64</v>
      </c>
      <c r="E453" s="52" t="s">
        <v>1543</v>
      </c>
      <c r="F453" s="52" t="s">
        <v>17</v>
      </c>
      <c r="G453" s="52" t="s">
        <v>1494</v>
      </c>
      <c r="H453" s="18">
        <v>1264</v>
      </c>
      <c r="I453" s="5">
        <f>IF(tbRegistroSaidas[[#This Row],[DATA DE CAIXA REALIZADO]]="N/A",0,YEAR(tbRegistroSaidas[[#This Row],[DATA DE CAIXA REALIZADO]]))</f>
        <v>2022</v>
      </c>
      <c r="J453" s="5" t="str">
        <f>IF(tbRegistroSaidas[[#This Row],[DATA DE CAIXA REALIZADO]]="N/A","0",UPPER(TEXT(tbRegistroSaidas[[#This Row],[DATA DE CAIXA REALIZADO]],"mmm")))</f>
        <v>MAI</v>
      </c>
      <c r="K453" s="79" t="str">
        <f>IF(tbRegistroSaidas[[#This Row],[DATA DA COMPETÊNCIA]]="N/A","0",UPPER(TEXT(tbRegistroSaidas[[#This Row],[DATA DA COMPETÊNCIA]],"mmm")))</f>
        <v>ABR</v>
      </c>
      <c r="L453" s="79">
        <f>IF(tbRegistroSaidas[[#This Row],[DATA DA COMPETÊNCIA]]="N/A",0,YEAR(tbRegistroSaidas[[#This Row],[DATA DA COMPETÊNCIA]]))</f>
        <v>2022</v>
      </c>
      <c r="M453" s="5" t="str">
        <f>IF(tbRegistroSaidas[[#This Row],[DATA DO CAIXA PREVISTO]]="N/A","0",UPPER(TEXT(tbRegistroSaidas[[#This Row],[DATA DO CAIXA PREVISTO]],"mmm")))</f>
        <v>ABR</v>
      </c>
      <c r="N453" s="5">
        <f>IF(tbRegistroSaidas[[#This Row],[DATA DO CAIXA PREVISTO]]="N/A",0,YEAR(tbRegistroSaidas[[#This Row],[DATA DO CAIXA PREVISTO]]))</f>
        <v>2022</v>
      </c>
    </row>
    <row r="454" spans="1:14" s="5" customFormat="1" ht="14.4" x14ac:dyDescent="0.3">
      <c r="A454" s="49">
        <v>45242</v>
      </c>
      <c r="B454" s="49">
        <f t="shared" si="12"/>
        <v>45211</v>
      </c>
      <c r="C454" s="49">
        <f t="shared" si="13"/>
        <v>45227</v>
      </c>
      <c r="D454" s="52" t="s">
        <v>63</v>
      </c>
      <c r="E454" s="52" t="s">
        <v>1543</v>
      </c>
      <c r="F454" s="52" t="s">
        <v>17</v>
      </c>
      <c r="G454" s="52" t="s">
        <v>1495</v>
      </c>
      <c r="H454" s="18">
        <v>204</v>
      </c>
      <c r="I454" s="5">
        <f>IF(tbRegistroSaidas[[#This Row],[DATA DE CAIXA REALIZADO]]="N/A",0,YEAR(tbRegistroSaidas[[#This Row],[DATA DE CAIXA REALIZADO]]))</f>
        <v>2023</v>
      </c>
      <c r="J454" s="5" t="str">
        <f>IF(tbRegistroSaidas[[#This Row],[DATA DE CAIXA REALIZADO]]="N/A","0",UPPER(TEXT(tbRegistroSaidas[[#This Row],[DATA DE CAIXA REALIZADO]],"mmm")))</f>
        <v>NOV</v>
      </c>
      <c r="K454" s="79" t="str">
        <f>IF(tbRegistroSaidas[[#This Row],[DATA DA COMPETÊNCIA]]="N/A","0",UPPER(TEXT(tbRegistroSaidas[[#This Row],[DATA DA COMPETÊNCIA]],"mmm")))</f>
        <v>OUT</v>
      </c>
      <c r="L454" s="79">
        <f>IF(tbRegistroSaidas[[#This Row],[DATA DA COMPETÊNCIA]]="N/A",0,YEAR(tbRegistroSaidas[[#This Row],[DATA DA COMPETÊNCIA]]))</f>
        <v>2023</v>
      </c>
      <c r="M454" s="5" t="str">
        <f>IF(tbRegistroSaidas[[#This Row],[DATA DO CAIXA PREVISTO]]="N/A","0",UPPER(TEXT(tbRegistroSaidas[[#This Row],[DATA DO CAIXA PREVISTO]],"mmm")))</f>
        <v>OUT</v>
      </c>
      <c r="N454" s="5">
        <f>IF(tbRegistroSaidas[[#This Row],[DATA DO CAIXA PREVISTO]]="N/A",0,YEAR(tbRegistroSaidas[[#This Row],[DATA DO CAIXA PREVISTO]]))</f>
        <v>2023</v>
      </c>
    </row>
    <row r="455" spans="1:14" s="5" customFormat="1" ht="14.4" x14ac:dyDescent="0.3">
      <c r="A455" s="49">
        <v>44233</v>
      </c>
      <c r="B455" s="49">
        <f t="shared" si="12"/>
        <v>44202</v>
      </c>
      <c r="C455" s="49">
        <f t="shared" si="13"/>
        <v>44218</v>
      </c>
      <c r="D455" s="52" t="s">
        <v>63</v>
      </c>
      <c r="E455" s="52" t="s">
        <v>1543</v>
      </c>
      <c r="F455" s="52" t="s">
        <v>18</v>
      </c>
      <c r="G455" s="52" t="s">
        <v>1496</v>
      </c>
      <c r="H455" s="18">
        <v>962</v>
      </c>
      <c r="I455" s="5">
        <f>IF(tbRegistroSaidas[[#This Row],[DATA DE CAIXA REALIZADO]]="N/A",0,YEAR(tbRegistroSaidas[[#This Row],[DATA DE CAIXA REALIZADO]]))</f>
        <v>2021</v>
      </c>
      <c r="J455" s="5" t="str">
        <f>IF(tbRegistroSaidas[[#This Row],[DATA DE CAIXA REALIZADO]]="N/A","0",UPPER(TEXT(tbRegistroSaidas[[#This Row],[DATA DE CAIXA REALIZADO]],"mmm")))</f>
        <v>FEV</v>
      </c>
      <c r="K455" s="79" t="str">
        <f>IF(tbRegistroSaidas[[#This Row],[DATA DA COMPETÊNCIA]]="N/A","0",UPPER(TEXT(tbRegistroSaidas[[#This Row],[DATA DA COMPETÊNCIA]],"mmm")))</f>
        <v>JAN</v>
      </c>
      <c r="L455" s="79">
        <f>IF(tbRegistroSaidas[[#This Row],[DATA DA COMPETÊNCIA]]="N/A",0,YEAR(tbRegistroSaidas[[#This Row],[DATA DA COMPETÊNCIA]]))</f>
        <v>2021</v>
      </c>
      <c r="M455" s="5" t="str">
        <f>IF(tbRegistroSaidas[[#This Row],[DATA DO CAIXA PREVISTO]]="N/A","0",UPPER(TEXT(tbRegistroSaidas[[#This Row],[DATA DO CAIXA PREVISTO]],"mmm")))</f>
        <v>JAN</v>
      </c>
      <c r="N455" s="5">
        <f>IF(tbRegistroSaidas[[#This Row],[DATA DO CAIXA PREVISTO]]="N/A",0,YEAR(tbRegistroSaidas[[#This Row],[DATA DO CAIXA PREVISTO]]))</f>
        <v>2021</v>
      </c>
    </row>
    <row r="456" spans="1:14" s="5" customFormat="1" ht="14.4" x14ac:dyDescent="0.3">
      <c r="A456" s="49">
        <v>45052</v>
      </c>
      <c r="B456" s="49">
        <f t="shared" ref="B456:B506" si="14">A456-31</f>
        <v>45021</v>
      </c>
      <c r="C456" s="49">
        <f t="shared" ref="C456:C506" si="15">A456-B456+B456-15</f>
        <v>45037</v>
      </c>
      <c r="D456" s="52" t="s">
        <v>65</v>
      </c>
      <c r="E456" s="52" t="s">
        <v>1543</v>
      </c>
      <c r="F456" s="52" t="s">
        <v>17</v>
      </c>
      <c r="G456" s="52" t="s">
        <v>1497</v>
      </c>
      <c r="H456" s="18">
        <v>1942</v>
      </c>
      <c r="I456" s="5">
        <f>IF(tbRegistroSaidas[[#This Row],[DATA DE CAIXA REALIZADO]]="N/A",0,YEAR(tbRegistroSaidas[[#This Row],[DATA DE CAIXA REALIZADO]]))</f>
        <v>2023</v>
      </c>
      <c r="J456" s="5" t="str">
        <f>IF(tbRegistroSaidas[[#This Row],[DATA DE CAIXA REALIZADO]]="N/A","0",UPPER(TEXT(tbRegistroSaidas[[#This Row],[DATA DE CAIXA REALIZADO]],"mmm")))</f>
        <v>MAI</v>
      </c>
      <c r="K456" s="79" t="str">
        <f>IF(tbRegistroSaidas[[#This Row],[DATA DA COMPETÊNCIA]]="N/A","0",UPPER(TEXT(tbRegistroSaidas[[#This Row],[DATA DA COMPETÊNCIA]],"mmm")))</f>
        <v>ABR</v>
      </c>
      <c r="L456" s="79">
        <f>IF(tbRegistroSaidas[[#This Row],[DATA DA COMPETÊNCIA]]="N/A",0,YEAR(tbRegistroSaidas[[#This Row],[DATA DA COMPETÊNCIA]]))</f>
        <v>2023</v>
      </c>
      <c r="M456" s="5" t="str">
        <f>IF(tbRegistroSaidas[[#This Row],[DATA DO CAIXA PREVISTO]]="N/A","0",UPPER(TEXT(tbRegistroSaidas[[#This Row],[DATA DO CAIXA PREVISTO]],"mmm")))</f>
        <v>ABR</v>
      </c>
      <c r="N456" s="5">
        <f>IF(tbRegistroSaidas[[#This Row],[DATA DO CAIXA PREVISTO]]="N/A",0,YEAR(tbRegistroSaidas[[#This Row],[DATA DO CAIXA PREVISTO]]))</f>
        <v>2023</v>
      </c>
    </row>
    <row r="457" spans="1:14" s="5" customFormat="1" ht="14.4" x14ac:dyDescent="0.3">
      <c r="A457" s="49">
        <v>45091</v>
      </c>
      <c r="B457" s="49">
        <f t="shared" si="14"/>
        <v>45060</v>
      </c>
      <c r="C457" s="49">
        <f t="shared" si="15"/>
        <v>45076</v>
      </c>
      <c r="D457" s="52" t="s">
        <v>63</v>
      </c>
      <c r="E457" s="52" t="s">
        <v>1543</v>
      </c>
      <c r="F457" s="52" t="s">
        <v>19</v>
      </c>
      <c r="G457" s="52" t="s">
        <v>1498</v>
      </c>
      <c r="H457" s="18">
        <v>338</v>
      </c>
      <c r="I457" s="5">
        <f>IF(tbRegistroSaidas[[#This Row],[DATA DE CAIXA REALIZADO]]="N/A",0,YEAR(tbRegistroSaidas[[#This Row],[DATA DE CAIXA REALIZADO]]))</f>
        <v>2023</v>
      </c>
      <c r="J457" s="5" t="str">
        <f>IF(tbRegistroSaidas[[#This Row],[DATA DE CAIXA REALIZADO]]="N/A","0",UPPER(TEXT(tbRegistroSaidas[[#This Row],[DATA DE CAIXA REALIZADO]],"mmm")))</f>
        <v>JUN</v>
      </c>
      <c r="K457" s="79" t="str">
        <f>IF(tbRegistroSaidas[[#This Row],[DATA DA COMPETÊNCIA]]="N/A","0",UPPER(TEXT(tbRegistroSaidas[[#This Row],[DATA DA COMPETÊNCIA]],"mmm")))</f>
        <v>MAI</v>
      </c>
      <c r="L457" s="79">
        <f>IF(tbRegistroSaidas[[#This Row],[DATA DA COMPETÊNCIA]]="N/A",0,YEAR(tbRegistroSaidas[[#This Row],[DATA DA COMPETÊNCIA]]))</f>
        <v>2023</v>
      </c>
      <c r="M457" s="5" t="str">
        <f>IF(tbRegistroSaidas[[#This Row],[DATA DO CAIXA PREVISTO]]="N/A","0",UPPER(TEXT(tbRegistroSaidas[[#This Row],[DATA DO CAIXA PREVISTO]],"mmm")))</f>
        <v>MAI</v>
      </c>
      <c r="N457" s="5">
        <f>IF(tbRegistroSaidas[[#This Row],[DATA DO CAIXA PREVISTO]]="N/A",0,YEAR(tbRegistroSaidas[[#This Row],[DATA DO CAIXA PREVISTO]]))</f>
        <v>2023</v>
      </c>
    </row>
    <row r="458" spans="1:14" s="5" customFormat="1" ht="14.4" x14ac:dyDescent="0.3">
      <c r="A458" s="49">
        <v>44933</v>
      </c>
      <c r="B458" s="49">
        <f t="shared" si="14"/>
        <v>44902</v>
      </c>
      <c r="C458" s="49">
        <f t="shared" si="15"/>
        <v>44918</v>
      </c>
      <c r="D458" s="52" t="s">
        <v>64</v>
      </c>
      <c r="E458" s="52" t="s">
        <v>1543</v>
      </c>
      <c r="F458" s="52" t="s">
        <v>18</v>
      </c>
      <c r="G458" s="52" t="s">
        <v>1499</v>
      </c>
      <c r="H458" s="18">
        <v>2464</v>
      </c>
      <c r="I458" s="5">
        <f>IF(tbRegistroSaidas[[#This Row],[DATA DE CAIXA REALIZADO]]="N/A",0,YEAR(tbRegistroSaidas[[#This Row],[DATA DE CAIXA REALIZADO]]))</f>
        <v>2023</v>
      </c>
      <c r="J458" s="5" t="str">
        <f>IF(tbRegistroSaidas[[#This Row],[DATA DE CAIXA REALIZADO]]="N/A","0",UPPER(TEXT(tbRegistroSaidas[[#This Row],[DATA DE CAIXA REALIZADO]],"mmm")))</f>
        <v>JAN</v>
      </c>
      <c r="K458" s="79" t="str">
        <f>IF(tbRegistroSaidas[[#This Row],[DATA DA COMPETÊNCIA]]="N/A","0",UPPER(TEXT(tbRegistroSaidas[[#This Row],[DATA DA COMPETÊNCIA]],"mmm")))</f>
        <v>DEZ</v>
      </c>
      <c r="L458" s="79">
        <f>IF(tbRegistroSaidas[[#This Row],[DATA DA COMPETÊNCIA]]="N/A",0,YEAR(tbRegistroSaidas[[#This Row],[DATA DA COMPETÊNCIA]]))</f>
        <v>2022</v>
      </c>
      <c r="M458" s="5" t="str">
        <f>IF(tbRegistroSaidas[[#This Row],[DATA DO CAIXA PREVISTO]]="N/A","0",UPPER(TEXT(tbRegistroSaidas[[#This Row],[DATA DO CAIXA PREVISTO]],"mmm")))</f>
        <v>DEZ</v>
      </c>
      <c r="N458" s="5">
        <f>IF(tbRegistroSaidas[[#This Row],[DATA DO CAIXA PREVISTO]]="N/A",0,YEAR(tbRegistroSaidas[[#This Row],[DATA DO CAIXA PREVISTO]]))</f>
        <v>2022</v>
      </c>
    </row>
    <row r="459" spans="1:14" s="5" customFormat="1" ht="14.4" x14ac:dyDescent="0.3">
      <c r="A459" s="49">
        <v>44340</v>
      </c>
      <c r="B459" s="49">
        <f t="shared" si="14"/>
        <v>44309</v>
      </c>
      <c r="C459" s="49">
        <f t="shared" si="15"/>
        <v>44325</v>
      </c>
      <c r="D459" s="52" t="s">
        <v>65</v>
      </c>
      <c r="E459" s="52" t="s">
        <v>1543</v>
      </c>
      <c r="F459" s="52" t="s">
        <v>19</v>
      </c>
      <c r="G459" s="52" t="s">
        <v>1500</v>
      </c>
      <c r="H459" s="18">
        <v>744</v>
      </c>
      <c r="I459" s="5">
        <f>IF(tbRegistroSaidas[[#This Row],[DATA DE CAIXA REALIZADO]]="N/A",0,YEAR(tbRegistroSaidas[[#This Row],[DATA DE CAIXA REALIZADO]]))</f>
        <v>2021</v>
      </c>
      <c r="J459" s="5" t="str">
        <f>IF(tbRegistroSaidas[[#This Row],[DATA DE CAIXA REALIZADO]]="N/A","0",UPPER(TEXT(tbRegistroSaidas[[#This Row],[DATA DE CAIXA REALIZADO]],"mmm")))</f>
        <v>MAI</v>
      </c>
      <c r="K459" s="79" t="str">
        <f>IF(tbRegistroSaidas[[#This Row],[DATA DA COMPETÊNCIA]]="N/A","0",UPPER(TEXT(tbRegistroSaidas[[#This Row],[DATA DA COMPETÊNCIA]],"mmm")))</f>
        <v>ABR</v>
      </c>
      <c r="L459" s="79">
        <f>IF(tbRegistroSaidas[[#This Row],[DATA DA COMPETÊNCIA]]="N/A",0,YEAR(tbRegistroSaidas[[#This Row],[DATA DA COMPETÊNCIA]]))</f>
        <v>2021</v>
      </c>
      <c r="M459" s="5" t="str">
        <f>IF(tbRegistroSaidas[[#This Row],[DATA DO CAIXA PREVISTO]]="N/A","0",UPPER(TEXT(tbRegistroSaidas[[#This Row],[DATA DO CAIXA PREVISTO]],"mmm")))</f>
        <v>MAI</v>
      </c>
      <c r="N459" s="5">
        <f>IF(tbRegistroSaidas[[#This Row],[DATA DO CAIXA PREVISTO]]="N/A",0,YEAR(tbRegistroSaidas[[#This Row],[DATA DO CAIXA PREVISTO]]))</f>
        <v>2021</v>
      </c>
    </row>
    <row r="460" spans="1:14" s="5" customFormat="1" ht="14.4" x14ac:dyDescent="0.3">
      <c r="A460" s="49">
        <v>45203</v>
      </c>
      <c r="B460" s="49">
        <f t="shared" si="14"/>
        <v>45172</v>
      </c>
      <c r="C460" s="49">
        <f t="shared" si="15"/>
        <v>45188</v>
      </c>
      <c r="D460" s="52" t="s">
        <v>65</v>
      </c>
      <c r="E460" s="52" t="s">
        <v>1543</v>
      </c>
      <c r="F460" s="52" t="s">
        <v>18</v>
      </c>
      <c r="G460" s="52" t="s">
        <v>1501</v>
      </c>
      <c r="H460" s="18">
        <v>3239</v>
      </c>
      <c r="I460" s="5">
        <f>IF(tbRegistroSaidas[[#This Row],[DATA DE CAIXA REALIZADO]]="N/A",0,YEAR(tbRegistroSaidas[[#This Row],[DATA DE CAIXA REALIZADO]]))</f>
        <v>2023</v>
      </c>
      <c r="J460" s="5" t="str">
        <f>IF(tbRegistroSaidas[[#This Row],[DATA DE CAIXA REALIZADO]]="N/A","0",UPPER(TEXT(tbRegistroSaidas[[#This Row],[DATA DE CAIXA REALIZADO]],"mmm")))</f>
        <v>OUT</v>
      </c>
      <c r="K460" s="79" t="str">
        <f>IF(tbRegistroSaidas[[#This Row],[DATA DA COMPETÊNCIA]]="N/A","0",UPPER(TEXT(tbRegistroSaidas[[#This Row],[DATA DA COMPETÊNCIA]],"mmm")))</f>
        <v>SET</v>
      </c>
      <c r="L460" s="79">
        <f>IF(tbRegistroSaidas[[#This Row],[DATA DA COMPETÊNCIA]]="N/A",0,YEAR(tbRegistroSaidas[[#This Row],[DATA DA COMPETÊNCIA]]))</f>
        <v>2023</v>
      </c>
      <c r="M460" s="5" t="str">
        <f>IF(tbRegistroSaidas[[#This Row],[DATA DO CAIXA PREVISTO]]="N/A","0",UPPER(TEXT(tbRegistroSaidas[[#This Row],[DATA DO CAIXA PREVISTO]],"mmm")))</f>
        <v>SET</v>
      </c>
      <c r="N460" s="5">
        <f>IF(tbRegistroSaidas[[#This Row],[DATA DO CAIXA PREVISTO]]="N/A",0,YEAR(tbRegistroSaidas[[#This Row],[DATA DO CAIXA PREVISTO]]))</f>
        <v>2023</v>
      </c>
    </row>
    <row r="461" spans="1:14" s="5" customFormat="1" ht="14.4" x14ac:dyDescent="0.3">
      <c r="A461" s="49">
        <v>44248</v>
      </c>
      <c r="B461" s="49">
        <f t="shared" si="14"/>
        <v>44217</v>
      </c>
      <c r="C461" s="49">
        <f t="shared" si="15"/>
        <v>44233</v>
      </c>
      <c r="D461" s="52" t="s">
        <v>137</v>
      </c>
      <c r="E461" s="52" t="s">
        <v>1543</v>
      </c>
      <c r="F461" s="52" t="s">
        <v>19</v>
      </c>
      <c r="G461" s="52" t="s">
        <v>1502</v>
      </c>
      <c r="H461" s="18">
        <v>2457</v>
      </c>
      <c r="I461" s="5">
        <f>IF(tbRegistroSaidas[[#This Row],[DATA DE CAIXA REALIZADO]]="N/A",0,YEAR(tbRegistroSaidas[[#This Row],[DATA DE CAIXA REALIZADO]]))</f>
        <v>2021</v>
      </c>
      <c r="J461" s="5" t="str">
        <f>IF(tbRegistroSaidas[[#This Row],[DATA DE CAIXA REALIZADO]]="N/A","0",UPPER(TEXT(tbRegistroSaidas[[#This Row],[DATA DE CAIXA REALIZADO]],"mmm")))</f>
        <v>FEV</v>
      </c>
      <c r="K461" s="79" t="str">
        <f>IF(tbRegistroSaidas[[#This Row],[DATA DA COMPETÊNCIA]]="N/A","0",UPPER(TEXT(tbRegistroSaidas[[#This Row],[DATA DA COMPETÊNCIA]],"mmm")))</f>
        <v>JAN</v>
      </c>
      <c r="L461" s="79">
        <f>IF(tbRegistroSaidas[[#This Row],[DATA DA COMPETÊNCIA]]="N/A",0,YEAR(tbRegistroSaidas[[#This Row],[DATA DA COMPETÊNCIA]]))</f>
        <v>2021</v>
      </c>
      <c r="M461" s="5" t="str">
        <f>IF(tbRegistroSaidas[[#This Row],[DATA DO CAIXA PREVISTO]]="N/A","0",UPPER(TEXT(tbRegistroSaidas[[#This Row],[DATA DO CAIXA PREVISTO]],"mmm")))</f>
        <v>FEV</v>
      </c>
      <c r="N461" s="5">
        <f>IF(tbRegistroSaidas[[#This Row],[DATA DO CAIXA PREVISTO]]="N/A",0,YEAR(tbRegistroSaidas[[#This Row],[DATA DO CAIXA PREVISTO]]))</f>
        <v>2021</v>
      </c>
    </row>
    <row r="462" spans="1:14" s="5" customFormat="1" ht="14.4" x14ac:dyDescent="0.3">
      <c r="A462" s="49">
        <v>44340</v>
      </c>
      <c r="B462" s="49">
        <f t="shared" si="14"/>
        <v>44309</v>
      </c>
      <c r="C462" s="49">
        <f t="shared" si="15"/>
        <v>44325</v>
      </c>
      <c r="D462" s="52" t="s">
        <v>137</v>
      </c>
      <c r="E462" s="52" t="s">
        <v>1543</v>
      </c>
      <c r="F462" s="52" t="s">
        <v>16</v>
      </c>
      <c r="G462" s="52" t="s">
        <v>1503</v>
      </c>
      <c r="H462" s="18">
        <v>3305</v>
      </c>
      <c r="I462" s="5">
        <f>IF(tbRegistroSaidas[[#This Row],[DATA DE CAIXA REALIZADO]]="N/A",0,YEAR(tbRegistroSaidas[[#This Row],[DATA DE CAIXA REALIZADO]]))</f>
        <v>2021</v>
      </c>
      <c r="J462" s="5" t="str">
        <f>IF(tbRegistroSaidas[[#This Row],[DATA DE CAIXA REALIZADO]]="N/A","0",UPPER(TEXT(tbRegistroSaidas[[#This Row],[DATA DE CAIXA REALIZADO]],"mmm")))</f>
        <v>MAI</v>
      </c>
      <c r="K462" s="79" t="str">
        <f>IF(tbRegistroSaidas[[#This Row],[DATA DA COMPETÊNCIA]]="N/A","0",UPPER(TEXT(tbRegistroSaidas[[#This Row],[DATA DA COMPETÊNCIA]],"mmm")))</f>
        <v>ABR</v>
      </c>
      <c r="L462" s="79">
        <f>IF(tbRegistroSaidas[[#This Row],[DATA DA COMPETÊNCIA]]="N/A",0,YEAR(tbRegistroSaidas[[#This Row],[DATA DA COMPETÊNCIA]]))</f>
        <v>2021</v>
      </c>
      <c r="M462" s="5" t="str">
        <f>IF(tbRegistroSaidas[[#This Row],[DATA DO CAIXA PREVISTO]]="N/A","0",UPPER(TEXT(tbRegistroSaidas[[#This Row],[DATA DO CAIXA PREVISTO]],"mmm")))</f>
        <v>MAI</v>
      </c>
      <c r="N462" s="5">
        <f>IF(tbRegistroSaidas[[#This Row],[DATA DO CAIXA PREVISTO]]="N/A",0,YEAR(tbRegistroSaidas[[#This Row],[DATA DO CAIXA PREVISTO]]))</f>
        <v>2021</v>
      </c>
    </row>
    <row r="463" spans="1:14" s="5" customFormat="1" ht="14.4" x14ac:dyDescent="0.3">
      <c r="A463" s="49">
        <v>45163</v>
      </c>
      <c r="B463" s="49">
        <f t="shared" si="14"/>
        <v>45132</v>
      </c>
      <c r="C463" s="49">
        <f t="shared" si="15"/>
        <v>45148</v>
      </c>
      <c r="D463" s="52" t="s">
        <v>66</v>
      </c>
      <c r="E463" s="52" t="s">
        <v>1543</v>
      </c>
      <c r="F463" s="52" t="s">
        <v>18</v>
      </c>
      <c r="G463" s="52" t="s">
        <v>1269</v>
      </c>
      <c r="H463" s="18">
        <v>936</v>
      </c>
      <c r="I463" s="5">
        <f>IF(tbRegistroSaidas[[#This Row],[DATA DE CAIXA REALIZADO]]="N/A",0,YEAR(tbRegistroSaidas[[#This Row],[DATA DE CAIXA REALIZADO]]))</f>
        <v>2023</v>
      </c>
      <c r="J463" s="5" t="str">
        <f>IF(tbRegistroSaidas[[#This Row],[DATA DE CAIXA REALIZADO]]="N/A","0",UPPER(TEXT(tbRegistroSaidas[[#This Row],[DATA DE CAIXA REALIZADO]],"mmm")))</f>
        <v>AGO</v>
      </c>
      <c r="K463" s="79" t="str">
        <f>IF(tbRegistroSaidas[[#This Row],[DATA DA COMPETÊNCIA]]="N/A","0",UPPER(TEXT(tbRegistroSaidas[[#This Row],[DATA DA COMPETÊNCIA]],"mmm")))</f>
        <v>JUL</v>
      </c>
      <c r="L463" s="79">
        <f>IF(tbRegistroSaidas[[#This Row],[DATA DA COMPETÊNCIA]]="N/A",0,YEAR(tbRegistroSaidas[[#This Row],[DATA DA COMPETÊNCIA]]))</f>
        <v>2023</v>
      </c>
      <c r="M463" s="5" t="str">
        <f>IF(tbRegistroSaidas[[#This Row],[DATA DO CAIXA PREVISTO]]="N/A","0",UPPER(TEXT(tbRegistroSaidas[[#This Row],[DATA DO CAIXA PREVISTO]],"mmm")))</f>
        <v>AGO</v>
      </c>
      <c r="N463" s="5">
        <f>IF(tbRegistroSaidas[[#This Row],[DATA DO CAIXA PREVISTO]]="N/A",0,YEAR(tbRegistroSaidas[[#This Row],[DATA DO CAIXA PREVISTO]]))</f>
        <v>2023</v>
      </c>
    </row>
    <row r="464" spans="1:14" s="5" customFormat="1" ht="14.4" x14ac:dyDescent="0.3">
      <c r="A464" s="49">
        <v>44318</v>
      </c>
      <c r="B464" s="49">
        <f t="shared" si="14"/>
        <v>44287</v>
      </c>
      <c r="C464" s="49">
        <f t="shared" si="15"/>
        <v>44303</v>
      </c>
      <c r="D464" s="52" t="s">
        <v>67</v>
      </c>
      <c r="E464" s="52" t="s">
        <v>1543</v>
      </c>
      <c r="F464" s="52" t="s">
        <v>18</v>
      </c>
      <c r="G464" s="52" t="s">
        <v>1504</v>
      </c>
      <c r="H464" s="18">
        <v>2517</v>
      </c>
      <c r="I464" s="5">
        <f>IF(tbRegistroSaidas[[#This Row],[DATA DE CAIXA REALIZADO]]="N/A",0,YEAR(tbRegistroSaidas[[#This Row],[DATA DE CAIXA REALIZADO]]))</f>
        <v>2021</v>
      </c>
      <c r="J464" s="5" t="str">
        <f>IF(tbRegistroSaidas[[#This Row],[DATA DE CAIXA REALIZADO]]="N/A","0",UPPER(TEXT(tbRegistroSaidas[[#This Row],[DATA DE CAIXA REALIZADO]],"mmm")))</f>
        <v>MAI</v>
      </c>
      <c r="K464" s="79" t="str">
        <f>IF(tbRegistroSaidas[[#This Row],[DATA DA COMPETÊNCIA]]="N/A","0",UPPER(TEXT(tbRegistroSaidas[[#This Row],[DATA DA COMPETÊNCIA]],"mmm")))</f>
        <v>ABR</v>
      </c>
      <c r="L464" s="79">
        <f>IF(tbRegistroSaidas[[#This Row],[DATA DA COMPETÊNCIA]]="N/A",0,YEAR(tbRegistroSaidas[[#This Row],[DATA DA COMPETÊNCIA]]))</f>
        <v>2021</v>
      </c>
      <c r="M464" s="5" t="str">
        <f>IF(tbRegistroSaidas[[#This Row],[DATA DO CAIXA PREVISTO]]="N/A","0",UPPER(TEXT(tbRegistroSaidas[[#This Row],[DATA DO CAIXA PREVISTO]],"mmm")))</f>
        <v>ABR</v>
      </c>
      <c r="N464" s="5">
        <f>IF(tbRegistroSaidas[[#This Row],[DATA DO CAIXA PREVISTO]]="N/A",0,YEAR(tbRegistroSaidas[[#This Row],[DATA DO CAIXA PREVISTO]]))</f>
        <v>2021</v>
      </c>
    </row>
    <row r="465" spans="1:14" s="5" customFormat="1" ht="14.4" x14ac:dyDescent="0.3">
      <c r="A465" s="49">
        <v>44946</v>
      </c>
      <c r="B465" s="49">
        <f t="shared" si="14"/>
        <v>44915</v>
      </c>
      <c r="C465" s="49">
        <f t="shared" si="15"/>
        <v>44931</v>
      </c>
      <c r="D465" s="52" t="s">
        <v>138</v>
      </c>
      <c r="E465" s="52" t="s">
        <v>1543</v>
      </c>
      <c r="F465" s="52" t="s">
        <v>17</v>
      </c>
      <c r="G465" s="52" t="s">
        <v>1505</v>
      </c>
      <c r="H465" s="18">
        <v>609</v>
      </c>
      <c r="I465" s="5">
        <f>IF(tbRegistroSaidas[[#This Row],[DATA DE CAIXA REALIZADO]]="N/A",0,YEAR(tbRegistroSaidas[[#This Row],[DATA DE CAIXA REALIZADO]]))</f>
        <v>2023</v>
      </c>
      <c r="J465" s="5" t="str">
        <f>IF(tbRegistroSaidas[[#This Row],[DATA DE CAIXA REALIZADO]]="N/A","0",UPPER(TEXT(tbRegistroSaidas[[#This Row],[DATA DE CAIXA REALIZADO]],"mmm")))</f>
        <v>JAN</v>
      </c>
      <c r="K465" s="79" t="str">
        <f>IF(tbRegistroSaidas[[#This Row],[DATA DA COMPETÊNCIA]]="N/A","0",UPPER(TEXT(tbRegistroSaidas[[#This Row],[DATA DA COMPETÊNCIA]],"mmm")))</f>
        <v>DEZ</v>
      </c>
      <c r="L465" s="79">
        <f>IF(tbRegistroSaidas[[#This Row],[DATA DA COMPETÊNCIA]]="N/A",0,YEAR(tbRegistroSaidas[[#This Row],[DATA DA COMPETÊNCIA]]))</f>
        <v>2022</v>
      </c>
      <c r="M465" s="5" t="str">
        <f>IF(tbRegistroSaidas[[#This Row],[DATA DO CAIXA PREVISTO]]="N/A","0",UPPER(TEXT(tbRegistroSaidas[[#This Row],[DATA DO CAIXA PREVISTO]],"mmm")))</f>
        <v>JAN</v>
      </c>
      <c r="N465" s="5">
        <f>IF(tbRegistroSaidas[[#This Row],[DATA DO CAIXA PREVISTO]]="N/A",0,YEAR(tbRegistroSaidas[[#This Row],[DATA DO CAIXA PREVISTO]]))</f>
        <v>2023</v>
      </c>
    </row>
    <row r="466" spans="1:14" s="5" customFormat="1" ht="14.4" x14ac:dyDescent="0.3">
      <c r="A466" s="49">
        <v>44992</v>
      </c>
      <c r="B466" s="49">
        <f t="shared" si="14"/>
        <v>44961</v>
      </c>
      <c r="C466" s="49">
        <f t="shared" si="15"/>
        <v>44977</v>
      </c>
      <c r="D466" s="52" t="s">
        <v>65</v>
      </c>
      <c r="E466" s="52" t="s">
        <v>1543</v>
      </c>
      <c r="F466" s="52" t="s">
        <v>19</v>
      </c>
      <c r="G466" s="52" t="s">
        <v>1506</v>
      </c>
      <c r="H466" s="18">
        <v>3432</v>
      </c>
      <c r="I466" s="5">
        <f>IF(tbRegistroSaidas[[#This Row],[DATA DE CAIXA REALIZADO]]="N/A",0,YEAR(tbRegistroSaidas[[#This Row],[DATA DE CAIXA REALIZADO]]))</f>
        <v>2023</v>
      </c>
      <c r="J466" s="5" t="str">
        <f>IF(tbRegistroSaidas[[#This Row],[DATA DE CAIXA REALIZADO]]="N/A","0",UPPER(TEXT(tbRegistroSaidas[[#This Row],[DATA DE CAIXA REALIZADO]],"mmm")))</f>
        <v>MAR</v>
      </c>
      <c r="K466" s="79" t="str">
        <f>IF(tbRegistroSaidas[[#This Row],[DATA DA COMPETÊNCIA]]="N/A","0",UPPER(TEXT(tbRegistroSaidas[[#This Row],[DATA DA COMPETÊNCIA]],"mmm")))</f>
        <v>FEV</v>
      </c>
      <c r="L466" s="79">
        <f>IF(tbRegistroSaidas[[#This Row],[DATA DA COMPETÊNCIA]]="N/A",0,YEAR(tbRegistroSaidas[[#This Row],[DATA DA COMPETÊNCIA]]))</f>
        <v>2023</v>
      </c>
      <c r="M466" s="5" t="str">
        <f>IF(tbRegistroSaidas[[#This Row],[DATA DO CAIXA PREVISTO]]="N/A","0",UPPER(TEXT(tbRegistroSaidas[[#This Row],[DATA DO CAIXA PREVISTO]],"mmm")))</f>
        <v>FEV</v>
      </c>
      <c r="N466" s="5">
        <f>IF(tbRegistroSaidas[[#This Row],[DATA DO CAIXA PREVISTO]]="N/A",0,YEAR(tbRegistroSaidas[[#This Row],[DATA DO CAIXA PREVISTO]]))</f>
        <v>2023</v>
      </c>
    </row>
    <row r="467" spans="1:14" s="5" customFormat="1" ht="14.4" x14ac:dyDescent="0.3">
      <c r="A467" s="49">
        <v>44657</v>
      </c>
      <c r="B467" s="49">
        <f t="shared" si="14"/>
        <v>44626</v>
      </c>
      <c r="C467" s="49">
        <f t="shared" si="15"/>
        <v>44642</v>
      </c>
      <c r="D467" s="52" t="s">
        <v>63</v>
      </c>
      <c r="E467" s="52" t="s">
        <v>1543</v>
      </c>
      <c r="F467" s="52" t="s">
        <v>16</v>
      </c>
      <c r="G467" s="52" t="s">
        <v>1216</v>
      </c>
      <c r="H467" s="18">
        <v>2798</v>
      </c>
      <c r="I467" s="5">
        <f>IF(tbRegistroSaidas[[#This Row],[DATA DE CAIXA REALIZADO]]="N/A",0,YEAR(tbRegistroSaidas[[#This Row],[DATA DE CAIXA REALIZADO]]))</f>
        <v>2022</v>
      </c>
      <c r="J467" s="5" t="str">
        <f>IF(tbRegistroSaidas[[#This Row],[DATA DE CAIXA REALIZADO]]="N/A","0",UPPER(TEXT(tbRegistroSaidas[[#This Row],[DATA DE CAIXA REALIZADO]],"mmm")))</f>
        <v>ABR</v>
      </c>
      <c r="K467" s="79" t="str">
        <f>IF(tbRegistroSaidas[[#This Row],[DATA DA COMPETÊNCIA]]="N/A","0",UPPER(TEXT(tbRegistroSaidas[[#This Row],[DATA DA COMPETÊNCIA]],"mmm")))</f>
        <v>MAR</v>
      </c>
      <c r="L467" s="79">
        <f>IF(tbRegistroSaidas[[#This Row],[DATA DA COMPETÊNCIA]]="N/A",0,YEAR(tbRegistroSaidas[[#This Row],[DATA DA COMPETÊNCIA]]))</f>
        <v>2022</v>
      </c>
      <c r="M467" s="5" t="str">
        <f>IF(tbRegistroSaidas[[#This Row],[DATA DO CAIXA PREVISTO]]="N/A","0",UPPER(TEXT(tbRegistroSaidas[[#This Row],[DATA DO CAIXA PREVISTO]],"mmm")))</f>
        <v>MAR</v>
      </c>
      <c r="N467" s="5">
        <f>IF(tbRegistroSaidas[[#This Row],[DATA DO CAIXA PREVISTO]]="N/A",0,YEAR(tbRegistroSaidas[[#This Row],[DATA DO CAIXA PREVISTO]]))</f>
        <v>2022</v>
      </c>
    </row>
    <row r="468" spans="1:14" s="5" customFormat="1" ht="14.4" x14ac:dyDescent="0.3">
      <c r="A468" s="49">
        <v>45032</v>
      </c>
      <c r="B468" s="49">
        <f t="shared" si="14"/>
        <v>45001</v>
      </c>
      <c r="C468" s="49">
        <f t="shared" si="15"/>
        <v>45017</v>
      </c>
      <c r="D468" s="52" t="s">
        <v>67</v>
      </c>
      <c r="E468" s="52" t="s">
        <v>1543</v>
      </c>
      <c r="F468" s="52" t="s">
        <v>18</v>
      </c>
      <c r="G468" s="52" t="s">
        <v>1507</v>
      </c>
      <c r="H468" s="18">
        <v>3926</v>
      </c>
      <c r="I468" s="5">
        <f>IF(tbRegistroSaidas[[#This Row],[DATA DE CAIXA REALIZADO]]="N/A",0,YEAR(tbRegistroSaidas[[#This Row],[DATA DE CAIXA REALIZADO]]))</f>
        <v>2023</v>
      </c>
      <c r="J468" s="5" t="str">
        <f>IF(tbRegistroSaidas[[#This Row],[DATA DE CAIXA REALIZADO]]="N/A","0",UPPER(TEXT(tbRegistroSaidas[[#This Row],[DATA DE CAIXA REALIZADO]],"mmm")))</f>
        <v>ABR</v>
      </c>
      <c r="K468" s="79" t="str">
        <f>IF(tbRegistroSaidas[[#This Row],[DATA DA COMPETÊNCIA]]="N/A","0",UPPER(TEXT(tbRegistroSaidas[[#This Row],[DATA DA COMPETÊNCIA]],"mmm")))</f>
        <v>MAR</v>
      </c>
      <c r="L468" s="79">
        <f>IF(tbRegistroSaidas[[#This Row],[DATA DA COMPETÊNCIA]]="N/A",0,YEAR(tbRegistroSaidas[[#This Row],[DATA DA COMPETÊNCIA]]))</f>
        <v>2023</v>
      </c>
      <c r="M468" s="5" t="str">
        <f>IF(tbRegistroSaidas[[#This Row],[DATA DO CAIXA PREVISTO]]="N/A","0",UPPER(TEXT(tbRegistroSaidas[[#This Row],[DATA DO CAIXA PREVISTO]],"mmm")))</f>
        <v>ABR</v>
      </c>
      <c r="N468" s="5">
        <f>IF(tbRegistroSaidas[[#This Row],[DATA DO CAIXA PREVISTO]]="N/A",0,YEAR(tbRegistroSaidas[[#This Row],[DATA DO CAIXA PREVISTO]]))</f>
        <v>2023</v>
      </c>
    </row>
    <row r="469" spans="1:14" s="5" customFormat="1" ht="14.4" x14ac:dyDescent="0.3">
      <c r="A469" s="49">
        <v>44825</v>
      </c>
      <c r="B469" s="49">
        <f t="shared" si="14"/>
        <v>44794</v>
      </c>
      <c r="C469" s="49">
        <f t="shared" si="15"/>
        <v>44810</v>
      </c>
      <c r="D469" s="52" t="s">
        <v>67</v>
      </c>
      <c r="E469" s="52" t="s">
        <v>1543</v>
      </c>
      <c r="F469" s="52" t="s">
        <v>32</v>
      </c>
      <c r="G469" s="52" t="s">
        <v>1508</v>
      </c>
      <c r="H469" s="18">
        <v>1213</v>
      </c>
      <c r="I469" s="5">
        <f>IF(tbRegistroSaidas[[#This Row],[DATA DE CAIXA REALIZADO]]="N/A",0,YEAR(tbRegistroSaidas[[#This Row],[DATA DE CAIXA REALIZADO]]))</f>
        <v>2022</v>
      </c>
      <c r="J469" s="5" t="str">
        <f>IF(tbRegistroSaidas[[#This Row],[DATA DE CAIXA REALIZADO]]="N/A","0",UPPER(TEXT(tbRegistroSaidas[[#This Row],[DATA DE CAIXA REALIZADO]],"mmm")))</f>
        <v>SET</v>
      </c>
      <c r="K469" s="79" t="str">
        <f>IF(tbRegistroSaidas[[#This Row],[DATA DA COMPETÊNCIA]]="N/A","0",UPPER(TEXT(tbRegistroSaidas[[#This Row],[DATA DA COMPETÊNCIA]],"mmm")))</f>
        <v>AGO</v>
      </c>
      <c r="L469" s="79">
        <f>IF(tbRegistroSaidas[[#This Row],[DATA DA COMPETÊNCIA]]="N/A",0,YEAR(tbRegistroSaidas[[#This Row],[DATA DA COMPETÊNCIA]]))</f>
        <v>2022</v>
      </c>
      <c r="M469" s="5" t="str">
        <f>IF(tbRegistroSaidas[[#This Row],[DATA DO CAIXA PREVISTO]]="N/A","0",UPPER(TEXT(tbRegistroSaidas[[#This Row],[DATA DO CAIXA PREVISTO]],"mmm")))</f>
        <v>SET</v>
      </c>
      <c r="N469" s="5">
        <f>IF(tbRegistroSaidas[[#This Row],[DATA DO CAIXA PREVISTO]]="N/A",0,YEAR(tbRegistroSaidas[[#This Row],[DATA DO CAIXA PREVISTO]]))</f>
        <v>2022</v>
      </c>
    </row>
    <row r="470" spans="1:14" s="5" customFormat="1" ht="14.4" x14ac:dyDescent="0.3">
      <c r="A470" s="49">
        <v>44649</v>
      </c>
      <c r="B470" s="49">
        <f t="shared" si="14"/>
        <v>44618</v>
      </c>
      <c r="C470" s="49">
        <f t="shared" si="15"/>
        <v>44634</v>
      </c>
      <c r="D470" s="52" t="s">
        <v>64</v>
      </c>
      <c r="E470" s="52" t="s">
        <v>1543</v>
      </c>
      <c r="F470" s="52" t="s">
        <v>18</v>
      </c>
      <c r="G470" s="52" t="s">
        <v>1181</v>
      </c>
      <c r="H470" s="18">
        <v>2234</v>
      </c>
      <c r="I470" s="5">
        <f>IF(tbRegistroSaidas[[#This Row],[DATA DE CAIXA REALIZADO]]="N/A",0,YEAR(tbRegistroSaidas[[#This Row],[DATA DE CAIXA REALIZADO]]))</f>
        <v>2022</v>
      </c>
      <c r="J470" s="5" t="str">
        <f>IF(tbRegistroSaidas[[#This Row],[DATA DE CAIXA REALIZADO]]="N/A","0",UPPER(TEXT(tbRegistroSaidas[[#This Row],[DATA DE CAIXA REALIZADO]],"mmm")))</f>
        <v>MAR</v>
      </c>
      <c r="K470" s="79" t="str">
        <f>IF(tbRegistroSaidas[[#This Row],[DATA DA COMPETÊNCIA]]="N/A","0",UPPER(TEXT(tbRegistroSaidas[[#This Row],[DATA DA COMPETÊNCIA]],"mmm")))</f>
        <v>FEV</v>
      </c>
      <c r="L470" s="79">
        <f>IF(tbRegistroSaidas[[#This Row],[DATA DA COMPETÊNCIA]]="N/A",0,YEAR(tbRegistroSaidas[[#This Row],[DATA DA COMPETÊNCIA]]))</f>
        <v>2022</v>
      </c>
      <c r="M470" s="5" t="str">
        <f>IF(tbRegistroSaidas[[#This Row],[DATA DO CAIXA PREVISTO]]="N/A","0",UPPER(TEXT(tbRegistroSaidas[[#This Row],[DATA DO CAIXA PREVISTO]],"mmm")))</f>
        <v>MAR</v>
      </c>
      <c r="N470" s="5">
        <f>IF(tbRegistroSaidas[[#This Row],[DATA DO CAIXA PREVISTO]]="N/A",0,YEAR(tbRegistroSaidas[[#This Row],[DATA DO CAIXA PREVISTO]]))</f>
        <v>2022</v>
      </c>
    </row>
    <row r="471" spans="1:14" s="5" customFormat="1" ht="14.4" x14ac:dyDescent="0.3">
      <c r="A471" s="49">
        <v>44300</v>
      </c>
      <c r="B471" s="49">
        <f t="shared" si="14"/>
        <v>44269</v>
      </c>
      <c r="C471" s="49">
        <f t="shared" si="15"/>
        <v>44285</v>
      </c>
      <c r="D471" s="52" t="s">
        <v>137</v>
      </c>
      <c r="E471" s="52" t="s">
        <v>1543</v>
      </c>
      <c r="F471" s="52" t="s">
        <v>18</v>
      </c>
      <c r="G471" s="52" t="s">
        <v>1509</v>
      </c>
      <c r="H471" s="18">
        <v>3623</v>
      </c>
      <c r="I471" s="5">
        <f>IF(tbRegistroSaidas[[#This Row],[DATA DE CAIXA REALIZADO]]="N/A",0,YEAR(tbRegistroSaidas[[#This Row],[DATA DE CAIXA REALIZADO]]))</f>
        <v>2021</v>
      </c>
      <c r="J471" s="5" t="str">
        <f>IF(tbRegistroSaidas[[#This Row],[DATA DE CAIXA REALIZADO]]="N/A","0",UPPER(TEXT(tbRegistroSaidas[[#This Row],[DATA DE CAIXA REALIZADO]],"mmm")))</f>
        <v>ABR</v>
      </c>
      <c r="K471" s="79" t="str">
        <f>IF(tbRegistroSaidas[[#This Row],[DATA DA COMPETÊNCIA]]="N/A","0",UPPER(TEXT(tbRegistroSaidas[[#This Row],[DATA DA COMPETÊNCIA]],"mmm")))</f>
        <v>MAR</v>
      </c>
      <c r="L471" s="79">
        <f>IF(tbRegistroSaidas[[#This Row],[DATA DA COMPETÊNCIA]]="N/A",0,YEAR(tbRegistroSaidas[[#This Row],[DATA DA COMPETÊNCIA]]))</f>
        <v>2021</v>
      </c>
      <c r="M471" s="5" t="str">
        <f>IF(tbRegistroSaidas[[#This Row],[DATA DO CAIXA PREVISTO]]="N/A","0",UPPER(TEXT(tbRegistroSaidas[[#This Row],[DATA DO CAIXA PREVISTO]],"mmm")))</f>
        <v>MAR</v>
      </c>
      <c r="N471" s="5">
        <f>IF(tbRegistroSaidas[[#This Row],[DATA DO CAIXA PREVISTO]]="N/A",0,YEAR(tbRegistroSaidas[[#This Row],[DATA DO CAIXA PREVISTO]]))</f>
        <v>2021</v>
      </c>
    </row>
    <row r="472" spans="1:14" s="5" customFormat="1" ht="14.4" x14ac:dyDescent="0.3">
      <c r="A472" s="49">
        <v>44219</v>
      </c>
      <c r="B472" s="49">
        <f t="shared" si="14"/>
        <v>44188</v>
      </c>
      <c r="C472" s="49">
        <f t="shared" si="15"/>
        <v>44204</v>
      </c>
      <c r="D472" s="52" t="s">
        <v>61</v>
      </c>
      <c r="E472" s="52" t="s">
        <v>1543</v>
      </c>
      <c r="F472" s="52" t="s">
        <v>19</v>
      </c>
      <c r="G472" s="52" t="s">
        <v>949</v>
      </c>
      <c r="H472" s="18">
        <v>1914</v>
      </c>
      <c r="I472" s="5">
        <f>IF(tbRegistroSaidas[[#This Row],[DATA DE CAIXA REALIZADO]]="N/A",0,YEAR(tbRegistroSaidas[[#This Row],[DATA DE CAIXA REALIZADO]]))</f>
        <v>2021</v>
      </c>
      <c r="J472" s="5" t="str">
        <f>IF(tbRegistroSaidas[[#This Row],[DATA DE CAIXA REALIZADO]]="N/A","0",UPPER(TEXT(tbRegistroSaidas[[#This Row],[DATA DE CAIXA REALIZADO]],"mmm")))</f>
        <v>JAN</v>
      </c>
      <c r="K472" s="79" t="str">
        <f>IF(tbRegistroSaidas[[#This Row],[DATA DA COMPETÊNCIA]]="N/A","0",UPPER(TEXT(tbRegistroSaidas[[#This Row],[DATA DA COMPETÊNCIA]],"mmm")))</f>
        <v>DEZ</v>
      </c>
      <c r="L472" s="79">
        <f>IF(tbRegistroSaidas[[#This Row],[DATA DA COMPETÊNCIA]]="N/A",0,YEAR(tbRegistroSaidas[[#This Row],[DATA DA COMPETÊNCIA]]))</f>
        <v>2020</v>
      </c>
      <c r="M472" s="5" t="str">
        <f>IF(tbRegistroSaidas[[#This Row],[DATA DO CAIXA PREVISTO]]="N/A","0",UPPER(TEXT(tbRegistroSaidas[[#This Row],[DATA DO CAIXA PREVISTO]],"mmm")))</f>
        <v>JAN</v>
      </c>
      <c r="N472" s="5">
        <f>IF(tbRegistroSaidas[[#This Row],[DATA DO CAIXA PREVISTO]]="N/A",0,YEAR(tbRegistroSaidas[[#This Row],[DATA DO CAIXA PREVISTO]]))</f>
        <v>2021</v>
      </c>
    </row>
    <row r="473" spans="1:14" s="5" customFormat="1" ht="14.4" x14ac:dyDescent="0.3">
      <c r="A473" s="49">
        <v>44544</v>
      </c>
      <c r="B473" s="49">
        <f t="shared" si="14"/>
        <v>44513</v>
      </c>
      <c r="C473" s="49">
        <f t="shared" si="15"/>
        <v>44529</v>
      </c>
      <c r="D473" s="52" t="s">
        <v>63</v>
      </c>
      <c r="E473" s="52" t="s">
        <v>1543</v>
      </c>
      <c r="F473" s="52" t="s">
        <v>16</v>
      </c>
      <c r="G473" s="52" t="s">
        <v>1510</v>
      </c>
      <c r="H473" s="18">
        <v>1548</v>
      </c>
      <c r="I473" s="5">
        <f>IF(tbRegistroSaidas[[#This Row],[DATA DE CAIXA REALIZADO]]="N/A",0,YEAR(tbRegistroSaidas[[#This Row],[DATA DE CAIXA REALIZADO]]))</f>
        <v>2021</v>
      </c>
      <c r="J473" s="5" t="str">
        <f>IF(tbRegistroSaidas[[#This Row],[DATA DE CAIXA REALIZADO]]="N/A","0",UPPER(TEXT(tbRegistroSaidas[[#This Row],[DATA DE CAIXA REALIZADO]],"mmm")))</f>
        <v>DEZ</v>
      </c>
      <c r="K473" s="79" t="str">
        <f>IF(tbRegistroSaidas[[#This Row],[DATA DA COMPETÊNCIA]]="N/A","0",UPPER(TEXT(tbRegistroSaidas[[#This Row],[DATA DA COMPETÊNCIA]],"mmm")))</f>
        <v>NOV</v>
      </c>
      <c r="L473" s="79">
        <f>IF(tbRegistroSaidas[[#This Row],[DATA DA COMPETÊNCIA]]="N/A",0,YEAR(tbRegistroSaidas[[#This Row],[DATA DA COMPETÊNCIA]]))</f>
        <v>2021</v>
      </c>
      <c r="M473" s="5" t="str">
        <f>IF(tbRegistroSaidas[[#This Row],[DATA DO CAIXA PREVISTO]]="N/A","0",UPPER(TEXT(tbRegistroSaidas[[#This Row],[DATA DO CAIXA PREVISTO]],"mmm")))</f>
        <v>NOV</v>
      </c>
      <c r="N473" s="5">
        <f>IF(tbRegistroSaidas[[#This Row],[DATA DO CAIXA PREVISTO]]="N/A",0,YEAR(tbRegistroSaidas[[#This Row],[DATA DO CAIXA PREVISTO]]))</f>
        <v>2021</v>
      </c>
    </row>
    <row r="474" spans="1:14" s="5" customFormat="1" ht="14.4" x14ac:dyDescent="0.3">
      <c r="A474" s="49">
        <v>44977</v>
      </c>
      <c r="B474" s="49">
        <f t="shared" si="14"/>
        <v>44946</v>
      </c>
      <c r="C474" s="49">
        <f t="shared" si="15"/>
        <v>44962</v>
      </c>
      <c r="D474" s="52" t="s">
        <v>137</v>
      </c>
      <c r="E474" s="52" t="s">
        <v>1543</v>
      </c>
      <c r="F474" s="52" t="s">
        <v>17</v>
      </c>
      <c r="G474" s="52" t="s">
        <v>1511</v>
      </c>
      <c r="H474" s="18">
        <v>3834</v>
      </c>
      <c r="I474" s="5">
        <f>IF(tbRegistroSaidas[[#This Row],[DATA DE CAIXA REALIZADO]]="N/A",0,YEAR(tbRegistroSaidas[[#This Row],[DATA DE CAIXA REALIZADO]]))</f>
        <v>2023</v>
      </c>
      <c r="J474" s="5" t="str">
        <f>IF(tbRegistroSaidas[[#This Row],[DATA DE CAIXA REALIZADO]]="N/A","0",UPPER(TEXT(tbRegistroSaidas[[#This Row],[DATA DE CAIXA REALIZADO]],"mmm")))</f>
        <v>FEV</v>
      </c>
      <c r="K474" s="79" t="str">
        <f>IF(tbRegistroSaidas[[#This Row],[DATA DA COMPETÊNCIA]]="N/A","0",UPPER(TEXT(tbRegistroSaidas[[#This Row],[DATA DA COMPETÊNCIA]],"mmm")))</f>
        <v>JAN</v>
      </c>
      <c r="L474" s="79">
        <f>IF(tbRegistroSaidas[[#This Row],[DATA DA COMPETÊNCIA]]="N/A",0,YEAR(tbRegistroSaidas[[#This Row],[DATA DA COMPETÊNCIA]]))</f>
        <v>2023</v>
      </c>
      <c r="M474" s="5" t="str">
        <f>IF(tbRegistroSaidas[[#This Row],[DATA DO CAIXA PREVISTO]]="N/A","0",UPPER(TEXT(tbRegistroSaidas[[#This Row],[DATA DO CAIXA PREVISTO]],"mmm")))</f>
        <v>FEV</v>
      </c>
      <c r="N474" s="5">
        <f>IF(tbRegistroSaidas[[#This Row],[DATA DO CAIXA PREVISTO]]="N/A",0,YEAR(tbRegistroSaidas[[#This Row],[DATA DO CAIXA PREVISTO]]))</f>
        <v>2023</v>
      </c>
    </row>
    <row r="475" spans="1:14" s="5" customFormat="1" ht="14.4" x14ac:dyDescent="0.3">
      <c r="A475" s="49">
        <v>45175</v>
      </c>
      <c r="B475" s="49">
        <f t="shared" si="14"/>
        <v>45144</v>
      </c>
      <c r="C475" s="49">
        <f t="shared" si="15"/>
        <v>45160</v>
      </c>
      <c r="D475" s="52" t="s">
        <v>66</v>
      </c>
      <c r="E475" s="52" t="s">
        <v>1543</v>
      </c>
      <c r="F475" s="52" t="s">
        <v>32</v>
      </c>
      <c r="G475" s="52" t="s">
        <v>1512</v>
      </c>
      <c r="H475" s="18">
        <v>3339</v>
      </c>
      <c r="I475" s="5">
        <f>IF(tbRegistroSaidas[[#This Row],[DATA DE CAIXA REALIZADO]]="N/A",0,YEAR(tbRegistroSaidas[[#This Row],[DATA DE CAIXA REALIZADO]]))</f>
        <v>2023</v>
      </c>
      <c r="J475" s="5" t="str">
        <f>IF(tbRegistroSaidas[[#This Row],[DATA DE CAIXA REALIZADO]]="N/A","0",UPPER(TEXT(tbRegistroSaidas[[#This Row],[DATA DE CAIXA REALIZADO]],"mmm")))</f>
        <v>SET</v>
      </c>
      <c r="K475" s="79" t="str">
        <f>IF(tbRegistroSaidas[[#This Row],[DATA DA COMPETÊNCIA]]="N/A","0",UPPER(TEXT(tbRegistroSaidas[[#This Row],[DATA DA COMPETÊNCIA]],"mmm")))</f>
        <v>AGO</v>
      </c>
      <c r="L475" s="79">
        <f>IF(tbRegistroSaidas[[#This Row],[DATA DA COMPETÊNCIA]]="N/A",0,YEAR(tbRegistroSaidas[[#This Row],[DATA DA COMPETÊNCIA]]))</f>
        <v>2023</v>
      </c>
      <c r="M475" s="5" t="str">
        <f>IF(tbRegistroSaidas[[#This Row],[DATA DO CAIXA PREVISTO]]="N/A","0",UPPER(TEXT(tbRegistroSaidas[[#This Row],[DATA DO CAIXA PREVISTO]],"mmm")))</f>
        <v>AGO</v>
      </c>
      <c r="N475" s="5">
        <f>IF(tbRegistroSaidas[[#This Row],[DATA DO CAIXA PREVISTO]]="N/A",0,YEAR(tbRegistroSaidas[[#This Row],[DATA DO CAIXA PREVISTO]]))</f>
        <v>2023</v>
      </c>
    </row>
    <row r="476" spans="1:14" s="5" customFormat="1" ht="14.4" x14ac:dyDescent="0.3">
      <c r="A476" s="49">
        <v>44910</v>
      </c>
      <c r="B476" s="49">
        <f t="shared" si="14"/>
        <v>44879</v>
      </c>
      <c r="C476" s="49">
        <f t="shared" si="15"/>
        <v>44895</v>
      </c>
      <c r="D476" s="52" t="s">
        <v>64</v>
      </c>
      <c r="E476" s="52" t="s">
        <v>1543</v>
      </c>
      <c r="F476" s="52" t="s">
        <v>18</v>
      </c>
      <c r="G476" s="52" t="s">
        <v>1513</v>
      </c>
      <c r="H476" s="18">
        <v>165</v>
      </c>
      <c r="I476" s="5">
        <f>IF(tbRegistroSaidas[[#This Row],[DATA DE CAIXA REALIZADO]]="N/A",0,YEAR(tbRegistroSaidas[[#This Row],[DATA DE CAIXA REALIZADO]]))</f>
        <v>2022</v>
      </c>
      <c r="J476" s="5" t="str">
        <f>IF(tbRegistroSaidas[[#This Row],[DATA DE CAIXA REALIZADO]]="N/A","0",UPPER(TEXT(tbRegistroSaidas[[#This Row],[DATA DE CAIXA REALIZADO]],"mmm")))</f>
        <v>DEZ</v>
      </c>
      <c r="K476" s="79" t="str">
        <f>IF(tbRegistroSaidas[[#This Row],[DATA DA COMPETÊNCIA]]="N/A","0",UPPER(TEXT(tbRegistroSaidas[[#This Row],[DATA DA COMPETÊNCIA]],"mmm")))</f>
        <v>NOV</v>
      </c>
      <c r="L476" s="79">
        <f>IF(tbRegistroSaidas[[#This Row],[DATA DA COMPETÊNCIA]]="N/A",0,YEAR(tbRegistroSaidas[[#This Row],[DATA DA COMPETÊNCIA]]))</f>
        <v>2022</v>
      </c>
      <c r="M476" s="5" t="str">
        <f>IF(tbRegistroSaidas[[#This Row],[DATA DO CAIXA PREVISTO]]="N/A","0",UPPER(TEXT(tbRegistroSaidas[[#This Row],[DATA DO CAIXA PREVISTO]],"mmm")))</f>
        <v>NOV</v>
      </c>
      <c r="N476" s="5">
        <f>IF(tbRegistroSaidas[[#This Row],[DATA DO CAIXA PREVISTO]]="N/A",0,YEAR(tbRegistroSaidas[[#This Row],[DATA DO CAIXA PREVISTO]]))</f>
        <v>2022</v>
      </c>
    </row>
    <row r="477" spans="1:14" s="5" customFormat="1" ht="14.4" x14ac:dyDescent="0.3">
      <c r="A477" s="49">
        <v>44714</v>
      </c>
      <c r="B477" s="49">
        <f t="shared" si="14"/>
        <v>44683</v>
      </c>
      <c r="C477" s="49">
        <f t="shared" si="15"/>
        <v>44699</v>
      </c>
      <c r="D477" s="52" t="s">
        <v>61</v>
      </c>
      <c r="E477" s="52" t="s">
        <v>1543</v>
      </c>
      <c r="F477" s="52" t="s">
        <v>19</v>
      </c>
      <c r="G477" s="52" t="s">
        <v>1514</v>
      </c>
      <c r="H477" s="18">
        <v>2049</v>
      </c>
      <c r="I477" s="5">
        <f>IF(tbRegistroSaidas[[#This Row],[DATA DE CAIXA REALIZADO]]="N/A",0,YEAR(tbRegistroSaidas[[#This Row],[DATA DE CAIXA REALIZADO]]))</f>
        <v>2022</v>
      </c>
      <c r="J477" s="5" t="str">
        <f>IF(tbRegistroSaidas[[#This Row],[DATA DE CAIXA REALIZADO]]="N/A","0",UPPER(TEXT(tbRegistroSaidas[[#This Row],[DATA DE CAIXA REALIZADO]],"mmm")))</f>
        <v>JUN</v>
      </c>
      <c r="K477" s="79" t="str">
        <f>IF(tbRegistroSaidas[[#This Row],[DATA DA COMPETÊNCIA]]="N/A","0",UPPER(TEXT(tbRegistroSaidas[[#This Row],[DATA DA COMPETÊNCIA]],"mmm")))</f>
        <v>MAI</v>
      </c>
      <c r="L477" s="79">
        <f>IF(tbRegistroSaidas[[#This Row],[DATA DA COMPETÊNCIA]]="N/A",0,YEAR(tbRegistroSaidas[[#This Row],[DATA DA COMPETÊNCIA]]))</f>
        <v>2022</v>
      </c>
      <c r="M477" s="5" t="str">
        <f>IF(tbRegistroSaidas[[#This Row],[DATA DO CAIXA PREVISTO]]="N/A","0",UPPER(TEXT(tbRegistroSaidas[[#This Row],[DATA DO CAIXA PREVISTO]],"mmm")))</f>
        <v>MAI</v>
      </c>
      <c r="N477" s="5">
        <f>IF(tbRegistroSaidas[[#This Row],[DATA DO CAIXA PREVISTO]]="N/A",0,YEAR(tbRegistroSaidas[[#This Row],[DATA DO CAIXA PREVISTO]]))</f>
        <v>2022</v>
      </c>
    </row>
    <row r="478" spans="1:14" s="5" customFormat="1" ht="14.4" x14ac:dyDescent="0.3">
      <c r="A478" s="49">
        <v>44805</v>
      </c>
      <c r="B478" s="49">
        <f t="shared" si="14"/>
        <v>44774</v>
      </c>
      <c r="C478" s="49">
        <f t="shared" si="15"/>
        <v>44790</v>
      </c>
      <c r="D478" s="52" t="s">
        <v>63</v>
      </c>
      <c r="E478" s="52" t="s">
        <v>1543</v>
      </c>
      <c r="F478" s="52" t="s">
        <v>17</v>
      </c>
      <c r="G478" s="52" t="s">
        <v>1515</v>
      </c>
      <c r="H478" s="18">
        <v>3047</v>
      </c>
      <c r="I478" s="5">
        <f>IF(tbRegistroSaidas[[#This Row],[DATA DE CAIXA REALIZADO]]="N/A",0,YEAR(tbRegistroSaidas[[#This Row],[DATA DE CAIXA REALIZADO]]))</f>
        <v>2022</v>
      </c>
      <c r="J478" s="5" t="str">
        <f>IF(tbRegistroSaidas[[#This Row],[DATA DE CAIXA REALIZADO]]="N/A","0",UPPER(TEXT(tbRegistroSaidas[[#This Row],[DATA DE CAIXA REALIZADO]],"mmm")))</f>
        <v>SET</v>
      </c>
      <c r="K478" s="79" t="str">
        <f>IF(tbRegistroSaidas[[#This Row],[DATA DA COMPETÊNCIA]]="N/A","0",UPPER(TEXT(tbRegistroSaidas[[#This Row],[DATA DA COMPETÊNCIA]],"mmm")))</f>
        <v>AGO</v>
      </c>
      <c r="L478" s="79">
        <f>IF(tbRegistroSaidas[[#This Row],[DATA DA COMPETÊNCIA]]="N/A",0,YEAR(tbRegistroSaidas[[#This Row],[DATA DA COMPETÊNCIA]]))</f>
        <v>2022</v>
      </c>
      <c r="M478" s="5" t="str">
        <f>IF(tbRegistroSaidas[[#This Row],[DATA DO CAIXA PREVISTO]]="N/A","0",UPPER(TEXT(tbRegistroSaidas[[#This Row],[DATA DO CAIXA PREVISTO]],"mmm")))</f>
        <v>AGO</v>
      </c>
      <c r="N478" s="5">
        <f>IF(tbRegistroSaidas[[#This Row],[DATA DO CAIXA PREVISTO]]="N/A",0,YEAR(tbRegistroSaidas[[#This Row],[DATA DO CAIXA PREVISTO]]))</f>
        <v>2022</v>
      </c>
    </row>
    <row r="479" spans="1:14" s="5" customFormat="1" ht="14.4" x14ac:dyDescent="0.3">
      <c r="A479" s="49">
        <v>45263</v>
      </c>
      <c r="B479" s="49">
        <f t="shared" si="14"/>
        <v>45232</v>
      </c>
      <c r="C479" s="49">
        <f t="shared" si="15"/>
        <v>45248</v>
      </c>
      <c r="D479" s="52" t="s">
        <v>64</v>
      </c>
      <c r="E479" s="52" t="s">
        <v>1543</v>
      </c>
      <c r="F479" s="52" t="s">
        <v>16</v>
      </c>
      <c r="G479" s="52" t="s">
        <v>1516</v>
      </c>
      <c r="H479" s="18">
        <v>1102</v>
      </c>
      <c r="I479" s="5">
        <f>IF(tbRegistroSaidas[[#This Row],[DATA DE CAIXA REALIZADO]]="N/A",0,YEAR(tbRegistroSaidas[[#This Row],[DATA DE CAIXA REALIZADO]]))</f>
        <v>2023</v>
      </c>
      <c r="J479" s="5" t="str">
        <f>IF(tbRegistroSaidas[[#This Row],[DATA DE CAIXA REALIZADO]]="N/A","0",UPPER(TEXT(tbRegistroSaidas[[#This Row],[DATA DE CAIXA REALIZADO]],"mmm")))</f>
        <v>DEZ</v>
      </c>
      <c r="K479" s="79" t="str">
        <f>IF(tbRegistroSaidas[[#This Row],[DATA DA COMPETÊNCIA]]="N/A","0",UPPER(TEXT(tbRegistroSaidas[[#This Row],[DATA DA COMPETÊNCIA]],"mmm")))</f>
        <v>NOV</v>
      </c>
      <c r="L479" s="79">
        <f>IF(tbRegistroSaidas[[#This Row],[DATA DA COMPETÊNCIA]]="N/A",0,YEAR(tbRegistroSaidas[[#This Row],[DATA DA COMPETÊNCIA]]))</f>
        <v>2023</v>
      </c>
      <c r="M479" s="5" t="str">
        <f>IF(tbRegistroSaidas[[#This Row],[DATA DO CAIXA PREVISTO]]="N/A","0",UPPER(TEXT(tbRegistroSaidas[[#This Row],[DATA DO CAIXA PREVISTO]],"mmm")))</f>
        <v>NOV</v>
      </c>
      <c r="N479" s="5">
        <f>IF(tbRegistroSaidas[[#This Row],[DATA DO CAIXA PREVISTO]]="N/A",0,YEAR(tbRegistroSaidas[[#This Row],[DATA DO CAIXA PREVISTO]]))</f>
        <v>2023</v>
      </c>
    </row>
    <row r="480" spans="1:14" s="5" customFormat="1" ht="14.4" x14ac:dyDescent="0.3">
      <c r="A480" s="49">
        <v>44429</v>
      </c>
      <c r="B480" s="49">
        <f t="shared" si="14"/>
        <v>44398</v>
      </c>
      <c r="C480" s="49">
        <f t="shared" si="15"/>
        <v>44414</v>
      </c>
      <c r="D480" s="52" t="s">
        <v>64</v>
      </c>
      <c r="E480" s="52" t="s">
        <v>1543</v>
      </c>
      <c r="F480" s="52" t="s">
        <v>32</v>
      </c>
      <c r="G480" s="52" t="s">
        <v>1517</v>
      </c>
      <c r="H480" s="18">
        <v>3820</v>
      </c>
      <c r="I480" s="5">
        <f>IF(tbRegistroSaidas[[#This Row],[DATA DE CAIXA REALIZADO]]="N/A",0,YEAR(tbRegistroSaidas[[#This Row],[DATA DE CAIXA REALIZADO]]))</f>
        <v>2021</v>
      </c>
      <c r="J480" s="5" t="str">
        <f>IF(tbRegistroSaidas[[#This Row],[DATA DE CAIXA REALIZADO]]="N/A","0",UPPER(TEXT(tbRegistroSaidas[[#This Row],[DATA DE CAIXA REALIZADO]],"mmm")))</f>
        <v>AGO</v>
      </c>
      <c r="K480" s="79" t="str">
        <f>IF(tbRegistroSaidas[[#This Row],[DATA DA COMPETÊNCIA]]="N/A","0",UPPER(TEXT(tbRegistroSaidas[[#This Row],[DATA DA COMPETÊNCIA]],"mmm")))</f>
        <v>JUL</v>
      </c>
      <c r="L480" s="79">
        <f>IF(tbRegistroSaidas[[#This Row],[DATA DA COMPETÊNCIA]]="N/A",0,YEAR(tbRegistroSaidas[[#This Row],[DATA DA COMPETÊNCIA]]))</f>
        <v>2021</v>
      </c>
      <c r="M480" s="5" t="str">
        <f>IF(tbRegistroSaidas[[#This Row],[DATA DO CAIXA PREVISTO]]="N/A","0",UPPER(TEXT(tbRegistroSaidas[[#This Row],[DATA DO CAIXA PREVISTO]],"mmm")))</f>
        <v>AGO</v>
      </c>
      <c r="N480" s="5">
        <f>IF(tbRegistroSaidas[[#This Row],[DATA DO CAIXA PREVISTO]]="N/A",0,YEAR(tbRegistroSaidas[[#This Row],[DATA DO CAIXA PREVISTO]]))</f>
        <v>2021</v>
      </c>
    </row>
    <row r="481" spans="1:14" s="5" customFormat="1" ht="14.4" x14ac:dyDescent="0.3">
      <c r="A481" s="49">
        <v>44704</v>
      </c>
      <c r="B481" s="49">
        <f t="shared" si="14"/>
        <v>44673</v>
      </c>
      <c r="C481" s="49">
        <f t="shared" si="15"/>
        <v>44689</v>
      </c>
      <c r="D481" s="52" t="s">
        <v>61</v>
      </c>
      <c r="E481" s="52" t="s">
        <v>1543</v>
      </c>
      <c r="F481" s="52" t="s">
        <v>17</v>
      </c>
      <c r="G481" s="52" t="s">
        <v>1518</v>
      </c>
      <c r="H481" s="18">
        <v>758</v>
      </c>
      <c r="I481" s="5">
        <f>IF(tbRegistroSaidas[[#This Row],[DATA DE CAIXA REALIZADO]]="N/A",0,YEAR(tbRegistroSaidas[[#This Row],[DATA DE CAIXA REALIZADO]]))</f>
        <v>2022</v>
      </c>
      <c r="J481" s="5" t="str">
        <f>IF(tbRegistroSaidas[[#This Row],[DATA DE CAIXA REALIZADO]]="N/A","0",UPPER(TEXT(tbRegistroSaidas[[#This Row],[DATA DE CAIXA REALIZADO]],"mmm")))</f>
        <v>MAI</v>
      </c>
      <c r="K481" s="79" t="str">
        <f>IF(tbRegistroSaidas[[#This Row],[DATA DA COMPETÊNCIA]]="N/A","0",UPPER(TEXT(tbRegistroSaidas[[#This Row],[DATA DA COMPETÊNCIA]],"mmm")))</f>
        <v>ABR</v>
      </c>
      <c r="L481" s="79">
        <f>IF(tbRegistroSaidas[[#This Row],[DATA DA COMPETÊNCIA]]="N/A",0,YEAR(tbRegistroSaidas[[#This Row],[DATA DA COMPETÊNCIA]]))</f>
        <v>2022</v>
      </c>
      <c r="M481" s="5" t="str">
        <f>IF(tbRegistroSaidas[[#This Row],[DATA DO CAIXA PREVISTO]]="N/A","0",UPPER(TEXT(tbRegistroSaidas[[#This Row],[DATA DO CAIXA PREVISTO]],"mmm")))</f>
        <v>MAI</v>
      </c>
      <c r="N481" s="5">
        <f>IF(tbRegistroSaidas[[#This Row],[DATA DO CAIXA PREVISTO]]="N/A",0,YEAR(tbRegistroSaidas[[#This Row],[DATA DO CAIXA PREVISTO]]))</f>
        <v>2022</v>
      </c>
    </row>
    <row r="482" spans="1:14" s="5" customFormat="1" ht="14.4" x14ac:dyDescent="0.3">
      <c r="A482" s="49">
        <v>45252</v>
      </c>
      <c r="B482" s="49">
        <f t="shared" si="14"/>
        <v>45221</v>
      </c>
      <c r="C482" s="49">
        <f t="shared" si="15"/>
        <v>45237</v>
      </c>
      <c r="D482" s="52" t="s">
        <v>63</v>
      </c>
      <c r="E482" s="52" t="s">
        <v>1543</v>
      </c>
      <c r="F482" s="52" t="s">
        <v>16</v>
      </c>
      <c r="G482" s="52" t="s">
        <v>1519</v>
      </c>
      <c r="H482" s="18">
        <v>2942</v>
      </c>
      <c r="I482" s="5">
        <f>IF(tbRegistroSaidas[[#This Row],[DATA DE CAIXA REALIZADO]]="N/A",0,YEAR(tbRegistroSaidas[[#This Row],[DATA DE CAIXA REALIZADO]]))</f>
        <v>2023</v>
      </c>
      <c r="J482" s="5" t="str">
        <f>IF(tbRegistroSaidas[[#This Row],[DATA DE CAIXA REALIZADO]]="N/A","0",UPPER(TEXT(tbRegistroSaidas[[#This Row],[DATA DE CAIXA REALIZADO]],"mmm")))</f>
        <v>NOV</v>
      </c>
      <c r="K482" s="79" t="str">
        <f>IF(tbRegistroSaidas[[#This Row],[DATA DA COMPETÊNCIA]]="N/A","0",UPPER(TEXT(tbRegistroSaidas[[#This Row],[DATA DA COMPETÊNCIA]],"mmm")))</f>
        <v>OUT</v>
      </c>
      <c r="L482" s="79">
        <f>IF(tbRegistroSaidas[[#This Row],[DATA DA COMPETÊNCIA]]="N/A",0,YEAR(tbRegistroSaidas[[#This Row],[DATA DA COMPETÊNCIA]]))</f>
        <v>2023</v>
      </c>
      <c r="M482" s="5" t="str">
        <f>IF(tbRegistroSaidas[[#This Row],[DATA DO CAIXA PREVISTO]]="N/A","0",UPPER(TEXT(tbRegistroSaidas[[#This Row],[DATA DO CAIXA PREVISTO]],"mmm")))</f>
        <v>NOV</v>
      </c>
      <c r="N482" s="5">
        <f>IF(tbRegistroSaidas[[#This Row],[DATA DO CAIXA PREVISTO]]="N/A",0,YEAR(tbRegistroSaidas[[#This Row],[DATA DO CAIXA PREVISTO]]))</f>
        <v>2023</v>
      </c>
    </row>
    <row r="483" spans="1:14" s="5" customFormat="1" ht="14.4" x14ac:dyDescent="0.3">
      <c r="A483" s="49">
        <v>44517</v>
      </c>
      <c r="B483" s="49">
        <f t="shared" si="14"/>
        <v>44486</v>
      </c>
      <c r="C483" s="49">
        <f t="shared" si="15"/>
        <v>44502</v>
      </c>
      <c r="D483" s="52" t="s">
        <v>61</v>
      </c>
      <c r="E483" s="52" t="s">
        <v>1543</v>
      </c>
      <c r="F483" s="52" t="s">
        <v>16</v>
      </c>
      <c r="G483" s="52" t="s">
        <v>1520</v>
      </c>
      <c r="H483" s="18">
        <v>2195</v>
      </c>
      <c r="I483" s="5">
        <f>IF(tbRegistroSaidas[[#This Row],[DATA DE CAIXA REALIZADO]]="N/A",0,YEAR(tbRegistroSaidas[[#This Row],[DATA DE CAIXA REALIZADO]]))</f>
        <v>2021</v>
      </c>
      <c r="J483" s="5" t="str">
        <f>IF(tbRegistroSaidas[[#This Row],[DATA DE CAIXA REALIZADO]]="N/A","0",UPPER(TEXT(tbRegistroSaidas[[#This Row],[DATA DE CAIXA REALIZADO]],"mmm")))</f>
        <v>NOV</v>
      </c>
      <c r="K483" s="79" t="str">
        <f>IF(tbRegistroSaidas[[#This Row],[DATA DA COMPETÊNCIA]]="N/A","0",UPPER(TEXT(tbRegistroSaidas[[#This Row],[DATA DA COMPETÊNCIA]],"mmm")))</f>
        <v>OUT</v>
      </c>
      <c r="L483" s="79">
        <f>IF(tbRegistroSaidas[[#This Row],[DATA DA COMPETÊNCIA]]="N/A",0,YEAR(tbRegistroSaidas[[#This Row],[DATA DA COMPETÊNCIA]]))</f>
        <v>2021</v>
      </c>
      <c r="M483" s="5" t="str">
        <f>IF(tbRegistroSaidas[[#This Row],[DATA DO CAIXA PREVISTO]]="N/A","0",UPPER(TEXT(tbRegistroSaidas[[#This Row],[DATA DO CAIXA PREVISTO]],"mmm")))</f>
        <v>NOV</v>
      </c>
      <c r="N483" s="5">
        <f>IF(tbRegistroSaidas[[#This Row],[DATA DO CAIXA PREVISTO]]="N/A",0,YEAR(tbRegistroSaidas[[#This Row],[DATA DO CAIXA PREVISTO]]))</f>
        <v>2021</v>
      </c>
    </row>
    <row r="484" spans="1:14" s="5" customFormat="1" ht="14.4" x14ac:dyDescent="0.3">
      <c r="A484" s="49">
        <v>44545</v>
      </c>
      <c r="B484" s="49">
        <f t="shared" si="14"/>
        <v>44514</v>
      </c>
      <c r="C484" s="49">
        <f t="shared" si="15"/>
        <v>44530</v>
      </c>
      <c r="D484" s="52" t="s">
        <v>63</v>
      </c>
      <c r="E484" s="52" t="s">
        <v>1543</v>
      </c>
      <c r="F484" s="52" t="s">
        <v>16</v>
      </c>
      <c r="G484" s="52" t="s">
        <v>1521</v>
      </c>
      <c r="H484" s="18">
        <v>1904</v>
      </c>
      <c r="I484" s="5">
        <f>IF(tbRegistroSaidas[[#This Row],[DATA DE CAIXA REALIZADO]]="N/A",0,YEAR(tbRegistroSaidas[[#This Row],[DATA DE CAIXA REALIZADO]]))</f>
        <v>2021</v>
      </c>
      <c r="J484" s="5" t="str">
        <f>IF(tbRegistroSaidas[[#This Row],[DATA DE CAIXA REALIZADO]]="N/A","0",UPPER(TEXT(tbRegistroSaidas[[#This Row],[DATA DE CAIXA REALIZADO]],"mmm")))</f>
        <v>DEZ</v>
      </c>
      <c r="K484" s="79" t="str">
        <f>IF(tbRegistroSaidas[[#This Row],[DATA DA COMPETÊNCIA]]="N/A","0",UPPER(TEXT(tbRegistroSaidas[[#This Row],[DATA DA COMPETÊNCIA]],"mmm")))</f>
        <v>NOV</v>
      </c>
      <c r="L484" s="79">
        <f>IF(tbRegistroSaidas[[#This Row],[DATA DA COMPETÊNCIA]]="N/A",0,YEAR(tbRegistroSaidas[[#This Row],[DATA DA COMPETÊNCIA]]))</f>
        <v>2021</v>
      </c>
      <c r="M484" s="5" t="str">
        <f>IF(tbRegistroSaidas[[#This Row],[DATA DO CAIXA PREVISTO]]="N/A","0",UPPER(TEXT(tbRegistroSaidas[[#This Row],[DATA DO CAIXA PREVISTO]],"mmm")))</f>
        <v>NOV</v>
      </c>
      <c r="N484" s="5">
        <f>IF(tbRegistroSaidas[[#This Row],[DATA DO CAIXA PREVISTO]]="N/A",0,YEAR(tbRegistroSaidas[[#This Row],[DATA DO CAIXA PREVISTO]]))</f>
        <v>2021</v>
      </c>
    </row>
    <row r="485" spans="1:14" s="5" customFormat="1" ht="14.4" x14ac:dyDescent="0.3">
      <c r="A485" s="49">
        <v>45158</v>
      </c>
      <c r="B485" s="49">
        <f t="shared" si="14"/>
        <v>45127</v>
      </c>
      <c r="C485" s="49">
        <f t="shared" si="15"/>
        <v>45143</v>
      </c>
      <c r="D485" s="52" t="s">
        <v>65</v>
      </c>
      <c r="E485" s="52" t="s">
        <v>1543</v>
      </c>
      <c r="F485" s="52" t="s">
        <v>18</v>
      </c>
      <c r="G485" s="52" t="s">
        <v>817</v>
      </c>
      <c r="H485" s="18">
        <v>3341</v>
      </c>
      <c r="I485" s="5">
        <f>IF(tbRegistroSaidas[[#This Row],[DATA DE CAIXA REALIZADO]]="N/A",0,YEAR(tbRegistroSaidas[[#This Row],[DATA DE CAIXA REALIZADO]]))</f>
        <v>2023</v>
      </c>
      <c r="J485" s="5" t="str">
        <f>IF(tbRegistroSaidas[[#This Row],[DATA DE CAIXA REALIZADO]]="N/A","0",UPPER(TEXT(tbRegistroSaidas[[#This Row],[DATA DE CAIXA REALIZADO]],"mmm")))</f>
        <v>AGO</v>
      </c>
      <c r="K485" s="79" t="str">
        <f>IF(tbRegistroSaidas[[#This Row],[DATA DA COMPETÊNCIA]]="N/A","0",UPPER(TEXT(tbRegistroSaidas[[#This Row],[DATA DA COMPETÊNCIA]],"mmm")))</f>
        <v>JUL</v>
      </c>
      <c r="L485" s="79">
        <f>IF(tbRegistroSaidas[[#This Row],[DATA DA COMPETÊNCIA]]="N/A",0,YEAR(tbRegistroSaidas[[#This Row],[DATA DA COMPETÊNCIA]]))</f>
        <v>2023</v>
      </c>
      <c r="M485" s="5" t="str">
        <f>IF(tbRegistroSaidas[[#This Row],[DATA DO CAIXA PREVISTO]]="N/A","0",UPPER(TEXT(tbRegistroSaidas[[#This Row],[DATA DO CAIXA PREVISTO]],"mmm")))</f>
        <v>AGO</v>
      </c>
      <c r="N485" s="5">
        <f>IF(tbRegistroSaidas[[#This Row],[DATA DO CAIXA PREVISTO]]="N/A",0,YEAR(tbRegistroSaidas[[#This Row],[DATA DO CAIXA PREVISTO]]))</f>
        <v>2023</v>
      </c>
    </row>
    <row r="486" spans="1:14" s="5" customFormat="1" ht="14.4" x14ac:dyDescent="0.3">
      <c r="A486" s="49">
        <v>44895</v>
      </c>
      <c r="B486" s="49">
        <f t="shared" si="14"/>
        <v>44864</v>
      </c>
      <c r="C486" s="49">
        <f t="shared" si="15"/>
        <v>44880</v>
      </c>
      <c r="D486" s="52" t="s">
        <v>137</v>
      </c>
      <c r="E486" s="52" t="s">
        <v>1543</v>
      </c>
      <c r="F486" s="52" t="s">
        <v>19</v>
      </c>
      <c r="G486" s="52" t="s">
        <v>1522</v>
      </c>
      <c r="H486" s="18">
        <v>619</v>
      </c>
      <c r="I486" s="5">
        <f>IF(tbRegistroSaidas[[#This Row],[DATA DE CAIXA REALIZADO]]="N/A",0,YEAR(tbRegistroSaidas[[#This Row],[DATA DE CAIXA REALIZADO]]))</f>
        <v>2022</v>
      </c>
      <c r="J486" s="5" t="str">
        <f>IF(tbRegistroSaidas[[#This Row],[DATA DE CAIXA REALIZADO]]="N/A","0",UPPER(TEXT(tbRegistroSaidas[[#This Row],[DATA DE CAIXA REALIZADO]],"mmm")))</f>
        <v>NOV</v>
      </c>
      <c r="K486" s="79" t="str">
        <f>IF(tbRegistroSaidas[[#This Row],[DATA DA COMPETÊNCIA]]="N/A","0",UPPER(TEXT(tbRegistroSaidas[[#This Row],[DATA DA COMPETÊNCIA]],"mmm")))</f>
        <v>OUT</v>
      </c>
      <c r="L486" s="79">
        <f>IF(tbRegistroSaidas[[#This Row],[DATA DA COMPETÊNCIA]]="N/A",0,YEAR(tbRegistroSaidas[[#This Row],[DATA DA COMPETÊNCIA]]))</f>
        <v>2022</v>
      </c>
      <c r="M486" s="5" t="str">
        <f>IF(tbRegistroSaidas[[#This Row],[DATA DO CAIXA PREVISTO]]="N/A","0",UPPER(TEXT(tbRegistroSaidas[[#This Row],[DATA DO CAIXA PREVISTO]],"mmm")))</f>
        <v>NOV</v>
      </c>
      <c r="N486" s="5">
        <f>IF(tbRegistroSaidas[[#This Row],[DATA DO CAIXA PREVISTO]]="N/A",0,YEAR(tbRegistroSaidas[[#This Row],[DATA DO CAIXA PREVISTO]]))</f>
        <v>2022</v>
      </c>
    </row>
    <row r="487" spans="1:14" s="5" customFormat="1" ht="14.4" x14ac:dyDescent="0.3">
      <c r="A487" s="49">
        <v>44621</v>
      </c>
      <c r="B487" s="49">
        <f t="shared" si="14"/>
        <v>44590</v>
      </c>
      <c r="C487" s="49">
        <f t="shared" si="15"/>
        <v>44606</v>
      </c>
      <c r="D487" s="52" t="s">
        <v>61</v>
      </c>
      <c r="E487" s="52" t="s">
        <v>1543</v>
      </c>
      <c r="F487" s="52" t="s">
        <v>16</v>
      </c>
      <c r="G487" s="52" t="s">
        <v>1523</v>
      </c>
      <c r="H487" s="18">
        <v>1510</v>
      </c>
      <c r="I487" s="5">
        <f>IF(tbRegistroSaidas[[#This Row],[DATA DE CAIXA REALIZADO]]="N/A",0,YEAR(tbRegistroSaidas[[#This Row],[DATA DE CAIXA REALIZADO]]))</f>
        <v>2022</v>
      </c>
      <c r="J487" s="5" t="str">
        <f>IF(tbRegistroSaidas[[#This Row],[DATA DE CAIXA REALIZADO]]="N/A","0",UPPER(TEXT(tbRegistroSaidas[[#This Row],[DATA DE CAIXA REALIZADO]],"mmm")))</f>
        <v>MAR</v>
      </c>
      <c r="K487" s="79" t="str">
        <f>IF(tbRegistroSaidas[[#This Row],[DATA DA COMPETÊNCIA]]="N/A","0",UPPER(TEXT(tbRegistroSaidas[[#This Row],[DATA DA COMPETÊNCIA]],"mmm")))</f>
        <v>JAN</v>
      </c>
      <c r="L487" s="79">
        <f>IF(tbRegistroSaidas[[#This Row],[DATA DA COMPETÊNCIA]]="N/A",0,YEAR(tbRegistroSaidas[[#This Row],[DATA DA COMPETÊNCIA]]))</f>
        <v>2022</v>
      </c>
      <c r="M487" s="5" t="str">
        <f>IF(tbRegistroSaidas[[#This Row],[DATA DO CAIXA PREVISTO]]="N/A","0",UPPER(TEXT(tbRegistroSaidas[[#This Row],[DATA DO CAIXA PREVISTO]],"mmm")))</f>
        <v>FEV</v>
      </c>
      <c r="N487" s="5">
        <f>IF(tbRegistroSaidas[[#This Row],[DATA DO CAIXA PREVISTO]]="N/A",0,YEAR(tbRegistroSaidas[[#This Row],[DATA DO CAIXA PREVISTO]]))</f>
        <v>2022</v>
      </c>
    </row>
    <row r="488" spans="1:14" s="5" customFormat="1" ht="14.4" x14ac:dyDescent="0.3">
      <c r="A488" s="49">
        <v>44714</v>
      </c>
      <c r="B488" s="49">
        <f t="shared" si="14"/>
        <v>44683</v>
      </c>
      <c r="C488" s="49">
        <f t="shared" si="15"/>
        <v>44699</v>
      </c>
      <c r="D488" s="52" t="s">
        <v>63</v>
      </c>
      <c r="E488" s="52" t="s">
        <v>1543</v>
      </c>
      <c r="F488" s="52" t="s">
        <v>32</v>
      </c>
      <c r="G488" s="52" t="s">
        <v>1524</v>
      </c>
      <c r="H488" s="18">
        <v>154</v>
      </c>
      <c r="I488" s="5">
        <f>IF(tbRegistroSaidas[[#This Row],[DATA DE CAIXA REALIZADO]]="N/A",0,YEAR(tbRegistroSaidas[[#This Row],[DATA DE CAIXA REALIZADO]]))</f>
        <v>2022</v>
      </c>
      <c r="J488" s="5" t="str">
        <f>IF(tbRegistroSaidas[[#This Row],[DATA DE CAIXA REALIZADO]]="N/A","0",UPPER(TEXT(tbRegistroSaidas[[#This Row],[DATA DE CAIXA REALIZADO]],"mmm")))</f>
        <v>JUN</v>
      </c>
      <c r="K488" s="79" t="str">
        <f>IF(tbRegistroSaidas[[#This Row],[DATA DA COMPETÊNCIA]]="N/A","0",UPPER(TEXT(tbRegistroSaidas[[#This Row],[DATA DA COMPETÊNCIA]],"mmm")))</f>
        <v>MAI</v>
      </c>
      <c r="L488" s="79">
        <f>IF(tbRegistroSaidas[[#This Row],[DATA DA COMPETÊNCIA]]="N/A",0,YEAR(tbRegistroSaidas[[#This Row],[DATA DA COMPETÊNCIA]]))</f>
        <v>2022</v>
      </c>
      <c r="M488" s="5" t="str">
        <f>IF(tbRegistroSaidas[[#This Row],[DATA DO CAIXA PREVISTO]]="N/A","0",UPPER(TEXT(tbRegistroSaidas[[#This Row],[DATA DO CAIXA PREVISTO]],"mmm")))</f>
        <v>MAI</v>
      </c>
      <c r="N488" s="5">
        <f>IF(tbRegistroSaidas[[#This Row],[DATA DO CAIXA PREVISTO]]="N/A",0,YEAR(tbRegistroSaidas[[#This Row],[DATA DO CAIXA PREVISTO]]))</f>
        <v>2022</v>
      </c>
    </row>
    <row r="489" spans="1:14" s="5" customFormat="1" ht="14.4" x14ac:dyDescent="0.3">
      <c r="A489" s="49">
        <v>44978</v>
      </c>
      <c r="B489" s="49">
        <f t="shared" si="14"/>
        <v>44947</v>
      </c>
      <c r="C489" s="49">
        <f t="shared" si="15"/>
        <v>44963</v>
      </c>
      <c r="D489" s="52" t="s">
        <v>61</v>
      </c>
      <c r="E489" s="52" t="s">
        <v>1543</v>
      </c>
      <c r="F489" s="52" t="s">
        <v>18</v>
      </c>
      <c r="G489" s="52" t="s">
        <v>1525</v>
      </c>
      <c r="H489" s="18">
        <v>2967</v>
      </c>
      <c r="I489" s="5">
        <f>IF(tbRegistroSaidas[[#This Row],[DATA DE CAIXA REALIZADO]]="N/A",0,YEAR(tbRegistroSaidas[[#This Row],[DATA DE CAIXA REALIZADO]]))</f>
        <v>2023</v>
      </c>
      <c r="J489" s="5" t="str">
        <f>IF(tbRegistroSaidas[[#This Row],[DATA DE CAIXA REALIZADO]]="N/A","0",UPPER(TEXT(tbRegistroSaidas[[#This Row],[DATA DE CAIXA REALIZADO]],"mmm")))</f>
        <v>FEV</v>
      </c>
      <c r="K489" s="79" t="str">
        <f>IF(tbRegistroSaidas[[#This Row],[DATA DA COMPETÊNCIA]]="N/A","0",UPPER(TEXT(tbRegistroSaidas[[#This Row],[DATA DA COMPETÊNCIA]],"mmm")))</f>
        <v>JAN</v>
      </c>
      <c r="L489" s="79">
        <f>IF(tbRegistroSaidas[[#This Row],[DATA DA COMPETÊNCIA]]="N/A",0,YEAR(tbRegistroSaidas[[#This Row],[DATA DA COMPETÊNCIA]]))</f>
        <v>2023</v>
      </c>
      <c r="M489" s="5" t="str">
        <f>IF(tbRegistroSaidas[[#This Row],[DATA DO CAIXA PREVISTO]]="N/A","0",UPPER(TEXT(tbRegistroSaidas[[#This Row],[DATA DO CAIXA PREVISTO]],"mmm")))</f>
        <v>FEV</v>
      </c>
      <c r="N489" s="5">
        <f>IF(tbRegistroSaidas[[#This Row],[DATA DO CAIXA PREVISTO]]="N/A",0,YEAR(tbRegistroSaidas[[#This Row],[DATA DO CAIXA PREVISTO]]))</f>
        <v>2023</v>
      </c>
    </row>
    <row r="490" spans="1:14" s="5" customFormat="1" ht="14.4" x14ac:dyDescent="0.3">
      <c r="A490" s="49">
        <v>44361</v>
      </c>
      <c r="B490" s="49">
        <f t="shared" si="14"/>
        <v>44330</v>
      </c>
      <c r="C490" s="49">
        <f t="shared" si="15"/>
        <v>44346</v>
      </c>
      <c r="D490" s="52" t="s">
        <v>66</v>
      </c>
      <c r="E490" s="52" t="s">
        <v>1543</v>
      </c>
      <c r="F490" s="52" t="s">
        <v>18</v>
      </c>
      <c r="G490" s="52" t="s">
        <v>1526</v>
      </c>
      <c r="H490" s="18">
        <v>2518</v>
      </c>
      <c r="I490" s="5">
        <f>IF(tbRegistroSaidas[[#This Row],[DATA DE CAIXA REALIZADO]]="N/A",0,YEAR(tbRegistroSaidas[[#This Row],[DATA DE CAIXA REALIZADO]]))</f>
        <v>2021</v>
      </c>
      <c r="J490" s="5" t="str">
        <f>IF(tbRegistroSaidas[[#This Row],[DATA DE CAIXA REALIZADO]]="N/A","0",UPPER(TEXT(tbRegistroSaidas[[#This Row],[DATA DE CAIXA REALIZADO]],"mmm")))</f>
        <v>JUN</v>
      </c>
      <c r="K490" s="79" t="str">
        <f>IF(tbRegistroSaidas[[#This Row],[DATA DA COMPETÊNCIA]]="N/A","0",UPPER(TEXT(tbRegistroSaidas[[#This Row],[DATA DA COMPETÊNCIA]],"mmm")))</f>
        <v>MAI</v>
      </c>
      <c r="L490" s="79">
        <f>IF(tbRegistroSaidas[[#This Row],[DATA DA COMPETÊNCIA]]="N/A",0,YEAR(tbRegistroSaidas[[#This Row],[DATA DA COMPETÊNCIA]]))</f>
        <v>2021</v>
      </c>
      <c r="M490" s="5" t="str">
        <f>IF(tbRegistroSaidas[[#This Row],[DATA DO CAIXA PREVISTO]]="N/A","0",UPPER(TEXT(tbRegistroSaidas[[#This Row],[DATA DO CAIXA PREVISTO]],"mmm")))</f>
        <v>MAI</v>
      </c>
      <c r="N490" s="5">
        <f>IF(tbRegistroSaidas[[#This Row],[DATA DO CAIXA PREVISTO]]="N/A",0,YEAR(tbRegistroSaidas[[#This Row],[DATA DO CAIXA PREVISTO]]))</f>
        <v>2021</v>
      </c>
    </row>
    <row r="491" spans="1:14" s="5" customFormat="1" ht="14.4" x14ac:dyDescent="0.3">
      <c r="A491" s="49">
        <v>44732</v>
      </c>
      <c r="B491" s="49">
        <f t="shared" si="14"/>
        <v>44701</v>
      </c>
      <c r="C491" s="49">
        <f t="shared" si="15"/>
        <v>44717</v>
      </c>
      <c r="D491" s="52" t="s">
        <v>63</v>
      </c>
      <c r="E491" s="52" t="s">
        <v>1543</v>
      </c>
      <c r="F491" s="52" t="s">
        <v>17</v>
      </c>
      <c r="G491" s="52" t="s">
        <v>1527</v>
      </c>
      <c r="H491" s="18">
        <v>1195</v>
      </c>
      <c r="I491" s="5">
        <f>IF(tbRegistroSaidas[[#This Row],[DATA DE CAIXA REALIZADO]]="N/A",0,YEAR(tbRegistroSaidas[[#This Row],[DATA DE CAIXA REALIZADO]]))</f>
        <v>2022</v>
      </c>
      <c r="J491" s="5" t="str">
        <f>IF(tbRegistroSaidas[[#This Row],[DATA DE CAIXA REALIZADO]]="N/A","0",UPPER(TEXT(tbRegistroSaidas[[#This Row],[DATA DE CAIXA REALIZADO]],"mmm")))</f>
        <v>JUN</v>
      </c>
      <c r="K491" s="79" t="str">
        <f>IF(tbRegistroSaidas[[#This Row],[DATA DA COMPETÊNCIA]]="N/A","0",UPPER(TEXT(tbRegistroSaidas[[#This Row],[DATA DA COMPETÊNCIA]],"mmm")))</f>
        <v>MAI</v>
      </c>
      <c r="L491" s="79">
        <f>IF(tbRegistroSaidas[[#This Row],[DATA DA COMPETÊNCIA]]="N/A",0,YEAR(tbRegistroSaidas[[#This Row],[DATA DA COMPETÊNCIA]]))</f>
        <v>2022</v>
      </c>
      <c r="M491" s="5" t="str">
        <f>IF(tbRegistroSaidas[[#This Row],[DATA DO CAIXA PREVISTO]]="N/A","0",UPPER(TEXT(tbRegistroSaidas[[#This Row],[DATA DO CAIXA PREVISTO]],"mmm")))</f>
        <v>JUN</v>
      </c>
      <c r="N491" s="5">
        <f>IF(tbRegistroSaidas[[#This Row],[DATA DO CAIXA PREVISTO]]="N/A",0,YEAR(tbRegistroSaidas[[#This Row],[DATA DO CAIXA PREVISTO]]))</f>
        <v>2022</v>
      </c>
    </row>
    <row r="492" spans="1:14" s="5" customFormat="1" ht="14.4" x14ac:dyDescent="0.3">
      <c r="A492" s="49">
        <v>44331</v>
      </c>
      <c r="B492" s="49">
        <f t="shared" si="14"/>
        <v>44300</v>
      </c>
      <c r="C492" s="49">
        <f t="shared" si="15"/>
        <v>44316</v>
      </c>
      <c r="D492" s="52" t="s">
        <v>67</v>
      </c>
      <c r="E492" s="52" t="s">
        <v>1543</v>
      </c>
      <c r="F492" s="52" t="s">
        <v>19</v>
      </c>
      <c r="G492" s="52" t="s">
        <v>1528</v>
      </c>
      <c r="H492" s="18">
        <v>1802</v>
      </c>
      <c r="I492" s="5">
        <f>IF(tbRegistroSaidas[[#This Row],[DATA DE CAIXA REALIZADO]]="N/A",0,YEAR(tbRegistroSaidas[[#This Row],[DATA DE CAIXA REALIZADO]]))</f>
        <v>2021</v>
      </c>
      <c r="J492" s="5" t="str">
        <f>IF(tbRegistroSaidas[[#This Row],[DATA DE CAIXA REALIZADO]]="N/A","0",UPPER(TEXT(tbRegistroSaidas[[#This Row],[DATA DE CAIXA REALIZADO]],"mmm")))</f>
        <v>MAI</v>
      </c>
      <c r="K492" s="79" t="str">
        <f>IF(tbRegistroSaidas[[#This Row],[DATA DA COMPETÊNCIA]]="N/A","0",UPPER(TEXT(tbRegistroSaidas[[#This Row],[DATA DA COMPETÊNCIA]],"mmm")))</f>
        <v>ABR</v>
      </c>
      <c r="L492" s="79">
        <f>IF(tbRegistroSaidas[[#This Row],[DATA DA COMPETÊNCIA]]="N/A",0,YEAR(tbRegistroSaidas[[#This Row],[DATA DA COMPETÊNCIA]]))</f>
        <v>2021</v>
      </c>
      <c r="M492" s="5" t="str">
        <f>IF(tbRegistroSaidas[[#This Row],[DATA DO CAIXA PREVISTO]]="N/A","0",UPPER(TEXT(tbRegistroSaidas[[#This Row],[DATA DO CAIXA PREVISTO]],"mmm")))</f>
        <v>ABR</v>
      </c>
      <c r="N492" s="5">
        <f>IF(tbRegistroSaidas[[#This Row],[DATA DO CAIXA PREVISTO]]="N/A",0,YEAR(tbRegistroSaidas[[#This Row],[DATA DO CAIXA PREVISTO]]))</f>
        <v>2021</v>
      </c>
    </row>
    <row r="493" spans="1:14" s="5" customFormat="1" ht="14.4" x14ac:dyDescent="0.3">
      <c r="A493" s="49">
        <v>44363</v>
      </c>
      <c r="B493" s="49">
        <f t="shared" si="14"/>
        <v>44332</v>
      </c>
      <c r="C493" s="49">
        <f t="shared" si="15"/>
        <v>44348</v>
      </c>
      <c r="D493" s="52" t="s">
        <v>66</v>
      </c>
      <c r="E493" s="52" t="s">
        <v>1543</v>
      </c>
      <c r="F493" s="52" t="s">
        <v>16</v>
      </c>
      <c r="G493" s="52" t="s">
        <v>1529</v>
      </c>
      <c r="H493" s="18">
        <v>2099</v>
      </c>
      <c r="I493" s="5">
        <f>IF(tbRegistroSaidas[[#This Row],[DATA DE CAIXA REALIZADO]]="N/A",0,YEAR(tbRegistroSaidas[[#This Row],[DATA DE CAIXA REALIZADO]]))</f>
        <v>2021</v>
      </c>
      <c r="J493" s="5" t="str">
        <f>IF(tbRegistroSaidas[[#This Row],[DATA DE CAIXA REALIZADO]]="N/A","0",UPPER(TEXT(tbRegistroSaidas[[#This Row],[DATA DE CAIXA REALIZADO]],"mmm")))</f>
        <v>JUN</v>
      </c>
      <c r="K493" s="79" t="str">
        <f>IF(tbRegistroSaidas[[#This Row],[DATA DA COMPETÊNCIA]]="N/A","0",UPPER(TEXT(tbRegistroSaidas[[#This Row],[DATA DA COMPETÊNCIA]],"mmm")))</f>
        <v>MAI</v>
      </c>
      <c r="L493" s="79">
        <f>IF(tbRegistroSaidas[[#This Row],[DATA DA COMPETÊNCIA]]="N/A",0,YEAR(tbRegistroSaidas[[#This Row],[DATA DA COMPETÊNCIA]]))</f>
        <v>2021</v>
      </c>
      <c r="M493" s="5" t="str">
        <f>IF(tbRegistroSaidas[[#This Row],[DATA DO CAIXA PREVISTO]]="N/A","0",UPPER(TEXT(tbRegistroSaidas[[#This Row],[DATA DO CAIXA PREVISTO]],"mmm")))</f>
        <v>JUN</v>
      </c>
      <c r="N493" s="5">
        <f>IF(tbRegistroSaidas[[#This Row],[DATA DO CAIXA PREVISTO]]="N/A",0,YEAR(tbRegistroSaidas[[#This Row],[DATA DO CAIXA PREVISTO]]))</f>
        <v>2021</v>
      </c>
    </row>
    <row r="494" spans="1:14" s="5" customFormat="1" ht="14.4" x14ac:dyDescent="0.3">
      <c r="A494" s="49">
        <v>44819</v>
      </c>
      <c r="B494" s="49">
        <f t="shared" si="14"/>
        <v>44788</v>
      </c>
      <c r="C494" s="49">
        <f t="shared" si="15"/>
        <v>44804</v>
      </c>
      <c r="D494" s="52" t="s">
        <v>65</v>
      </c>
      <c r="E494" s="52" t="s">
        <v>1543</v>
      </c>
      <c r="F494" s="52" t="s">
        <v>17</v>
      </c>
      <c r="G494" s="52" t="s">
        <v>1530</v>
      </c>
      <c r="H494" s="18">
        <v>3630</v>
      </c>
      <c r="I494" s="5">
        <f>IF(tbRegistroSaidas[[#This Row],[DATA DE CAIXA REALIZADO]]="N/A",0,YEAR(tbRegistroSaidas[[#This Row],[DATA DE CAIXA REALIZADO]]))</f>
        <v>2022</v>
      </c>
      <c r="J494" s="5" t="str">
        <f>IF(tbRegistroSaidas[[#This Row],[DATA DE CAIXA REALIZADO]]="N/A","0",UPPER(TEXT(tbRegistroSaidas[[#This Row],[DATA DE CAIXA REALIZADO]],"mmm")))</f>
        <v>SET</v>
      </c>
      <c r="K494" s="79" t="str">
        <f>IF(tbRegistroSaidas[[#This Row],[DATA DA COMPETÊNCIA]]="N/A","0",UPPER(TEXT(tbRegistroSaidas[[#This Row],[DATA DA COMPETÊNCIA]],"mmm")))</f>
        <v>AGO</v>
      </c>
      <c r="L494" s="79">
        <f>IF(tbRegistroSaidas[[#This Row],[DATA DA COMPETÊNCIA]]="N/A",0,YEAR(tbRegistroSaidas[[#This Row],[DATA DA COMPETÊNCIA]]))</f>
        <v>2022</v>
      </c>
      <c r="M494" s="5" t="str">
        <f>IF(tbRegistroSaidas[[#This Row],[DATA DO CAIXA PREVISTO]]="N/A","0",UPPER(TEXT(tbRegistroSaidas[[#This Row],[DATA DO CAIXA PREVISTO]],"mmm")))</f>
        <v>AGO</v>
      </c>
      <c r="N494" s="5">
        <f>IF(tbRegistroSaidas[[#This Row],[DATA DO CAIXA PREVISTO]]="N/A",0,YEAR(tbRegistroSaidas[[#This Row],[DATA DO CAIXA PREVISTO]]))</f>
        <v>2022</v>
      </c>
    </row>
    <row r="495" spans="1:14" s="5" customFormat="1" ht="14.4" x14ac:dyDescent="0.3">
      <c r="A495" s="49">
        <v>44984</v>
      </c>
      <c r="B495" s="49">
        <f t="shared" si="14"/>
        <v>44953</v>
      </c>
      <c r="C495" s="49">
        <f t="shared" si="15"/>
        <v>44969</v>
      </c>
      <c r="D495" s="52" t="s">
        <v>137</v>
      </c>
      <c r="E495" s="52" t="s">
        <v>1543</v>
      </c>
      <c r="F495" s="52" t="s">
        <v>16</v>
      </c>
      <c r="G495" s="52" t="s">
        <v>1531</v>
      </c>
      <c r="H495" s="18">
        <v>285</v>
      </c>
      <c r="I495" s="5">
        <f>IF(tbRegistroSaidas[[#This Row],[DATA DE CAIXA REALIZADO]]="N/A",0,YEAR(tbRegistroSaidas[[#This Row],[DATA DE CAIXA REALIZADO]]))</f>
        <v>2023</v>
      </c>
      <c r="J495" s="5" t="str">
        <f>IF(tbRegistroSaidas[[#This Row],[DATA DE CAIXA REALIZADO]]="N/A","0",UPPER(TEXT(tbRegistroSaidas[[#This Row],[DATA DE CAIXA REALIZADO]],"mmm")))</f>
        <v>FEV</v>
      </c>
      <c r="K495" s="79" t="str">
        <f>IF(tbRegistroSaidas[[#This Row],[DATA DA COMPETÊNCIA]]="N/A","0",UPPER(TEXT(tbRegistroSaidas[[#This Row],[DATA DA COMPETÊNCIA]],"mmm")))</f>
        <v>JAN</v>
      </c>
      <c r="L495" s="79">
        <f>IF(tbRegistroSaidas[[#This Row],[DATA DA COMPETÊNCIA]]="N/A",0,YEAR(tbRegistroSaidas[[#This Row],[DATA DA COMPETÊNCIA]]))</f>
        <v>2023</v>
      </c>
      <c r="M495" s="5" t="str">
        <f>IF(tbRegistroSaidas[[#This Row],[DATA DO CAIXA PREVISTO]]="N/A","0",UPPER(TEXT(tbRegistroSaidas[[#This Row],[DATA DO CAIXA PREVISTO]],"mmm")))</f>
        <v>FEV</v>
      </c>
      <c r="N495" s="5">
        <f>IF(tbRegistroSaidas[[#This Row],[DATA DO CAIXA PREVISTO]]="N/A",0,YEAR(tbRegistroSaidas[[#This Row],[DATA DO CAIXA PREVISTO]]))</f>
        <v>2023</v>
      </c>
    </row>
    <row r="496" spans="1:14" s="5" customFormat="1" ht="14.4" x14ac:dyDescent="0.3">
      <c r="A496" s="49">
        <v>44809</v>
      </c>
      <c r="B496" s="49">
        <f t="shared" si="14"/>
        <v>44778</v>
      </c>
      <c r="C496" s="49">
        <f t="shared" si="15"/>
        <v>44794</v>
      </c>
      <c r="D496" s="52" t="s">
        <v>63</v>
      </c>
      <c r="E496" s="52" t="s">
        <v>1543</v>
      </c>
      <c r="F496" s="52" t="s">
        <v>19</v>
      </c>
      <c r="G496" s="52" t="s">
        <v>1532</v>
      </c>
      <c r="H496" s="18">
        <v>1802</v>
      </c>
      <c r="I496" s="5">
        <f>IF(tbRegistroSaidas[[#This Row],[DATA DE CAIXA REALIZADO]]="N/A",0,YEAR(tbRegistroSaidas[[#This Row],[DATA DE CAIXA REALIZADO]]))</f>
        <v>2022</v>
      </c>
      <c r="J496" s="5" t="str">
        <f>IF(tbRegistroSaidas[[#This Row],[DATA DE CAIXA REALIZADO]]="N/A","0",UPPER(TEXT(tbRegistroSaidas[[#This Row],[DATA DE CAIXA REALIZADO]],"mmm")))</f>
        <v>SET</v>
      </c>
      <c r="K496" s="79" t="str">
        <f>IF(tbRegistroSaidas[[#This Row],[DATA DA COMPETÊNCIA]]="N/A","0",UPPER(TEXT(tbRegistroSaidas[[#This Row],[DATA DA COMPETÊNCIA]],"mmm")))</f>
        <v>AGO</v>
      </c>
      <c r="L496" s="79">
        <f>IF(tbRegistroSaidas[[#This Row],[DATA DA COMPETÊNCIA]]="N/A",0,YEAR(tbRegistroSaidas[[#This Row],[DATA DA COMPETÊNCIA]]))</f>
        <v>2022</v>
      </c>
      <c r="M496" s="5" t="str">
        <f>IF(tbRegistroSaidas[[#This Row],[DATA DO CAIXA PREVISTO]]="N/A","0",UPPER(TEXT(tbRegistroSaidas[[#This Row],[DATA DO CAIXA PREVISTO]],"mmm")))</f>
        <v>AGO</v>
      </c>
      <c r="N496" s="5">
        <f>IF(tbRegistroSaidas[[#This Row],[DATA DO CAIXA PREVISTO]]="N/A",0,YEAR(tbRegistroSaidas[[#This Row],[DATA DO CAIXA PREVISTO]]))</f>
        <v>2022</v>
      </c>
    </row>
    <row r="497" spans="1:14" s="5" customFormat="1" ht="14.4" x14ac:dyDescent="0.3">
      <c r="A497" s="49">
        <v>45137</v>
      </c>
      <c r="B497" s="49">
        <f t="shared" si="14"/>
        <v>45106</v>
      </c>
      <c r="C497" s="49">
        <f t="shared" si="15"/>
        <v>45122</v>
      </c>
      <c r="D497" s="52" t="s">
        <v>61</v>
      </c>
      <c r="E497" s="52" t="s">
        <v>1543</v>
      </c>
      <c r="F497" s="52" t="s">
        <v>18</v>
      </c>
      <c r="G497" s="52" t="s">
        <v>1533</v>
      </c>
      <c r="H497" s="18">
        <v>984</v>
      </c>
      <c r="I497" s="5">
        <f>IF(tbRegistroSaidas[[#This Row],[DATA DE CAIXA REALIZADO]]="N/A",0,YEAR(tbRegistroSaidas[[#This Row],[DATA DE CAIXA REALIZADO]]))</f>
        <v>2023</v>
      </c>
      <c r="J497" s="5" t="str">
        <f>IF(tbRegistroSaidas[[#This Row],[DATA DE CAIXA REALIZADO]]="N/A","0",UPPER(TEXT(tbRegistroSaidas[[#This Row],[DATA DE CAIXA REALIZADO]],"mmm")))</f>
        <v>JUL</v>
      </c>
      <c r="K497" s="79" t="str">
        <f>IF(tbRegistroSaidas[[#This Row],[DATA DA COMPETÊNCIA]]="N/A","0",UPPER(TEXT(tbRegistroSaidas[[#This Row],[DATA DA COMPETÊNCIA]],"mmm")))</f>
        <v>JUN</v>
      </c>
      <c r="L497" s="79">
        <f>IF(tbRegistroSaidas[[#This Row],[DATA DA COMPETÊNCIA]]="N/A",0,YEAR(tbRegistroSaidas[[#This Row],[DATA DA COMPETÊNCIA]]))</f>
        <v>2023</v>
      </c>
      <c r="M497" s="5" t="str">
        <f>IF(tbRegistroSaidas[[#This Row],[DATA DO CAIXA PREVISTO]]="N/A","0",UPPER(TEXT(tbRegistroSaidas[[#This Row],[DATA DO CAIXA PREVISTO]],"mmm")))</f>
        <v>JUL</v>
      </c>
      <c r="N497" s="5">
        <f>IF(tbRegistroSaidas[[#This Row],[DATA DO CAIXA PREVISTO]]="N/A",0,YEAR(tbRegistroSaidas[[#This Row],[DATA DO CAIXA PREVISTO]]))</f>
        <v>2023</v>
      </c>
    </row>
    <row r="498" spans="1:14" s="5" customFormat="1" ht="14.4" x14ac:dyDescent="0.3">
      <c r="A498" s="49">
        <v>44221</v>
      </c>
      <c r="B498" s="49">
        <f t="shared" si="14"/>
        <v>44190</v>
      </c>
      <c r="C498" s="49">
        <f t="shared" si="15"/>
        <v>44206</v>
      </c>
      <c r="D498" s="52" t="s">
        <v>137</v>
      </c>
      <c r="E498" s="52" t="s">
        <v>1543</v>
      </c>
      <c r="F498" s="52" t="s">
        <v>19</v>
      </c>
      <c r="G498" s="52" t="s">
        <v>1534</v>
      </c>
      <c r="H498" s="18">
        <v>2070</v>
      </c>
      <c r="I498" s="5">
        <f>IF(tbRegistroSaidas[[#This Row],[DATA DE CAIXA REALIZADO]]="N/A",0,YEAR(tbRegistroSaidas[[#This Row],[DATA DE CAIXA REALIZADO]]))</f>
        <v>2021</v>
      </c>
      <c r="J498" s="5" t="str">
        <f>IF(tbRegistroSaidas[[#This Row],[DATA DE CAIXA REALIZADO]]="N/A","0",UPPER(TEXT(tbRegistroSaidas[[#This Row],[DATA DE CAIXA REALIZADO]],"mmm")))</f>
        <v>JAN</v>
      </c>
      <c r="K498" s="79" t="str">
        <f>IF(tbRegistroSaidas[[#This Row],[DATA DA COMPETÊNCIA]]="N/A","0",UPPER(TEXT(tbRegistroSaidas[[#This Row],[DATA DA COMPETÊNCIA]],"mmm")))</f>
        <v>DEZ</v>
      </c>
      <c r="L498" s="79">
        <f>IF(tbRegistroSaidas[[#This Row],[DATA DA COMPETÊNCIA]]="N/A",0,YEAR(tbRegistroSaidas[[#This Row],[DATA DA COMPETÊNCIA]]))</f>
        <v>2020</v>
      </c>
      <c r="M498" s="5" t="str">
        <f>IF(tbRegistroSaidas[[#This Row],[DATA DO CAIXA PREVISTO]]="N/A","0",UPPER(TEXT(tbRegistroSaidas[[#This Row],[DATA DO CAIXA PREVISTO]],"mmm")))</f>
        <v>JAN</v>
      </c>
      <c r="N498" s="5">
        <f>IF(tbRegistroSaidas[[#This Row],[DATA DO CAIXA PREVISTO]]="N/A",0,YEAR(tbRegistroSaidas[[#This Row],[DATA DO CAIXA PREVISTO]]))</f>
        <v>2021</v>
      </c>
    </row>
    <row r="499" spans="1:14" s="5" customFormat="1" ht="14.4" x14ac:dyDescent="0.3">
      <c r="A499" s="49">
        <v>44648</v>
      </c>
      <c r="B499" s="49">
        <f t="shared" si="14"/>
        <v>44617</v>
      </c>
      <c r="C499" s="49">
        <f t="shared" si="15"/>
        <v>44633</v>
      </c>
      <c r="D499" s="52" t="s">
        <v>65</v>
      </c>
      <c r="E499" s="52" t="s">
        <v>1543</v>
      </c>
      <c r="F499" s="52" t="s">
        <v>16</v>
      </c>
      <c r="G499" s="52" t="s">
        <v>1535</v>
      </c>
      <c r="H499" s="18">
        <v>1565</v>
      </c>
      <c r="I499" s="5">
        <f>IF(tbRegistroSaidas[[#This Row],[DATA DE CAIXA REALIZADO]]="N/A",0,YEAR(tbRegistroSaidas[[#This Row],[DATA DE CAIXA REALIZADO]]))</f>
        <v>2022</v>
      </c>
      <c r="J499" s="5" t="str">
        <f>IF(tbRegistroSaidas[[#This Row],[DATA DE CAIXA REALIZADO]]="N/A","0",UPPER(TEXT(tbRegistroSaidas[[#This Row],[DATA DE CAIXA REALIZADO]],"mmm")))</f>
        <v>MAR</v>
      </c>
      <c r="K499" s="79" t="str">
        <f>IF(tbRegistroSaidas[[#This Row],[DATA DA COMPETÊNCIA]]="N/A","0",UPPER(TEXT(tbRegistroSaidas[[#This Row],[DATA DA COMPETÊNCIA]],"mmm")))</f>
        <v>FEV</v>
      </c>
      <c r="L499" s="79">
        <f>IF(tbRegistroSaidas[[#This Row],[DATA DA COMPETÊNCIA]]="N/A",0,YEAR(tbRegistroSaidas[[#This Row],[DATA DA COMPETÊNCIA]]))</f>
        <v>2022</v>
      </c>
      <c r="M499" s="5" t="str">
        <f>IF(tbRegistroSaidas[[#This Row],[DATA DO CAIXA PREVISTO]]="N/A","0",UPPER(TEXT(tbRegistroSaidas[[#This Row],[DATA DO CAIXA PREVISTO]],"mmm")))</f>
        <v>MAR</v>
      </c>
      <c r="N499" s="5">
        <f>IF(tbRegistroSaidas[[#This Row],[DATA DO CAIXA PREVISTO]]="N/A",0,YEAR(tbRegistroSaidas[[#This Row],[DATA DO CAIXA PREVISTO]]))</f>
        <v>2022</v>
      </c>
    </row>
    <row r="500" spans="1:14" s="5" customFormat="1" ht="14.4" x14ac:dyDescent="0.3">
      <c r="A500" s="49">
        <v>44252</v>
      </c>
      <c r="B500" s="49">
        <f t="shared" si="14"/>
        <v>44221</v>
      </c>
      <c r="C500" s="49">
        <f t="shared" si="15"/>
        <v>44237</v>
      </c>
      <c r="D500" s="52" t="s">
        <v>61</v>
      </c>
      <c r="E500" s="52" t="s">
        <v>1543</v>
      </c>
      <c r="F500" s="52" t="s">
        <v>32</v>
      </c>
      <c r="G500" s="52" t="s">
        <v>1536</v>
      </c>
      <c r="H500" s="18">
        <v>720</v>
      </c>
      <c r="I500" s="5">
        <f>IF(tbRegistroSaidas[[#This Row],[DATA DE CAIXA REALIZADO]]="N/A",0,YEAR(tbRegistroSaidas[[#This Row],[DATA DE CAIXA REALIZADO]]))</f>
        <v>2021</v>
      </c>
      <c r="J500" s="5" t="str">
        <f>IF(tbRegistroSaidas[[#This Row],[DATA DE CAIXA REALIZADO]]="N/A","0",UPPER(TEXT(tbRegistroSaidas[[#This Row],[DATA DE CAIXA REALIZADO]],"mmm")))</f>
        <v>FEV</v>
      </c>
      <c r="K500" s="79" t="str">
        <f>IF(tbRegistroSaidas[[#This Row],[DATA DA COMPETÊNCIA]]="N/A","0",UPPER(TEXT(tbRegistroSaidas[[#This Row],[DATA DA COMPETÊNCIA]],"mmm")))</f>
        <v>JAN</v>
      </c>
      <c r="L500" s="79">
        <f>IF(tbRegistroSaidas[[#This Row],[DATA DA COMPETÊNCIA]]="N/A",0,YEAR(tbRegistroSaidas[[#This Row],[DATA DA COMPETÊNCIA]]))</f>
        <v>2021</v>
      </c>
      <c r="M500" s="5" t="str">
        <f>IF(tbRegistroSaidas[[#This Row],[DATA DO CAIXA PREVISTO]]="N/A","0",UPPER(TEXT(tbRegistroSaidas[[#This Row],[DATA DO CAIXA PREVISTO]],"mmm")))</f>
        <v>FEV</v>
      </c>
      <c r="N500" s="5">
        <f>IF(tbRegistroSaidas[[#This Row],[DATA DO CAIXA PREVISTO]]="N/A",0,YEAR(tbRegistroSaidas[[#This Row],[DATA DO CAIXA PREVISTO]]))</f>
        <v>2021</v>
      </c>
    </row>
    <row r="501" spans="1:14" s="5" customFormat="1" ht="14.4" x14ac:dyDescent="0.3">
      <c r="A501" s="49">
        <v>45281</v>
      </c>
      <c r="B501" s="49">
        <f t="shared" si="14"/>
        <v>45250</v>
      </c>
      <c r="C501" s="49">
        <f t="shared" si="15"/>
        <v>45266</v>
      </c>
      <c r="D501" s="52" t="s">
        <v>61</v>
      </c>
      <c r="E501" s="52" t="s">
        <v>1543</v>
      </c>
      <c r="F501" s="52" t="s">
        <v>16</v>
      </c>
      <c r="G501" s="52" t="s">
        <v>1537</v>
      </c>
      <c r="H501" s="18">
        <v>1007</v>
      </c>
      <c r="I501" s="5">
        <f>IF(tbRegistroSaidas[[#This Row],[DATA DE CAIXA REALIZADO]]="N/A",0,YEAR(tbRegistroSaidas[[#This Row],[DATA DE CAIXA REALIZADO]]))</f>
        <v>2023</v>
      </c>
      <c r="J501" s="5" t="str">
        <f>IF(tbRegistroSaidas[[#This Row],[DATA DE CAIXA REALIZADO]]="N/A","0",UPPER(TEXT(tbRegistroSaidas[[#This Row],[DATA DE CAIXA REALIZADO]],"mmm")))</f>
        <v>DEZ</v>
      </c>
      <c r="K501" s="79" t="str">
        <f>IF(tbRegistroSaidas[[#This Row],[DATA DA COMPETÊNCIA]]="N/A","0",UPPER(TEXT(tbRegistroSaidas[[#This Row],[DATA DA COMPETÊNCIA]],"mmm")))</f>
        <v>NOV</v>
      </c>
      <c r="L501" s="79">
        <f>IF(tbRegistroSaidas[[#This Row],[DATA DA COMPETÊNCIA]]="N/A",0,YEAR(tbRegistroSaidas[[#This Row],[DATA DA COMPETÊNCIA]]))</f>
        <v>2023</v>
      </c>
      <c r="M501" s="5" t="str">
        <f>IF(tbRegistroSaidas[[#This Row],[DATA DO CAIXA PREVISTO]]="N/A","0",UPPER(TEXT(tbRegistroSaidas[[#This Row],[DATA DO CAIXA PREVISTO]],"mmm")))</f>
        <v>DEZ</v>
      </c>
      <c r="N501" s="5">
        <f>IF(tbRegistroSaidas[[#This Row],[DATA DO CAIXA PREVISTO]]="N/A",0,YEAR(tbRegistroSaidas[[#This Row],[DATA DO CAIXA PREVISTO]]))</f>
        <v>2023</v>
      </c>
    </row>
    <row r="502" spans="1:14" s="5" customFormat="1" ht="14.4" x14ac:dyDescent="0.3">
      <c r="A502" s="49">
        <v>45063</v>
      </c>
      <c r="B502" s="49">
        <f t="shared" si="14"/>
        <v>45032</v>
      </c>
      <c r="C502" s="49">
        <f t="shared" si="15"/>
        <v>45048</v>
      </c>
      <c r="D502" s="52" t="s">
        <v>65</v>
      </c>
      <c r="E502" s="52" t="s">
        <v>1543</v>
      </c>
      <c r="F502" s="52" t="s">
        <v>32</v>
      </c>
      <c r="G502" s="52" t="s">
        <v>1538</v>
      </c>
      <c r="H502" s="18">
        <v>3238</v>
      </c>
      <c r="I502" s="5">
        <f>IF(tbRegistroSaidas[[#This Row],[DATA DE CAIXA REALIZADO]]="N/A",0,YEAR(tbRegistroSaidas[[#This Row],[DATA DE CAIXA REALIZADO]]))</f>
        <v>2023</v>
      </c>
      <c r="J502" s="5" t="str">
        <f>IF(tbRegistroSaidas[[#This Row],[DATA DE CAIXA REALIZADO]]="N/A","0",UPPER(TEXT(tbRegistroSaidas[[#This Row],[DATA DE CAIXA REALIZADO]],"mmm")))</f>
        <v>MAI</v>
      </c>
      <c r="K502" s="79" t="str">
        <f>IF(tbRegistroSaidas[[#This Row],[DATA DA COMPETÊNCIA]]="N/A","0",UPPER(TEXT(tbRegistroSaidas[[#This Row],[DATA DA COMPETÊNCIA]],"mmm")))</f>
        <v>ABR</v>
      </c>
      <c r="L502" s="79">
        <f>IF(tbRegistroSaidas[[#This Row],[DATA DA COMPETÊNCIA]]="N/A",0,YEAR(tbRegistroSaidas[[#This Row],[DATA DA COMPETÊNCIA]]))</f>
        <v>2023</v>
      </c>
      <c r="M502" s="5" t="str">
        <f>IF(tbRegistroSaidas[[#This Row],[DATA DO CAIXA PREVISTO]]="N/A","0",UPPER(TEXT(tbRegistroSaidas[[#This Row],[DATA DO CAIXA PREVISTO]],"mmm")))</f>
        <v>MAI</v>
      </c>
      <c r="N502" s="5">
        <f>IF(tbRegistroSaidas[[#This Row],[DATA DO CAIXA PREVISTO]]="N/A",0,YEAR(tbRegistroSaidas[[#This Row],[DATA DO CAIXA PREVISTO]]))</f>
        <v>2023</v>
      </c>
    </row>
    <row r="503" spans="1:14" s="5" customFormat="1" ht="14.4" x14ac:dyDescent="0.3">
      <c r="A503" s="49">
        <v>44761</v>
      </c>
      <c r="B503" s="49">
        <f t="shared" si="14"/>
        <v>44730</v>
      </c>
      <c r="C503" s="49">
        <f t="shared" si="15"/>
        <v>44746</v>
      </c>
      <c r="D503" s="52" t="s">
        <v>138</v>
      </c>
      <c r="E503" s="52" t="s">
        <v>1543</v>
      </c>
      <c r="F503" s="52" t="s">
        <v>32</v>
      </c>
      <c r="G503" s="52" t="s">
        <v>1539</v>
      </c>
      <c r="H503" s="18">
        <v>1402</v>
      </c>
      <c r="I503" s="5">
        <f>IF(tbRegistroSaidas[[#This Row],[DATA DE CAIXA REALIZADO]]="N/A",0,YEAR(tbRegistroSaidas[[#This Row],[DATA DE CAIXA REALIZADO]]))</f>
        <v>2022</v>
      </c>
      <c r="J503" s="5" t="str">
        <f>IF(tbRegistroSaidas[[#This Row],[DATA DE CAIXA REALIZADO]]="N/A","0",UPPER(TEXT(tbRegistroSaidas[[#This Row],[DATA DE CAIXA REALIZADO]],"mmm")))</f>
        <v>JUL</v>
      </c>
      <c r="K503" s="79" t="str">
        <f>IF(tbRegistroSaidas[[#This Row],[DATA DA COMPETÊNCIA]]="N/A","0",UPPER(TEXT(tbRegistroSaidas[[#This Row],[DATA DA COMPETÊNCIA]],"mmm")))</f>
        <v>JUN</v>
      </c>
      <c r="L503" s="79">
        <f>IF(tbRegistroSaidas[[#This Row],[DATA DA COMPETÊNCIA]]="N/A",0,YEAR(tbRegistroSaidas[[#This Row],[DATA DA COMPETÊNCIA]]))</f>
        <v>2022</v>
      </c>
      <c r="M503" s="5" t="str">
        <f>IF(tbRegistroSaidas[[#This Row],[DATA DO CAIXA PREVISTO]]="N/A","0",UPPER(TEXT(tbRegistroSaidas[[#This Row],[DATA DO CAIXA PREVISTO]],"mmm")))</f>
        <v>JUL</v>
      </c>
      <c r="N503" s="5">
        <f>IF(tbRegistroSaidas[[#This Row],[DATA DO CAIXA PREVISTO]]="N/A",0,YEAR(tbRegistroSaidas[[#This Row],[DATA DO CAIXA PREVISTO]]))</f>
        <v>2022</v>
      </c>
    </row>
    <row r="504" spans="1:14" s="5" customFormat="1" ht="14.4" x14ac:dyDescent="0.3">
      <c r="A504" s="49">
        <v>44685</v>
      </c>
      <c r="B504" s="49">
        <f t="shared" si="14"/>
        <v>44654</v>
      </c>
      <c r="C504" s="49">
        <f t="shared" si="15"/>
        <v>44670</v>
      </c>
      <c r="D504" s="52" t="s">
        <v>65</v>
      </c>
      <c r="E504" s="52" t="s">
        <v>1543</v>
      </c>
      <c r="F504" s="52" t="s">
        <v>19</v>
      </c>
      <c r="G504" s="52" t="s">
        <v>1540</v>
      </c>
      <c r="H504" s="18">
        <v>2027</v>
      </c>
      <c r="I504" s="5">
        <f>IF(tbRegistroSaidas[[#This Row],[DATA DE CAIXA REALIZADO]]="N/A",0,YEAR(tbRegistroSaidas[[#This Row],[DATA DE CAIXA REALIZADO]]))</f>
        <v>2022</v>
      </c>
      <c r="J504" s="5" t="str">
        <f>IF(tbRegistroSaidas[[#This Row],[DATA DE CAIXA REALIZADO]]="N/A","0",UPPER(TEXT(tbRegistroSaidas[[#This Row],[DATA DE CAIXA REALIZADO]],"mmm")))</f>
        <v>MAI</v>
      </c>
      <c r="K504" s="79" t="str">
        <f>IF(tbRegistroSaidas[[#This Row],[DATA DA COMPETÊNCIA]]="N/A","0",UPPER(TEXT(tbRegistroSaidas[[#This Row],[DATA DA COMPETÊNCIA]],"mmm")))</f>
        <v>ABR</v>
      </c>
      <c r="L504" s="79">
        <f>IF(tbRegistroSaidas[[#This Row],[DATA DA COMPETÊNCIA]]="N/A",0,YEAR(tbRegistroSaidas[[#This Row],[DATA DA COMPETÊNCIA]]))</f>
        <v>2022</v>
      </c>
      <c r="M504" s="5" t="str">
        <f>IF(tbRegistroSaidas[[#This Row],[DATA DO CAIXA PREVISTO]]="N/A","0",UPPER(TEXT(tbRegistroSaidas[[#This Row],[DATA DO CAIXA PREVISTO]],"mmm")))</f>
        <v>ABR</v>
      </c>
      <c r="N504" s="5">
        <f>IF(tbRegistroSaidas[[#This Row],[DATA DO CAIXA PREVISTO]]="N/A",0,YEAR(tbRegistroSaidas[[#This Row],[DATA DO CAIXA PREVISTO]]))</f>
        <v>2022</v>
      </c>
    </row>
    <row r="505" spans="1:14" s="5" customFormat="1" ht="14.4" x14ac:dyDescent="0.3">
      <c r="A505" s="49">
        <v>45016</v>
      </c>
      <c r="B505" s="49">
        <f t="shared" si="14"/>
        <v>44985</v>
      </c>
      <c r="C505" s="49">
        <f t="shared" si="15"/>
        <v>45001</v>
      </c>
      <c r="D505" s="52" t="s">
        <v>63</v>
      </c>
      <c r="E505" s="52" t="s">
        <v>1543</v>
      </c>
      <c r="F505" s="52" t="s">
        <v>16</v>
      </c>
      <c r="G505" s="52" t="s">
        <v>1541</v>
      </c>
      <c r="H505" s="18">
        <v>1644</v>
      </c>
      <c r="I505" s="5">
        <f>IF(tbRegistroSaidas[[#This Row],[DATA DE CAIXA REALIZADO]]="N/A",0,YEAR(tbRegistroSaidas[[#This Row],[DATA DE CAIXA REALIZADO]]))</f>
        <v>2023</v>
      </c>
      <c r="J505" s="5" t="str">
        <f>IF(tbRegistroSaidas[[#This Row],[DATA DE CAIXA REALIZADO]]="N/A","0",UPPER(TEXT(tbRegistroSaidas[[#This Row],[DATA DE CAIXA REALIZADO]],"mmm")))</f>
        <v>MAR</v>
      </c>
      <c r="K505" s="79" t="str">
        <f>IF(tbRegistroSaidas[[#This Row],[DATA DA COMPETÊNCIA]]="N/A","0",UPPER(TEXT(tbRegistroSaidas[[#This Row],[DATA DA COMPETÊNCIA]],"mmm")))</f>
        <v>FEV</v>
      </c>
      <c r="L505" s="79">
        <f>IF(tbRegistroSaidas[[#This Row],[DATA DA COMPETÊNCIA]]="N/A",0,YEAR(tbRegistroSaidas[[#This Row],[DATA DA COMPETÊNCIA]]))</f>
        <v>2023</v>
      </c>
      <c r="M505" s="5" t="str">
        <f>IF(tbRegistroSaidas[[#This Row],[DATA DO CAIXA PREVISTO]]="N/A","0",UPPER(TEXT(tbRegistroSaidas[[#This Row],[DATA DO CAIXA PREVISTO]],"mmm")))</f>
        <v>MAR</v>
      </c>
      <c r="N505" s="5">
        <f>IF(tbRegistroSaidas[[#This Row],[DATA DO CAIXA PREVISTO]]="N/A",0,YEAR(tbRegistroSaidas[[#This Row],[DATA DO CAIXA PREVISTO]]))</f>
        <v>2023</v>
      </c>
    </row>
    <row r="506" spans="1:14" s="5" customFormat="1" ht="14.4" x14ac:dyDescent="0.3">
      <c r="A506" s="49">
        <v>45089</v>
      </c>
      <c r="B506" s="49">
        <f t="shared" si="14"/>
        <v>45058</v>
      </c>
      <c r="C506" s="49">
        <f t="shared" si="15"/>
        <v>45074</v>
      </c>
      <c r="D506" s="52" t="s">
        <v>138</v>
      </c>
      <c r="E506" s="52" t="s">
        <v>1543</v>
      </c>
      <c r="F506" s="52" t="s">
        <v>17</v>
      </c>
      <c r="G506" s="52" t="s">
        <v>1542</v>
      </c>
      <c r="H506" s="18">
        <v>1379</v>
      </c>
      <c r="I506" s="5">
        <f>IF(tbRegistroSaidas[[#This Row],[DATA DE CAIXA REALIZADO]]="N/A",0,YEAR(tbRegistroSaidas[[#This Row],[DATA DE CAIXA REALIZADO]]))</f>
        <v>2023</v>
      </c>
      <c r="J506" s="5" t="str">
        <f>IF(tbRegistroSaidas[[#This Row],[DATA DE CAIXA REALIZADO]]="N/A","0",UPPER(TEXT(tbRegistroSaidas[[#This Row],[DATA DE CAIXA REALIZADO]],"mmm")))</f>
        <v>JUN</v>
      </c>
      <c r="K506" s="79" t="str">
        <f>IF(tbRegistroSaidas[[#This Row],[DATA DA COMPETÊNCIA]]="N/A","0",UPPER(TEXT(tbRegistroSaidas[[#This Row],[DATA DA COMPETÊNCIA]],"mmm")))</f>
        <v>MAI</v>
      </c>
      <c r="L506" s="79">
        <f>IF(tbRegistroSaidas[[#This Row],[DATA DA COMPETÊNCIA]]="N/A",0,YEAR(tbRegistroSaidas[[#This Row],[DATA DA COMPETÊNCIA]]))</f>
        <v>2023</v>
      </c>
      <c r="M506" s="5" t="str">
        <f>IF(tbRegistroSaidas[[#This Row],[DATA DO CAIXA PREVISTO]]="N/A","0",UPPER(TEXT(tbRegistroSaidas[[#This Row],[DATA DO CAIXA PREVISTO]],"mmm")))</f>
        <v>MAI</v>
      </c>
      <c r="N506" s="5">
        <f>IF(tbRegistroSaidas[[#This Row],[DATA DO CAIXA PREVISTO]]="N/A",0,YEAR(tbRegistroSaidas[[#This Row],[DATA DO CAIXA PREVISTO]]))</f>
        <v>2023</v>
      </c>
    </row>
    <row r="507" spans="1:14" s="5" customFormat="1" ht="14.4" x14ac:dyDescent="0.3">
      <c r="A507" s="38">
        <v>44456.831516203703</v>
      </c>
      <c r="B507" s="49">
        <v>44421</v>
      </c>
      <c r="C507" s="49">
        <v>44456.831516203703</v>
      </c>
      <c r="D507" s="49" t="s">
        <v>63</v>
      </c>
      <c r="E507" s="51" t="s">
        <v>26</v>
      </c>
      <c r="F507" s="51" t="s">
        <v>33</v>
      </c>
      <c r="G507" s="52" t="s">
        <v>374</v>
      </c>
      <c r="H507" s="18">
        <v>651</v>
      </c>
      <c r="I507" s="5">
        <f>IF(tbRegistroSaidas[[#This Row],[DATA DE CAIXA REALIZADO]]="N/A",0,YEAR(tbRegistroSaidas[[#This Row],[DATA DE CAIXA REALIZADO]]))</f>
        <v>2021</v>
      </c>
      <c r="J507" s="5" t="str">
        <f>IF(tbRegistroSaidas[[#This Row],[DATA DE CAIXA REALIZADO]]="N/A","0",UPPER(TEXT(tbRegistroSaidas[[#This Row],[DATA DE CAIXA REALIZADO]],"mmm")))</f>
        <v>SET</v>
      </c>
      <c r="K507" s="79" t="str">
        <f>IF(tbRegistroSaidas[[#This Row],[DATA DA COMPETÊNCIA]]="N/A","0",UPPER(TEXT(tbRegistroSaidas[[#This Row],[DATA DA COMPETÊNCIA]],"mmm")))</f>
        <v>AGO</v>
      </c>
      <c r="L507" s="79">
        <f>IF(tbRegistroSaidas[[#This Row],[DATA DA COMPETÊNCIA]]="N/A",0,YEAR(tbRegistroSaidas[[#This Row],[DATA DA COMPETÊNCIA]]))</f>
        <v>2021</v>
      </c>
      <c r="M507" s="5" t="str">
        <f>IF(tbRegistroSaidas[[#This Row],[DATA DO CAIXA PREVISTO]]="N/A","0",UPPER(TEXT(tbRegistroSaidas[[#This Row],[DATA DO CAIXA PREVISTO]],"mmm")))</f>
        <v>SET</v>
      </c>
      <c r="N507" s="5">
        <f>IF(tbRegistroSaidas[[#This Row],[DATA DO CAIXA PREVISTO]]="N/A",0,YEAR(tbRegistroSaidas[[#This Row],[DATA DO CAIXA PREVISTO]]))</f>
        <v>2021</v>
      </c>
    </row>
    <row r="508" spans="1:14" s="5" customFormat="1" ht="14.4" x14ac:dyDescent="0.3">
      <c r="A508" s="38">
        <v>44444.821863425925</v>
      </c>
      <c r="B508" s="49">
        <v>44426</v>
      </c>
      <c r="C508" s="49">
        <v>44444.821863425925</v>
      </c>
      <c r="D508" s="49" t="s">
        <v>137</v>
      </c>
      <c r="E508" s="51" t="s">
        <v>26</v>
      </c>
      <c r="F508" s="51" t="s">
        <v>32</v>
      </c>
      <c r="G508" s="52" t="s">
        <v>375</v>
      </c>
      <c r="H508" s="18">
        <v>131</v>
      </c>
      <c r="I508" s="5">
        <f>IF(tbRegistroSaidas[[#This Row],[DATA DE CAIXA REALIZADO]]="N/A",0,YEAR(tbRegistroSaidas[[#This Row],[DATA DE CAIXA REALIZADO]]))</f>
        <v>2021</v>
      </c>
      <c r="J508" s="5" t="str">
        <f>IF(tbRegistroSaidas[[#This Row],[DATA DE CAIXA REALIZADO]]="N/A","0",UPPER(TEXT(tbRegistroSaidas[[#This Row],[DATA DE CAIXA REALIZADO]],"mmm")))</f>
        <v>SET</v>
      </c>
      <c r="K508" s="79" t="str">
        <f>IF(tbRegistroSaidas[[#This Row],[DATA DA COMPETÊNCIA]]="N/A","0",UPPER(TEXT(tbRegistroSaidas[[#This Row],[DATA DA COMPETÊNCIA]],"mmm")))</f>
        <v>AGO</v>
      </c>
      <c r="L508" s="79">
        <f>IF(tbRegistroSaidas[[#This Row],[DATA DA COMPETÊNCIA]]="N/A",0,YEAR(tbRegistroSaidas[[#This Row],[DATA DA COMPETÊNCIA]]))</f>
        <v>2021</v>
      </c>
      <c r="M508" s="5" t="str">
        <f>IF(tbRegistroSaidas[[#This Row],[DATA DO CAIXA PREVISTO]]="N/A","0",UPPER(TEXT(tbRegistroSaidas[[#This Row],[DATA DO CAIXA PREVISTO]],"mmm")))</f>
        <v>SET</v>
      </c>
      <c r="N508" s="5">
        <f>IF(tbRegistroSaidas[[#This Row],[DATA DO CAIXA PREVISTO]]="N/A",0,YEAR(tbRegistroSaidas[[#This Row],[DATA DO CAIXA PREVISTO]]))</f>
        <v>2021</v>
      </c>
    </row>
    <row r="509" spans="1:14" s="5" customFormat="1" ht="14.4" x14ac:dyDescent="0.3">
      <c r="A509" s="38">
        <v>44465.400381944448</v>
      </c>
      <c r="B509" s="49">
        <v>44431</v>
      </c>
      <c r="C509" s="49">
        <v>44465.400381944448</v>
      </c>
      <c r="D509" s="49" t="s">
        <v>61</v>
      </c>
      <c r="E509" s="51" t="s">
        <v>26</v>
      </c>
      <c r="F509" s="51" t="s">
        <v>32</v>
      </c>
      <c r="G509" s="52" t="s">
        <v>376</v>
      </c>
      <c r="H509" s="18">
        <v>803</v>
      </c>
      <c r="I509" s="5">
        <f>IF(tbRegistroSaidas[[#This Row],[DATA DE CAIXA REALIZADO]]="N/A",0,YEAR(tbRegistroSaidas[[#This Row],[DATA DE CAIXA REALIZADO]]))</f>
        <v>2021</v>
      </c>
      <c r="J509" s="5" t="str">
        <f>IF(tbRegistroSaidas[[#This Row],[DATA DE CAIXA REALIZADO]]="N/A","0",UPPER(TEXT(tbRegistroSaidas[[#This Row],[DATA DE CAIXA REALIZADO]],"mmm")))</f>
        <v>SET</v>
      </c>
      <c r="K509" s="79" t="str">
        <f>IF(tbRegistroSaidas[[#This Row],[DATA DA COMPETÊNCIA]]="N/A","0",UPPER(TEXT(tbRegistroSaidas[[#This Row],[DATA DA COMPETÊNCIA]],"mmm")))</f>
        <v>AGO</v>
      </c>
      <c r="L509" s="79">
        <f>IF(tbRegistroSaidas[[#This Row],[DATA DA COMPETÊNCIA]]="N/A",0,YEAR(tbRegistroSaidas[[#This Row],[DATA DA COMPETÊNCIA]]))</f>
        <v>2021</v>
      </c>
      <c r="M509" s="5" t="str">
        <f>IF(tbRegistroSaidas[[#This Row],[DATA DO CAIXA PREVISTO]]="N/A","0",UPPER(TEXT(tbRegistroSaidas[[#This Row],[DATA DO CAIXA PREVISTO]],"mmm")))</f>
        <v>SET</v>
      </c>
      <c r="N509" s="5">
        <f>IF(tbRegistroSaidas[[#This Row],[DATA DO CAIXA PREVISTO]]="N/A",0,YEAR(tbRegistroSaidas[[#This Row],[DATA DO CAIXA PREVISTO]]))</f>
        <v>2021</v>
      </c>
    </row>
    <row r="510" spans="1:14" s="5" customFormat="1" ht="14.4" x14ac:dyDescent="0.3">
      <c r="A510" s="38">
        <v>44463.058148148149</v>
      </c>
      <c r="B510" s="49">
        <v>44432</v>
      </c>
      <c r="C510" s="49">
        <v>44463.058148148149</v>
      </c>
      <c r="D510" s="49" t="s">
        <v>61</v>
      </c>
      <c r="E510" s="51" t="s">
        <v>26</v>
      </c>
      <c r="F510" s="51" t="s">
        <v>33</v>
      </c>
      <c r="G510" s="52" t="s">
        <v>377</v>
      </c>
      <c r="H510" s="18">
        <v>4460</v>
      </c>
      <c r="I510" s="5">
        <f>IF(tbRegistroSaidas[[#This Row],[DATA DE CAIXA REALIZADO]]="N/A",0,YEAR(tbRegistroSaidas[[#This Row],[DATA DE CAIXA REALIZADO]]))</f>
        <v>2021</v>
      </c>
      <c r="J510" s="5" t="str">
        <f>IF(tbRegistroSaidas[[#This Row],[DATA DE CAIXA REALIZADO]]="N/A","0",UPPER(TEXT(tbRegistroSaidas[[#This Row],[DATA DE CAIXA REALIZADO]],"mmm")))</f>
        <v>SET</v>
      </c>
      <c r="K510" s="79" t="str">
        <f>IF(tbRegistroSaidas[[#This Row],[DATA DA COMPETÊNCIA]]="N/A","0",UPPER(TEXT(tbRegistroSaidas[[#This Row],[DATA DA COMPETÊNCIA]],"mmm")))</f>
        <v>AGO</v>
      </c>
      <c r="L510" s="79">
        <f>IF(tbRegistroSaidas[[#This Row],[DATA DA COMPETÊNCIA]]="N/A",0,YEAR(tbRegistroSaidas[[#This Row],[DATA DA COMPETÊNCIA]]))</f>
        <v>2021</v>
      </c>
      <c r="M510" s="5" t="str">
        <f>IF(tbRegistroSaidas[[#This Row],[DATA DO CAIXA PREVISTO]]="N/A","0",UPPER(TEXT(tbRegistroSaidas[[#This Row],[DATA DO CAIXA PREVISTO]],"mmm")))</f>
        <v>SET</v>
      </c>
      <c r="N510" s="5">
        <f>IF(tbRegistroSaidas[[#This Row],[DATA DO CAIXA PREVISTO]]="N/A",0,YEAR(tbRegistroSaidas[[#This Row],[DATA DO CAIXA PREVISTO]]))</f>
        <v>2021</v>
      </c>
    </row>
    <row r="511" spans="1:14" s="5" customFormat="1" ht="14.4" x14ac:dyDescent="0.3">
      <c r="A511" s="38">
        <v>44441.358784722222</v>
      </c>
      <c r="B511" s="49">
        <v>44433</v>
      </c>
      <c r="C511" s="49">
        <v>44441.358784722222</v>
      </c>
      <c r="D511" s="49" t="s">
        <v>62</v>
      </c>
      <c r="E511" s="51" t="s">
        <v>26</v>
      </c>
      <c r="F511" s="51" t="s">
        <v>17</v>
      </c>
      <c r="G511" s="52" t="s">
        <v>378</v>
      </c>
      <c r="H511" s="18">
        <v>299</v>
      </c>
      <c r="I511" s="5">
        <f>IF(tbRegistroSaidas[[#This Row],[DATA DE CAIXA REALIZADO]]="N/A",0,YEAR(tbRegistroSaidas[[#This Row],[DATA DE CAIXA REALIZADO]]))</f>
        <v>2021</v>
      </c>
      <c r="J511" s="5" t="str">
        <f>IF(tbRegistroSaidas[[#This Row],[DATA DE CAIXA REALIZADO]]="N/A","0",UPPER(TEXT(tbRegistroSaidas[[#This Row],[DATA DE CAIXA REALIZADO]],"mmm")))</f>
        <v>SET</v>
      </c>
      <c r="K511" s="79" t="str">
        <f>IF(tbRegistroSaidas[[#This Row],[DATA DA COMPETÊNCIA]]="N/A","0",UPPER(TEXT(tbRegistroSaidas[[#This Row],[DATA DA COMPETÊNCIA]],"mmm")))</f>
        <v>AGO</v>
      </c>
      <c r="L511" s="79">
        <f>IF(tbRegistroSaidas[[#This Row],[DATA DA COMPETÊNCIA]]="N/A",0,YEAR(tbRegistroSaidas[[#This Row],[DATA DA COMPETÊNCIA]]))</f>
        <v>2021</v>
      </c>
      <c r="M511" s="5" t="str">
        <f>IF(tbRegistroSaidas[[#This Row],[DATA DO CAIXA PREVISTO]]="N/A","0",UPPER(TEXT(tbRegistroSaidas[[#This Row],[DATA DO CAIXA PREVISTO]],"mmm")))</f>
        <v>SET</v>
      </c>
      <c r="N511" s="5">
        <f>IF(tbRegistroSaidas[[#This Row],[DATA DO CAIXA PREVISTO]]="N/A",0,YEAR(tbRegistroSaidas[[#This Row],[DATA DO CAIXA PREVISTO]]))</f>
        <v>2021</v>
      </c>
    </row>
    <row r="512" spans="1:14" s="5" customFormat="1" ht="14.4" x14ac:dyDescent="0.3">
      <c r="A512" s="38">
        <v>44475.59746527778</v>
      </c>
      <c r="B512" s="49">
        <v>44437</v>
      </c>
      <c r="C512" s="49">
        <v>44475.59746527778</v>
      </c>
      <c r="D512" s="49" t="s">
        <v>64</v>
      </c>
      <c r="E512" s="51" t="s">
        <v>26</v>
      </c>
      <c r="F512" s="51" t="s">
        <v>33</v>
      </c>
      <c r="G512" s="52" t="s">
        <v>379</v>
      </c>
      <c r="H512" s="18">
        <v>618</v>
      </c>
      <c r="I512" s="5">
        <f>IF(tbRegistroSaidas[[#This Row],[DATA DE CAIXA REALIZADO]]="N/A",0,YEAR(tbRegistroSaidas[[#This Row],[DATA DE CAIXA REALIZADO]]))</f>
        <v>2021</v>
      </c>
      <c r="J512" s="5" t="str">
        <f>IF(tbRegistroSaidas[[#This Row],[DATA DE CAIXA REALIZADO]]="N/A","0",UPPER(TEXT(tbRegistroSaidas[[#This Row],[DATA DE CAIXA REALIZADO]],"mmm")))</f>
        <v>OUT</v>
      </c>
      <c r="K512" s="79" t="str">
        <f>IF(tbRegistroSaidas[[#This Row],[DATA DA COMPETÊNCIA]]="N/A","0",UPPER(TEXT(tbRegistroSaidas[[#This Row],[DATA DA COMPETÊNCIA]],"mmm")))</f>
        <v>AGO</v>
      </c>
      <c r="L512" s="79">
        <f>IF(tbRegistroSaidas[[#This Row],[DATA DA COMPETÊNCIA]]="N/A",0,YEAR(tbRegistroSaidas[[#This Row],[DATA DA COMPETÊNCIA]]))</f>
        <v>2021</v>
      </c>
      <c r="M512" s="5" t="str">
        <f>IF(tbRegistroSaidas[[#This Row],[DATA DO CAIXA PREVISTO]]="N/A","0",UPPER(TEXT(tbRegistroSaidas[[#This Row],[DATA DO CAIXA PREVISTO]],"mmm")))</f>
        <v>OUT</v>
      </c>
      <c r="N512" s="5">
        <f>IF(tbRegistroSaidas[[#This Row],[DATA DO CAIXA PREVISTO]]="N/A",0,YEAR(tbRegistroSaidas[[#This Row],[DATA DO CAIXA PREVISTO]]))</f>
        <v>2021</v>
      </c>
    </row>
    <row r="513" spans="1:14" s="5" customFormat="1" ht="14.4" x14ac:dyDescent="0.3">
      <c r="A513" s="38">
        <v>44451.11173611111</v>
      </c>
      <c r="B513" s="49">
        <v>44440</v>
      </c>
      <c r="C513" s="49">
        <v>44441.556608796294</v>
      </c>
      <c r="D513" s="49" t="s">
        <v>64</v>
      </c>
      <c r="E513" s="51" t="s">
        <v>26</v>
      </c>
      <c r="F513" s="51" t="s">
        <v>33</v>
      </c>
      <c r="G513" s="52" t="s">
        <v>198</v>
      </c>
      <c r="H513" s="18">
        <v>2505</v>
      </c>
      <c r="I513" s="5">
        <f>IF(tbRegistroSaidas[[#This Row],[DATA DE CAIXA REALIZADO]]="N/A",0,YEAR(tbRegistroSaidas[[#This Row],[DATA DE CAIXA REALIZADO]]))</f>
        <v>2021</v>
      </c>
      <c r="J513" s="5" t="str">
        <f>IF(tbRegistroSaidas[[#This Row],[DATA DE CAIXA REALIZADO]]="N/A","0",UPPER(TEXT(tbRegistroSaidas[[#This Row],[DATA DE CAIXA REALIZADO]],"mmm")))</f>
        <v>SET</v>
      </c>
      <c r="K513" s="79" t="str">
        <f>IF(tbRegistroSaidas[[#This Row],[DATA DA COMPETÊNCIA]]="N/A","0",UPPER(TEXT(tbRegistroSaidas[[#This Row],[DATA DA COMPETÊNCIA]],"mmm")))</f>
        <v>SET</v>
      </c>
      <c r="L513" s="79">
        <f>IF(tbRegistroSaidas[[#This Row],[DATA DA COMPETÊNCIA]]="N/A",0,YEAR(tbRegistroSaidas[[#This Row],[DATA DA COMPETÊNCIA]]))</f>
        <v>2021</v>
      </c>
      <c r="M513" s="5" t="str">
        <f>IF(tbRegistroSaidas[[#This Row],[DATA DO CAIXA PREVISTO]]="N/A","0",UPPER(TEXT(tbRegistroSaidas[[#This Row],[DATA DO CAIXA PREVISTO]],"mmm")))</f>
        <v>SET</v>
      </c>
      <c r="N513" s="5">
        <f>IF(tbRegistroSaidas[[#This Row],[DATA DO CAIXA PREVISTO]]="N/A",0,YEAR(tbRegistroSaidas[[#This Row],[DATA DO CAIXA PREVISTO]]))</f>
        <v>2021</v>
      </c>
    </row>
    <row r="514" spans="1:14" s="5" customFormat="1" ht="14.4" x14ac:dyDescent="0.3">
      <c r="A514" s="38">
        <v>44448.417581018519</v>
      </c>
      <c r="B514" s="49">
        <v>44443</v>
      </c>
      <c r="C514" s="49">
        <v>44448.417581018519</v>
      </c>
      <c r="D514" s="49" t="s">
        <v>65</v>
      </c>
      <c r="E514" s="51" t="s">
        <v>26</v>
      </c>
      <c r="F514" s="51" t="s">
        <v>32</v>
      </c>
      <c r="G514" s="52" t="s">
        <v>380</v>
      </c>
      <c r="H514" s="18">
        <v>817</v>
      </c>
      <c r="I514" s="5">
        <f>IF(tbRegistroSaidas[[#This Row],[DATA DE CAIXA REALIZADO]]="N/A",0,YEAR(tbRegistroSaidas[[#This Row],[DATA DE CAIXA REALIZADO]]))</f>
        <v>2021</v>
      </c>
      <c r="J514" s="5" t="str">
        <f>IF(tbRegistroSaidas[[#This Row],[DATA DE CAIXA REALIZADO]]="N/A","0",UPPER(TEXT(tbRegistroSaidas[[#This Row],[DATA DE CAIXA REALIZADO]],"mmm")))</f>
        <v>SET</v>
      </c>
      <c r="K514" s="79" t="str">
        <f>IF(tbRegistroSaidas[[#This Row],[DATA DA COMPETÊNCIA]]="N/A","0",UPPER(TEXT(tbRegistroSaidas[[#This Row],[DATA DA COMPETÊNCIA]],"mmm")))</f>
        <v>SET</v>
      </c>
      <c r="L514" s="79">
        <f>IF(tbRegistroSaidas[[#This Row],[DATA DA COMPETÊNCIA]]="N/A",0,YEAR(tbRegistroSaidas[[#This Row],[DATA DA COMPETÊNCIA]]))</f>
        <v>2021</v>
      </c>
      <c r="M514" s="5" t="str">
        <f>IF(tbRegistroSaidas[[#This Row],[DATA DO CAIXA PREVISTO]]="N/A","0",UPPER(TEXT(tbRegistroSaidas[[#This Row],[DATA DO CAIXA PREVISTO]],"mmm")))</f>
        <v>SET</v>
      </c>
      <c r="N514" s="5">
        <f>IF(tbRegistroSaidas[[#This Row],[DATA DO CAIXA PREVISTO]]="N/A",0,YEAR(tbRegistroSaidas[[#This Row],[DATA DO CAIXA PREVISTO]]))</f>
        <v>2021</v>
      </c>
    </row>
    <row r="515" spans="1:14" s="5" customFormat="1" ht="14.4" x14ac:dyDescent="0.3">
      <c r="A515" s="38" t="s">
        <v>141</v>
      </c>
      <c r="B515" s="49">
        <v>44445</v>
      </c>
      <c r="C515" s="49">
        <v>44445.703009259261</v>
      </c>
      <c r="D515" s="49" t="s">
        <v>63</v>
      </c>
      <c r="E515" s="51" t="s">
        <v>26</v>
      </c>
      <c r="F515" s="51" t="s">
        <v>17</v>
      </c>
      <c r="G515" s="52" t="s">
        <v>381</v>
      </c>
      <c r="H515" s="18">
        <v>1565</v>
      </c>
      <c r="I515" s="5">
        <f>IF(tbRegistroSaidas[[#This Row],[DATA DE CAIXA REALIZADO]]="N/A",0,YEAR(tbRegistroSaidas[[#This Row],[DATA DE CAIXA REALIZADO]]))</f>
        <v>0</v>
      </c>
      <c r="J515" s="5" t="str">
        <f>IF(tbRegistroSaidas[[#This Row],[DATA DE CAIXA REALIZADO]]="N/A","0",UPPER(TEXT(tbRegistroSaidas[[#This Row],[DATA DE CAIXA REALIZADO]],"mmm")))</f>
        <v>0</v>
      </c>
      <c r="K515" s="79" t="str">
        <f>IF(tbRegistroSaidas[[#This Row],[DATA DA COMPETÊNCIA]]="N/A","0",UPPER(TEXT(tbRegistroSaidas[[#This Row],[DATA DA COMPETÊNCIA]],"mmm")))</f>
        <v>SET</v>
      </c>
      <c r="L515" s="79">
        <f>IF(tbRegistroSaidas[[#This Row],[DATA DA COMPETÊNCIA]]="N/A",0,YEAR(tbRegistroSaidas[[#This Row],[DATA DA COMPETÊNCIA]]))</f>
        <v>2021</v>
      </c>
      <c r="M515" s="5" t="str">
        <f>IF(tbRegistroSaidas[[#This Row],[DATA DO CAIXA PREVISTO]]="N/A","0",UPPER(TEXT(tbRegistroSaidas[[#This Row],[DATA DO CAIXA PREVISTO]],"mmm")))</f>
        <v>SET</v>
      </c>
      <c r="N515" s="5">
        <f>IF(tbRegistroSaidas[[#This Row],[DATA DO CAIXA PREVISTO]]="N/A",0,YEAR(tbRegistroSaidas[[#This Row],[DATA DO CAIXA PREVISTO]]))</f>
        <v>2021</v>
      </c>
    </row>
    <row r="516" spans="1:14" s="5" customFormat="1" ht="14.4" x14ac:dyDescent="0.3">
      <c r="A516" s="38" t="s">
        <v>141</v>
      </c>
      <c r="B516" s="49">
        <v>44451</v>
      </c>
      <c r="C516" s="49">
        <v>44481.233587962961</v>
      </c>
      <c r="D516" s="49" t="s">
        <v>61</v>
      </c>
      <c r="E516" s="51" t="s">
        <v>26</v>
      </c>
      <c r="F516" s="51" t="s">
        <v>18</v>
      </c>
      <c r="G516" s="52" t="s">
        <v>382</v>
      </c>
      <c r="H516" s="18">
        <v>1357</v>
      </c>
      <c r="I516" s="5">
        <f>IF(tbRegistroSaidas[[#This Row],[DATA DE CAIXA REALIZADO]]="N/A",0,YEAR(tbRegistroSaidas[[#This Row],[DATA DE CAIXA REALIZADO]]))</f>
        <v>0</v>
      </c>
      <c r="J516" s="5" t="str">
        <f>IF(tbRegistroSaidas[[#This Row],[DATA DE CAIXA REALIZADO]]="N/A","0",UPPER(TEXT(tbRegistroSaidas[[#This Row],[DATA DE CAIXA REALIZADO]],"mmm")))</f>
        <v>0</v>
      </c>
      <c r="K516" s="79" t="str">
        <f>IF(tbRegistroSaidas[[#This Row],[DATA DA COMPETÊNCIA]]="N/A","0",UPPER(TEXT(tbRegistroSaidas[[#This Row],[DATA DA COMPETÊNCIA]],"mmm")))</f>
        <v>SET</v>
      </c>
      <c r="L516" s="79">
        <f>IF(tbRegistroSaidas[[#This Row],[DATA DA COMPETÊNCIA]]="N/A",0,YEAR(tbRegistroSaidas[[#This Row],[DATA DA COMPETÊNCIA]]))</f>
        <v>2021</v>
      </c>
      <c r="M516" s="5" t="str">
        <f>IF(tbRegistroSaidas[[#This Row],[DATA DO CAIXA PREVISTO]]="N/A","0",UPPER(TEXT(tbRegistroSaidas[[#This Row],[DATA DO CAIXA PREVISTO]],"mmm")))</f>
        <v>OUT</v>
      </c>
      <c r="N516" s="5">
        <f>IF(tbRegistroSaidas[[#This Row],[DATA DO CAIXA PREVISTO]]="N/A",0,YEAR(tbRegistroSaidas[[#This Row],[DATA DO CAIXA PREVISTO]]))</f>
        <v>2021</v>
      </c>
    </row>
    <row r="517" spans="1:14" s="5" customFormat="1" ht="14.4" x14ac:dyDescent="0.3">
      <c r="A517" s="38">
        <v>44486.327824074076</v>
      </c>
      <c r="B517" s="49">
        <v>44452</v>
      </c>
      <c r="C517" s="49">
        <v>44486.327824074076</v>
      </c>
      <c r="D517" s="49" t="s">
        <v>61</v>
      </c>
      <c r="E517" s="51" t="s">
        <v>26</v>
      </c>
      <c r="F517" s="51" t="s">
        <v>18</v>
      </c>
      <c r="G517" s="52" t="s">
        <v>383</v>
      </c>
      <c r="H517" s="18">
        <v>4739</v>
      </c>
      <c r="I517" s="5">
        <f>IF(tbRegistroSaidas[[#This Row],[DATA DE CAIXA REALIZADO]]="N/A",0,YEAR(tbRegistroSaidas[[#This Row],[DATA DE CAIXA REALIZADO]]))</f>
        <v>2021</v>
      </c>
      <c r="J517" s="5" t="str">
        <f>IF(tbRegistroSaidas[[#This Row],[DATA DE CAIXA REALIZADO]]="N/A","0",UPPER(TEXT(tbRegistroSaidas[[#This Row],[DATA DE CAIXA REALIZADO]],"mmm")))</f>
        <v>OUT</v>
      </c>
      <c r="K517" s="79" t="str">
        <f>IF(tbRegistroSaidas[[#This Row],[DATA DA COMPETÊNCIA]]="N/A","0",UPPER(TEXT(tbRegistroSaidas[[#This Row],[DATA DA COMPETÊNCIA]],"mmm")))</f>
        <v>SET</v>
      </c>
      <c r="L517" s="79">
        <f>IF(tbRegistroSaidas[[#This Row],[DATA DA COMPETÊNCIA]]="N/A",0,YEAR(tbRegistroSaidas[[#This Row],[DATA DA COMPETÊNCIA]]))</f>
        <v>2021</v>
      </c>
      <c r="M517" s="5" t="str">
        <f>IF(tbRegistroSaidas[[#This Row],[DATA DO CAIXA PREVISTO]]="N/A","0",UPPER(TEXT(tbRegistroSaidas[[#This Row],[DATA DO CAIXA PREVISTO]],"mmm")))</f>
        <v>OUT</v>
      </c>
      <c r="N517" s="5">
        <f>IF(tbRegistroSaidas[[#This Row],[DATA DO CAIXA PREVISTO]]="N/A",0,YEAR(tbRegistroSaidas[[#This Row],[DATA DO CAIXA PREVISTO]]))</f>
        <v>2021</v>
      </c>
    </row>
    <row r="518" spans="1:14" s="5" customFormat="1" ht="14.4" x14ac:dyDescent="0.3">
      <c r="A518" s="38">
        <v>44469.59915509259</v>
      </c>
      <c r="B518" s="49">
        <v>44453</v>
      </c>
      <c r="C518" s="49">
        <v>44469.59915509259</v>
      </c>
      <c r="D518" s="49" t="s">
        <v>65</v>
      </c>
      <c r="E518" s="51" t="s">
        <v>26</v>
      </c>
      <c r="F518" s="51" t="s">
        <v>32</v>
      </c>
      <c r="G518" s="52" t="s">
        <v>384</v>
      </c>
      <c r="H518" s="18">
        <v>4675</v>
      </c>
      <c r="I518" s="5">
        <f>IF(tbRegistroSaidas[[#This Row],[DATA DE CAIXA REALIZADO]]="N/A",0,YEAR(tbRegistroSaidas[[#This Row],[DATA DE CAIXA REALIZADO]]))</f>
        <v>2021</v>
      </c>
      <c r="J518" s="5" t="str">
        <f>IF(tbRegistroSaidas[[#This Row],[DATA DE CAIXA REALIZADO]]="N/A","0",UPPER(TEXT(tbRegistroSaidas[[#This Row],[DATA DE CAIXA REALIZADO]],"mmm")))</f>
        <v>SET</v>
      </c>
      <c r="K518" s="79" t="str">
        <f>IF(tbRegistroSaidas[[#This Row],[DATA DA COMPETÊNCIA]]="N/A","0",UPPER(TEXT(tbRegistroSaidas[[#This Row],[DATA DA COMPETÊNCIA]],"mmm")))</f>
        <v>SET</v>
      </c>
      <c r="L518" s="79">
        <f>IF(tbRegistroSaidas[[#This Row],[DATA DA COMPETÊNCIA]]="N/A",0,YEAR(tbRegistroSaidas[[#This Row],[DATA DA COMPETÊNCIA]]))</f>
        <v>2021</v>
      </c>
      <c r="M518" s="5" t="str">
        <f>IF(tbRegistroSaidas[[#This Row],[DATA DO CAIXA PREVISTO]]="N/A","0",UPPER(TEXT(tbRegistroSaidas[[#This Row],[DATA DO CAIXA PREVISTO]],"mmm")))</f>
        <v>SET</v>
      </c>
      <c r="N518" s="5">
        <f>IF(tbRegistroSaidas[[#This Row],[DATA DO CAIXA PREVISTO]]="N/A",0,YEAR(tbRegistroSaidas[[#This Row],[DATA DO CAIXA PREVISTO]]))</f>
        <v>2021</v>
      </c>
    </row>
    <row r="519" spans="1:14" s="5" customFormat="1" ht="14.4" x14ac:dyDescent="0.3">
      <c r="A519" s="38">
        <v>44465.132048611114</v>
      </c>
      <c r="B519" s="49">
        <v>44458</v>
      </c>
      <c r="C519" s="49">
        <v>44465.132048611114</v>
      </c>
      <c r="D519" s="49" t="s">
        <v>65</v>
      </c>
      <c r="E519" s="51" t="s">
        <v>26</v>
      </c>
      <c r="F519" s="51" t="s">
        <v>33</v>
      </c>
      <c r="G519" s="52" t="s">
        <v>385</v>
      </c>
      <c r="H519" s="18">
        <v>1797</v>
      </c>
      <c r="I519" s="5">
        <f>IF(tbRegistroSaidas[[#This Row],[DATA DE CAIXA REALIZADO]]="N/A",0,YEAR(tbRegistroSaidas[[#This Row],[DATA DE CAIXA REALIZADO]]))</f>
        <v>2021</v>
      </c>
      <c r="J519" s="5" t="str">
        <f>IF(tbRegistroSaidas[[#This Row],[DATA DE CAIXA REALIZADO]]="N/A","0",UPPER(TEXT(tbRegistroSaidas[[#This Row],[DATA DE CAIXA REALIZADO]],"mmm")))</f>
        <v>SET</v>
      </c>
      <c r="K519" s="79" t="str">
        <f>IF(tbRegistroSaidas[[#This Row],[DATA DA COMPETÊNCIA]]="N/A","0",UPPER(TEXT(tbRegistroSaidas[[#This Row],[DATA DA COMPETÊNCIA]],"mmm")))</f>
        <v>SET</v>
      </c>
      <c r="L519" s="79">
        <f>IF(tbRegistroSaidas[[#This Row],[DATA DA COMPETÊNCIA]]="N/A",0,YEAR(tbRegistroSaidas[[#This Row],[DATA DA COMPETÊNCIA]]))</f>
        <v>2021</v>
      </c>
      <c r="M519" s="5" t="str">
        <f>IF(tbRegistroSaidas[[#This Row],[DATA DO CAIXA PREVISTO]]="N/A","0",UPPER(TEXT(tbRegistroSaidas[[#This Row],[DATA DO CAIXA PREVISTO]],"mmm")))</f>
        <v>SET</v>
      </c>
      <c r="N519" s="5">
        <f>IF(tbRegistroSaidas[[#This Row],[DATA DO CAIXA PREVISTO]]="N/A",0,YEAR(tbRegistroSaidas[[#This Row],[DATA DO CAIXA PREVISTO]]))</f>
        <v>2021</v>
      </c>
    </row>
    <row r="520" spans="1:14" s="5" customFormat="1" ht="14.4" x14ac:dyDescent="0.3">
      <c r="A520" s="38">
        <v>44504.977581018517</v>
      </c>
      <c r="B520" s="49">
        <v>44463</v>
      </c>
      <c r="C520" s="49">
        <v>44504.977581018517</v>
      </c>
      <c r="D520" s="49" t="s">
        <v>62</v>
      </c>
      <c r="E520" s="51" t="s">
        <v>26</v>
      </c>
      <c r="F520" s="51" t="s">
        <v>18</v>
      </c>
      <c r="G520" s="52" t="s">
        <v>386</v>
      </c>
      <c r="H520" s="18">
        <v>888</v>
      </c>
      <c r="I520" s="5">
        <f>IF(tbRegistroSaidas[[#This Row],[DATA DE CAIXA REALIZADO]]="N/A",0,YEAR(tbRegistroSaidas[[#This Row],[DATA DE CAIXA REALIZADO]]))</f>
        <v>2021</v>
      </c>
      <c r="J520" s="5" t="str">
        <f>IF(tbRegistroSaidas[[#This Row],[DATA DE CAIXA REALIZADO]]="N/A","0",UPPER(TEXT(tbRegistroSaidas[[#This Row],[DATA DE CAIXA REALIZADO]],"mmm")))</f>
        <v>NOV</v>
      </c>
      <c r="K520" s="79" t="str">
        <f>IF(tbRegistroSaidas[[#This Row],[DATA DA COMPETÊNCIA]]="N/A","0",UPPER(TEXT(tbRegistroSaidas[[#This Row],[DATA DA COMPETÊNCIA]],"mmm")))</f>
        <v>SET</v>
      </c>
      <c r="L520" s="79">
        <f>IF(tbRegistroSaidas[[#This Row],[DATA DA COMPETÊNCIA]]="N/A",0,YEAR(tbRegistroSaidas[[#This Row],[DATA DA COMPETÊNCIA]]))</f>
        <v>2021</v>
      </c>
      <c r="M520" s="5" t="str">
        <f>IF(tbRegistroSaidas[[#This Row],[DATA DO CAIXA PREVISTO]]="N/A","0",UPPER(TEXT(tbRegistroSaidas[[#This Row],[DATA DO CAIXA PREVISTO]],"mmm")))</f>
        <v>NOV</v>
      </c>
      <c r="N520" s="5">
        <f>IF(tbRegistroSaidas[[#This Row],[DATA DO CAIXA PREVISTO]]="N/A",0,YEAR(tbRegistroSaidas[[#This Row],[DATA DO CAIXA PREVISTO]]))</f>
        <v>2021</v>
      </c>
    </row>
    <row r="521" spans="1:14" s="5" customFormat="1" ht="14.4" x14ac:dyDescent="0.3">
      <c r="A521" s="38">
        <v>44476.898043981484</v>
      </c>
      <c r="B521" s="49">
        <v>44464</v>
      </c>
      <c r="C521" s="49">
        <v>44476.898043981484</v>
      </c>
      <c r="D521" s="49" t="s">
        <v>61</v>
      </c>
      <c r="E521" s="51" t="s">
        <v>26</v>
      </c>
      <c r="F521" s="51" t="s">
        <v>33</v>
      </c>
      <c r="G521" s="52" t="s">
        <v>387</v>
      </c>
      <c r="H521" s="18">
        <v>2784</v>
      </c>
      <c r="I521" s="5">
        <f>IF(tbRegistroSaidas[[#This Row],[DATA DE CAIXA REALIZADO]]="N/A",0,YEAR(tbRegistroSaidas[[#This Row],[DATA DE CAIXA REALIZADO]]))</f>
        <v>2021</v>
      </c>
      <c r="J521" s="5" t="str">
        <f>IF(tbRegistroSaidas[[#This Row],[DATA DE CAIXA REALIZADO]]="N/A","0",UPPER(TEXT(tbRegistroSaidas[[#This Row],[DATA DE CAIXA REALIZADO]],"mmm")))</f>
        <v>OUT</v>
      </c>
      <c r="K521" s="79" t="str">
        <f>IF(tbRegistroSaidas[[#This Row],[DATA DA COMPETÊNCIA]]="N/A","0",UPPER(TEXT(tbRegistroSaidas[[#This Row],[DATA DA COMPETÊNCIA]],"mmm")))</f>
        <v>SET</v>
      </c>
      <c r="L521" s="79">
        <f>IF(tbRegistroSaidas[[#This Row],[DATA DA COMPETÊNCIA]]="N/A",0,YEAR(tbRegistroSaidas[[#This Row],[DATA DA COMPETÊNCIA]]))</f>
        <v>2021</v>
      </c>
      <c r="M521" s="5" t="str">
        <f>IF(tbRegistroSaidas[[#This Row],[DATA DO CAIXA PREVISTO]]="N/A","0",UPPER(TEXT(tbRegistroSaidas[[#This Row],[DATA DO CAIXA PREVISTO]],"mmm")))</f>
        <v>OUT</v>
      </c>
      <c r="N521" s="5">
        <f>IF(tbRegistroSaidas[[#This Row],[DATA DO CAIXA PREVISTO]]="N/A",0,YEAR(tbRegistroSaidas[[#This Row],[DATA DO CAIXA PREVISTO]]))</f>
        <v>2021</v>
      </c>
    </row>
    <row r="522" spans="1:14" s="5" customFormat="1" ht="14.4" x14ac:dyDescent="0.3">
      <c r="A522" s="38">
        <v>44471.944525462961</v>
      </c>
      <c r="B522" s="49">
        <v>44464</v>
      </c>
      <c r="C522" s="49">
        <v>44471.944525462961</v>
      </c>
      <c r="D522" s="49" t="s">
        <v>61</v>
      </c>
      <c r="E522" s="51" t="s">
        <v>26</v>
      </c>
      <c r="F522" s="51" t="s">
        <v>17</v>
      </c>
      <c r="G522" s="52" t="s">
        <v>388</v>
      </c>
      <c r="H522" s="18">
        <v>707</v>
      </c>
      <c r="I522" s="5">
        <f>IF(tbRegistroSaidas[[#This Row],[DATA DE CAIXA REALIZADO]]="N/A",0,YEAR(tbRegistroSaidas[[#This Row],[DATA DE CAIXA REALIZADO]]))</f>
        <v>2021</v>
      </c>
      <c r="J522" s="5" t="str">
        <f>IF(tbRegistroSaidas[[#This Row],[DATA DE CAIXA REALIZADO]]="N/A","0",UPPER(TEXT(tbRegistroSaidas[[#This Row],[DATA DE CAIXA REALIZADO]],"mmm")))</f>
        <v>OUT</v>
      </c>
      <c r="K522" s="79" t="str">
        <f>IF(tbRegistroSaidas[[#This Row],[DATA DA COMPETÊNCIA]]="N/A","0",UPPER(TEXT(tbRegistroSaidas[[#This Row],[DATA DA COMPETÊNCIA]],"mmm")))</f>
        <v>SET</v>
      </c>
      <c r="L522" s="79">
        <f>IF(tbRegistroSaidas[[#This Row],[DATA DA COMPETÊNCIA]]="N/A",0,YEAR(tbRegistroSaidas[[#This Row],[DATA DA COMPETÊNCIA]]))</f>
        <v>2021</v>
      </c>
      <c r="M522" s="5" t="str">
        <f>IF(tbRegistroSaidas[[#This Row],[DATA DO CAIXA PREVISTO]]="N/A","0",UPPER(TEXT(tbRegistroSaidas[[#This Row],[DATA DO CAIXA PREVISTO]],"mmm")))</f>
        <v>OUT</v>
      </c>
      <c r="N522" s="5">
        <f>IF(tbRegistroSaidas[[#This Row],[DATA DO CAIXA PREVISTO]]="N/A",0,YEAR(tbRegistroSaidas[[#This Row],[DATA DO CAIXA PREVISTO]]))</f>
        <v>2021</v>
      </c>
    </row>
    <row r="523" spans="1:14" s="5" customFormat="1" ht="14.4" x14ac:dyDescent="0.3">
      <c r="A523" s="38">
        <v>44579.86755787037</v>
      </c>
      <c r="B523" s="49">
        <v>44467</v>
      </c>
      <c r="C523" s="49">
        <v>44503.600763888891</v>
      </c>
      <c r="D523" s="49" t="s">
        <v>63</v>
      </c>
      <c r="E523" s="51" t="s">
        <v>26</v>
      </c>
      <c r="F523" s="51" t="s">
        <v>17</v>
      </c>
      <c r="G523" s="52" t="s">
        <v>389</v>
      </c>
      <c r="H523" s="18">
        <v>229</v>
      </c>
      <c r="I523" s="5">
        <f>IF(tbRegistroSaidas[[#This Row],[DATA DE CAIXA REALIZADO]]="N/A",0,YEAR(tbRegistroSaidas[[#This Row],[DATA DE CAIXA REALIZADO]]))</f>
        <v>2022</v>
      </c>
      <c r="J523" s="5" t="str">
        <f>IF(tbRegistroSaidas[[#This Row],[DATA DE CAIXA REALIZADO]]="N/A","0",UPPER(TEXT(tbRegistroSaidas[[#This Row],[DATA DE CAIXA REALIZADO]],"mmm")))</f>
        <v>JAN</v>
      </c>
      <c r="K523" s="79" t="str">
        <f>IF(tbRegistroSaidas[[#This Row],[DATA DA COMPETÊNCIA]]="N/A","0",UPPER(TEXT(tbRegistroSaidas[[#This Row],[DATA DA COMPETÊNCIA]],"mmm")))</f>
        <v>SET</v>
      </c>
      <c r="L523" s="79">
        <f>IF(tbRegistroSaidas[[#This Row],[DATA DA COMPETÊNCIA]]="N/A",0,YEAR(tbRegistroSaidas[[#This Row],[DATA DA COMPETÊNCIA]]))</f>
        <v>2021</v>
      </c>
      <c r="M523" s="5" t="str">
        <f>IF(tbRegistroSaidas[[#This Row],[DATA DO CAIXA PREVISTO]]="N/A","0",UPPER(TEXT(tbRegistroSaidas[[#This Row],[DATA DO CAIXA PREVISTO]],"mmm")))</f>
        <v>NOV</v>
      </c>
      <c r="N523" s="5">
        <f>IF(tbRegistroSaidas[[#This Row],[DATA DO CAIXA PREVISTO]]="N/A",0,YEAR(tbRegistroSaidas[[#This Row],[DATA DO CAIXA PREVISTO]]))</f>
        <v>2021</v>
      </c>
    </row>
    <row r="524" spans="1:14" s="5" customFormat="1" ht="14.4" x14ac:dyDescent="0.3">
      <c r="A524" s="38">
        <v>44520.310578703706</v>
      </c>
      <c r="B524" s="49">
        <v>44470</v>
      </c>
      <c r="C524" s="49">
        <v>44520.310578703706</v>
      </c>
      <c r="D524" s="49" t="s">
        <v>66</v>
      </c>
      <c r="E524" s="51" t="s">
        <v>26</v>
      </c>
      <c r="F524" s="51" t="s">
        <v>33</v>
      </c>
      <c r="G524" s="52" t="s">
        <v>390</v>
      </c>
      <c r="H524" s="18">
        <v>2894</v>
      </c>
      <c r="I524" s="5">
        <f>IF(tbRegistroSaidas[[#This Row],[DATA DE CAIXA REALIZADO]]="N/A",0,YEAR(tbRegistroSaidas[[#This Row],[DATA DE CAIXA REALIZADO]]))</f>
        <v>2021</v>
      </c>
      <c r="J524" s="5" t="str">
        <f>IF(tbRegistroSaidas[[#This Row],[DATA DE CAIXA REALIZADO]]="N/A","0",UPPER(TEXT(tbRegistroSaidas[[#This Row],[DATA DE CAIXA REALIZADO]],"mmm")))</f>
        <v>NOV</v>
      </c>
      <c r="K524" s="79" t="str">
        <f>IF(tbRegistroSaidas[[#This Row],[DATA DA COMPETÊNCIA]]="N/A","0",UPPER(TEXT(tbRegistroSaidas[[#This Row],[DATA DA COMPETÊNCIA]],"mmm")))</f>
        <v>OUT</v>
      </c>
      <c r="L524" s="79">
        <f>IF(tbRegistroSaidas[[#This Row],[DATA DA COMPETÊNCIA]]="N/A",0,YEAR(tbRegistroSaidas[[#This Row],[DATA DA COMPETÊNCIA]]))</f>
        <v>2021</v>
      </c>
      <c r="M524" s="5" t="str">
        <f>IF(tbRegistroSaidas[[#This Row],[DATA DO CAIXA PREVISTO]]="N/A","0",UPPER(TEXT(tbRegistroSaidas[[#This Row],[DATA DO CAIXA PREVISTO]],"mmm")))</f>
        <v>NOV</v>
      </c>
      <c r="N524" s="5">
        <f>IF(tbRegistroSaidas[[#This Row],[DATA DO CAIXA PREVISTO]]="N/A",0,YEAR(tbRegistroSaidas[[#This Row],[DATA DO CAIXA PREVISTO]]))</f>
        <v>2021</v>
      </c>
    </row>
    <row r="525" spans="1:14" s="5" customFormat="1" ht="14.4" x14ac:dyDescent="0.3">
      <c r="A525" s="38" t="s">
        <v>141</v>
      </c>
      <c r="B525" s="49">
        <v>44473</v>
      </c>
      <c r="C525" s="49">
        <v>44491.293819444443</v>
      </c>
      <c r="D525" s="49" t="s">
        <v>66</v>
      </c>
      <c r="E525" s="51" t="s">
        <v>26</v>
      </c>
      <c r="F525" s="51" t="s">
        <v>18</v>
      </c>
      <c r="G525" s="52" t="s">
        <v>391</v>
      </c>
      <c r="H525" s="18">
        <v>4516</v>
      </c>
      <c r="I525" s="5">
        <f>IF(tbRegistroSaidas[[#This Row],[DATA DE CAIXA REALIZADO]]="N/A",0,YEAR(tbRegistroSaidas[[#This Row],[DATA DE CAIXA REALIZADO]]))</f>
        <v>0</v>
      </c>
      <c r="J525" s="5" t="str">
        <f>IF(tbRegistroSaidas[[#This Row],[DATA DE CAIXA REALIZADO]]="N/A","0",UPPER(TEXT(tbRegistroSaidas[[#This Row],[DATA DE CAIXA REALIZADO]],"mmm")))</f>
        <v>0</v>
      </c>
      <c r="K525" s="79" t="str">
        <f>IF(tbRegistroSaidas[[#This Row],[DATA DA COMPETÊNCIA]]="N/A","0",UPPER(TEXT(tbRegistroSaidas[[#This Row],[DATA DA COMPETÊNCIA]],"mmm")))</f>
        <v>OUT</v>
      </c>
      <c r="L525" s="79">
        <f>IF(tbRegistroSaidas[[#This Row],[DATA DA COMPETÊNCIA]]="N/A",0,YEAR(tbRegistroSaidas[[#This Row],[DATA DA COMPETÊNCIA]]))</f>
        <v>2021</v>
      </c>
      <c r="M525" s="5" t="str">
        <f>IF(tbRegistroSaidas[[#This Row],[DATA DO CAIXA PREVISTO]]="N/A","0",UPPER(TEXT(tbRegistroSaidas[[#This Row],[DATA DO CAIXA PREVISTO]],"mmm")))</f>
        <v>OUT</v>
      </c>
      <c r="N525" s="5">
        <f>IF(tbRegistroSaidas[[#This Row],[DATA DO CAIXA PREVISTO]]="N/A",0,YEAR(tbRegistroSaidas[[#This Row],[DATA DO CAIXA PREVISTO]]))</f>
        <v>2021</v>
      </c>
    </row>
    <row r="526" spans="1:14" s="5" customFormat="1" ht="14.4" x14ac:dyDescent="0.3">
      <c r="A526" s="38">
        <v>44492.057905092595</v>
      </c>
      <c r="B526" s="49">
        <v>44475</v>
      </c>
      <c r="C526" s="49">
        <v>44492.057905092595</v>
      </c>
      <c r="D526" s="49" t="s">
        <v>62</v>
      </c>
      <c r="E526" s="51" t="s">
        <v>26</v>
      </c>
      <c r="F526" s="51" t="s">
        <v>18</v>
      </c>
      <c r="G526" s="52" t="s">
        <v>392</v>
      </c>
      <c r="H526" s="18">
        <v>885</v>
      </c>
      <c r="I526" s="5">
        <f>IF(tbRegistroSaidas[[#This Row],[DATA DE CAIXA REALIZADO]]="N/A",0,YEAR(tbRegistroSaidas[[#This Row],[DATA DE CAIXA REALIZADO]]))</f>
        <v>2021</v>
      </c>
      <c r="J526" s="5" t="str">
        <f>IF(tbRegistroSaidas[[#This Row],[DATA DE CAIXA REALIZADO]]="N/A","0",UPPER(TEXT(tbRegistroSaidas[[#This Row],[DATA DE CAIXA REALIZADO]],"mmm")))</f>
        <v>OUT</v>
      </c>
      <c r="K526" s="79" t="str">
        <f>IF(tbRegistroSaidas[[#This Row],[DATA DA COMPETÊNCIA]]="N/A","0",UPPER(TEXT(tbRegistroSaidas[[#This Row],[DATA DA COMPETÊNCIA]],"mmm")))</f>
        <v>OUT</v>
      </c>
      <c r="L526" s="79">
        <f>IF(tbRegistroSaidas[[#This Row],[DATA DA COMPETÊNCIA]]="N/A",0,YEAR(tbRegistroSaidas[[#This Row],[DATA DA COMPETÊNCIA]]))</f>
        <v>2021</v>
      </c>
      <c r="M526" s="5" t="str">
        <f>IF(tbRegistroSaidas[[#This Row],[DATA DO CAIXA PREVISTO]]="N/A","0",UPPER(TEXT(tbRegistroSaidas[[#This Row],[DATA DO CAIXA PREVISTO]],"mmm")))</f>
        <v>OUT</v>
      </c>
      <c r="N526" s="5">
        <f>IF(tbRegistroSaidas[[#This Row],[DATA DO CAIXA PREVISTO]]="N/A",0,YEAR(tbRegistroSaidas[[#This Row],[DATA DO CAIXA PREVISTO]]))</f>
        <v>2021</v>
      </c>
    </row>
    <row r="527" spans="1:14" s="5" customFormat="1" ht="14.4" x14ac:dyDescent="0.3">
      <c r="A527" s="38">
        <v>44512.58085648148</v>
      </c>
      <c r="B527" s="49">
        <v>44478</v>
      </c>
      <c r="C527" s="49">
        <v>44507.987199074072</v>
      </c>
      <c r="D527" s="49" t="s">
        <v>137</v>
      </c>
      <c r="E527" s="51" t="s">
        <v>26</v>
      </c>
      <c r="F527" s="51" t="s">
        <v>16</v>
      </c>
      <c r="G527" s="52" t="s">
        <v>393</v>
      </c>
      <c r="H527" s="18">
        <v>1509</v>
      </c>
      <c r="I527" s="5">
        <f>IF(tbRegistroSaidas[[#This Row],[DATA DE CAIXA REALIZADO]]="N/A",0,YEAR(tbRegistroSaidas[[#This Row],[DATA DE CAIXA REALIZADO]]))</f>
        <v>2021</v>
      </c>
      <c r="J527" s="5" t="str">
        <f>IF(tbRegistroSaidas[[#This Row],[DATA DE CAIXA REALIZADO]]="N/A","0",UPPER(TEXT(tbRegistroSaidas[[#This Row],[DATA DE CAIXA REALIZADO]],"mmm")))</f>
        <v>NOV</v>
      </c>
      <c r="K527" s="79" t="str">
        <f>IF(tbRegistroSaidas[[#This Row],[DATA DA COMPETÊNCIA]]="N/A","0",UPPER(TEXT(tbRegistroSaidas[[#This Row],[DATA DA COMPETÊNCIA]],"mmm")))</f>
        <v>OUT</v>
      </c>
      <c r="L527" s="79">
        <f>IF(tbRegistroSaidas[[#This Row],[DATA DA COMPETÊNCIA]]="N/A",0,YEAR(tbRegistroSaidas[[#This Row],[DATA DA COMPETÊNCIA]]))</f>
        <v>2021</v>
      </c>
      <c r="M527" s="5" t="str">
        <f>IF(tbRegistroSaidas[[#This Row],[DATA DO CAIXA PREVISTO]]="N/A","0",UPPER(TEXT(tbRegistroSaidas[[#This Row],[DATA DO CAIXA PREVISTO]],"mmm")))</f>
        <v>NOV</v>
      </c>
      <c r="N527" s="5">
        <f>IF(tbRegistroSaidas[[#This Row],[DATA DO CAIXA PREVISTO]]="N/A",0,YEAR(tbRegistroSaidas[[#This Row],[DATA DO CAIXA PREVISTO]]))</f>
        <v>2021</v>
      </c>
    </row>
    <row r="528" spans="1:14" s="5" customFormat="1" ht="14.4" x14ac:dyDescent="0.3">
      <c r="A528" s="38">
        <v>44595.239965277775</v>
      </c>
      <c r="B528" s="49">
        <v>44483</v>
      </c>
      <c r="C528" s="49">
        <v>44506.041967592595</v>
      </c>
      <c r="D528" s="49" t="s">
        <v>137</v>
      </c>
      <c r="E528" s="51" t="s">
        <v>26</v>
      </c>
      <c r="F528" s="51" t="s">
        <v>33</v>
      </c>
      <c r="G528" s="52" t="s">
        <v>394</v>
      </c>
      <c r="H528" s="18">
        <v>145</v>
      </c>
      <c r="I528" s="5">
        <f>IF(tbRegistroSaidas[[#This Row],[DATA DE CAIXA REALIZADO]]="N/A",0,YEAR(tbRegistroSaidas[[#This Row],[DATA DE CAIXA REALIZADO]]))</f>
        <v>2022</v>
      </c>
      <c r="J528" s="5" t="str">
        <f>IF(tbRegistroSaidas[[#This Row],[DATA DE CAIXA REALIZADO]]="N/A","0",UPPER(TEXT(tbRegistroSaidas[[#This Row],[DATA DE CAIXA REALIZADO]],"mmm")))</f>
        <v>FEV</v>
      </c>
      <c r="K528" s="79" t="str">
        <f>IF(tbRegistroSaidas[[#This Row],[DATA DA COMPETÊNCIA]]="N/A","0",UPPER(TEXT(tbRegistroSaidas[[#This Row],[DATA DA COMPETÊNCIA]],"mmm")))</f>
        <v>OUT</v>
      </c>
      <c r="L528" s="79">
        <f>IF(tbRegistroSaidas[[#This Row],[DATA DA COMPETÊNCIA]]="N/A",0,YEAR(tbRegistroSaidas[[#This Row],[DATA DA COMPETÊNCIA]]))</f>
        <v>2021</v>
      </c>
      <c r="M528" s="5" t="str">
        <f>IF(tbRegistroSaidas[[#This Row],[DATA DO CAIXA PREVISTO]]="N/A","0",UPPER(TEXT(tbRegistroSaidas[[#This Row],[DATA DO CAIXA PREVISTO]],"mmm")))</f>
        <v>NOV</v>
      </c>
      <c r="N528" s="5">
        <f>IF(tbRegistroSaidas[[#This Row],[DATA DO CAIXA PREVISTO]]="N/A",0,YEAR(tbRegistroSaidas[[#This Row],[DATA DO CAIXA PREVISTO]]))</f>
        <v>2021</v>
      </c>
    </row>
    <row r="529" spans="1:14" s="5" customFormat="1" ht="14.4" x14ac:dyDescent="0.3">
      <c r="A529" s="38">
        <v>44512.301145833335</v>
      </c>
      <c r="B529" s="49">
        <v>44485</v>
      </c>
      <c r="C529" s="49">
        <v>44492.245497685188</v>
      </c>
      <c r="D529" s="49" t="s">
        <v>138</v>
      </c>
      <c r="E529" s="51" t="s">
        <v>26</v>
      </c>
      <c r="F529" s="51" t="s">
        <v>33</v>
      </c>
      <c r="G529" s="52" t="s">
        <v>395</v>
      </c>
      <c r="H529" s="18">
        <v>1311</v>
      </c>
      <c r="I529" s="5">
        <f>IF(tbRegistroSaidas[[#This Row],[DATA DE CAIXA REALIZADO]]="N/A",0,YEAR(tbRegistroSaidas[[#This Row],[DATA DE CAIXA REALIZADO]]))</f>
        <v>2021</v>
      </c>
      <c r="J529" s="5" t="str">
        <f>IF(tbRegistroSaidas[[#This Row],[DATA DE CAIXA REALIZADO]]="N/A","0",UPPER(TEXT(tbRegistroSaidas[[#This Row],[DATA DE CAIXA REALIZADO]],"mmm")))</f>
        <v>NOV</v>
      </c>
      <c r="K529" s="79" t="str">
        <f>IF(tbRegistroSaidas[[#This Row],[DATA DA COMPETÊNCIA]]="N/A","0",UPPER(TEXT(tbRegistroSaidas[[#This Row],[DATA DA COMPETÊNCIA]],"mmm")))</f>
        <v>OUT</v>
      </c>
      <c r="L529" s="79">
        <f>IF(tbRegistroSaidas[[#This Row],[DATA DA COMPETÊNCIA]]="N/A",0,YEAR(tbRegistroSaidas[[#This Row],[DATA DA COMPETÊNCIA]]))</f>
        <v>2021</v>
      </c>
      <c r="M529" s="5" t="str">
        <f>IF(tbRegistroSaidas[[#This Row],[DATA DO CAIXA PREVISTO]]="N/A","0",UPPER(TEXT(tbRegistroSaidas[[#This Row],[DATA DO CAIXA PREVISTO]],"mmm")))</f>
        <v>OUT</v>
      </c>
      <c r="N529" s="5">
        <f>IF(tbRegistroSaidas[[#This Row],[DATA DO CAIXA PREVISTO]]="N/A",0,YEAR(tbRegistroSaidas[[#This Row],[DATA DO CAIXA PREVISTO]]))</f>
        <v>2021</v>
      </c>
    </row>
    <row r="530" spans="1:14" s="5" customFormat="1" ht="14.4" x14ac:dyDescent="0.3">
      <c r="A530" s="38">
        <v>44520.361631944441</v>
      </c>
      <c r="B530" s="49">
        <v>44487</v>
      </c>
      <c r="C530" s="49">
        <v>44520.361631944441</v>
      </c>
      <c r="D530" s="49" t="s">
        <v>63</v>
      </c>
      <c r="E530" s="51" t="s">
        <v>26</v>
      </c>
      <c r="F530" s="51" t="s">
        <v>33</v>
      </c>
      <c r="G530" s="52" t="s">
        <v>396</v>
      </c>
      <c r="H530" s="18">
        <v>4182</v>
      </c>
      <c r="I530" s="5">
        <f>IF(tbRegistroSaidas[[#This Row],[DATA DE CAIXA REALIZADO]]="N/A",0,YEAR(tbRegistroSaidas[[#This Row],[DATA DE CAIXA REALIZADO]]))</f>
        <v>2021</v>
      </c>
      <c r="J530" s="5" t="str">
        <f>IF(tbRegistroSaidas[[#This Row],[DATA DE CAIXA REALIZADO]]="N/A","0",UPPER(TEXT(tbRegistroSaidas[[#This Row],[DATA DE CAIXA REALIZADO]],"mmm")))</f>
        <v>NOV</v>
      </c>
      <c r="K530" s="79" t="str">
        <f>IF(tbRegistroSaidas[[#This Row],[DATA DA COMPETÊNCIA]]="N/A","0",UPPER(TEXT(tbRegistroSaidas[[#This Row],[DATA DA COMPETÊNCIA]],"mmm")))</f>
        <v>OUT</v>
      </c>
      <c r="L530" s="79">
        <f>IF(tbRegistroSaidas[[#This Row],[DATA DA COMPETÊNCIA]]="N/A",0,YEAR(tbRegistroSaidas[[#This Row],[DATA DA COMPETÊNCIA]]))</f>
        <v>2021</v>
      </c>
      <c r="M530" s="5" t="str">
        <f>IF(tbRegistroSaidas[[#This Row],[DATA DO CAIXA PREVISTO]]="N/A","0",UPPER(TEXT(tbRegistroSaidas[[#This Row],[DATA DO CAIXA PREVISTO]],"mmm")))</f>
        <v>NOV</v>
      </c>
      <c r="N530" s="5">
        <f>IF(tbRegistroSaidas[[#This Row],[DATA DO CAIXA PREVISTO]]="N/A",0,YEAR(tbRegistroSaidas[[#This Row],[DATA DO CAIXA PREVISTO]]))</f>
        <v>2021</v>
      </c>
    </row>
    <row r="531" spans="1:14" s="5" customFormat="1" ht="14.4" x14ac:dyDescent="0.3">
      <c r="A531" s="38">
        <v>44498.396898148145</v>
      </c>
      <c r="B531" s="49">
        <v>44493</v>
      </c>
      <c r="C531" s="49">
        <v>44498.396898148145</v>
      </c>
      <c r="D531" s="49" t="s">
        <v>138</v>
      </c>
      <c r="E531" s="51" t="s">
        <v>26</v>
      </c>
      <c r="F531" s="51" t="s">
        <v>17</v>
      </c>
      <c r="G531" s="52" t="s">
        <v>397</v>
      </c>
      <c r="H531" s="18">
        <v>339</v>
      </c>
      <c r="I531" s="5">
        <f>IF(tbRegistroSaidas[[#This Row],[DATA DE CAIXA REALIZADO]]="N/A",0,YEAR(tbRegistroSaidas[[#This Row],[DATA DE CAIXA REALIZADO]]))</f>
        <v>2021</v>
      </c>
      <c r="J531" s="5" t="str">
        <f>IF(tbRegistroSaidas[[#This Row],[DATA DE CAIXA REALIZADO]]="N/A","0",UPPER(TEXT(tbRegistroSaidas[[#This Row],[DATA DE CAIXA REALIZADO]],"mmm")))</f>
        <v>OUT</v>
      </c>
      <c r="K531" s="79" t="str">
        <f>IF(tbRegistroSaidas[[#This Row],[DATA DA COMPETÊNCIA]]="N/A","0",UPPER(TEXT(tbRegistroSaidas[[#This Row],[DATA DA COMPETÊNCIA]],"mmm")))</f>
        <v>OUT</v>
      </c>
      <c r="L531" s="79">
        <f>IF(tbRegistroSaidas[[#This Row],[DATA DA COMPETÊNCIA]]="N/A",0,YEAR(tbRegistroSaidas[[#This Row],[DATA DA COMPETÊNCIA]]))</f>
        <v>2021</v>
      </c>
      <c r="M531" s="5" t="str">
        <f>IF(tbRegistroSaidas[[#This Row],[DATA DO CAIXA PREVISTO]]="N/A","0",UPPER(TEXT(tbRegistroSaidas[[#This Row],[DATA DO CAIXA PREVISTO]],"mmm")))</f>
        <v>OUT</v>
      </c>
      <c r="N531" s="5">
        <f>IF(tbRegistroSaidas[[#This Row],[DATA DO CAIXA PREVISTO]]="N/A",0,YEAR(tbRegistroSaidas[[#This Row],[DATA DO CAIXA PREVISTO]]))</f>
        <v>2021</v>
      </c>
    </row>
    <row r="532" spans="1:14" s="5" customFormat="1" ht="14.4" x14ac:dyDescent="0.3">
      <c r="A532" s="38">
        <v>44591.980671296296</v>
      </c>
      <c r="B532" s="49">
        <v>44498</v>
      </c>
      <c r="C532" s="49">
        <v>44529.175162037034</v>
      </c>
      <c r="D532" s="49" t="s">
        <v>67</v>
      </c>
      <c r="E532" s="51" t="s">
        <v>26</v>
      </c>
      <c r="F532" s="51" t="s">
        <v>16</v>
      </c>
      <c r="G532" s="52" t="s">
        <v>398</v>
      </c>
      <c r="H532" s="18">
        <v>1788</v>
      </c>
      <c r="I532" s="5">
        <f>IF(tbRegistroSaidas[[#This Row],[DATA DE CAIXA REALIZADO]]="N/A",0,YEAR(tbRegistroSaidas[[#This Row],[DATA DE CAIXA REALIZADO]]))</f>
        <v>2022</v>
      </c>
      <c r="J532" s="5" t="str">
        <f>IF(tbRegistroSaidas[[#This Row],[DATA DE CAIXA REALIZADO]]="N/A","0",UPPER(TEXT(tbRegistroSaidas[[#This Row],[DATA DE CAIXA REALIZADO]],"mmm")))</f>
        <v>JAN</v>
      </c>
      <c r="K532" s="79" t="str">
        <f>IF(tbRegistroSaidas[[#This Row],[DATA DA COMPETÊNCIA]]="N/A","0",UPPER(TEXT(tbRegistroSaidas[[#This Row],[DATA DA COMPETÊNCIA]],"mmm")))</f>
        <v>OUT</v>
      </c>
      <c r="L532" s="79">
        <f>IF(tbRegistroSaidas[[#This Row],[DATA DA COMPETÊNCIA]]="N/A",0,YEAR(tbRegistroSaidas[[#This Row],[DATA DA COMPETÊNCIA]]))</f>
        <v>2021</v>
      </c>
      <c r="M532" s="5" t="str">
        <f>IF(tbRegistroSaidas[[#This Row],[DATA DO CAIXA PREVISTO]]="N/A","0",UPPER(TEXT(tbRegistroSaidas[[#This Row],[DATA DO CAIXA PREVISTO]],"mmm")))</f>
        <v>NOV</v>
      </c>
      <c r="N532" s="5">
        <f>IF(tbRegistroSaidas[[#This Row],[DATA DO CAIXA PREVISTO]]="N/A",0,YEAR(tbRegistroSaidas[[#This Row],[DATA DO CAIXA PREVISTO]]))</f>
        <v>2021</v>
      </c>
    </row>
    <row r="533" spans="1:14" s="5" customFormat="1" ht="14.4" x14ac:dyDescent="0.3">
      <c r="A533" s="38">
        <v>44550.045972222222</v>
      </c>
      <c r="B533" s="49">
        <v>44503</v>
      </c>
      <c r="C533" s="49">
        <v>44550.045972222222</v>
      </c>
      <c r="D533" s="49" t="s">
        <v>66</v>
      </c>
      <c r="E533" s="51" t="s">
        <v>26</v>
      </c>
      <c r="F533" s="51" t="s">
        <v>18</v>
      </c>
      <c r="G533" s="52" t="s">
        <v>399</v>
      </c>
      <c r="H533" s="18">
        <v>1171</v>
      </c>
      <c r="I533" s="5">
        <f>IF(tbRegistroSaidas[[#This Row],[DATA DE CAIXA REALIZADO]]="N/A",0,YEAR(tbRegistroSaidas[[#This Row],[DATA DE CAIXA REALIZADO]]))</f>
        <v>2021</v>
      </c>
      <c r="J533" s="5" t="str">
        <f>IF(tbRegistroSaidas[[#This Row],[DATA DE CAIXA REALIZADO]]="N/A","0",UPPER(TEXT(tbRegistroSaidas[[#This Row],[DATA DE CAIXA REALIZADO]],"mmm")))</f>
        <v>DEZ</v>
      </c>
      <c r="K533" s="79" t="str">
        <f>IF(tbRegistroSaidas[[#This Row],[DATA DA COMPETÊNCIA]]="N/A","0",UPPER(TEXT(tbRegistroSaidas[[#This Row],[DATA DA COMPETÊNCIA]],"mmm")))</f>
        <v>NOV</v>
      </c>
      <c r="L533" s="79">
        <f>IF(tbRegistroSaidas[[#This Row],[DATA DA COMPETÊNCIA]]="N/A",0,YEAR(tbRegistroSaidas[[#This Row],[DATA DA COMPETÊNCIA]]))</f>
        <v>2021</v>
      </c>
      <c r="M533" s="5" t="str">
        <f>IF(tbRegistroSaidas[[#This Row],[DATA DO CAIXA PREVISTO]]="N/A","0",UPPER(TEXT(tbRegistroSaidas[[#This Row],[DATA DO CAIXA PREVISTO]],"mmm")))</f>
        <v>DEZ</v>
      </c>
      <c r="N533" s="5">
        <f>IF(tbRegistroSaidas[[#This Row],[DATA DO CAIXA PREVISTO]]="N/A",0,YEAR(tbRegistroSaidas[[#This Row],[DATA DO CAIXA PREVISTO]]))</f>
        <v>2021</v>
      </c>
    </row>
    <row r="534" spans="1:14" s="5" customFormat="1" ht="14.4" x14ac:dyDescent="0.3">
      <c r="A534" s="38">
        <v>44514.799826388888</v>
      </c>
      <c r="B534" s="49">
        <v>44505</v>
      </c>
      <c r="C534" s="49">
        <v>44514.799826388888</v>
      </c>
      <c r="D534" s="49" t="s">
        <v>61</v>
      </c>
      <c r="E534" s="51" t="s">
        <v>26</v>
      </c>
      <c r="F534" s="51" t="s">
        <v>33</v>
      </c>
      <c r="G534" s="52" t="s">
        <v>400</v>
      </c>
      <c r="H534" s="18">
        <v>4059</v>
      </c>
      <c r="I534" s="5">
        <f>IF(tbRegistroSaidas[[#This Row],[DATA DE CAIXA REALIZADO]]="N/A",0,YEAR(tbRegistroSaidas[[#This Row],[DATA DE CAIXA REALIZADO]]))</f>
        <v>2021</v>
      </c>
      <c r="J534" s="5" t="str">
        <f>IF(tbRegistroSaidas[[#This Row],[DATA DE CAIXA REALIZADO]]="N/A","0",UPPER(TEXT(tbRegistroSaidas[[#This Row],[DATA DE CAIXA REALIZADO]],"mmm")))</f>
        <v>NOV</v>
      </c>
      <c r="K534" s="79" t="str">
        <f>IF(tbRegistroSaidas[[#This Row],[DATA DA COMPETÊNCIA]]="N/A","0",UPPER(TEXT(tbRegistroSaidas[[#This Row],[DATA DA COMPETÊNCIA]],"mmm")))</f>
        <v>NOV</v>
      </c>
      <c r="L534" s="79">
        <f>IF(tbRegistroSaidas[[#This Row],[DATA DA COMPETÊNCIA]]="N/A",0,YEAR(tbRegistroSaidas[[#This Row],[DATA DA COMPETÊNCIA]]))</f>
        <v>2021</v>
      </c>
      <c r="M534" s="5" t="str">
        <f>IF(tbRegistroSaidas[[#This Row],[DATA DO CAIXA PREVISTO]]="N/A","0",UPPER(TEXT(tbRegistroSaidas[[#This Row],[DATA DO CAIXA PREVISTO]],"mmm")))</f>
        <v>NOV</v>
      </c>
      <c r="N534" s="5">
        <f>IF(tbRegistroSaidas[[#This Row],[DATA DO CAIXA PREVISTO]]="N/A",0,YEAR(tbRegistroSaidas[[#This Row],[DATA DO CAIXA PREVISTO]]))</f>
        <v>2021</v>
      </c>
    </row>
    <row r="535" spans="1:14" s="5" customFormat="1" ht="14.4" x14ac:dyDescent="0.3">
      <c r="A535" s="38">
        <v>44541.068252314813</v>
      </c>
      <c r="B535" s="49">
        <v>44508</v>
      </c>
      <c r="C535" s="49">
        <v>44541.068252314813</v>
      </c>
      <c r="D535" s="49" t="s">
        <v>67</v>
      </c>
      <c r="E535" s="51" t="s">
        <v>26</v>
      </c>
      <c r="F535" s="51" t="s">
        <v>32</v>
      </c>
      <c r="G535" s="52" t="s">
        <v>401</v>
      </c>
      <c r="H535" s="18">
        <v>4919</v>
      </c>
      <c r="I535" s="5">
        <f>IF(tbRegistroSaidas[[#This Row],[DATA DE CAIXA REALIZADO]]="N/A",0,YEAR(tbRegistroSaidas[[#This Row],[DATA DE CAIXA REALIZADO]]))</f>
        <v>2021</v>
      </c>
      <c r="J535" s="5" t="str">
        <f>IF(tbRegistroSaidas[[#This Row],[DATA DE CAIXA REALIZADO]]="N/A","0",UPPER(TEXT(tbRegistroSaidas[[#This Row],[DATA DE CAIXA REALIZADO]],"mmm")))</f>
        <v>DEZ</v>
      </c>
      <c r="K535" s="79" t="str">
        <f>IF(tbRegistroSaidas[[#This Row],[DATA DA COMPETÊNCIA]]="N/A","0",UPPER(TEXT(tbRegistroSaidas[[#This Row],[DATA DA COMPETÊNCIA]],"mmm")))</f>
        <v>NOV</v>
      </c>
      <c r="L535" s="79">
        <f>IF(tbRegistroSaidas[[#This Row],[DATA DA COMPETÊNCIA]]="N/A",0,YEAR(tbRegistroSaidas[[#This Row],[DATA DA COMPETÊNCIA]]))</f>
        <v>2021</v>
      </c>
      <c r="M535" s="5" t="str">
        <f>IF(tbRegistroSaidas[[#This Row],[DATA DO CAIXA PREVISTO]]="N/A","0",UPPER(TEXT(tbRegistroSaidas[[#This Row],[DATA DO CAIXA PREVISTO]],"mmm")))</f>
        <v>DEZ</v>
      </c>
      <c r="N535" s="5">
        <f>IF(tbRegistroSaidas[[#This Row],[DATA DO CAIXA PREVISTO]]="N/A",0,YEAR(tbRegistroSaidas[[#This Row],[DATA DO CAIXA PREVISTO]]))</f>
        <v>2021</v>
      </c>
    </row>
    <row r="536" spans="1:14" s="5" customFormat="1" ht="14.4" x14ac:dyDescent="0.3">
      <c r="A536" s="38">
        <v>44558.450416666667</v>
      </c>
      <c r="B536" s="49">
        <v>44512</v>
      </c>
      <c r="C536" s="49">
        <v>44548.512326388889</v>
      </c>
      <c r="D536" s="49" t="s">
        <v>66</v>
      </c>
      <c r="E536" s="51" t="s">
        <v>26</v>
      </c>
      <c r="F536" s="51" t="s">
        <v>33</v>
      </c>
      <c r="G536" s="52" t="s">
        <v>402</v>
      </c>
      <c r="H536" s="18">
        <v>3224</v>
      </c>
      <c r="I536" s="5">
        <f>IF(tbRegistroSaidas[[#This Row],[DATA DE CAIXA REALIZADO]]="N/A",0,YEAR(tbRegistroSaidas[[#This Row],[DATA DE CAIXA REALIZADO]]))</f>
        <v>2021</v>
      </c>
      <c r="J536" s="5" t="str">
        <f>IF(tbRegistroSaidas[[#This Row],[DATA DE CAIXA REALIZADO]]="N/A","0",UPPER(TEXT(tbRegistroSaidas[[#This Row],[DATA DE CAIXA REALIZADO]],"mmm")))</f>
        <v>DEZ</v>
      </c>
      <c r="K536" s="79" t="str">
        <f>IF(tbRegistroSaidas[[#This Row],[DATA DA COMPETÊNCIA]]="N/A","0",UPPER(TEXT(tbRegistroSaidas[[#This Row],[DATA DA COMPETÊNCIA]],"mmm")))</f>
        <v>NOV</v>
      </c>
      <c r="L536" s="79">
        <f>IF(tbRegistroSaidas[[#This Row],[DATA DA COMPETÊNCIA]]="N/A",0,YEAR(tbRegistroSaidas[[#This Row],[DATA DA COMPETÊNCIA]]))</f>
        <v>2021</v>
      </c>
      <c r="M536" s="5" t="str">
        <f>IF(tbRegistroSaidas[[#This Row],[DATA DO CAIXA PREVISTO]]="N/A","0",UPPER(TEXT(tbRegistroSaidas[[#This Row],[DATA DO CAIXA PREVISTO]],"mmm")))</f>
        <v>DEZ</v>
      </c>
      <c r="N536" s="5">
        <f>IF(tbRegistroSaidas[[#This Row],[DATA DO CAIXA PREVISTO]]="N/A",0,YEAR(tbRegistroSaidas[[#This Row],[DATA DO CAIXA PREVISTO]]))</f>
        <v>2021</v>
      </c>
    </row>
    <row r="537" spans="1:14" s="5" customFormat="1" ht="14.4" x14ac:dyDescent="0.3">
      <c r="A537" s="38">
        <v>44556.145798611113</v>
      </c>
      <c r="B537" s="49">
        <v>44515</v>
      </c>
      <c r="C537" s="49">
        <v>44556.145798611113</v>
      </c>
      <c r="D537" s="49" t="s">
        <v>67</v>
      </c>
      <c r="E537" s="51" t="s">
        <v>26</v>
      </c>
      <c r="F537" s="51" t="s">
        <v>18</v>
      </c>
      <c r="G537" s="52" t="s">
        <v>403</v>
      </c>
      <c r="H537" s="18">
        <v>3725</v>
      </c>
      <c r="I537" s="5">
        <f>IF(tbRegistroSaidas[[#This Row],[DATA DE CAIXA REALIZADO]]="N/A",0,YEAR(tbRegistroSaidas[[#This Row],[DATA DE CAIXA REALIZADO]]))</f>
        <v>2021</v>
      </c>
      <c r="J537" s="5" t="str">
        <f>IF(tbRegistroSaidas[[#This Row],[DATA DE CAIXA REALIZADO]]="N/A","0",UPPER(TEXT(tbRegistroSaidas[[#This Row],[DATA DE CAIXA REALIZADO]],"mmm")))</f>
        <v>DEZ</v>
      </c>
      <c r="K537" s="79" t="str">
        <f>IF(tbRegistroSaidas[[#This Row],[DATA DA COMPETÊNCIA]]="N/A","0",UPPER(TEXT(tbRegistroSaidas[[#This Row],[DATA DA COMPETÊNCIA]],"mmm")))</f>
        <v>NOV</v>
      </c>
      <c r="L537" s="79">
        <f>IF(tbRegistroSaidas[[#This Row],[DATA DA COMPETÊNCIA]]="N/A",0,YEAR(tbRegistroSaidas[[#This Row],[DATA DA COMPETÊNCIA]]))</f>
        <v>2021</v>
      </c>
      <c r="M537" s="5" t="str">
        <f>IF(tbRegistroSaidas[[#This Row],[DATA DO CAIXA PREVISTO]]="N/A","0",UPPER(TEXT(tbRegistroSaidas[[#This Row],[DATA DO CAIXA PREVISTO]],"mmm")))</f>
        <v>DEZ</v>
      </c>
      <c r="N537" s="5">
        <f>IF(tbRegistroSaidas[[#This Row],[DATA DO CAIXA PREVISTO]]="N/A",0,YEAR(tbRegistroSaidas[[#This Row],[DATA DO CAIXA PREVISTO]]))</f>
        <v>2021</v>
      </c>
    </row>
    <row r="538" spans="1:14" s="5" customFormat="1" ht="14.4" x14ac:dyDescent="0.3">
      <c r="A538" s="38">
        <v>44546.287673611114</v>
      </c>
      <c r="B538" s="49">
        <v>44517</v>
      </c>
      <c r="C538" s="49">
        <v>44546.287673611114</v>
      </c>
      <c r="D538" s="49" t="s">
        <v>61</v>
      </c>
      <c r="E538" s="51" t="s">
        <v>26</v>
      </c>
      <c r="F538" s="51" t="s">
        <v>18</v>
      </c>
      <c r="G538" s="52" t="s">
        <v>404</v>
      </c>
      <c r="H538" s="18">
        <v>312</v>
      </c>
      <c r="I538" s="5">
        <f>IF(tbRegistroSaidas[[#This Row],[DATA DE CAIXA REALIZADO]]="N/A",0,YEAR(tbRegistroSaidas[[#This Row],[DATA DE CAIXA REALIZADO]]))</f>
        <v>2021</v>
      </c>
      <c r="J538" s="5" t="str">
        <f>IF(tbRegistroSaidas[[#This Row],[DATA DE CAIXA REALIZADO]]="N/A","0",UPPER(TEXT(tbRegistroSaidas[[#This Row],[DATA DE CAIXA REALIZADO]],"mmm")))</f>
        <v>DEZ</v>
      </c>
      <c r="K538" s="79" t="str">
        <f>IF(tbRegistroSaidas[[#This Row],[DATA DA COMPETÊNCIA]]="N/A","0",UPPER(TEXT(tbRegistroSaidas[[#This Row],[DATA DA COMPETÊNCIA]],"mmm")))</f>
        <v>NOV</v>
      </c>
      <c r="L538" s="79">
        <f>IF(tbRegistroSaidas[[#This Row],[DATA DA COMPETÊNCIA]]="N/A",0,YEAR(tbRegistroSaidas[[#This Row],[DATA DA COMPETÊNCIA]]))</f>
        <v>2021</v>
      </c>
      <c r="M538" s="5" t="str">
        <f>IF(tbRegistroSaidas[[#This Row],[DATA DO CAIXA PREVISTO]]="N/A","0",UPPER(TEXT(tbRegistroSaidas[[#This Row],[DATA DO CAIXA PREVISTO]],"mmm")))</f>
        <v>DEZ</v>
      </c>
      <c r="N538" s="5">
        <f>IF(tbRegistroSaidas[[#This Row],[DATA DO CAIXA PREVISTO]]="N/A",0,YEAR(tbRegistroSaidas[[#This Row],[DATA DO CAIXA PREVISTO]]))</f>
        <v>2021</v>
      </c>
    </row>
    <row r="539" spans="1:14" s="5" customFormat="1" ht="14.4" x14ac:dyDescent="0.3">
      <c r="A539" s="38">
        <v>44573.669027777774</v>
      </c>
      <c r="B539" s="49">
        <v>44518</v>
      </c>
      <c r="C539" s="49">
        <v>44573.669027777774</v>
      </c>
      <c r="D539" s="49" t="s">
        <v>62</v>
      </c>
      <c r="E539" s="51" t="s">
        <v>26</v>
      </c>
      <c r="F539" s="51" t="s">
        <v>33</v>
      </c>
      <c r="G539" s="52" t="s">
        <v>405</v>
      </c>
      <c r="H539" s="18">
        <v>4773</v>
      </c>
      <c r="I539" s="5">
        <f>IF(tbRegistroSaidas[[#This Row],[DATA DE CAIXA REALIZADO]]="N/A",0,YEAR(tbRegistroSaidas[[#This Row],[DATA DE CAIXA REALIZADO]]))</f>
        <v>2022</v>
      </c>
      <c r="J539" s="5" t="str">
        <f>IF(tbRegistroSaidas[[#This Row],[DATA DE CAIXA REALIZADO]]="N/A","0",UPPER(TEXT(tbRegistroSaidas[[#This Row],[DATA DE CAIXA REALIZADO]],"mmm")))</f>
        <v>JAN</v>
      </c>
      <c r="K539" s="79" t="str">
        <f>IF(tbRegistroSaidas[[#This Row],[DATA DA COMPETÊNCIA]]="N/A","0",UPPER(TEXT(tbRegistroSaidas[[#This Row],[DATA DA COMPETÊNCIA]],"mmm")))</f>
        <v>NOV</v>
      </c>
      <c r="L539" s="79">
        <f>IF(tbRegistroSaidas[[#This Row],[DATA DA COMPETÊNCIA]]="N/A",0,YEAR(tbRegistroSaidas[[#This Row],[DATA DA COMPETÊNCIA]]))</f>
        <v>2021</v>
      </c>
      <c r="M539" s="5" t="str">
        <f>IF(tbRegistroSaidas[[#This Row],[DATA DO CAIXA PREVISTO]]="N/A","0",UPPER(TEXT(tbRegistroSaidas[[#This Row],[DATA DO CAIXA PREVISTO]],"mmm")))</f>
        <v>JAN</v>
      </c>
      <c r="N539" s="5">
        <f>IF(tbRegistroSaidas[[#This Row],[DATA DO CAIXA PREVISTO]]="N/A",0,YEAR(tbRegistroSaidas[[#This Row],[DATA DO CAIXA PREVISTO]]))</f>
        <v>2022</v>
      </c>
    </row>
    <row r="540" spans="1:14" s="5" customFormat="1" ht="14.4" x14ac:dyDescent="0.3">
      <c r="A540" s="38">
        <v>44537.636597222219</v>
      </c>
      <c r="B540" s="49">
        <v>44519</v>
      </c>
      <c r="C540" s="49">
        <v>44537.636597222219</v>
      </c>
      <c r="D540" s="49" t="s">
        <v>62</v>
      </c>
      <c r="E540" s="51" t="s">
        <v>26</v>
      </c>
      <c r="F540" s="51" t="s">
        <v>32</v>
      </c>
      <c r="G540" s="52" t="s">
        <v>406</v>
      </c>
      <c r="H540" s="18">
        <v>228</v>
      </c>
      <c r="I540" s="5">
        <f>IF(tbRegistroSaidas[[#This Row],[DATA DE CAIXA REALIZADO]]="N/A",0,YEAR(tbRegistroSaidas[[#This Row],[DATA DE CAIXA REALIZADO]]))</f>
        <v>2021</v>
      </c>
      <c r="J540" s="5" t="str">
        <f>IF(tbRegistroSaidas[[#This Row],[DATA DE CAIXA REALIZADO]]="N/A","0",UPPER(TEXT(tbRegistroSaidas[[#This Row],[DATA DE CAIXA REALIZADO]],"mmm")))</f>
        <v>DEZ</v>
      </c>
      <c r="K540" s="79" t="str">
        <f>IF(tbRegistroSaidas[[#This Row],[DATA DA COMPETÊNCIA]]="N/A","0",UPPER(TEXT(tbRegistroSaidas[[#This Row],[DATA DA COMPETÊNCIA]],"mmm")))</f>
        <v>NOV</v>
      </c>
      <c r="L540" s="79">
        <f>IF(tbRegistroSaidas[[#This Row],[DATA DA COMPETÊNCIA]]="N/A",0,YEAR(tbRegistroSaidas[[#This Row],[DATA DA COMPETÊNCIA]]))</f>
        <v>2021</v>
      </c>
      <c r="M540" s="5" t="str">
        <f>IF(tbRegistroSaidas[[#This Row],[DATA DO CAIXA PREVISTO]]="N/A","0",UPPER(TEXT(tbRegistroSaidas[[#This Row],[DATA DO CAIXA PREVISTO]],"mmm")))</f>
        <v>DEZ</v>
      </c>
      <c r="N540" s="5">
        <f>IF(tbRegistroSaidas[[#This Row],[DATA DO CAIXA PREVISTO]]="N/A",0,YEAR(tbRegistroSaidas[[#This Row],[DATA DO CAIXA PREVISTO]]))</f>
        <v>2021</v>
      </c>
    </row>
    <row r="541" spans="1:14" s="5" customFormat="1" ht="14.4" x14ac:dyDescent="0.3">
      <c r="A541" s="38">
        <v>44558.776805555557</v>
      </c>
      <c r="B541" s="49">
        <v>44522</v>
      </c>
      <c r="C541" s="49">
        <v>44558.776805555557</v>
      </c>
      <c r="D541" s="49" t="s">
        <v>61</v>
      </c>
      <c r="E541" s="51" t="s">
        <v>26</v>
      </c>
      <c r="F541" s="51" t="s">
        <v>33</v>
      </c>
      <c r="G541" s="52" t="s">
        <v>407</v>
      </c>
      <c r="H541" s="18">
        <v>450</v>
      </c>
      <c r="I541" s="5">
        <f>IF(tbRegistroSaidas[[#This Row],[DATA DE CAIXA REALIZADO]]="N/A",0,YEAR(tbRegistroSaidas[[#This Row],[DATA DE CAIXA REALIZADO]]))</f>
        <v>2021</v>
      </c>
      <c r="J541" s="5" t="str">
        <f>IF(tbRegistroSaidas[[#This Row],[DATA DE CAIXA REALIZADO]]="N/A","0",UPPER(TEXT(tbRegistroSaidas[[#This Row],[DATA DE CAIXA REALIZADO]],"mmm")))</f>
        <v>DEZ</v>
      </c>
      <c r="K541" s="79" t="str">
        <f>IF(tbRegistroSaidas[[#This Row],[DATA DA COMPETÊNCIA]]="N/A","0",UPPER(TEXT(tbRegistroSaidas[[#This Row],[DATA DA COMPETÊNCIA]],"mmm")))</f>
        <v>NOV</v>
      </c>
      <c r="L541" s="79">
        <f>IF(tbRegistroSaidas[[#This Row],[DATA DA COMPETÊNCIA]]="N/A",0,YEAR(tbRegistroSaidas[[#This Row],[DATA DA COMPETÊNCIA]]))</f>
        <v>2021</v>
      </c>
      <c r="M541" s="5" t="str">
        <f>IF(tbRegistroSaidas[[#This Row],[DATA DO CAIXA PREVISTO]]="N/A","0",UPPER(TEXT(tbRegistroSaidas[[#This Row],[DATA DO CAIXA PREVISTO]],"mmm")))</f>
        <v>DEZ</v>
      </c>
      <c r="N541" s="5">
        <f>IF(tbRegistroSaidas[[#This Row],[DATA DO CAIXA PREVISTO]]="N/A",0,YEAR(tbRegistroSaidas[[#This Row],[DATA DO CAIXA PREVISTO]]))</f>
        <v>2021</v>
      </c>
    </row>
    <row r="542" spans="1:14" s="5" customFormat="1" ht="14.4" x14ac:dyDescent="0.3">
      <c r="A542" s="38" t="s">
        <v>141</v>
      </c>
      <c r="B542" s="49">
        <v>44523</v>
      </c>
      <c r="C542" s="49">
        <v>44564.408622685187</v>
      </c>
      <c r="D542" s="49" t="s">
        <v>61</v>
      </c>
      <c r="E542" s="51" t="s">
        <v>26</v>
      </c>
      <c r="F542" s="51" t="s">
        <v>33</v>
      </c>
      <c r="G542" s="52" t="s">
        <v>408</v>
      </c>
      <c r="H542" s="18">
        <v>1155</v>
      </c>
      <c r="I542" s="5">
        <f>IF(tbRegistroSaidas[[#This Row],[DATA DE CAIXA REALIZADO]]="N/A",0,YEAR(tbRegistroSaidas[[#This Row],[DATA DE CAIXA REALIZADO]]))</f>
        <v>0</v>
      </c>
      <c r="J542" s="5" t="str">
        <f>IF(tbRegistroSaidas[[#This Row],[DATA DE CAIXA REALIZADO]]="N/A","0",UPPER(TEXT(tbRegistroSaidas[[#This Row],[DATA DE CAIXA REALIZADO]],"mmm")))</f>
        <v>0</v>
      </c>
      <c r="K542" s="79" t="str">
        <f>IF(tbRegistroSaidas[[#This Row],[DATA DA COMPETÊNCIA]]="N/A","0",UPPER(TEXT(tbRegistroSaidas[[#This Row],[DATA DA COMPETÊNCIA]],"mmm")))</f>
        <v>NOV</v>
      </c>
      <c r="L542" s="79">
        <f>IF(tbRegistroSaidas[[#This Row],[DATA DA COMPETÊNCIA]]="N/A",0,YEAR(tbRegistroSaidas[[#This Row],[DATA DA COMPETÊNCIA]]))</f>
        <v>2021</v>
      </c>
      <c r="M542" s="5" t="str">
        <f>IF(tbRegistroSaidas[[#This Row],[DATA DO CAIXA PREVISTO]]="N/A","0",UPPER(TEXT(tbRegistroSaidas[[#This Row],[DATA DO CAIXA PREVISTO]],"mmm")))</f>
        <v>JAN</v>
      </c>
      <c r="N542" s="5">
        <f>IF(tbRegistroSaidas[[#This Row],[DATA DO CAIXA PREVISTO]]="N/A",0,YEAR(tbRegistroSaidas[[#This Row],[DATA DO CAIXA PREVISTO]]))</f>
        <v>2022</v>
      </c>
    </row>
    <row r="543" spans="1:14" s="5" customFormat="1" ht="14.4" x14ac:dyDescent="0.3">
      <c r="A543" s="38" t="s">
        <v>141</v>
      </c>
      <c r="B543" s="49">
        <v>44530</v>
      </c>
      <c r="C543" s="49">
        <v>44531.024699074071</v>
      </c>
      <c r="D543" s="49" t="s">
        <v>138</v>
      </c>
      <c r="E543" s="51" t="s">
        <v>26</v>
      </c>
      <c r="F543" s="51" t="s">
        <v>33</v>
      </c>
      <c r="G543" s="52" t="s">
        <v>377</v>
      </c>
      <c r="H543" s="18">
        <v>1967</v>
      </c>
      <c r="I543" s="5">
        <f>IF(tbRegistroSaidas[[#This Row],[DATA DE CAIXA REALIZADO]]="N/A",0,YEAR(tbRegistroSaidas[[#This Row],[DATA DE CAIXA REALIZADO]]))</f>
        <v>0</v>
      </c>
      <c r="J543" s="5" t="str">
        <f>IF(tbRegistroSaidas[[#This Row],[DATA DE CAIXA REALIZADO]]="N/A","0",UPPER(TEXT(tbRegistroSaidas[[#This Row],[DATA DE CAIXA REALIZADO]],"mmm")))</f>
        <v>0</v>
      </c>
      <c r="K543" s="79" t="str">
        <f>IF(tbRegistroSaidas[[#This Row],[DATA DA COMPETÊNCIA]]="N/A","0",UPPER(TEXT(tbRegistroSaidas[[#This Row],[DATA DA COMPETÊNCIA]],"mmm")))</f>
        <v>NOV</v>
      </c>
      <c r="L543" s="79">
        <f>IF(tbRegistroSaidas[[#This Row],[DATA DA COMPETÊNCIA]]="N/A",0,YEAR(tbRegistroSaidas[[#This Row],[DATA DA COMPETÊNCIA]]))</f>
        <v>2021</v>
      </c>
      <c r="M543" s="5" t="str">
        <f>IF(tbRegistroSaidas[[#This Row],[DATA DO CAIXA PREVISTO]]="N/A","0",UPPER(TEXT(tbRegistroSaidas[[#This Row],[DATA DO CAIXA PREVISTO]],"mmm")))</f>
        <v>DEZ</v>
      </c>
      <c r="N543" s="5">
        <f>IF(tbRegistroSaidas[[#This Row],[DATA DO CAIXA PREVISTO]]="N/A",0,YEAR(tbRegistroSaidas[[#This Row],[DATA DO CAIXA PREVISTO]]))</f>
        <v>2021</v>
      </c>
    </row>
    <row r="544" spans="1:14" s="5" customFormat="1" ht="14.4" x14ac:dyDescent="0.3">
      <c r="A544" s="38">
        <v>44620.922523148147</v>
      </c>
      <c r="B544" s="49">
        <v>44531</v>
      </c>
      <c r="C544" s="49">
        <v>44557.096099537041</v>
      </c>
      <c r="D544" s="49" t="s">
        <v>65</v>
      </c>
      <c r="E544" s="51" t="s">
        <v>26</v>
      </c>
      <c r="F544" s="51" t="s">
        <v>16</v>
      </c>
      <c r="G544" s="52" t="s">
        <v>409</v>
      </c>
      <c r="H544" s="18">
        <v>2741</v>
      </c>
      <c r="I544" s="5">
        <f>IF(tbRegistroSaidas[[#This Row],[DATA DE CAIXA REALIZADO]]="N/A",0,YEAR(tbRegistroSaidas[[#This Row],[DATA DE CAIXA REALIZADO]]))</f>
        <v>2022</v>
      </c>
      <c r="J544" s="5" t="str">
        <f>IF(tbRegistroSaidas[[#This Row],[DATA DE CAIXA REALIZADO]]="N/A","0",UPPER(TEXT(tbRegistroSaidas[[#This Row],[DATA DE CAIXA REALIZADO]],"mmm")))</f>
        <v>FEV</v>
      </c>
      <c r="K544" s="79" t="str">
        <f>IF(tbRegistroSaidas[[#This Row],[DATA DA COMPETÊNCIA]]="N/A","0",UPPER(TEXT(tbRegistroSaidas[[#This Row],[DATA DA COMPETÊNCIA]],"mmm")))</f>
        <v>DEZ</v>
      </c>
      <c r="L544" s="79">
        <f>IF(tbRegistroSaidas[[#This Row],[DATA DA COMPETÊNCIA]]="N/A",0,YEAR(tbRegistroSaidas[[#This Row],[DATA DA COMPETÊNCIA]]))</f>
        <v>2021</v>
      </c>
      <c r="M544" s="5" t="str">
        <f>IF(tbRegistroSaidas[[#This Row],[DATA DO CAIXA PREVISTO]]="N/A","0",UPPER(TEXT(tbRegistroSaidas[[#This Row],[DATA DO CAIXA PREVISTO]],"mmm")))</f>
        <v>DEZ</v>
      </c>
      <c r="N544" s="5">
        <f>IF(tbRegistroSaidas[[#This Row],[DATA DO CAIXA PREVISTO]]="N/A",0,YEAR(tbRegistroSaidas[[#This Row],[DATA DO CAIXA PREVISTO]]))</f>
        <v>2021</v>
      </c>
    </row>
    <row r="545" spans="1:14" s="5" customFormat="1" ht="14.4" x14ac:dyDescent="0.3">
      <c r="A545" s="38">
        <v>44586.345520833333</v>
      </c>
      <c r="B545" s="49">
        <v>44532</v>
      </c>
      <c r="C545" s="49">
        <v>44586.345520833333</v>
      </c>
      <c r="D545" s="49" t="s">
        <v>137</v>
      </c>
      <c r="E545" s="51" t="s">
        <v>26</v>
      </c>
      <c r="F545" s="51" t="s">
        <v>17</v>
      </c>
      <c r="G545" s="52" t="s">
        <v>410</v>
      </c>
      <c r="H545" s="18">
        <v>1130</v>
      </c>
      <c r="I545" s="5">
        <f>IF(tbRegistroSaidas[[#This Row],[DATA DE CAIXA REALIZADO]]="N/A",0,YEAR(tbRegistroSaidas[[#This Row],[DATA DE CAIXA REALIZADO]]))</f>
        <v>2022</v>
      </c>
      <c r="J545" s="5" t="str">
        <f>IF(tbRegistroSaidas[[#This Row],[DATA DE CAIXA REALIZADO]]="N/A","0",UPPER(TEXT(tbRegistroSaidas[[#This Row],[DATA DE CAIXA REALIZADO]],"mmm")))</f>
        <v>JAN</v>
      </c>
      <c r="K545" s="79" t="str">
        <f>IF(tbRegistroSaidas[[#This Row],[DATA DA COMPETÊNCIA]]="N/A","0",UPPER(TEXT(tbRegistroSaidas[[#This Row],[DATA DA COMPETÊNCIA]],"mmm")))</f>
        <v>DEZ</v>
      </c>
      <c r="L545" s="79">
        <f>IF(tbRegistroSaidas[[#This Row],[DATA DA COMPETÊNCIA]]="N/A",0,YEAR(tbRegistroSaidas[[#This Row],[DATA DA COMPETÊNCIA]]))</f>
        <v>2021</v>
      </c>
      <c r="M545" s="5" t="str">
        <f>IF(tbRegistroSaidas[[#This Row],[DATA DO CAIXA PREVISTO]]="N/A","0",UPPER(TEXT(tbRegistroSaidas[[#This Row],[DATA DO CAIXA PREVISTO]],"mmm")))</f>
        <v>JAN</v>
      </c>
      <c r="N545" s="5">
        <f>IF(tbRegistroSaidas[[#This Row],[DATA DO CAIXA PREVISTO]]="N/A",0,YEAR(tbRegistroSaidas[[#This Row],[DATA DO CAIXA PREVISTO]]))</f>
        <v>2022</v>
      </c>
    </row>
    <row r="546" spans="1:14" s="5" customFormat="1" ht="14.4" x14ac:dyDescent="0.3">
      <c r="A546" s="38">
        <v>44579.533888888887</v>
      </c>
      <c r="B546" s="49">
        <v>44536</v>
      </c>
      <c r="C546" s="49">
        <v>44579.533888888887</v>
      </c>
      <c r="D546" s="49" t="s">
        <v>65</v>
      </c>
      <c r="E546" s="51" t="s">
        <v>26</v>
      </c>
      <c r="F546" s="51" t="s">
        <v>18</v>
      </c>
      <c r="G546" s="52" t="s">
        <v>411</v>
      </c>
      <c r="H546" s="18">
        <v>4835</v>
      </c>
      <c r="I546" s="5">
        <f>IF(tbRegistroSaidas[[#This Row],[DATA DE CAIXA REALIZADO]]="N/A",0,YEAR(tbRegistroSaidas[[#This Row],[DATA DE CAIXA REALIZADO]]))</f>
        <v>2022</v>
      </c>
      <c r="J546" s="5" t="str">
        <f>IF(tbRegistroSaidas[[#This Row],[DATA DE CAIXA REALIZADO]]="N/A","0",UPPER(TEXT(tbRegistroSaidas[[#This Row],[DATA DE CAIXA REALIZADO]],"mmm")))</f>
        <v>JAN</v>
      </c>
      <c r="K546" s="79" t="str">
        <f>IF(tbRegistroSaidas[[#This Row],[DATA DA COMPETÊNCIA]]="N/A","0",UPPER(TEXT(tbRegistroSaidas[[#This Row],[DATA DA COMPETÊNCIA]],"mmm")))</f>
        <v>DEZ</v>
      </c>
      <c r="L546" s="79">
        <f>IF(tbRegistroSaidas[[#This Row],[DATA DA COMPETÊNCIA]]="N/A",0,YEAR(tbRegistroSaidas[[#This Row],[DATA DA COMPETÊNCIA]]))</f>
        <v>2021</v>
      </c>
      <c r="M546" s="5" t="str">
        <f>IF(tbRegistroSaidas[[#This Row],[DATA DO CAIXA PREVISTO]]="N/A","0",UPPER(TEXT(tbRegistroSaidas[[#This Row],[DATA DO CAIXA PREVISTO]],"mmm")))</f>
        <v>JAN</v>
      </c>
      <c r="N546" s="5">
        <f>IF(tbRegistroSaidas[[#This Row],[DATA DO CAIXA PREVISTO]]="N/A",0,YEAR(tbRegistroSaidas[[#This Row],[DATA DO CAIXA PREVISTO]]))</f>
        <v>2022</v>
      </c>
    </row>
    <row r="547" spans="1:14" s="5" customFormat="1" ht="14.4" x14ac:dyDescent="0.3">
      <c r="A547" s="38">
        <v>44590.076273148145</v>
      </c>
      <c r="B547" s="49">
        <v>44538</v>
      </c>
      <c r="C547" s="49">
        <v>44590.076273148145</v>
      </c>
      <c r="D547" s="49" t="s">
        <v>138</v>
      </c>
      <c r="E547" s="51" t="s">
        <v>26</v>
      </c>
      <c r="F547" s="51" t="s">
        <v>16</v>
      </c>
      <c r="G547" s="52" t="s">
        <v>373</v>
      </c>
      <c r="H547" s="18">
        <v>1411</v>
      </c>
      <c r="I547" s="5">
        <f>IF(tbRegistroSaidas[[#This Row],[DATA DE CAIXA REALIZADO]]="N/A",0,YEAR(tbRegistroSaidas[[#This Row],[DATA DE CAIXA REALIZADO]]))</f>
        <v>2022</v>
      </c>
      <c r="J547" s="5" t="str">
        <f>IF(tbRegistroSaidas[[#This Row],[DATA DE CAIXA REALIZADO]]="N/A","0",UPPER(TEXT(tbRegistroSaidas[[#This Row],[DATA DE CAIXA REALIZADO]],"mmm")))</f>
        <v>JAN</v>
      </c>
      <c r="K547" s="79" t="str">
        <f>IF(tbRegistroSaidas[[#This Row],[DATA DA COMPETÊNCIA]]="N/A","0",UPPER(TEXT(tbRegistroSaidas[[#This Row],[DATA DA COMPETÊNCIA]],"mmm")))</f>
        <v>DEZ</v>
      </c>
      <c r="L547" s="79">
        <f>IF(tbRegistroSaidas[[#This Row],[DATA DA COMPETÊNCIA]]="N/A",0,YEAR(tbRegistroSaidas[[#This Row],[DATA DA COMPETÊNCIA]]))</f>
        <v>2021</v>
      </c>
      <c r="M547" s="5" t="str">
        <f>IF(tbRegistroSaidas[[#This Row],[DATA DO CAIXA PREVISTO]]="N/A","0",UPPER(TEXT(tbRegistroSaidas[[#This Row],[DATA DO CAIXA PREVISTO]],"mmm")))</f>
        <v>JAN</v>
      </c>
      <c r="N547" s="5">
        <f>IF(tbRegistroSaidas[[#This Row],[DATA DO CAIXA PREVISTO]]="N/A",0,YEAR(tbRegistroSaidas[[#This Row],[DATA DO CAIXA PREVISTO]]))</f>
        <v>2022</v>
      </c>
    </row>
    <row r="548" spans="1:14" s="5" customFormat="1" ht="14.4" x14ac:dyDescent="0.3">
      <c r="A548" s="38">
        <v>44560.632013888891</v>
      </c>
      <c r="B548" s="49">
        <v>44540</v>
      </c>
      <c r="C548" s="49">
        <v>44560.632013888891</v>
      </c>
      <c r="D548" s="49" t="s">
        <v>67</v>
      </c>
      <c r="E548" s="51" t="s">
        <v>26</v>
      </c>
      <c r="F548" s="51" t="s">
        <v>33</v>
      </c>
      <c r="G548" s="52" t="s">
        <v>412</v>
      </c>
      <c r="H548" s="18">
        <v>457</v>
      </c>
      <c r="I548" s="5">
        <f>IF(tbRegistroSaidas[[#This Row],[DATA DE CAIXA REALIZADO]]="N/A",0,YEAR(tbRegistroSaidas[[#This Row],[DATA DE CAIXA REALIZADO]]))</f>
        <v>2021</v>
      </c>
      <c r="J548" s="5" t="str">
        <f>IF(tbRegistroSaidas[[#This Row],[DATA DE CAIXA REALIZADO]]="N/A","0",UPPER(TEXT(tbRegistroSaidas[[#This Row],[DATA DE CAIXA REALIZADO]],"mmm")))</f>
        <v>DEZ</v>
      </c>
      <c r="K548" s="79" t="str">
        <f>IF(tbRegistroSaidas[[#This Row],[DATA DA COMPETÊNCIA]]="N/A","0",UPPER(TEXT(tbRegistroSaidas[[#This Row],[DATA DA COMPETÊNCIA]],"mmm")))</f>
        <v>DEZ</v>
      </c>
      <c r="L548" s="79">
        <f>IF(tbRegistroSaidas[[#This Row],[DATA DA COMPETÊNCIA]]="N/A",0,YEAR(tbRegistroSaidas[[#This Row],[DATA DA COMPETÊNCIA]]))</f>
        <v>2021</v>
      </c>
      <c r="M548" s="5" t="str">
        <f>IF(tbRegistroSaidas[[#This Row],[DATA DO CAIXA PREVISTO]]="N/A","0",UPPER(TEXT(tbRegistroSaidas[[#This Row],[DATA DO CAIXA PREVISTO]],"mmm")))</f>
        <v>DEZ</v>
      </c>
      <c r="N548" s="5">
        <f>IF(tbRegistroSaidas[[#This Row],[DATA DO CAIXA PREVISTO]]="N/A",0,YEAR(tbRegistroSaidas[[#This Row],[DATA DO CAIXA PREVISTO]]))</f>
        <v>2021</v>
      </c>
    </row>
    <row r="549" spans="1:14" s="5" customFormat="1" ht="14.4" x14ac:dyDescent="0.3">
      <c r="A549" s="38">
        <v>44603.610706018517</v>
      </c>
      <c r="B549" s="49">
        <v>44545</v>
      </c>
      <c r="C549" s="49">
        <v>44603.610706018517</v>
      </c>
      <c r="D549" s="49" t="s">
        <v>66</v>
      </c>
      <c r="E549" s="51" t="s">
        <v>26</v>
      </c>
      <c r="F549" s="51" t="s">
        <v>17</v>
      </c>
      <c r="G549" s="52" t="s">
        <v>413</v>
      </c>
      <c r="H549" s="18">
        <v>2623</v>
      </c>
      <c r="I549" s="5">
        <f>IF(tbRegistroSaidas[[#This Row],[DATA DE CAIXA REALIZADO]]="N/A",0,YEAR(tbRegistroSaidas[[#This Row],[DATA DE CAIXA REALIZADO]]))</f>
        <v>2022</v>
      </c>
      <c r="J549" s="5" t="str">
        <f>IF(tbRegistroSaidas[[#This Row],[DATA DE CAIXA REALIZADO]]="N/A","0",UPPER(TEXT(tbRegistroSaidas[[#This Row],[DATA DE CAIXA REALIZADO]],"mmm")))</f>
        <v>FEV</v>
      </c>
      <c r="K549" s="79" t="str">
        <f>IF(tbRegistroSaidas[[#This Row],[DATA DA COMPETÊNCIA]]="N/A","0",UPPER(TEXT(tbRegistroSaidas[[#This Row],[DATA DA COMPETÊNCIA]],"mmm")))</f>
        <v>DEZ</v>
      </c>
      <c r="L549" s="79">
        <f>IF(tbRegistroSaidas[[#This Row],[DATA DA COMPETÊNCIA]]="N/A",0,YEAR(tbRegistroSaidas[[#This Row],[DATA DA COMPETÊNCIA]]))</f>
        <v>2021</v>
      </c>
      <c r="M549" s="5" t="str">
        <f>IF(tbRegistroSaidas[[#This Row],[DATA DO CAIXA PREVISTO]]="N/A","0",UPPER(TEXT(tbRegistroSaidas[[#This Row],[DATA DO CAIXA PREVISTO]],"mmm")))</f>
        <v>FEV</v>
      </c>
      <c r="N549" s="5">
        <f>IF(tbRegistroSaidas[[#This Row],[DATA DO CAIXA PREVISTO]]="N/A",0,YEAR(tbRegistroSaidas[[#This Row],[DATA DO CAIXA PREVISTO]]))</f>
        <v>2022</v>
      </c>
    </row>
    <row r="550" spans="1:14" s="5" customFormat="1" ht="14.4" x14ac:dyDescent="0.3">
      <c r="A550" s="38">
        <v>44559.200844907406</v>
      </c>
      <c r="B550" s="49">
        <v>44547</v>
      </c>
      <c r="C550" s="49">
        <v>44559.200844907406</v>
      </c>
      <c r="D550" s="49" t="s">
        <v>63</v>
      </c>
      <c r="E550" s="51" t="s">
        <v>26</v>
      </c>
      <c r="F550" s="51" t="s">
        <v>16</v>
      </c>
      <c r="G550" s="52" t="s">
        <v>414</v>
      </c>
      <c r="H550" s="18">
        <v>3440</v>
      </c>
      <c r="I550" s="5">
        <f>IF(tbRegistroSaidas[[#This Row],[DATA DE CAIXA REALIZADO]]="N/A",0,YEAR(tbRegistroSaidas[[#This Row],[DATA DE CAIXA REALIZADO]]))</f>
        <v>2021</v>
      </c>
      <c r="J550" s="5" t="str">
        <f>IF(tbRegistroSaidas[[#This Row],[DATA DE CAIXA REALIZADO]]="N/A","0",UPPER(TEXT(tbRegistroSaidas[[#This Row],[DATA DE CAIXA REALIZADO]],"mmm")))</f>
        <v>DEZ</v>
      </c>
      <c r="K550" s="79" t="str">
        <f>IF(tbRegistroSaidas[[#This Row],[DATA DA COMPETÊNCIA]]="N/A","0",UPPER(TEXT(tbRegistroSaidas[[#This Row],[DATA DA COMPETÊNCIA]],"mmm")))</f>
        <v>DEZ</v>
      </c>
      <c r="L550" s="79">
        <f>IF(tbRegistroSaidas[[#This Row],[DATA DA COMPETÊNCIA]]="N/A",0,YEAR(tbRegistroSaidas[[#This Row],[DATA DA COMPETÊNCIA]]))</f>
        <v>2021</v>
      </c>
      <c r="M550" s="5" t="str">
        <f>IF(tbRegistroSaidas[[#This Row],[DATA DO CAIXA PREVISTO]]="N/A","0",UPPER(TEXT(tbRegistroSaidas[[#This Row],[DATA DO CAIXA PREVISTO]],"mmm")))</f>
        <v>DEZ</v>
      </c>
      <c r="N550" s="5">
        <f>IF(tbRegistroSaidas[[#This Row],[DATA DO CAIXA PREVISTO]]="N/A",0,YEAR(tbRegistroSaidas[[#This Row],[DATA DO CAIXA PREVISTO]]))</f>
        <v>2021</v>
      </c>
    </row>
    <row r="551" spans="1:14" s="5" customFormat="1" ht="14.4" x14ac:dyDescent="0.3">
      <c r="A551" s="38">
        <v>44572.046747685185</v>
      </c>
      <c r="B551" s="49">
        <v>44550</v>
      </c>
      <c r="C551" s="49">
        <v>44572.046747685185</v>
      </c>
      <c r="D551" s="49" t="s">
        <v>137</v>
      </c>
      <c r="E551" s="51" t="s">
        <v>26</v>
      </c>
      <c r="F551" s="51" t="s">
        <v>33</v>
      </c>
      <c r="G551" s="52" t="s">
        <v>415</v>
      </c>
      <c r="H551" s="18">
        <v>3993</v>
      </c>
      <c r="I551" s="5">
        <f>IF(tbRegistroSaidas[[#This Row],[DATA DE CAIXA REALIZADO]]="N/A",0,YEAR(tbRegistroSaidas[[#This Row],[DATA DE CAIXA REALIZADO]]))</f>
        <v>2022</v>
      </c>
      <c r="J551" s="5" t="str">
        <f>IF(tbRegistroSaidas[[#This Row],[DATA DE CAIXA REALIZADO]]="N/A","0",UPPER(TEXT(tbRegistroSaidas[[#This Row],[DATA DE CAIXA REALIZADO]],"mmm")))</f>
        <v>JAN</v>
      </c>
      <c r="K551" s="79" t="str">
        <f>IF(tbRegistroSaidas[[#This Row],[DATA DA COMPETÊNCIA]]="N/A","0",UPPER(TEXT(tbRegistroSaidas[[#This Row],[DATA DA COMPETÊNCIA]],"mmm")))</f>
        <v>DEZ</v>
      </c>
      <c r="L551" s="79">
        <f>IF(tbRegistroSaidas[[#This Row],[DATA DA COMPETÊNCIA]]="N/A",0,YEAR(tbRegistroSaidas[[#This Row],[DATA DA COMPETÊNCIA]]))</f>
        <v>2021</v>
      </c>
      <c r="M551" s="5" t="str">
        <f>IF(tbRegistroSaidas[[#This Row],[DATA DO CAIXA PREVISTO]]="N/A","0",UPPER(TEXT(tbRegistroSaidas[[#This Row],[DATA DO CAIXA PREVISTO]],"mmm")))</f>
        <v>JAN</v>
      </c>
      <c r="N551" s="5">
        <f>IF(tbRegistroSaidas[[#This Row],[DATA DO CAIXA PREVISTO]]="N/A",0,YEAR(tbRegistroSaidas[[#This Row],[DATA DO CAIXA PREVISTO]]))</f>
        <v>2022</v>
      </c>
    </row>
    <row r="552" spans="1:14" s="5" customFormat="1" ht="14.4" x14ac:dyDescent="0.3">
      <c r="A552" s="38">
        <v>44609.048935185187</v>
      </c>
      <c r="B552" s="49">
        <v>44551</v>
      </c>
      <c r="C552" s="49">
        <v>44609.048935185187</v>
      </c>
      <c r="D552" s="49" t="s">
        <v>137</v>
      </c>
      <c r="E552" s="51" t="s">
        <v>26</v>
      </c>
      <c r="F552" s="51" t="s">
        <v>33</v>
      </c>
      <c r="G552" s="52" t="s">
        <v>416</v>
      </c>
      <c r="H552" s="18">
        <v>3273</v>
      </c>
      <c r="I552" s="5">
        <f>IF(tbRegistroSaidas[[#This Row],[DATA DE CAIXA REALIZADO]]="N/A",0,YEAR(tbRegistroSaidas[[#This Row],[DATA DE CAIXA REALIZADO]]))</f>
        <v>2022</v>
      </c>
      <c r="J552" s="5" t="str">
        <f>IF(tbRegistroSaidas[[#This Row],[DATA DE CAIXA REALIZADO]]="N/A","0",UPPER(TEXT(tbRegistroSaidas[[#This Row],[DATA DE CAIXA REALIZADO]],"mmm")))</f>
        <v>FEV</v>
      </c>
      <c r="K552" s="79" t="str">
        <f>IF(tbRegistroSaidas[[#This Row],[DATA DA COMPETÊNCIA]]="N/A","0",UPPER(TEXT(tbRegistroSaidas[[#This Row],[DATA DA COMPETÊNCIA]],"mmm")))</f>
        <v>DEZ</v>
      </c>
      <c r="L552" s="79">
        <f>IF(tbRegistroSaidas[[#This Row],[DATA DA COMPETÊNCIA]]="N/A",0,YEAR(tbRegistroSaidas[[#This Row],[DATA DA COMPETÊNCIA]]))</f>
        <v>2021</v>
      </c>
      <c r="M552" s="5" t="str">
        <f>IF(tbRegistroSaidas[[#This Row],[DATA DO CAIXA PREVISTO]]="N/A","0",UPPER(TEXT(tbRegistroSaidas[[#This Row],[DATA DO CAIXA PREVISTO]],"mmm")))</f>
        <v>FEV</v>
      </c>
      <c r="N552" s="5">
        <f>IF(tbRegistroSaidas[[#This Row],[DATA DO CAIXA PREVISTO]]="N/A",0,YEAR(tbRegistroSaidas[[#This Row],[DATA DO CAIXA PREVISTO]]))</f>
        <v>2022</v>
      </c>
    </row>
    <row r="553" spans="1:14" s="5" customFormat="1" ht="14.4" x14ac:dyDescent="0.3">
      <c r="A553" s="38">
        <v>44596.265914351854</v>
      </c>
      <c r="B553" s="49">
        <v>44555</v>
      </c>
      <c r="C553" s="49">
        <v>44596.265914351854</v>
      </c>
      <c r="D553" s="49" t="s">
        <v>62</v>
      </c>
      <c r="E553" s="51" t="s">
        <v>26</v>
      </c>
      <c r="F553" s="51" t="s">
        <v>16</v>
      </c>
      <c r="G553" s="52" t="s">
        <v>417</v>
      </c>
      <c r="H553" s="18">
        <v>4494</v>
      </c>
      <c r="I553" s="5">
        <f>IF(tbRegistroSaidas[[#This Row],[DATA DE CAIXA REALIZADO]]="N/A",0,YEAR(tbRegistroSaidas[[#This Row],[DATA DE CAIXA REALIZADO]]))</f>
        <v>2022</v>
      </c>
      <c r="J553" s="5" t="str">
        <f>IF(tbRegistroSaidas[[#This Row],[DATA DE CAIXA REALIZADO]]="N/A","0",UPPER(TEXT(tbRegistroSaidas[[#This Row],[DATA DE CAIXA REALIZADO]],"mmm")))</f>
        <v>FEV</v>
      </c>
      <c r="K553" s="79" t="str">
        <f>IF(tbRegistroSaidas[[#This Row],[DATA DA COMPETÊNCIA]]="N/A","0",UPPER(TEXT(tbRegistroSaidas[[#This Row],[DATA DA COMPETÊNCIA]],"mmm")))</f>
        <v>DEZ</v>
      </c>
      <c r="L553" s="79">
        <f>IF(tbRegistroSaidas[[#This Row],[DATA DA COMPETÊNCIA]]="N/A",0,YEAR(tbRegistroSaidas[[#This Row],[DATA DA COMPETÊNCIA]]))</f>
        <v>2021</v>
      </c>
      <c r="M553" s="5" t="str">
        <f>IF(tbRegistroSaidas[[#This Row],[DATA DO CAIXA PREVISTO]]="N/A","0",UPPER(TEXT(tbRegistroSaidas[[#This Row],[DATA DO CAIXA PREVISTO]],"mmm")))</f>
        <v>FEV</v>
      </c>
      <c r="N553" s="5">
        <f>IF(tbRegistroSaidas[[#This Row],[DATA DO CAIXA PREVISTO]]="N/A",0,YEAR(tbRegistroSaidas[[#This Row],[DATA DO CAIXA PREVISTO]]))</f>
        <v>2022</v>
      </c>
    </row>
    <row r="554" spans="1:14" s="5" customFormat="1" ht="14.4" x14ac:dyDescent="0.3">
      <c r="A554" s="38">
        <v>44585.925486111111</v>
      </c>
      <c r="B554" s="49">
        <v>44557</v>
      </c>
      <c r="C554" s="49">
        <v>44585.925486111111</v>
      </c>
      <c r="D554" s="49" t="s">
        <v>64</v>
      </c>
      <c r="E554" s="51" t="s">
        <v>26</v>
      </c>
      <c r="F554" s="51" t="s">
        <v>32</v>
      </c>
      <c r="G554" s="52" t="s">
        <v>418</v>
      </c>
      <c r="H554" s="18">
        <v>2511</v>
      </c>
      <c r="I554" s="5">
        <f>IF(tbRegistroSaidas[[#This Row],[DATA DE CAIXA REALIZADO]]="N/A",0,YEAR(tbRegistroSaidas[[#This Row],[DATA DE CAIXA REALIZADO]]))</f>
        <v>2022</v>
      </c>
      <c r="J554" s="5" t="str">
        <f>IF(tbRegistroSaidas[[#This Row],[DATA DE CAIXA REALIZADO]]="N/A","0",UPPER(TEXT(tbRegistroSaidas[[#This Row],[DATA DE CAIXA REALIZADO]],"mmm")))</f>
        <v>JAN</v>
      </c>
      <c r="K554" s="79" t="str">
        <f>IF(tbRegistroSaidas[[#This Row],[DATA DA COMPETÊNCIA]]="N/A","0",UPPER(TEXT(tbRegistroSaidas[[#This Row],[DATA DA COMPETÊNCIA]],"mmm")))</f>
        <v>DEZ</v>
      </c>
      <c r="L554" s="79">
        <f>IF(tbRegistroSaidas[[#This Row],[DATA DA COMPETÊNCIA]]="N/A",0,YEAR(tbRegistroSaidas[[#This Row],[DATA DA COMPETÊNCIA]]))</f>
        <v>2021</v>
      </c>
      <c r="M554" s="5" t="str">
        <f>IF(tbRegistroSaidas[[#This Row],[DATA DO CAIXA PREVISTO]]="N/A","0",UPPER(TEXT(tbRegistroSaidas[[#This Row],[DATA DO CAIXA PREVISTO]],"mmm")))</f>
        <v>JAN</v>
      </c>
      <c r="N554" s="5">
        <f>IF(tbRegistroSaidas[[#This Row],[DATA DO CAIXA PREVISTO]]="N/A",0,YEAR(tbRegistroSaidas[[#This Row],[DATA DO CAIXA PREVISTO]]))</f>
        <v>2022</v>
      </c>
    </row>
    <row r="555" spans="1:14" s="5" customFormat="1" ht="14.4" x14ac:dyDescent="0.3">
      <c r="A555" s="38">
        <v>44604.989918981482</v>
      </c>
      <c r="B555" s="49">
        <v>44559</v>
      </c>
      <c r="C555" s="49">
        <v>44604.989918981482</v>
      </c>
      <c r="D555" s="49" t="s">
        <v>64</v>
      </c>
      <c r="E555" s="51" t="s">
        <v>26</v>
      </c>
      <c r="F555" s="51" t="s">
        <v>17</v>
      </c>
      <c r="G555" s="52" t="s">
        <v>419</v>
      </c>
      <c r="H555" s="18">
        <v>2015</v>
      </c>
      <c r="I555" s="5">
        <f>IF(tbRegistroSaidas[[#This Row],[DATA DE CAIXA REALIZADO]]="N/A",0,YEAR(tbRegistroSaidas[[#This Row],[DATA DE CAIXA REALIZADO]]))</f>
        <v>2022</v>
      </c>
      <c r="J555" s="5" t="str">
        <f>IF(tbRegistroSaidas[[#This Row],[DATA DE CAIXA REALIZADO]]="N/A","0",UPPER(TEXT(tbRegistroSaidas[[#This Row],[DATA DE CAIXA REALIZADO]],"mmm")))</f>
        <v>FEV</v>
      </c>
      <c r="K555" s="79" t="str">
        <f>IF(tbRegistroSaidas[[#This Row],[DATA DA COMPETÊNCIA]]="N/A","0",UPPER(TEXT(tbRegistroSaidas[[#This Row],[DATA DA COMPETÊNCIA]],"mmm")))</f>
        <v>DEZ</v>
      </c>
      <c r="L555" s="79">
        <f>IF(tbRegistroSaidas[[#This Row],[DATA DA COMPETÊNCIA]]="N/A",0,YEAR(tbRegistroSaidas[[#This Row],[DATA DA COMPETÊNCIA]]))</f>
        <v>2021</v>
      </c>
      <c r="M555" s="5" t="str">
        <f>IF(tbRegistroSaidas[[#This Row],[DATA DO CAIXA PREVISTO]]="N/A","0",UPPER(TEXT(tbRegistroSaidas[[#This Row],[DATA DO CAIXA PREVISTO]],"mmm")))</f>
        <v>FEV</v>
      </c>
      <c r="N555" s="5">
        <f>IF(tbRegistroSaidas[[#This Row],[DATA DO CAIXA PREVISTO]]="N/A",0,YEAR(tbRegistroSaidas[[#This Row],[DATA DO CAIXA PREVISTO]]))</f>
        <v>2022</v>
      </c>
    </row>
    <row r="556" spans="1:14" s="5" customFormat="1" ht="14.4" x14ac:dyDescent="0.3">
      <c r="A556" s="38">
        <v>44641.312256944446</v>
      </c>
      <c r="B556" s="49">
        <v>44561</v>
      </c>
      <c r="C556" s="49">
        <v>44612.35396990741</v>
      </c>
      <c r="D556" s="49" t="s">
        <v>64</v>
      </c>
      <c r="E556" s="51" t="s">
        <v>26</v>
      </c>
      <c r="F556" s="51" t="s">
        <v>18</v>
      </c>
      <c r="G556" s="52" t="s">
        <v>420</v>
      </c>
      <c r="H556" s="18">
        <v>3413</v>
      </c>
      <c r="I556" s="5">
        <f>IF(tbRegistroSaidas[[#This Row],[DATA DE CAIXA REALIZADO]]="N/A",0,YEAR(tbRegistroSaidas[[#This Row],[DATA DE CAIXA REALIZADO]]))</f>
        <v>2022</v>
      </c>
      <c r="J556" s="5" t="str">
        <f>IF(tbRegistroSaidas[[#This Row],[DATA DE CAIXA REALIZADO]]="N/A","0",UPPER(TEXT(tbRegistroSaidas[[#This Row],[DATA DE CAIXA REALIZADO]],"mmm")))</f>
        <v>MAR</v>
      </c>
      <c r="K556" s="79" t="str">
        <f>IF(tbRegistroSaidas[[#This Row],[DATA DA COMPETÊNCIA]]="N/A","0",UPPER(TEXT(tbRegistroSaidas[[#This Row],[DATA DA COMPETÊNCIA]],"mmm")))</f>
        <v>DEZ</v>
      </c>
      <c r="L556" s="79">
        <f>IF(tbRegistroSaidas[[#This Row],[DATA DA COMPETÊNCIA]]="N/A",0,YEAR(tbRegistroSaidas[[#This Row],[DATA DA COMPETÊNCIA]]))</f>
        <v>2021</v>
      </c>
      <c r="M556" s="5" t="str">
        <f>IF(tbRegistroSaidas[[#This Row],[DATA DO CAIXA PREVISTO]]="N/A","0",UPPER(TEXT(tbRegistroSaidas[[#This Row],[DATA DO CAIXA PREVISTO]],"mmm")))</f>
        <v>FEV</v>
      </c>
      <c r="N556" s="5">
        <f>IF(tbRegistroSaidas[[#This Row],[DATA DO CAIXA PREVISTO]]="N/A",0,YEAR(tbRegistroSaidas[[#This Row],[DATA DO CAIXA PREVISTO]]))</f>
        <v>2022</v>
      </c>
    </row>
    <row r="557" spans="1:14" s="5" customFormat="1" ht="14.4" x14ac:dyDescent="0.3">
      <c r="A557" s="38">
        <v>44605.795115740744</v>
      </c>
      <c r="B557" s="49">
        <v>44564</v>
      </c>
      <c r="C557" s="49">
        <v>44569.848587962966</v>
      </c>
      <c r="D557" s="49" t="s">
        <v>61</v>
      </c>
      <c r="E557" s="51" t="s">
        <v>26</v>
      </c>
      <c r="F557" s="51" t="s">
        <v>32</v>
      </c>
      <c r="G557" s="52" t="s">
        <v>421</v>
      </c>
      <c r="H557" s="18">
        <v>4087</v>
      </c>
      <c r="I557" s="5">
        <f>IF(tbRegistroSaidas[[#This Row],[DATA DE CAIXA REALIZADO]]="N/A",0,YEAR(tbRegistroSaidas[[#This Row],[DATA DE CAIXA REALIZADO]]))</f>
        <v>2022</v>
      </c>
      <c r="J557" s="5" t="str">
        <f>IF(tbRegistroSaidas[[#This Row],[DATA DE CAIXA REALIZADO]]="N/A","0",UPPER(TEXT(tbRegistroSaidas[[#This Row],[DATA DE CAIXA REALIZADO]],"mmm")))</f>
        <v>FEV</v>
      </c>
      <c r="K557" s="79" t="str">
        <f>IF(tbRegistroSaidas[[#This Row],[DATA DA COMPETÊNCIA]]="N/A","0",UPPER(TEXT(tbRegistroSaidas[[#This Row],[DATA DA COMPETÊNCIA]],"mmm")))</f>
        <v>JAN</v>
      </c>
      <c r="L557" s="79">
        <f>IF(tbRegistroSaidas[[#This Row],[DATA DA COMPETÊNCIA]]="N/A",0,YEAR(tbRegistroSaidas[[#This Row],[DATA DA COMPETÊNCIA]]))</f>
        <v>2022</v>
      </c>
      <c r="M557" s="5" t="str">
        <f>IF(tbRegistroSaidas[[#This Row],[DATA DO CAIXA PREVISTO]]="N/A","0",UPPER(TEXT(tbRegistroSaidas[[#This Row],[DATA DO CAIXA PREVISTO]],"mmm")))</f>
        <v>JAN</v>
      </c>
      <c r="N557" s="5">
        <f>IF(tbRegistroSaidas[[#This Row],[DATA DO CAIXA PREVISTO]]="N/A",0,YEAR(tbRegistroSaidas[[#This Row],[DATA DO CAIXA PREVISTO]]))</f>
        <v>2022</v>
      </c>
    </row>
    <row r="558" spans="1:14" s="5" customFormat="1" ht="14.4" x14ac:dyDescent="0.3">
      <c r="A558" s="38">
        <v>44578.37190972222</v>
      </c>
      <c r="B558" s="49">
        <v>44567</v>
      </c>
      <c r="C558" s="49">
        <v>44578.37190972222</v>
      </c>
      <c r="D558" s="49" t="s">
        <v>61</v>
      </c>
      <c r="E558" s="51" t="s">
        <v>26</v>
      </c>
      <c r="F558" s="51" t="s">
        <v>33</v>
      </c>
      <c r="G558" s="52" t="s">
        <v>422</v>
      </c>
      <c r="H558" s="18">
        <v>2441</v>
      </c>
      <c r="I558" s="5">
        <f>IF(tbRegistroSaidas[[#This Row],[DATA DE CAIXA REALIZADO]]="N/A",0,YEAR(tbRegistroSaidas[[#This Row],[DATA DE CAIXA REALIZADO]]))</f>
        <v>2022</v>
      </c>
      <c r="J558" s="5" t="str">
        <f>IF(tbRegistroSaidas[[#This Row],[DATA DE CAIXA REALIZADO]]="N/A","0",UPPER(TEXT(tbRegistroSaidas[[#This Row],[DATA DE CAIXA REALIZADO]],"mmm")))</f>
        <v>JAN</v>
      </c>
      <c r="K558" s="79" t="str">
        <f>IF(tbRegistroSaidas[[#This Row],[DATA DA COMPETÊNCIA]]="N/A","0",UPPER(TEXT(tbRegistroSaidas[[#This Row],[DATA DA COMPETÊNCIA]],"mmm")))</f>
        <v>JAN</v>
      </c>
      <c r="L558" s="79">
        <f>IF(tbRegistroSaidas[[#This Row],[DATA DA COMPETÊNCIA]]="N/A",0,YEAR(tbRegistroSaidas[[#This Row],[DATA DA COMPETÊNCIA]]))</f>
        <v>2022</v>
      </c>
      <c r="M558" s="5" t="str">
        <f>IF(tbRegistroSaidas[[#This Row],[DATA DO CAIXA PREVISTO]]="N/A","0",UPPER(TEXT(tbRegistroSaidas[[#This Row],[DATA DO CAIXA PREVISTO]],"mmm")))</f>
        <v>JAN</v>
      </c>
      <c r="N558" s="5">
        <f>IF(tbRegistroSaidas[[#This Row],[DATA DO CAIXA PREVISTO]]="N/A",0,YEAR(tbRegistroSaidas[[#This Row],[DATA DO CAIXA PREVISTO]]))</f>
        <v>2022</v>
      </c>
    </row>
    <row r="559" spans="1:14" s="5" customFormat="1" ht="14.4" x14ac:dyDescent="0.3">
      <c r="A559" s="38">
        <v>44588.725752314815</v>
      </c>
      <c r="B559" s="49">
        <v>44570</v>
      </c>
      <c r="C559" s="49">
        <v>44588.725752314815</v>
      </c>
      <c r="D559" s="49" t="s">
        <v>67</v>
      </c>
      <c r="E559" s="51" t="s">
        <v>26</v>
      </c>
      <c r="F559" s="51" t="s">
        <v>17</v>
      </c>
      <c r="G559" s="52" t="s">
        <v>423</v>
      </c>
      <c r="H559" s="18">
        <v>3598</v>
      </c>
      <c r="I559" s="5">
        <f>IF(tbRegistroSaidas[[#This Row],[DATA DE CAIXA REALIZADO]]="N/A",0,YEAR(tbRegistroSaidas[[#This Row],[DATA DE CAIXA REALIZADO]]))</f>
        <v>2022</v>
      </c>
      <c r="J559" s="5" t="str">
        <f>IF(tbRegistroSaidas[[#This Row],[DATA DE CAIXA REALIZADO]]="N/A","0",UPPER(TEXT(tbRegistroSaidas[[#This Row],[DATA DE CAIXA REALIZADO]],"mmm")))</f>
        <v>JAN</v>
      </c>
      <c r="K559" s="79" t="str">
        <f>IF(tbRegistroSaidas[[#This Row],[DATA DA COMPETÊNCIA]]="N/A","0",UPPER(TEXT(tbRegistroSaidas[[#This Row],[DATA DA COMPETÊNCIA]],"mmm")))</f>
        <v>JAN</v>
      </c>
      <c r="L559" s="79">
        <f>IF(tbRegistroSaidas[[#This Row],[DATA DA COMPETÊNCIA]]="N/A",0,YEAR(tbRegistroSaidas[[#This Row],[DATA DA COMPETÊNCIA]]))</f>
        <v>2022</v>
      </c>
      <c r="M559" s="5" t="str">
        <f>IF(tbRegistroSaidas[[#This Row],[DATA DO CAIXA PREVISTO]]="N/A","0",UPPER(TEXT(tbRegistroSaidas[[#This Row],[DATA DO CAIXA PREVISTO]],"mmm")))</f>
        <v>JAN</v>
      </c>
      <c r="N559" s="5">
        <f>IF(tbRegistroSaidas[[#This Row],[DATA DO CAIXA PREVISTO]]="N/A",0,YEAR(tbRegistroSaidas[[#This Row],[DATA DO CAIXA PREVISTO]]))</f>
        <v>2022</v>
      </c>
    </row>
    <row r="560" spans="1:14" s="5" customFormat="1" ht="14.4" x14ac:dyDescent="0.3">
      <c r="A560" s="38">
        <v>44579.823321759257</v>
      </c>
      <c r="B560" s="49">
        <v>44571</v>
      </c>
      <c r="C560" s="49">
        <v>44579.823321759257</v>
      </c>
      <c r="D560" s="49" t="s">
        <v>137</v>
      </c>
      <c r="E560" s="51" t="s">
        <v>26</v>
      </c>
      <c r="F560" s="51" t="s">
        <v>33</v>
      </c>
      <c r="G560" s="52" t="s">
        <v>424</v>
      </c>
      <c r="H560" s="18">
        <v>4895</v>
      </c>
      <c r="I560" s="5">
        <f>IF(tbRegistroSaidas[[#This Row],[DATA DE CAIXA REALIZADO]]="N/A",0,YEAR(tbRegistroSaidas[[#This Row],[DATA DE CAIXA REALIZADO]]))</f>
        <v>2022</v>
      </c>
      <c r="J560" s="5" t="str">
        <f>IF(tbRegistroSaidas[[#This Row],[DATA DE CAIXA REALIZADO]]="N/A","0",UPPER(TEXT(tbRegistroSaidas[[#This Row],[DATA DE CAIXA REALIZADO]],"mmm")))</f>
        <v>JAN</v>
      </c>
      <c r="K560" s="79" t="str">
        <f>IF(tbRegistroSaidas[[#This Row],[DATA DA COMPETÊNCIA]]="N/A","0",UPPER(TEXT(tbRegistroSaidas[[#This Row],[DATA DA COMPETÊNCIA]],"mmm")))</f>
        <v>JAN</v>
      </c>
      <c r="L560" s="79">
        <f>IF(tbRegistroSaidas[[#This Row],[DATA DA COMPETÊNCIA]]="N/A",0,YEAR(tbRegistroSaidas[[#This Row],[DATA DA COMPETÊNCIA]]))</f>
        <v>2022</v>
      </c>
      <c r="M560" s="5" t="str">
        <f>IF(tbRegistroSaidas[[#This Row],[DATA DO CAIXA PREVISTO]]="N/A","0",UPPER(TEXT(tbRegistroSaidas[[#This Row],[DATA DO CAIXA PREVISTO]],"mmm")))</f>
        <v>JAN</v>
      </c>
      <c r="N560" s="5">
        <f>IF(tbRegistroSaidas[[#This Row],[DATA DO CAIXA PREVISTO]]="N/A",0,YEAR(tbRegistroSaidas[[#This Row],[DATA DO CAIXA PREVISTO]]))</f>
        <v>2022</v>
      </c>
    </row>
    <row r="561" spans="1:14" s="5" customFormat="1" ht="14.4" x14ac:dyDescent="0.3">
      <c r="A561" s="38">
        <v>44628.544340277775</v>
      </c>
      <c r="B561" s="49">
        <v>44573</v>
      </c>
      <c r="C561" s="49">
        <v>44628.544340277775</v>
      </c>
      <c r="D561" s="49" t="s">
        <v>65</v>
      </c>
      <c r="E561" s="51" t="s">
        <v>26</v>
      </c>
      <c r="F561" s="51" t="s">
        <v>33</v>
      </c>
      <c r="G561" s="52" t="s">
        <v>425</v>
      </c>
      <c r="H561" s="18">
        <v>971</v>
      </c>
      <c r="I561" s="5">
        <f>IF(tbRegistroSaidas[[#This Row],[DATA DE CAIXA REALIZADO]]="N/A",0,YEAR(tbRegistroSaidas[[#This Row],[DATA DE CAIXA REALIZADO]]))</f>
        <v>2022</v>
      </c>
      <c r="J561" s="5" t="str">
        <f>IF(tbRegistroSaidas[[#This Row],[DATA DE CAIXA REALIZADO]]="N/A","0",UPPER(TEXT(tbRegistroSaidas[[#This Row],[DATA DE CAIXA REALIZADO]],"mmm")))</f>
        <v>MAR</v>
      </c>
      <c r="K561" s="79" t="str">
        <f>IF(tbRegistroSaidas[[#This Row],[DATA DA COMPETÊNCIA]]="N/A","0",UPPER(TEXT(tbRegistroSaidas[[#This Row],[DATA DA COMPETÊNCIA]],"mmm")))</f>
        <v>JAN</v>
      </c>
      <c r="L561" s="79">
        <f>IF(tbRegistroSaidas[[#This Row],[DATA DA COMPETÊNCIA]]="N/A",0,YEAR(tbRegistroSaidas[[#This Row],[DATA DA COMPETÊNCIA]]))</f>
        <v>2022</v>
      </c>
      <c r="M561" s="5" t="str">
        <f>IF(tbRegistroSaidas[[#This Row],[DATA DO CAIXA PREVISTO]]="N/A","0",UPPER(TEXT(tbRegistroSaidas[[#This Row],[DATA DO CAIXA PREVISTO]],"mmm")))</f>
        <v>MAR</v>
      </c>
      <c r="N561" s="5">
        <f>IF(tbRegistroSaidas[[#This Row],[DATA DO CAIXA PREVISTO]]="N/A",0,YEAR(tbRegistroSaidas[[#This Row],[DATA DO CAIXA PREVISTO]]))</f>
        <v>2022</v>
      </c>
    </row>
    <row r="562" spans="1:14" s="5" customFormat="1" ht="14.4" x14ac:dyDescent="0.3">
      <c r="A562" s="38">
        <v>44598.043958333335</v>
      </c>
      <c r="B562" s="49">
        <v>44574</v>
      </c>
      <c r="C562" s="49">
        <v>44598.043958333335</v>
      </c>
      <c r="D562" s="49" t="s">
        <v>64</v>
      </c>
      <c r="E562" s="51" t="s">
        <v>26</v>
      </c>
      <c r="F562" s="51" t="s">
        <v>32</v>
      </c>
      <c r="G562" s="52" t="s">
        <v>426</v>
      </c>
      <c r="H562" s="18">
        <v>556</v>
      </c>
      <c r="I562" s="5">
        <f>IF(tbRegistroSaidas[[#This Row],[DATA DE CAIXA REALIZADO]]="N/A",0,YEAR(tbRegistroSaidas[[#This Row],[DATA DE CAIXA REALIZADO]]))</f>
        <v>2022</v>
      </c>
      <c r="J562" s="5" t="str">
        <f>IF(tbRegistroSaidas[[#This Row],[DATA DE CAIXA REALIZADO]]="N/A","0",UPPER(TEXT(tbRegistroSaidas[[#This Row],[DATA DE CAIXA REALIZADO]],"mmm")))</f>
        <v>FEV</v>
      </c>
      <c r="K562" s="79" t="str">
        <f>IF(tbRegistroSaidas[[#This Row],[DATA DA COMPETÊNCIA]]="N/A","0",UPPER(TEXT(tbRegistroSaidas[[#This Row],[DATA DA COMPETÊNCIA]],"mmm")))</f>
        <v>JAN</v>
      </c>
      <c r="L562" s="79">
        <f>IF(tbRegistroSaidas[[#This Row],[DATA DA COMPETÊNCIA]]="N/A",0,YEAR(tbRegistroSaidas[[#This Row],[DATA DA COMPETÊNCIA]]))</f>
        <v>2022</v>
      </c>
      <c r="M562" s="5" t="str">
        <f>IF(tbRegistroSaidas[[#This Row],[DATA DO CAIXA PREVISTO]]="N/A","0",UPPER(TEXT(tbRegistroSaidas[[#This Row],[DATA DO CAIXA PREVISTO]],"mmm")))</f>
        <v>FEV</v>
      </c>
      <c r="N562" s="5">
        <f>IF(tbRegistroSaidas[[#This Row],[DATA DO CAIXA PREVISTO]]="N/A",0,YEAR(tbRegistroSaidas[[#This Row],[DATA DO CAIXA PREVISTO]]))</f>
        <v>2022</v>
      </c>
    </row>
    <row r="563" spans="1:14" s="5" customFormat="1" ht="14.4" x14ac:dyDescent="0.3">
      <c r="A563" s="38">
        <v>44605.881828703707</v>
      </c>
      <c r="B563" s="49">
        <v>44575</v>
      </c>
      <c r="C563" s="49">
        <v>44605.881828703707</v>
      </c>
      <c r="D563" s="49" t="s">
        <v>67</v>
      </c>
      <c r="E563" s="51" t="s">
        <v>26</v>
      </c>
      <c r="F563" s="51" t="s">
        <v>32</v>
      </c>
      <c r="G563" s="52" t="s">
        <v>427</v>
      </c>
      <c r="H563" s="18">
        <v>1977</v>
      </c>
      <c r="I563" s="5">
        <f>IF(tbRegistroSaidas[[#This Row],[DATA DE CAIXA REALIZADO]]="N/A",0,YEAR(tbRegistroSaidas[[#This Row],[DATA DE CAIXA REALIZADO]]))</f>
        <v>2022</v>
      </c>
      <c r="J563" s="5" t="str">
        <f>IF(tbRegistroSaidas[[#This Row],[DATA DE CAIXA REALIZADO]]="N/A","0",UPPER(TEXT(tbRegistroSaidas[[#This Row],[DATA DE CAIXA REALIZADO]],"mmm")))</f>
        <v>FEV</v>
      </c>
      <c r="K563" s="79" t="str">
        <f>IF(tbRegistroSaidas[[#This Row],[DATA DA COMPETÊNCIA]]="N/A","0",UPPER(TEXT(tbRegistroSaidas[[#This Row],[DATA DA COMPETÊNCIA]],"mmm")))</f>
        <v>JAN</v>
      </c>
      <c r="L563" s="79">
        <f>IF(tbRegistroSaidas[[#This Row],[DATA DA COMPETÊNCIA]]="N/A",0,YEAR(tbRegistroSaidas[[#This Row],[DATA DA COMPETÊNCIA]]))</f>
        <v>2022</v>
      </c>
      <c r="M563" s="5" t="str">
        <f>IF(tbRegistroSaidas[[#This Row],[DATA DO CAIXA PREVISTO]]="N/A","0",UPPER(TEXT(tbRegistroSaidas[[#This Row],[DATA DO CAIXA PREVISTO]],"mmm")))</f>
        <v>FEV</v>
      </c>
      <c r="N563" s="5">
        <f>IF(tbRegistroSaidas[[#This Row],[DATA DO CAIXA PREVISTO]]="N/A",0,YEAR(tbRegistroSaidas[[#This Row],[DATA DO CAIXA PREVISTO]]))</f>
        <v>2022</v>
      </c>
    </row>
    <row r="564" spans="1:14" s="5" customFormat="1" ht="14.4" x14ac:dyDescent="0.3">
      <c r="A564" s="38">
        <v>44588.357627314814</v>
      </c>
      <c r="B564" s="49">
        <v>44577</v>
      </c>
      <c r="C564" s="49">
        <v>44588.357627314814</v>
      </c>
      <c r="D564" s="49" t="s">
        <v>66</v>
      </c>
      <c r="E564" s="51" t="s">
        <v>26</v>
      </c>
      <c r="F564" s="51" t="s">
        <v>33</v>
      </c>
      <c r="G564" s="52" t="s">
        <v>380</v>
      </c>
      <c r="H564" s="18">
        <v>2951</v>
      </c>
      <c r="I564" s="5">
        <f>IF(tbRegistroSaidas[[#This Row],[DATA DE CAIXA REALIZADO]]="N/A",0,YEAR(tbRegistroSaidas[[#This Row],[DATA DE CAIXA REALIZADO]]))</f>
        <v>2022</v>
      </c>
      <c r="J564" s="5" t="str">
        <f>IF(tbRegistroSaidas[[#This Row],[DATA DE CAIXA REALIZADO]]="N/A","0",UPPER(TEXT(tbRegistroSaidas[[#This Row],[DATA DE CAIXA REALIZADO]],"mmm")))</f>
        <v>JAN</v>
      </c>
      <c r="K564" s="79" t="str">
        <f>IF(tbRegistroSaidas[[#This Row],[DATA DA COMPETÊNCIA]]="N/A","0",UPPER(TEXT(tbRegistroSaidas[[#This Row],[DATA DA COMPETÊNCIA]],"mmm")))</f>
        <v>JAN</v>
      </c>
      <c r="L564" s="79">
        <f>IF(tbRegistroSaidas[[#This Row],[DATA DA COMPETÊNCIA]]="N/A",0,YEAR(tbRegistroSaidas[[#This Row],[DATA DA COMPETÊNCIA]]))</f>
        <v>2022</v>
      </c>
      <c r="M564" s="5" t="str">
        <f>IF(tbRegistroSaidas[[#This Row],[DATA DO CAIXA PREVISTO]]="N/A","0",UPPER(TEXT(tbRegistroSaidas[[#This Row],[DATA DO CAIXA PREVISTO]],"mmm")))</f>
        <v>JAN</v>
      </c>
      <c r="N564" s="5">
        <f>IF(tbRegistroSaidas[[#This Row],[DATA DO CAIXA PREVISTO]]="N/A",0,YEAR(tbRegistroSaidas[[#This Row],[DATA DO CAIXA PREVISTO]]))</f>
        <v>2022</v>
      </c>
    </row>
    <row r="565" spans="1:14" s="5" customFormat="1" ht="14.4" x14ac:dyDescent="0.3">
      <c r="A565" s="38">
        <v>44625.408101851855</v>
      </c>
      <c r="B565" s="49">
        <v>44581</v>
      </c>
      <c r="C565" s="49">
        <v>44625.408101851855</v>
      </c>
      <c r="D565" s="49" t="s">
        <v>137</v>
      </c>
      <c r="E565" s="51" t="s">
        <v>26</v>
      </c>
      <c r="F565" s="51" t="s">
        <v>33</v>
      </c>
      <c r="G565" s="52" t="s">
        <v>428</v>
      </c>
      <c r="H565" s="18">
        <v>2535</v>
      </c>
      <c r="I565" s="5">
        <f>IF(tbRegistroSaidas[[#This Row],[DATA DE CAIXA REALIZADO]]="N/A",0,YEAR(tbRegistroSaidas[[#This Row],[DATA DE CAIXA REALIZADO]]))</f>
        <v>2022</v>
      </c>
      <c r="J565" s="5" t="str">
        <f>IF(tbRegistroSaidas[[#This Row],[DATA DE CAIXA REALIZADO]]="N/A","0",UPPER(TEXT(tbRegistroSaidas[[#This Row],[DATA DE CAIXA REALIZADO]],"mmm")))</f>
        <v>MAR</v>
      </c>
      <c r="K565" s="79" t="str">
        <f>IF(tbRegistroSaidas[[#This Row],[DATA DA COMPETÊNCIA]]="N/A","0",UPPER(TEXT(tbRegistroSaidas[[#This Row],[DATA DA COMPETÊNCIA]],"mmm")))</f>
        <v>JAN</v>
      </c>
      <c r="L565" s="79">
        <f>IF(tbRegistroSaidas[[#This Row],[DATA DA COMPETÊNCIA]]="N/A",0,YEAR(tbRegistroSaidas[[#This Row],[DATA DA COMPETÊNCIA]]))</f>
        <v>2022</v>
      </c>
      <c r="M565" s="5" t="str">
        <f>IF(tbRegistroSaidas[[#This Row],[DATA DO CAIXA PREVISTO]]="N/A","0",UPPER(TEXT(tbRegistroSaidas[[#This Row],[DATA DO CAIXA PREVISTO]],"mmm")))</f>
        <v>MAR</v>
      </c>
      <c r="N565" s="5">
        <f>IF(tbRegistroSaidas[[#This Row],[DATA DO CAIXA PREVISTO]]="N/A",0,YEAR(tbRegistroSaidas[[#This Row],[DATA DO CAIXA PREVISTO]]))</f>
        <v>2022</v>
      </c>
    </row>
    <row r="566" spans="1:14" s="5" customFormat="1" ht="14.4" x14ac:dyDescent="0.3">
      <c r="A566" s="38">
        <v>44602.579594907409</v>
      </c>
      <c r="B566" s="49">
        <v>44582</v>
      </c>
      <c r="C566" s="49">
        <v>44602.579594907409</v>
      </c>
      <c r="D566" s="49" t="s">
        <v>63</v>
      </c>
      <c r="E566" s="51" t="s">
        <v>26</v>
      </c>
      <c r="F566" s="51" t="s">
        <v>16</v>
      </c>
      <c r="G566" s="52" t="s">
        <v>429</v>
      </c>
      <c r="H566" s="18">
        <v>3057</v>
      </c>
      <c r="I566" s="5">
        <f>IF(tbRegistroSaidas[[#This Row],[DATA DE CAIXA REALIZADO]]="N/A",0,YEAR(tbRegistroSaidas[[#This Row],[DATA DE CAIXA REALIZADO]]))</f>
        <v>2022</v>
      </c>
      <c r="J566" s="5" t="str">
        <f>IF(tbRegistroSaidas[[#This Row],[DATA DE CAIXA REALIZADO]]="N/A","0",UPPER(TEXT(tbRegistroSaidas[[#This Row],[DATA DE CAIXA REALIZADO]],"mmm")))</f>
        <v>FEV</v>
      </c>
      <c r="K566" s="79" t="str">
        <f>IF(tbRegistroSaidas[[#This Row],[DATA DA COMPETÊNCIA]]="N/A","0",UPPER(TEXT(tbRegistroSaidas[[#This Row],[DATA DA COMPETÊNCIA]],"mmm")))</f>
        <v>JAN</v>
      </c>
      <c r="L566" s="79">
        <f>IF(tbRegistroSaidas[[#This Row],[DATA DA COMPETÊNCIA]]="N/A",0,YEAR(tbRegistroSaidas[[#This Row],[DATA DA COMPETÊNCIA]]))</f>
        <v>2022</v>
      </c>
      <c r="M566" s="5" t="str">
        <f>IF(tbRegistroSaidas[[#This Row],[DATA DO CAIXA PREVISTO]]="N/A","0",UPPER(TEXT(tbRegistroSaidas[[#This Row],[DATA DO CAIXA PREVISTO]],"mmm")))</f>
        <v>FEV</v>
      </c>
      <c r="N566" s="5">
        <f>IF(tbRegistroSaidas[[#This Row],[DATA DO CAIXA PREVISTO]]="N/A",0,YEAR(tbRegistroSaidas[[#This Row],[DATA DO CAIXA PREVISTO]]))</f>
        <v>2022</v>
      </c>
    </row>
    <row r="567" spans="1:14" s="5" customFormat="1" ht="14.4" x14ac:dyDescent="0.3">
      <c r="A567" s="38">
        <v>44601.526076388887</v>
      </c>
      <c r="B567" s="49">
        <v>44584</v>
      </c>
      <c r="C567" s="49">
        <v>44601.526076388887</v>
      </c>
      <c r="D567" s="49" t="s">
        <v>137</v>
      </c>
      <c r="E567" s="51" t="s">
        <v>26</v>
      </c>
      <c r="F567" s="51" t="s">
        <v>32</v>
      </c>
      <c r="G567" s="52" t="s">
        <v>430</v>
      </c>
      <c r="H567" s="18">
        <v>3152</v>
      </c>
      <c r="I567" s="5">
        <f>IF(tbRegistroSaidas[[#This Row],[DATA DE CAIXA REALIZADO]]="N/A",0,YEAR(tbRegistroSaidas[[#This Row],[DATA DE CAIXA REALIZADO]]))</f>
        <v>2022</v>
      </c>
      <c r="J567" s="5" t="str">
        <f>IF(tbRegistroSaidas[[#This Row],[DATA DE CAIXA REALIZADO]]="N/A","0",UPPER(TEXT(tbRegistroSaidas[[#This Row],[DATA DE CAIXA REALIZADO]],"mmm")))</f>
        <v>FEV</v>
      </c>
      <c r="K567" s="79" t="str">
        <f>IF(tbRegistroSaidas[[#This Row],[DATA DA COMPETÊNCIA]]="N/A","0",UPPER(TEXT(tbRegistroSaidas[[#This Row],[DATA DA COMPETÊNCIA]],"mmm")))</f>
        <v>JAN</v>
      </c>
      <c r="L567" s="79">
        <f>IF(tbRegistroSaidas[[#This Row],[DATA DA COMPETÊNCIA]]="N/A",0,YEAR(tbRegistroSaidas[[#This Row],[DATA DA COMPETÊNCIA]]))</f>
        <v>2022</v>
      </c>
      <c r="M567" s="5" t="str">
        <f>IF(tbRegistroSaidas[[#This Row],[DATA DO CAIXA PREVISTO]]="N/A","0",UPPER(TEXT(tbRegistroSaidas[[#This Row],[DATA DO CAIXA PREVISTO]],"mmm")))</f>
        <v>FEV</v>
      </c>
      <c r="N567" s="5">
        <f>IF(tbRegistroSaidas[[#This Row],[DATA DO CAIXA PREVISTO]]="N/A",0,YEAR(tbRegistroSaidas[[#This Row],[DATA DO CAIXA PREVISTO]]))</f>
        <v>2022</v>
      </c>
    </row>
    <row r="568" spans="1:14" s="5" customFormat="1" ht="14.4" x14ac:dyDescent="0.3">
      <c r="A568" s="38">
        <v>44628.136562500003</v>
      </c>
      <c r="B568" s="49">
        <v>44586</v>
      </c>
      <c r="C568" s="49">
        <v>44628.136562500003</v>
      </c>
      <c r="D568" s="49" t="s">
        <v>61</v>
      </c>
      <c r="E568" s="51" t="s">
        <v>26</v>
      </c>
      <c r="F568" s="51" t="s">
        <v>18</v>
      </c>
      <c r="G568" s="52" t="s">
        <v>431</v>
      </c>
      <c r="H568" s="18">
        <v>2247</v>
      </c>
      <c r="I568" s="5">
        <f>IF(tbRegistroSaidas[[#This Row],[DATA DE CAIXA REALIZADO]]="N/A",0,YEAR(tbRegistroSaidas[[#This Row],[DATA DE CAIXA REALIZADO]]))</f>
        <v>2022</v>
      </c>
      <c r="J568" s="5" t="str">
        <f>IF(tbRegistroSaidas[[#This Row],[DATA DE CAIXA REALIZADO]]="N/A","0",UPPER(TEXT(tbRegistroSaidas[[#This Row],[DATA DE CAIXA REALIZADO]],"mmm")))</f>
        <v>MAR</v>
      </c>
      <c r="K568" s="79" t="str">
        <f>IF(tbRegistroSaidas[[#This Row],[DATA DA COMPETÊNCIA]]="N/A","0",UPPER(TEXT(tbRegistroSaidas[[#This Row],[DATA DA COMPETÊNCIA]],"mmm")))</f>
        <v>JAN</v>
      </c>
      <c r="L568" s="79">
        <f>IF(tbRegistroSaidas[[#This Row],[DATA DA COMPETÊNCIA]]="N/A",0,YEAR(tbRegistroSaidas[[#This Row],[DATA DA COMPETÊNCIA]]))</f>
        <v>2022</v>
      </c>
      <c r="M568" s="5" t="str">
        <f>IF(tbRegistroSaidas[[#This Row],[DATA DO CAIXA PREVISTO]]="N/A","0",UPPER(TEXT(tbRegistroSaidas[[#This Row],[DATA DO CAIXA PREVISTO]],"mmm")))</f>
        <v>MAR</v>
      </c>
      <c r="N568" s="5">
        <f>IF(tbRegistroSaidas[[#This Row],[DATA DO CAIXA PREVISTO]]="N/A",0,YEAR(tbRegistroSaidas[[#This Row],[DATA DO CAIXA PREVISTO]]))</f>
        <v>2022</v>
      </c>
    </row>
    <row r="569" spans="1:14" s="5" customFormat="1" ht="14.4" x14ac:dyDescent="0.3">
      <c r="A569" s="38">
        <v>44641.08021990741</v>
      </c>
      <c r="B569" s="49">
        <v>44588</v>
      </c>
      <c r="C569" s="49">
        <v>44641.08021990741</v>
      </c>
      <c r="D569" s="49" t="s">
        <v>61</v>
      </c>
      <c r="E569" s="51" t="s">
        <v>26</v>
      </c>
      <c r="F569" s="51" t="s">
        <v>17</v>
      </c>
      <c r="G569" s="52" t="s">
        <v>432</v>
      </c>
      <c r="H569" s="18">
        <v>2456</v>
      </c>
      <c r="I569" s="5">
        <f>IF(tbRegistroSaidas[[#This Row],[DATA DE CAIXA REALIZADO]]="N/A",0,YEAR(tbRegistroSaidas[[#This Row],[DATA DE CAIXA REALIZADO]]))</f>
        <v>2022</v>
      </c>
      <c r="J569" s="5" t="str">
        <f>IF(tbRegistroSaidas[[#This Row],[DATA DE CAIXA REALIZADO]]="N/A","0",UPPER(TEXT(tbRegistroSaidas[[#This Row],[DATA DE CAIXA REALIZADO]],"mmm")))</f>
        <v>MAR</v>
      </c>
      <c r="K569" s="79" t="str">
        <f>IF(tbRegistroSaidas[[#This Row],[DATA DA COMPETÊNCIA]]="N/A","0",UPPER(TEXT(tbRegistroSaidas[[#This Row],[DATA DA COMPETÊNCIA]],"mmm")))</f>
        <v>JAN</v>
      </c>
      <c r="L569" s="79">
        <f>IF(tbRegistroSaidas[[#This Row],[DATA DA COMPETÊNCIA]]="N/A",0,YEAR(tbRegistroSaidas[[#This Row],[DATA DA COMPETÊNCIA]]))</f>
        <v>2022</v>
      </c>
      <c r="M569" s="5" t="str">
        <f>IF(tbRegistroSaidas[[#This Row],[DATA DO CAIXA PREVISTO]]="N/A","0",UPPER(TEXT(tbRegistroSaidas[[#This Row],[DATA DO CAIXA PREVISTO]],"mmm")))</f>
        <v>MAR</v>
      </c>
      <c r="N569" s="5">
        <f>IF(tbRegistroSaidas[[#This Row],[DATA DO CAIXA PREVISTO]]="N/A",0,YEAR(tbRegistroSaidas[[#This Row],[DATA DO CAIXA PREVISTO]]))</f>
        <v>2022</v>
      </c>
    </row>
    <row r="570" spans="1:14" s="5" customFormat="1" ht="14.4" x14ac:dyDescent="0.3">
      <c r="A570" s="38">
        <v>44614.557858796295</v>
      </c>
      <c r="B570" s="49">
        <v>44590</v>
      </c>
      <c r="C570" s="49">
        <v>44603.593518518515</v>
      </c>
      <c r="D570" s="49" t="s">
        <v>62</v>
      </c>
      <c r="E570" s="51" t="s">
        <v>26</v>
      </c>
      <c r="F570" s="51" t="s">
        <v>33</v>
      </c>
      <c r="G570" s="52" t="s">
        <v>433</v>
      </c>
      <c r="H570" s="18">
        <v>3801</v>
      </c>
      <c r="I570" s="5">
        <f>IF(tbRegistroSaidas[[#This Row],[DATA DE CAIXA REALIZADO]]="N/A",0,YEAR(tbRegistroSaidas[[#This Row],[DATA DE CAIXA REALIZADO]]))</f>
        <v>2022</v>
      </c>
      <c r="J570" s="5" t="str">
        <f>IF(tbRegistroSaidas[[#This Row],[DATA DE CAIXA REALIZADO]]="N/A","0",UPPER(TEXT(tbRegistroSaidas[[#This Row],[DATA DE CAIXA REALIZADO]],"mmm")))</f>
        <v>FEV</v>
      </c>
      <c r="K570" s="79" t="str">
        <f>IF(tbRegistroSaidas[[#This Row],[DATA DA COMPETÊNCIA]]="N/A","0",UPPER(TEXT(tbRegistroSaidas[[#This Row],[DATA DA COMPETÊNCIA]],"mmm")))</f>
        <v>JAN</v>
      </c>
      <c r="L570" s="79">
        <f>IF(tbRegistroSaidas[[#This Row],[DATA DA COMPETÊNCIA]]="N/A",0,YEAR(tbRegistroSaidas[[#This Row],[DATA DA COMPETÊNCIA]]))</f>
        <v>2022</v>
      </c>
      <c r="M570" s="5" t="str">
        <f>IF(tbRegistroSaidas[[#This Row],[DATA DO CAIXA PREVISTO]]="N/A","0",UPPER(TEXT(tbRegistroSaidas[[#This Row],[DATA DO CAIXA PREVISTO]],"mmm")))</f>
        <v>FEV</v>
      </c>
      <c r="N570" s="5">
        <f>IF(tbRegistroSaidas[[#This Row],[DATA DO CAIXA PREVISTO]]="N/A",0,YEAR(tbRegistroSaidas[[#This Row],[DATA DO CAIXA PREVISTO]]))</f>
        <v>2022</v>
      </c>
    </row>
    <row r="571" spans="1:14" s="5" customFormat="1" ht="14.4" x14ac:dyDescent="0.3">
      <c r="A571" s="38">
        <v>44605.375914351855</v>
      </c>
      <c r="B571" s="49">
        <v>44592</v>
      </c>
      <c r="C571" s="49">
        <v>44605.375914351855</v>
      </c>
      <c r="D571" s="49" t="s">
        <v>64</v>
      </c>
      <c r="E571" s="51" t="s">
        <v>26</v>
      </c>
      <c r="F571" s="51" t="s">
        <v>32</v>
      </c>
      <c r="G571" s="52" t="s">
        <v>434</v>
      </c>
      <c r="H571" s="18">
        <v>3049</v>
      </c>
      <c r="I571" s="5">
        <f>IF(tbRegistroSaidas[[#This Row],[DATA DE CAIXA REALIZADO]]="N/A",0,YEAR(tbRegistroSaidas[[#This Row],[DATA DE CAIXA REALIZADO]]))</f>
        <v>2022</v>
      </c>
      <c r="J571" s="5" t="str">
        <f>IF(tbRegistroSaidas[[#This Row],[DATA DE CAIXA REALIZADO]]="N/A","0",UPPER(TEXT(tbRegistroSaidas[[#This Row],[DATA DE CAIXA REALIZADO]],"mmm")))</f>
        <v>FEV</v>
      </c>
      <c r="K571" s="79" t="str">
        <f>IF(tbRegistroSaidas[[#This Row],[DATA DA COMPETÊNCIA]]="N/A","0",UPPER(TEXT(tbRegistroSaidas[[#This Row],[DATA DA COMPETÊNCIA]],"mmm")))</f>
        <v>JAN</v>
      </c>
      <c r="L571" s="79">
        <f>IF(tbRegistroSaidas[[#This Row],[DATA DA COMPETÊNCIA]]="N/A",0,YEAR(tbRegistroSaidas[[#This Row],[DATA DA COMPETÊNCIA]]))</f>
        <v>2022</v>
      </c>
      <c r="M571" s="5" t="str">
        <f>IF(tbRegistroSaidas[[#This Row],[DATA DO CAIXA PREVISTO]]="N/A","0",UPPER(TEXT(tbRegistroSaidas[[#This Row],[DATA DO CAIXA PREVISTO]],"mmm")))</f>
        <v>FEV</v>
      </c>
      <c r="N571" s="5">
        <f>IF(tbRegistroSaidas[[#This Row],[DATA DO CAIXA PREVISTO]]="N/A",0,YEAR(tbRegistroSaidas[[#This Row],[DATA DO CAIXA PREVISTO]]))</f>
        <v>2022</v>
      </c>
    </row>
    <row r="572" spans="1:14" s="5" customFormat="1" ht="14.4" x14ac:dyDescent="0.3">
      <c r="A572" s="38">
        <v>44649.995162037034</v>
      </c>
      <c r="B572" s="49">
        <v>44596</v>
      </c>
      <c r="C572" s="49">
        <v>44631.130868055552</v>
      </c>
      <c r="D572" s="49" t="s">
        <v>64</v>
      </c>
      <c r="E572" s="51" t="s">
        <v>26</v>
      </c>
      <c r="F572" s="51" t="s">
        <v>16</v>
      </c>
      <c r="G572" s="52" t="s">
        <v>435</v>
      </c>
      <c r="H572" s="18">
        <v>3255</v>
      </c>
      <c r="I572" s="5">
        <f>IF(tbRegistroSaidas[[#This Row],[DATA DE CAIXA REALIZADO]]="N/A",0,YEAR(tbRegistroSaidas[[#This Row],[DATA DE CAIXA REALIZADO]]))</f>
        <v>2022</v>
      </c>
      <c r="J572" s="5" t="str">
        <f>IF(tbRegistroSaidas[[#This Row],[DATA DE CAIXA REALIZADO]]="N/A","0",UPPER(TEXT(tbRegistroSaidas[[#This Row],[DATA DE CAIXA REALIZADO]],"mmm")))</f>
        <v>MAR</v>
      </c>
      <c r="K572" s="79" t="str">
        <f>IF(tbRegistroSaidas[[#This Row],[DATA DA COMPETÊNCIA]]="N/A","0",UPPER(TEXT(tbRegistroSaidas[[#This Row],[DATA DA COMPETÊNCIA]],"mmm")))</f>
        <v>FEV</v>
      </c>
      <c r="L572" s="79">
        <f>IF(tbRegistroSaidas[[#This Row],[DATA DA COMPETÊNCIA]]="N/A",0,YEAR(tbRegistroSaidas[[#This Row],[DATA DA COMPETÊNCIA]]))</f>
        <v>2022</v>
      </c>
      <c r="M572" s="5" t="str">
        <f>IF(tbRegistroSaidas[[#This Row],[DATA DO CAIXA PREVISTO]]="N/A","0",UPPER(TEXT(tbRegistroSaidas[[#This Row],[DATA DO CAIXA PREVISTO]],"mmm")))</f>
        <v>MAR</v>
      </c>
      <c r="N572" s="5">
        <f>IF(tbRegistroSaidas[[#This Row],[DATA DO CAIXA PREVISTO]]="N/A",0,YEAR(tbRegistroSaidas[[#This Row],[DATA DO CAIXA PREVISTO]]))</f>
        <v>2022</v>
      </c>
    </row>
    <row r="573" spans="1:14" s="5" customFormat="1" ht="14.4" x14ac:dyDescent="0.3">
      <c r="A573" s="38">
        <v>44640.613668981481</v>
      </c>
      <c r="B573" s="49">
        <v>44597</v>
      </c>
      <c r="C573" s="49">
        <v>44637.207696759258</v>
      </c>
      <c r="D573" s="49" t="s">
        <v>65</v>
      </c>
      <c r="E573" s="51" t="s">
        <v>26</v>
      </c>
      <c r="F573" s="51" t="s">
        <v>33</v>
      </c>
      <c r="G573" s="52" t="s">
        <v>436</v>
      </c>
      <c r="H573" s="18">
        <v>2074</v>
      </c>
      <c r="I573" s="5">
        <f>IF(tbRegistroSaidas[[#This Row],[DATA DE CAIXA REALIZADO]]="N/A",0,YEAR(tbRegistroSaidas[[#This Row],[DATA DE CAIXA REALIZADO]]))</f>
        <v>2022</v>
      </c>
      <c r="J573" s="5" t="str">
        <f>IF(tbRegistroSaidas[[#This Row],[DATA DE CAIXA REALIZADO]]="N/A","0",UPPER(TEXT(tbRegistroSaidas[[#This Row],[DATA DE CAIXA REALIZADO]],"mmm")))</f>
        <v>MAR</v>
      </c>
      <c r="K573" s="79" t="str">
        <f>IF(tbRegistroSaidas[[#This Row],[DATA DA COMPETÊNCIA]]="N/A","0",UPPER(TEXT(tbRegistroSaidas[[#This Row],[DATA DA COMPETÊNCIA]],"mmm")))</f>
        <v>FEV</v>
      </c>
      <c r="L573" s="79">
        <f>IF(tbRegistroSaidas[[#This Row],[DATA DA COMPETÊNCIA]]="N/A",0,YEAR(tbRegistroSaidas[[#This Row],[DATA DA COMPETÊNCIA]]))</f>
        <v>2022</v>
      </c>
      <c r="M573" s="5" t="str">
        <f>IF(tbRegistroSaidas[[#This Row],[DATA DO CAIXA PREVISTO]]="N/A","0",UPPER(TEXT(tbRegistroSaidas[[#This Row],[DATA DO CAIXA PREVISTO]],"mmm")))</f>
        <v>MAR</v>
      </c>
      <c r="N573" s="5">
        <f>IF(tbRegistroSaidas[[#This Row],[DATA DO CAIXA PREVISTO]]="N/A",0,YEAR(tbRegistroSaidas[[#This Row],[DATA DO CAIXA PREVISTO]]))</f>
        <v>2022</v>
      </c>
    </row>
    <row r="574" spans="1:14" s="5" customFormat="1" ht="14.4" x14ac:dyDescent="0.3">
      <c r="A574" s="38">
        <v>44636.293622685182</v>
      </c>
      <c r="B574" s="49">
        <v>44598</v>
      </c>
      <c r="C574" s="49">
        <v>44636.293622685182</v>
      </c>
      <c r="D574" s="49" t="s">
        <v>63</v>
      </c>
      <c r="E574" s="51" t="s">
        <v>26</v>
      </c>
      <c r="F574" s="51" t="s">
        <v>33</v>
      </c>
      <c r="G574" s="52" t="s">
        <v>437</v>
      </c>
      <c r="H574" s="18">
        <v>3606</v>
      </c>
      <c r="I574" s="5">
        <f>IF(tbRegistroSaidas[[#This Row],[DATA DE CAIXA REALIZADO]]="N/A",0,YEAR(tbRegistroSaidas[[#This Row],[DATA DE CAIXA REALIZADO]]))</f>
        <v>2022</v>
      </c>
      <c r="J574" s="5" t="str">
        <f>IF(tbRegistroSaidas[[#This Row],[DATA DE CAIXA REALIZADO]]="N/A","0",UPPER(TEXT(tbRegistroSaidas[[#This Row],[DATA DE CAIXA REALIZADO]],"mmm")))</f>
        <v>MAR</v>
      </c>
      <c r="K574" s="79" t="str">
        <f>IF(tbRegistroSaidas[[#This Row],[DATA DA COMPETÊNCIA]]="N/A","0",UPPER(TEXT(tbRegistroSaidas[[#This Row],[DATA DA COMPETÊNCIA]],"mmm")))</f>
        <v>FEV</v>
      </c>
      <c r="L574" s="79">
        <f>IF(tbRegistroSaidas[[#This Row],[DATA DA COMPETÊNCIA]]="N/A",0,YEAR(tbRegistroSaidas[[#This Row],[DATA DA COMPETÊNCIA]]))</f>
        <v>2022</v>
      </c>
      <c r="M574" s="5" t="str">
        <f>IF(tbRegistroSaidas[[#This Row],[DATA DO CAIXA PREVISTO]]="N/A","0",UPPER(TEXT(tbRegistroSaidas[[#This Row],[DATA DO CAIXA PREVISTO]],"mmm")))</f>
        <v>MAR</v>
      </c>
      <c r="N574" s="5">
        <f>IF(tbRegistroSaidas[[#This Row],[DATA DO CAIXA PREVISTO]]="N/A",0,YEAR(tbRegistroSaidas[[#This Row],[DATA DO CAIXA PREVISTO]]))</f>
        <v>2022</v>
      </c>
    </row>
    <row r="575" spans="1:14" s="5" customFormat="1" ht="14.4" x14ac:dyDescent="0.3">
      <c r="A575" s="38">
        <v>44638.329780092594</v>
      </c>
      <c r="B575" s="49">
        <v>44599</v>
      </c>
      <c r="C575" s="49">
        <v>44638.329780092594</v>
      </c>
      <c r="D575" s="49" t="s">
        <v>61</v>
      </c>
      <c r="E575" s="51" t="s">
        <v>26</v>
      </c>
      <c r="F575" s="51" t="s">
        <v>17</v>
      </c>
      <c r="G575" s="52" t="s">
        <v>438</v>
      </c>
      <c r="H575" s="18">
        <v>4867</v>
      </c>
      <c r="I575" s="5">
        <f>IF(tbRegistroSaidas[[#This Row],[DATA DE CAIXA REALIZADO]]="N/A",0,YEAR(tbRegistroSaidas[[#This Row],[DATA DE CAIXA REALIZADO]]))</f>
        <v>2022</v>
      </c>
      <c r="J575" s="5" t="str">
        <f>IF(tbRegistroSaidas[[#This Row],[DATA DE CAIXA REALIZADO]]="N/A","0",UPPER(TEXT(tbRegistroSaidas[[#This Row],[DATA DE CAIXA REALIZADO]],"mmm")))</f>
        <v>MAR</v>
      </c>
      <c r="K575" s="79" t="str">
        <f>IF(tbRegistroSaidas[[#This Row],[DATA DA COMPETÊNCIA]]="N/A","0",UPPER(TEXT(tbRegistroSaidas[[#This Row],[DATA DA COMPETÊNCIA]],"mmm")))</f>
        <v>FEV</v>
      </c>
      <c r="L575" s="79">
        <f>IF(tbRegistroSaidas[[#This Row],[DATA DA COMPETÊNCIA]]="N/A",0,YEAR(tbRegistroSaidas[[#This Row],[DATA DA COMPETÊNCIA]]))</f>
        <v>2022</v>
      </c>
      <c r="M575" s="5" t="str">
        <f>IF(tbRegistroSaidas[[#This Row],[DATA DO CAIXA PREVISTO]]="N/A","0",UPPER(TEXT(tbRegistroSaidas[[#This Row],[DATA DO CAIXA PREVISTO]],"mmm")))</f>
        <v>MAR</v>
      </c>
      <c r="N575" s="5">
        <f>IF(tbRegistroSaidas[[#This Row],[DATA DO CAIXA PREVISTO]]="N/A",0,YEAR(tbRegistroSaidas[[#This Row],[DATA DO CAIXA PREVISTO]]))</f>
        <v>2022</v>
      </c>
    </row>
    <row r="576" spans="1:14" s="5" customFormat="1" ht="14.4" x14ac:dyDescent="0.3">
      <c r="A576" s="38">
        <v>44636.004803240743</v>
      </c>
      <c r="B576" s="49">
        <v>44601</v>
      </c>
      <c r="C576" s="49">
        <v>44636.004803240743</v>
      </c>
      <c r="D576" s="49" t="s">
        <v>61</v>
      </c>
      <c r="E576" s="51" t="s">
        <v>26</v>
      </c>
      <c r="F576" s="51" t="s">
        <v>18</v>
      </c>
      <c r="G576" s="52" t="s">
        <v>439</v>
      </c>
      <c r="H576" s="18">
        <v>702</v>
      </c>
      <c r="I576" s="5">
        <f>IF(tbRegistroSaidas[[#This Row],[DATA DE CAIXA REALIZADO]]="N/A",0,YEAR(tbRegistroSaidas[[#This Row],[DATA DE CAIXA REALIZADO]]))</f>
        <v>2022</v>
      </c>
      <c r="J576" s="5" t="str">
        <f>IF(tbRegistroSaidas[[#This Row],[DATA DE CAIXA REALIZADO]]="N/A","0",UPPER(TEXT(tbRegistroSaidas[[#This Row],[DATA DE CAIXA REALIZADO]],"mmm")))</f>
        <v>MAR</v>
      </c>
      <c r="K576" s="79" t="str">
        <f>IF(tbRegistroSaidas[[#This Row],[DATA DA COMPETÊNCIA]]="N/A","0",UPPER(TEXT(tbRegistroSaidas[[#This Row],[DATA DA COMPETÊNCIA]],"mmm")))</f>
        <v>FEV</v>
      </c>
      <c r="L576" s="79">
        <f>IF(tbRegistroSaidas[[#This Row],[DATA DA COMPETÊNCIA]]="N/A",0,YEAR(tbRegistroSaidas[[#This Row],[DATA DA COMPETÊNCIA]]))</f>
        <v>2022</v>
      </c>
      <c r="M576" s="5" t="str">
        <f>IF(tbRegistroSaidas[[#This Row],[DATA DO CAIXA PREVISTO]]="N/A","0",UPPER(TEXT(tbRegistroSaidas[[#This Row],[DATA DO CAIXA PREVISTO]],"mmm")))</f>
        <v>MAR</v>
      </c>
      <c r="N576" s="5">
        <f>IF(tbRegistroSaidas[[#This Row],[DATA DO CAIXA PREVISTO]]="N/A",0,YEAR(tbRegistroSaidas[[#This Row],[DATA DO CAIXA PREVISTO]]))</f>
        <v>2022</v>
      </c>
    </row>
    <row r="577" spans="1:14" s="5" customFormat="1" ht="14.4" x14ac:dyDescent="0.3">
      <c r="A577" s="38">
        <v>44699.007349537038</v>
      </c>
      <c r="B577" s="49">
        <v>44606</v>
      </c>
      <c r="C577" s="49">
        <v>44611.45648148148</v>
      </c>
      <c r="D577" s="49" t="s">
        <v>65</v>
      </c>
      <c r="E577" s="51" t="s">
        <v>26</v>
      </c>
      <c r="F577" s="51" t="s">
        <v>18</v>
      </c>
      <c r="G577" s="52" t="s">
        <v>440</v>
      </c>
      <c r="H577" s="18">
        <v>2801</v>
      </c>
      <c r="I577" s="5">
        <f>IF(tbRegistroSaidas[[#This Row],[DATA DE CAIXA REALIZADO]]="N/A",0,YEAR(tbRegistroSaidas[[#This Row],[DATA DE CAIXA REALIZADO]]))</f>
        <v>2022</v>
      </c>
      <c r="J577" s="5" t="str">
        <f>IF(tbRegistroSaidas[[#This Row],[DATA DE CAIXA REALIZADO]]="N/A","0",UPPER(TEXT(tbRegistroSaidas[[#This Row],[DATA DE CAIXA REALIZADO]],"mmm")))</f>
        <v>MAI</v>
      </c>
      <c r="K577" s="79" t="str">
        <f>IF(tbRegistroSaidas[[#This Row],[DATA DA COMPETÊNCIA]]="N/A","0",UPPER(TEXT(tbRegistroSaidas[[#This Row],[DATA DA COMPETÊNCIA]],"mmm")))</f>
        <v>FEV</v>
      </c>
      <c r="L577" s="79">
        <f>IF(tbRegistroSaidas[[#This Row],[DATA DA COMPETÊNCIA]]="N/A",0,YEAR(tbRegistroSaidas[[#This Row],[DATA DA COMPETÊNCIA]]))</f>
        <v>2022</v>
      </c>
      <c r="M577" s="5" t="str">
        <f>IF(tbRegistroSaidas[[#This Row],[DATA DO CAIXA PREVISTO]]="N/A","0",UPPER(TEXT(tbRegistroSaidas[[#This Row],[DATA DO CAIXA PREVISTO]],"mmm")))</f>
        <v>FEV</v>
      </c>
      <c r="N577" s="5">
        <f>IF(tbRegistroSaidas[[#This Row],[DATA DO CAIXA PREVISTO]]="N/A",0,YEAR(tbRegistroSaidas[[#This Row],[DATA DO CAIXA PREVISTO]]))</f>
        <v>2022</v>
      </c>
    </row>
    <row r="578" spans="1:14" s="5" customFormat="1" ht="14.4" x14ac:dyDescent="0.3">
      <c r="A578" s="38" t="s">
        <v>141</v>
      </c>
      <c r="B578" s="49">
        <v>44607</v>
      </c>
      <c r="C578" s="49">
        <v>44630.778344907405</v>
      </c>
      <c r="D578" s="49" t="s">
        <v>65</v>
      </c>
      <c r="E578" s="51" t="s">
        <v>26</v>
      </c>
      <c r="F578" s="51" t="s">
        <v>33</v>
      </c>
      <c r="G578" s="52" t="s">
        <v>441</v>
      </c>
      <c r="H578" s="18">
        <v>4438</v>
      </c>
      <c r="I578" s="5">
        <f>IF(tbRegistroSaidas[[#This Row],[DATA DE CAIXA REALIZADO]]="N/A",0,YEAR(tbRegistroSaidas[[#This Row],[DATA DE CAIXA REALIZADO]]))</f>
        <v>0</v>
      </c>
      <c r="J578" s="5" t="str">
        <f>IF(tbRegistroSaidas[[#This Row],[DATA DE CAIXA REALIZADO]]="N/A","0",UPPER(TEXT(tbRegistroSaidas[[#This Row],[DATA DE CAIXA REALIZADO]],"mmm")))</f>
        <v>0</v>
      </c>
      <c r="K578" s="79" t="str">
        <f>IF(tbRegistroSaidas[[#This Row],[DATA DA COMPETÊNCIA]]="N/A","0",UPPER(TEXT(tbRegistroSaidas[[#This Row],[DATA DA COMPETÊNCIA]],"mmm")))</f>
        <v>FEV</v>
      </c>
      <c r="L578" s="79">
        <f>IF(tbRegistroSaidas[[#This Row],[DATA DA COMPETÊNCIA]]="N/A",0,YEAR(tbRegistroSaidas[[#This Row],[DATA DA COMPETÊNCIA]]))</f>
        <v>2022</v>
      </c>
      <c r="M578" s="5" t="str">
        <f>IF(tbRegistroSaidas[[#This Row],[DATA DO CAIXA PREVISTO]]="N/A","0",UPPER(TEXT(tbRegistroSaidas[[#This Row],[DATA DO CAIXA PREVISTO]],"mmm")))</f>
        <v>MAR</v>
      </c>
      <c r="N578" s="5">
        <f>IF(tbRegistroSaidas[[#This Row],[DATA DO CAIXA PREVISTO]]="N/A",0,YEAR(tbRegistroSaidas[[#This Row],[DATA DO CAIXA PREVISTO]]))</f>
        <v>2022</v>
      </c>
    </row>
    <row r="579" spans="1:14" s="5" customFormat="1" ht="14.4" x14ac:dyDescent="0.3">
      <c r="A579" s="38">
        <v>44659.215138888889</v>
      </c>
      <c r="B579" s="49">
        <v>44612</v>
      </c>
      <c r="C579" s="49">
        <v>44659.215138888889</v>
      </c>
      <c r="D579" s="49" t="s">
        <v>62</v>
      </c>
      <c r="E579" s="51" t="s">
        <v>26</v>
      </c>
      <c r="F579" s="51" t="s">
        <v>17</v>
      </c>
      <c r="G579" s="52" t="s">
        <v>442</v>
      </c>
      <c r="H579" s="18">
        <v>3835</v>
      </c>
      <c r="I579" s="5">
        <f>IF(tbRegistroSaidas[[#This Row],[DATA DE CAIXA REALIZADO]]="N/A",0,YEAR(tbRegistroSaidas[[#This Row],[DATA DE CAIXA REALIZADO]]))</f>
        <v>2022</v>
      </c>
      <c r="J579" s="5" t="str">
        <f>IF(tbRegistroSaidas[[#This Row],[DATA DE CAIXA REALIZADO]]="N/A","0",UPPER(TEXT(tbRegistroSaidas[[#This Row],[DATA DE CAIXA REALIZADO]],"mmm")))</f>
        <v>ABR</v>
      </c>
      <c r="K579" s="79" t="str">
        <f>IF(tbRegistroSaidas[[#This Row],[DATA DA COMPETÊNCIA]]="N/A","0",UPPER(TEXT(tbRegistroSaidas[[#This Row],[DATA DA COMPETÊNCIA]],"mmm")))</f>
        <v>FEV</v>
      </c>
      <c r="L579" s="79">
        <f>IF(tbRegistroSaidas[[#This Row],[DATA DA COMPETÊNCIA]]="N/A",0,YEAR(tbRegistroSaidas[[#This Row],[DATA DA COMPETÊNCIA]]))</f>
        <v>2022</v>
      </c>
      <c r="M579" s="5" t="str">
        <f>IF(tbRegistroSaidas[[#This Row],[DATA DO CAIXA PREVISTO]]="N/A","0",UPPER(TEXT(tbRegistroSaidas[[#This Row],[DATA DO CAIXA PREVISTO]],"mmm")))</f>
        <v>ABR</v>
      </c>
      <c r="N579" s="5">
        <f>IF(tbRegistroSaidas[[#This Row],[DATA DO CAIXA PREVISTO]]="N/A",0,YEAR(tbRegistroSaidas[[#This Row],[DATA DO CAIXA PREVISTO]]))</f>
        <v>2022</v>
      </c>
    </row>
    <row r="580" spans="1:14" s="5" customFormat="1" ht="14.4" x14ac:dyDescent="0.3">
      <c r="A580" s="38">
        <v>44660.384375000001</v>
      </c>
      <c r="B580" s="49">
        <v>44621</v>
      </c>
      <c r="C580" s="49">
        <v>44660.384375000001</v>
      </c>
      <c r="D580" s="49" t="s">
        <v>61</v>
      </c>
      <c r="E580" s="51" t="s">
        <v>26</v>
      </c>
      <c r="F580" s="51" t="s">
        <v>33</v>
      </c>
      <c r="G580" s="52" t="s">
        <v>443</v>
      </c>
      <c r="H580" s="18">
        <v>3893</v>
      </c>
      <c r="I580" s="5">
        <f>IF(tbRegistroSaidas[[#This Row],[DATA DE CAIXA REALIZADO]]="N/A",0,YEAR(tbRegistroSaidas[[#This Row],[DATA DE CAIXA REALIZADO]]))</f>
        <v>2022</v>
      </c>
      <c r="J580" s="5" t="str">
        <f>IF(tbRegistroSaidas[[#This Row],[DATA DE CAIXA REALIZADO]]="N/A","0",UPPER(TEXT(tbRegistroSaidas[[#This Row],[DATA DE CAIXA REALIZADO]],"mmm")))</f>
        <v>ABR</v>
      </c>
      <c r="K580" s="79" t="str">
        <f>IF(tbRegistroSaidas[[#This Row],[DATA DA COMPETÊNCIA]]="N/A","0",UPPER(TEXT(tbRegistroSaidas[[#This Row],[DATA DA COMPETÊNCIA]],"mmm")))</f>
        <v>MAR</v>
      </c>
      <c r="L580" s="79">
        <f>IF(tbRegistroSaidas[[#This Row],[DATA DA COMPETÊNCIA]]="N/A",0,YEAR(tbRegistroSaidas[[#This Row],[DATA DA COMPETÊNCIA]]))</f>
        <v>2022</v>
      </c>
      <c r="M580" s="5" t="str">
        <f>IF(tbRegistroSaidas[[#This Row],[DATA DO CAIXA PREVISTO]]="N/A","0",UPPER(TEXT(tbRegistroSaidas[[#This Row],[DATA DO CAIXA PREVISTO]],"mmm")))</f>
        <v>ABR</v>
      </c>
      <c r="N580" s="5">
        <f>IF(tbRegistroSaidas[[#This Row],[DATA DO CAIXA PREVISTO]]="N/A",0,YEAR(tbRegistroSaidas[[#This Row],[DATA DO CAIXA PREVISTO]]))</f>
        <v>2022</v>
      </c>
    </row>
    <row r="581" spans="1:14" s="5" customFormat="1" ht="14.4" x14ac:dyDescent="0.3">
      <c r="A581" s="38">
        <v>44645.353159722225</v>
      </c>
      <c r="B581" s="49">
        <v>44624</v>
      </c>
      <c r="C581" s="49">
        <v>44645.353159722225</v>
      </c>
      <c r="D581" s="49" t="s">
        <v>61</v>
      </c>
      <c r="E581" s="51" t="s">
        <v>26</v>
      </c>
      <c r="F581" s="51" t="s">
        <v>33</v>
      </c>
      <c r="G581" s="52" t="s">
        <v>306</v>
      </c>
      <c r="H581" s="18">
        <v>1970</v>
      </c>
      <c r="I581" s="5">
        <f>IF(tbRegistroSaidas[[#This Row],[DATA DE CAIXA REALIZADO]]="N/A",0,YEAR(tbRegistroSaidas[[#This Row],[DATA DE CAIXA REALIZADO]]))</f>
        <v>2022</v>
      </c>
      <c r="J581" s="5" t="str">
        <f>IF(tbRegistroSaidas[[#This Row],[DATA DE CAIXA REALIZADO]]="N/A","0",UPPER(TEXT(tbRegistroSaidas[[#This Row],[DATA DE CAIXA REALIZADO]],"mmm")))</f>
        <v>MAR</v>
      </c>
      <c r="K581" s="79" t="str">
        <f>IF(tbRegistroSaidas[[#This Row],[DATA DA COMPETÊNCIA]]="N/A","0",UPPER(TEXT(tbRegistroSaidas[[#This Row],[DATA DA COMPETÊNCIA]],"mmm")))</f>
        <v>MAR</v>
      </c>
      <c r="L581" s="79">
        <f>IF(tbRegistroSaidas[[#This Row],[DATA DA COMPETÊNCIA]]="N/A",0,YEAR(tbRegistroSaidas[[#This Row],[DATA DA COMPETÊNCIA]]))</f>
        <v>2022</v>
      </c>
      <c r="M581" s="5" t="str">
        <f>IF(tbRegistroSaidas[[#This Row],[DATA DO CAIXA PREVISTO]]="N/A","0",UPPER(TEXT(tbRegistroSaidas[[#This Row],[DATA DO CAIXA PREVISTO]],"mmm")))</f>
        <v>MAR</v>
      </c>
      <c r="N581" s="5">
        <f>IF(tbRegistroSaidas[[#This Row],[DATA DO CAIXA PREVISTO]]="N/A",0,YEAR(tbRegistroSaidas[[#This Row],[DATA DO CAIXA PREVISTO]]))</f>
        <v>2022</v>
      </c>
    </row>
    <row r="582" spans="1:14" s="5" customFormat="1" ht="14.4" x14ac:dyDescent="0.3">
      <c r="A582" s="38">
        <v>44680.347141203703</v>
      </c>
      <c r="B582" s="49">
        <v>44625</v>
      </c>
      <c r="C582" s="49">
        <v>44680.347141203703</v>
      </c>
      <c r="D582" s="49" t="s">
        <v>63</v>
      </c>
      <c r="E582" s="51" t="s">
        <v>26</v>
      </c>
      <c r="F582" s="51" t="s">
        <v>18</v>
      </c>
      <c r="G582" s="52" t="s">
        <v>444</v>
      </c>
      <c r="H582" s="18">
        <v>729</v>
      </c>
      <c r="I582" s="5">
        <f>IF(tbRegistroSaidas[[#This Row],[DATA DE CAIXA REALIZADO]]="N/A",0,YEAR(tbRegistroSaidas[[#This Row],[DATA DE CAIXA REALIZADO]]))</f>
        <v>2022</v>
      </c>
      <c r="J582" s="5" t="str">
        <f>IF(tbRegistroSaidas[[#This Row],[DATA DE CAIXA REALIZADO]]="N/A","0",UPPER(TEXT(tbRegistroSaidas[[#This Row],[DATA DE CAIXA REALIZADO]],"mmm")))</f>
        <v>ABR</v>
      </c>
      <c r="K582" s="79" t="str">
        <f>IF(tbRegistroSaidas[[#This Row],[DATA DA COMPETÊNCIA]]="N/A","0",UPPER(TEXT(tbRegistroSaidas[[#This Row],[DATA DA COMPETÊNCIA]],"mmm")))</f>
        <v>MAR</v>
      </c>
      <c r="L582" s="79">
        <f>IF(tbRegistroSaidas[[#This Row],[DATA DA COMPETÊNCIA]]="N/A",0,YEAR(tbRegistroSaidas[[#This Row],[DATA DA COMPETÊNCIA]]))</f>
        <v>2022</v>
      </c>
      <c r="M582" s="5" t="str">
        <f>IF(tbRegistroSaidas[[#This Row],[DATA DO CAIXA PREVISTO]]="N/A","0",UPPER(TEXT(tbRegistroSaidas[[#This Row],[DATA DO CAIXA PREVISTO]],"mmm")))</f>
        <v>ABR</v>
      </c>
      <c r="N582" s="5">
        <f>IF(tbRegistroSaidas[[#This Row],[DATA DO CAIXA PREVISTO]]="N/A",0,YEAR(tbRegistroSaidas[[#This Row],[DATA DO CAIXA PREVISTO]]))</f>
        <v>2022</v>
      </c>
    </row>
    <row r="583" spans="1:14" s="5" customFormat="1" ht="14.4" x14ac:dyDescent="0.3">
      <c r="A583" s="38">
        <v>44649.959988425922</v>
      </c>
      <c r="B583" s="49">
        <v>44627</v>
      </c>
      <c r="C583" s="49">
        <v>44649.959988425922</v>
      </c>
      <c r="D583" s="49" t="s">
        <v>66</v>
      </c>
      <c r="E583" s="51" t="s">
        <v>26</v>
      </c>
      <c r="F583" s="51" t="s">
        <v>17</v>
      </c>
      <c r="G583" s="52" t="s">
        <v>445</v>
      </c>
      <c r="H583" s="18">
        <v>474</v>
      </c>
      <c r="I583" s="5">
        <f>IF(tbRegistroSaidas[[#This Row],[DATA DE CAIXA REALIZADO]]="N/A",0,YEAR(tbRegistroSaidas[[#This Row],[DATA DE CAIXA REALIZADO]]))</f>
        <v>2022</v>
      </c>
      <c r="J583" s="5" t="str">
        <f>IF(tbRegistroSaidas[[#This Row],[DATA DE CAIXA REALIZADO]]="N/A","0",UPPER(TEXT(tbRegistroSaidas[[#This Row],[DATA DE CAIXA REALIZADO]],"mmm")))</f>
        <v>MAR</v>
      </c>
      <c r="K583" s="79" t="str">
        <f>IF(tbRegistroSaidas[[#This Row],[DATA DA COMPETÊNCIA]]="N/A","0",UPPER(TEXT(tbRegistroSaidas[[#This Row],[DATA DA COMPETÊNCIA]],"mmm")))</f>
        <v>MAR</v>
      </c>
      <c r="L583" s="79">
        <f>IF(tbRegistroSaidas[[#This Row],[DATA DA COMPETÊNCIA]]="N/A",0,YEAR(tbRegistroSaidas[[#This Row],[DATA DA COMPETÊNCIA]]))</f>
        <v>2022</v>
      </c>
      <c r="M583" s="5" t="str">
        <f>IF(tbRegistroSaidas[[#This Row],[DATA DO CAIXA PREVISTO]]="N/A","0",UPPER(TEXT(tbRegistroSaidas[[#This Row],[DATA DO CAIXA PREVISTO]],"mmm")))</f>
        <v>MAR</v>
      </c>
      <c r="N583" s="5">
        <f>IF(tbRegistroSaidas[[#This Row],[DATA DO CAIXA PREVISTO]]="N/A",0,YEAR(tbRegistroSaidas[[#This Row],[DATA DO CAIXA PREVISTO]]))</f>
        <v>2022</v>
      </c>
    </row>
    <row r="584" spans="1:14" s="5" customFormat="1" ht="14.4" x14ac:dyDescent="0.3">
      <c r="A584" s="38">
        <v>44658.842719907407</v>
      </c>
      <c r="B584" s="49">
        <v>44629</v>
      </c>
      <c r="C584" s="49">
        <v>44658.842719907407</v>
      </c>
      <c r="D584" s="49" t="s">
        <v>66</v>
      </c>
      <c r="E584" s="51" t="s">
        <v>26</v>
      </c>
      <c r="F584" s="51" t="s">
        <v>18</v>
      </c>
      <c r="G584" s="52" t="s">
        <v>446</v>
      </c>
      <c r="H584" s="18">
        <v>3164</v>
      </c>
      <c r="I584" s="5">
        <f>IF(tbRegistroSaidas[[#This Row],[DATA DE CAIXA REALIZADO]]="N/A",0,YEAR(tbRegistroSaidas[[#This Row],[DATA DE CAIXA REALIZADO]]))</f>
        <v>2022</v>
      </c>
      <c r="J584" s="5" t="str">
        <f>IF(tbRegistroSaidas[[#This Row],[DATA DE CAIXA REALIZADO]]="N/A","0",UPPER(TEXT(tbRegistroSaidas[[#This Row],[DATA DE CAIXA REALIZADO]],"mmm")))</f>
        <v>ABR</v>
      </c>
      <c r="K584" s="79" t="str">
        <f>IF(tbRegistroSaidas[[#This Row],[DATA DA COMPETÊNCIA]]="N/A","0",UPPER(TEXT(tbRegistroSaidas[[#This Row],[DATA DA COMPETÊNCIA]],"mmm")))</f>
        <v>MAR</v>
      </c>
      <c r="L584" s="79">
        <f>IF(tbRegistroSaidas[[#This Row],[DATA DA COMPETÊNCIA]]="N/A",0,YEAR(tbRegistroSaidas[[#This Row],[DATA DA COMPETÊNCIA]]))</f>
        <v>2022</v>
      </c>
      <c r="M584" s="5" t="str">
        <f>IF(tbRegistroSaidas[[#This Row],[DATA DO CAIXA PREVISTO]]="N/A","0",UPPER(TEXT(tbRegistroSaidas[[#This Row],[DATA DO CAIXA PREVISTO]],"mmm")))</f>
        <v>ABR</v>
      </c>
      <c r="N584" s="5">
        <f>IF(tbRegistroSaidas[[#This Row],[DATA DO CAIXA PREVISTO]]="N/A",0,YEAR(tbRegistroSaidas[[#This Row],[DATA DO CAIXA PREVISTO]]))</f>
        <v>2022</v>
      </c>
    </row>
    <row r="585" spans="1:14" s="5" customFormat="1" ht="14.4" x14ac:dyDescent="0.3">
      <c r="A585" s="38">
        <v>44689.71738425926</v>
      </c>
      <c r="B585" s="49">
        <v>44634</v>
      </c>
      <c r="C585" s="49">
        <v>44689.71738425926</v>
      </c>
      <c r="D585" s="49" t="s">
        <v>62</v>
      </c>
      <c r="E585" s="51" t="s">
        <v>26</v>
      </c>
      <c r="F585" s="51" t="s">
        <v>33</v>
      </c>
      <c r="G585" s="52" t="s">
        <v>447</v>
      </c>
      <c r="H585" s="18">
        <v>3113</v>
      </c>
      <c r="I585" s="5">
        <f>IF(tbRegistroSaidas[[#This Row],[DATA DE CAIXA REALIZADO]]="N/A",0,YEAR(tbRegistroSaidas[[#This Row],[DATA DE CAIXA REALIZADO]]))</f>
        <v>2022</v>
      </c>
      <c r="J585" s="5" t="str">
        <f>IF(tbRegistroSaidas[[#This Row],[DATA DE CAIXA REALIZADO]]="N/A","0",UPPER(TEXT(tbRegistroSaidas[[#This Row],[DATA DE CAIXA REALIZADO]],"mmm")))</f>
        <v>MAI</v>
      </c>
      <c r="K585" s="79" t="str">
        <f>IF(tbRegistroSaidas[[#This Row],[DATA DA COMPETÊNCIA]]="N/A","0",UPPER(TEXT(tbRegistroSaidas[[#This Row],[DATA DA COMPETÊNCIA]],"mmm")))</f>
        <v>MAR</v>
      </c>
      <c r="L585" s="79">
        <f>IF(tbRegistroSaidas[[#This Row],[DATA DA COMPETÊNCIA]]="N/A",0,YEAR(tbRegistroSaidas[[#This Row],[DATA DA COMPETÊNCIA]]))</f>
        <v>2022</v>
      </c>
      <c r="M585" s="5" t="str">
        <f>IF(tbRegistroSaidas[[#This Row],[DATA DO CAIXA PREVISTO]]="N/A","0",UPPER(TEXT(tbRegistroSaidas[[#This Row],[DATA DO CAIXA PREVISTO]],"mmm")))</f>
        <v>MAI</v>
      </c>
      <c r="N585" s="5">
        <f>IF(tbRegistroSaidas[[#This Row],[DATA DO CAIXA PREVISTO]]="N/A",0,YEAR(tbRegistroSaidas[[#This Row],[DATA DO CAIXA PREVISTO]]))</f>
        <v>2022</v>
      </c>
    </row>
    <row r="586" spans="1:14" s="5" customFormat="1" ht="14.4" x14ac:dyDescent="0.3">
      <c r="A586" s="38">
        <v>44749.26903935185</v>
      </c>
      <c r="B586" s="49">
        <v>44637</v>
      </c>
      <c r="C586" s="49">
        <v>44662.57130787037</v>
      </c>
      <c r="D586" s="49" t="s">
        <v>137</v>
      </c>
      <c r="E586" s="51" t="s">
        <v>26</v>
      </c>
      <c r="F586" s="51" t="s">
        <v>16</v>
      </c>
      <c r="G586" s="52" t="s">
        <v>448</v>
      </c>
      <c r="H586" s="18">
        <v>789</v>
      </c>
      <c r="I586" s="5">
        <f>IF(tbRegistroSaidas[[#This Row],[DATA DE CAIXA REALIZADO]]="N/A",0,YEAR(tbRegistroSaidas[[#This Row],[DATA DE CAIXA REALIZADO]]))</f>
        <v>2022</v>
      </c>
      <c r="J586" s="5" t="str">
        <f>IF(tbRegistroSaidas[[#This Row],[DATA DE CAIXA REALIZADO]]="N/A","0",UPPER(TEXT(tbRegistroSaidas[[#This Row],[DATA DE CAIXA REALIZADO]],"mmm")))</f>
        <v>JUL</v>
      </c>
      <c r="K586" s="79" t="str">
        <f>IF(tbRegistroSaidas[[#This Row],[DATA DA COMPETÊNCIA]]="N/A","0",UPPER(TEXT(tbRegistroSaidas[[#This Row],[DATA DA COMPETÊNCIA]],"mmm")))</f>
        <v>MAR</v>
      </c>
      <c r="L586" s="79">
        <f>IF(tbRegistroSaidas[[#This Row],[DATA DA COMPETÊNCIA]]="N/A",0,YEAR(tbRegistroSaidas[[#This Row],[DATA DA COMPETÊNCIA]]))</f>
        <v>2022</v>
      </c>
      <c r="M586" s="5" t="str">
        <f>IF(tbRegistroSaidas[[#This Row],[DATA DO CAIXA PREVISTO]]="N/A","0",UPPER(TEXT(tbRegistroSaidas[[#This Row],[DATA DO CAIXA PREVISTO]],"mmm")))</f>
        <v>ABR</v>
      </c>
      <c r="N586" s="5">
        <f>IF(tbRegistroSaidas[[#This Row],[DATA DO CAIXA PREVISTO]]="N/A",0,YEAR(tbRegistroSaidas[[#This Row],[DATA DO CAIXA PREVISTO]]))</f>
        <v>2022</v>
      </c>
    </row>
    <row r="587" spans="1:14" s="5" customFormat="1" ht="14.4" x14ac:dyDescent="0.3">
      <c r="A587" s="38">
        <v>44652.559861111113</v>
      </c>
      <c r="B587" s="49">
        <v>44641</v>
      </c>
      <c r="C587" s="49">
        <v>44652.559861111113</v>
      </c>
      <c r="D587" s="49" t="s">
        <v>137</v>
      </c>
      <c r="E587" s="51" t="s">
        <v>26</v>
      </c>
      <c r="F587" s="51" t="s">
        <v>16</v>
      </c>
      <c r="G587" s="52" t="s">
        <v>449</v>
      </c>
      <c r="H587" s="18">
        <v>3521</v>
      </c>
      <c r="I587" s="5">
        <f>IF(tbRegistroSaidas[[#This Row],[DATA DE CAIXA REALIZADO]]="N/A",0,YEAR(tbRegistroSaidas[[#This Row],[DATA DE CAIXA REALIZADO]]))</f>
        <v>2022</v>
      </c>
      <c r="J587" s="5" t="str">
        <f>IF(tbRegistroSaidas[[#This Row],[DATA DE CAIXA REALIZADO]]="N/A","0",UPPER(TEXT(tbRegistroSaidas[[#This Row],[DATA DE CAIXA REALIZADO]],"mmm")))</f>
        <v>ABR</v>
      </c>
      <c r="K587" s="79" t="str">
        <f>IF(tbRegistroSaidas[[#This Row],[DATA DA COMPETÊNCIA]]="N/A","0",UPPER(TEXT(tbRegistroSaidas[[#This Row],[DATA DA COMPETÊNCIA]],"mmm")))</f>
        <v>MAR</v>
      </c>
      <c r="L587" s="79">
        <f>IF(tbRegistroSaidas[[#This Row],[DATA DA COMPETÊNCIA]]="N/A",0,YEAR(tbRegistroSaidas[[#This Row],[DATA DA COMPETÊNCIA]]))</f>
        <v>2022</v>
      </c>
      <c r="M587" s="5" t="str">
        <f>IF(tbRegistroSaidas[[#This Row],[DATA DO CAIXA PREVISTO]]="N/A","0",UPPER(TEXT(tbRegistroSaidas[[#This Row],[DATA DO CAIXA PREVISTO]],"mmm")))</f>
        <v>ABR</v>
      </c>
      <c r="N587" s="5">
        <f>IF(tbRegistroSaidas[[#This Row],[DATA DO CAIXA PREVISTO]]="N/A",0,YEAR(tbRegistroSaidas[[#This Row],[DATA DO CAIXA PREVISTO]]))</f>
        <v>2022</v>
      </c>
    </row>
    <row r="588" spans="1:14" s="5" customFormat="1" ht="14.4" x14ac:dyDescent="0.3">
      <c r="A588" s="38">
        <v>44648.734675925924</v>
      </c>
      <c r="B588" s="49">
        <v>44644</v>
      </c>
      <c r="C588" s="49">
        <v>44648.734675925924</v>
      </c>
      <c r="D588" s="49" t="s">
        <v>63</v>
      </c>
      <c r="E588" s="51" t="s">
        <v>26</v>
      </c>
      <c r="F588" s="51" t="s">
        <v>33</v>
      </c>
      <c r="G588" s="52" t="s">
        <v>450</v>
      </c>
      <c r="H588" s="18">
        <v>4947</v>
      </c>
      <c r="I588" s="5">
        <f>IF(tbRegistroSaidas[[#This Row],[DATA DE CAIXA REALIZADO]]="N/A",0,YEAR(tbRegistroSaidas[[#This Row],[DATA DE CAIXA REALIZADO]]))</f>
        <v>2022</v>
      </c>
      <c r="J588" s="5" t="str">
        <f>IF(tbRegistroSaidas[[#This Row],[DATA DE CAIXA REALIZADO]]="N/A","0",UPPER(TEXT(tbRegistroSaidas[[#This Row],[DATA DE CAIXA REALIZADO]],"mmm")))</f>
        <v>MAR</v>
      </c>
      <c r="K588" s="79" t="str">
        <f>IF(tbRegistroSaidas[[#This Row],[DATA DA COMPETÊNCIA]]="N/A","0",UPPER(TEXT(tbRegistroSaidas[[#This Row],[DATA DA COMPETÊNCIA]],"mmm")))</f>
        <v>MAR</v>
      </c>
      <c r="L588" s="79">
        <f>IF(tbRegistroSaidas[[#This Row],[DATA DA COMPETÊNCIA]]="N/A",0,YEAR(tbRegistroSaidas[[#This Row],[DATA DA COMPETÊNCIA]]))</f>
        <v>2022</v>
      </c>
      <c r="M588" s="5" t="str">
        <f>IF(tbRegistroSaidas[[#This Row],[DATA DO CAIXA PREVISTO]]="N/A","0",UPPER(TEXT(tbRegistroSaidas[[#This Row],[DATA DO CAIXA PREVISTO]],"mmm")))</f>
        <v>MAR</v>
      </c>
      <c r="N588" s="5">
        <f>IF(tbRegistroSaidas[[#This Row],[DATA DO CAIXA PREVISTO]]="N/A",0,YEAR(tbRegistroSaidas[[#This Row],[DATA DO CAIXA PREVISTO]]))</f>
        <v>2022</v>
      </c>
    </row>
    <row r="589" spans="1:14" s="5" customFormat="1" ht="14.4" x14ac:dyDescent="0.3">
      <c r="A589" s="38">
        <v>44684.623032407406</v>
      </c>
      <c r="B589" s="49">
        <v>44645</v>
      </c>
      <c r="C589" s="49">
        <v>44684.623032407406</v>
      </c>
      <c r="D589" s="49" t="s">
        <v>138</v>
      </c>
      <c r="E589" s="51" t="s">
        <v>26</v>
      </c>
      <c r="F589" s="51" t="s">
        <v>16</v>
      </c>
      <c r="G589" s="52" t="s">
        <v>451</v>
      </c>
      <c r="H589" s="18">
        <v>1527</v>
      </c>
      <c r="I589" s="5">
        <f>IF(tbRegistroSaidas[[#This Row],[DATA DE CAIXA REALIZADO]]="N/A",0,YEAR(tbRegistroSaidas[[#This Row],[DATA DE CAIXA REALIZADO]]))</f>
        <v>2022</v>
      </c>
      <c r="J589" s="5" t="str">
        <f>IF(tbRegistroSaidas[[#This Row],[DATA DE CAIXA REALIZADO]]="N/A","0",UPPER(TEXT(tbRegistroSaidas[[#This Row],[DATA DE CAIXA REALIZADO]],"mmm")))</f>
        <v>MAI</v>
      </c>
      <c r="K589" s="79" t="str">
        <f>IF(tbRegistroSaidas[[#This Row],[DATA DA COMPETÊNCIA]]="N/A","0",UPPER(TEXT(tbRegistroSaidas[[#This Row],[DATA DA COMPETÊNCIA]],"mmm")))</f>
        <v>MAR</v>
      </c>
      <c r="L589" s="79">
        <f>IF(tbRegistroSaidas[[#This Row],[DATA DA COMPETÊNCIA]]="N/A",0,YEAR(tbRegistroSaidas[[#This Row],[DATA DA COMPETÊNCIA]]))</f>
        <v>2022</v>
      </c>
      <c r="M589" s="5" t="str">
        <f>IF(tbRegistroSaidas[[#This Row],[DATA DO CAIXA PREVISTO]]="N/A","0",UPPER(TEXT(tbRegistroSaidas[[#This Row],[DATA DO CAIXA PREVISTO]],"mmm")))</f>
        <v>MAI</v>
      </c>
      <c r="N589" s="5">
        <f>IF(tbRegistroSaidas[[#This Row],[DATA DO CAIXA PREVISTO]]="N/A",0,YEAR(tbRegistroSaidas[[#This Row],[DATA DO CAIXA PREVISTO]]))</f>
        <v>2022</v>
      </c>
    </row>
    <row r="590" spans="1:14" s="5" customFormat="1" ht="14.4" x14ac:dyDescent="0.3">
      <c r="A590" s="38">
        <v>44695.522557870368</v>
      </c>
      <c r="B590" s="49">
        <v>44652</v>
      </c>
      <c r="C590" s="49">
        <v>44695.522557870368</v>
      </c>
      <c r="D590" s="49" t="s">
        <v>138</v>
      </c>
      <c r="E590" s="51" t="s">
        <v>26</v>
      </c>
      <c r="F590" s="51" t="s">
        <v>16</v>
      </c>
      <c r="G590" s="52" t="s">
        <v>452</v>
      </c>
      <c r="H590" s="18">
        <v>764</v>
      </c>
      <c r="I590" s="5">
        <f>IF(tbRegistroSaidas[[#This Row],[DATA DE CAIXA REALIZADO]]="N/A",0,YEAR(tbRegistroSaidas[[#This Row],[DATA DE CAIXA REALIZADO]]))</f>
        <v>2022</v>
      </c>
      <c r="J590" s="5" t="str">
        <f>IF(tbRegistroSaidas[[#This Row],[DATA DE CAIXA REALIZADO]]="N/A","0",UPPER(TEXT(tbRegistroSaidas[[#This Row],[DATA DE CAIXA REALIZADO]],"mmm")))</f>
        <v>MAI</v>
      </c>
      <c r="K590" s="79" t="str">
        <f>IF(tbRegistroSaidas[[#This Row],[DATA DA COMPETÊNCIA]]="N/A","0",UPPER(TEXT(tbRegistroSaidas[[#This Row],[DATA DA COMPETÊNCIA]],"mmm")))</f>
        <v>ABR</v>
      </c>
      <c r="L590" s="79">
        <f>IF(tbRegistroSaidas[[#This Row],[DATA DA COMPETÊNCIA]]="N/A",0,YEAR(tbRegistroSaidas[[#This Row],[DATA DA COMPETÊNCIA]]))</f>
        <v>2022</v>
      </c>
      <c r="M590" s="5" t="str">
        <f>IF(tbRegistroSaidas[[#This Row],[DATA DO CAIXA PREVISTO]]="N/A","0",UPPER(TEXT(tbRegistroSaidas[[#This Row],[DATA DO CAIXA PREVISTO]],"mmm")))</f>
        <v>MAI</v>
      </c>
      <c r="N590" s="5">
        <f>IF(tbRegistroSaidas[[#This Row],[DATA DO CAIXA PREVISTO]]="N/A",0,YEAR(tbRegistroSaidas[[#This Row],[DATA DO CAIXA PREVISTO]]))</f>
        <v>2022</v>
      </c>
    </row>
    <row r="591" spans="1:14" s="5" customFormat="1" ht="14.4" x14ac:dyDescent="0.3">
      <c r="A591" s="38">
        <v>44663.116932870369</v>
      </c>
      <c r="B591" s="49">
        <v>44654</v>
      </c>
      <c r="C591" s="49">
        <v>44663.116932870369</v>
      </c>
      <c r="D591" s="49" t="s">
        <v>67</v>
      </c>
      <c r="E591" s="51" t="s">
        <v>26</v>
      </c>
      <c r="F591" s="51" t="s">
        <v>17</v>
      </c>
      <c r="G591" s="52" t="s">
        <v>453</v>
      </c>
      <c r="H591" s="18">
        <v>2463</v>
      </c>
      <c r="I591" s="5">
        <f>IF(tbRegistroSaidas[[#This Row],[DATA DE CAIXA REALIZADO]]="N/A",0,YEAR(tbRegistroSaidas[[#This Row],[DATA DE CAIXA REALIZADO]]))</f>
        <v>2022</v>
      </c>
      <c r="J591" s="5" t="str">
        <f>IF(tbRegistroSaidas[[#This Row],[DATA DE CAIXA REALIZADO]]="N/A","0",UPPER(TEXT(tbRegistroSaidas[[#This Row],[DATA DE CAIXA REALIZADO]],"mmm")))</f>
        <v>ABR</v>
      </c>
      <c r="K591" s="79" t="str">
        <f>IF(tbRegistroSaidas[[#This Row],[DATA DA COMPETÊNCIA]]="N/A","0",UPPER(TEXT(tbRegistroSaidas[[#This Row],[DATA DA COMPETÊNCIA]],"mmm")))</f>
        <v>ABR</v>
      </c>
      <c r="L591" s="79">
        <f>IF(tbRegistroSaidas[[#This Row],[DATA DA COMPETÊNCIA]]="N/A",0,YEAR(tbRegistroSaidas[[#This Row],[DATA DA COMPETÊNCIA]]))</f>
        <v>2022</v>
      </c>
      <c r="M591" s="5" t="str">
        <f>IF(tbRegistroSaidas[[#This Row],[DATA DO CAIXA PREVISTO]]="N/A","0",UPPER(TEXT(tbRegistroSaidas[[#This Row],[DATA DO CAIXA PREVISTO]],"mmm")))</f>
        <v>ABR</v>
      </c>
      <c r="N591" s="5">
        <f>IF(tbRegistroSaidas[[#This Row],[DATA DO CAIXA PREVISTO]]="N/A",0,YEAR(tbRegistroSaidas[[#This Row],[DATA DO CAIXA PREVISTO]]))</f>
        <v>2022</v>
      </c>
    </row>
    <row r="592" spans="1:14" s="5" customFormat="1" ht="14.4" x14ac:dyDescent="0.3">
      <c r="A592" s="38">
        <v>44681.08085648148</v>
      </c>
      <c r="B592" s="49">
        <v>44656</v>
      </c>
      <c r="C592" s="49">
        <v>44676.69736111111</v>
      </c>
      <c r="D592" s="49" t="s">
        <v>66</v>
      </c>
      <c r="E592" s="51" t="s">
        <v>26</v>
      </c>
      <c r="F592" s="51" t="s">
        <v>18</v>
      </c>
      <c r="G592" s="52" t="s">
        <v>454</v>
      </c>
      <c r="H592" s="18">
        <v>2111</v>
      </c>
      <c r="I592" s="5">
        <f>IF(tbRegistroSaidas[[#This Row],[DATA DE CAIXA REALIZADO]]="N/A",0,YEAR(tbRegistroSaidas[[#This Row],[DATA DE CAIXA REALIZADO]]))</f>
        <v>2022</v>
      </c>
      <c r="J592" s="5" t="str">
        <f>IF(tbRegistroSaidas[[#This Row],[DATA DE CAIXA REALIZADO]]="N/A","0",UPPER(TEXT(tbRegistroSaidas[[#This Row],[DATA DE CAIXA REALIZADO]],"mmm")))</f>
        <v>ABR</v>
      </c>
      <c r="K592" s="79" t="str">
        <f>IF(tbRegistroSaidas[[#This Row],[DATA DA COMPETÊNCIA]]="N/A","0",UPPER(TEXT(tbRegistroSaidas[[#This Row],[DATA DA COMPETÊNCIA]],"mmm")))</f>
        <v>ABR</v>
      </c>
      <c r="L592" s="79">
        <f>IF(tbRegistroSaidas[[#This Row],[DATA DA COMPETÊNCIA]]="N/A",0,YEAR(tbRegistroSaidas[[#This Row],[DATA DA COMPETÊNCIA]]))</f>
        <v>2022</v>
      </c>
      <c r="M592" s="5" t="str">
        <f>IF(tbRegistroSaidas[[#This Row],[DATA DO CAIXA PREVISTO]]="N/A","0",UPPER(TEXT(tbRegistroSaidas[[#This Row],[DATA DO CAIXA PREVISTO]],"mmm")))</f>
        <v>ABR</v>
      </c>
      <c r="N592" s="5">
        <f>IF(tbRegistroSaidas[[#This Row],[DATA DO CAIXA PREVISTO]]="N/A",0,YEAR(tbRegistroSaidas[[#This Row],[DATA DO CAIXA PREVISTO]]))</f>
        <v>2022</v>
      </c>
    </row>
    <row r="593" spans="1:14" s="5" customFormat="1" ht="14.4" x14ac:dyDescent="0.3">
      <c r="A593" s="38">
        <v>44682.571168981478</v>
      </c>
      <c r="B593" s="49">
        <v>44657</v>
      </c>
      <c r="C593" s="49">
        <v>44682.571168981478</v>
      </c>
      <c r="D593" s="49" t="s">
        <v>61</v>
      </c>
      <c r="E593" s="51" t="s">
        <v>26</v>
      </c>
      <c r="F593" s="51" t="s">
        <v>33</v>
      </c>
      <c r="G593" s="52" t="s">
        <v>455</v>
      </c>
      <c r="H593" s="18">
        <v>1144</v>
      </c>
      <c r="I593" s="5">
        <f>IF(tbRegistroSaidas[[#This Row],[DATA DE CAIXA REALIZADO]]="N/A",0,YEAR(tbRegistroSaidas[[#This Row],[DATA DE CAIXA REALIZADO]]))</f>
        <v>2022</v>
      </c>
      <c r="J593" s="5" t="str">
        <f>IF(tbRegistroSaidas[[#This Row],[DATA DE CAIXA REALIZADO]]="N/A","0",UPPER(TEXT(tbRegistroSaidas[[#This Row],[DATA DE CAIXA REALIZADO]],"mmm")))</f>
        <v>MAI</v>
      </c>
      <c r="K593" s="79" t="str">
        <f>IF(tbRegistroSaidas[[#This Row],[DATA DA COMPETÊNCIA]]="N/A","0",UPPER(TEXT(tbRegistroSaidas[[#This Row],[DATA DA COMPETÊNCIA]],"mmm")))</f>
        <v>ABR</v>
      </c>
      <c r="L593" s="79">
        <f>IF(tbRegistroSaidas[[#This Row],[DATA DA COMPETÊNCIA]]="N/A",0,YEAR(tbRegistroSaidas[[#This Row],[DATA DA COMPETÊNCIA]]))</f>
        <v>2022</v>
      </c>
      <c r="M593" s="5" t="str">
        <f>IF(tbRegistroSaidas[[#This Row],[DATA DO CAIXA PREVISTO]]="N/A","0",UPPER(TEXT(tbRegistroSaidas[[#This Row],[DATA DO CAIXA PREVISTO]],"mmm")))</f>
        <v>MAI</v>
      </c>
      <c r="N593" s="5">
        <f>IF(tbRegistroSaidas[[#This Row],[DATA DO CAIXA PREVISTO]]="N/A",0,YEAR(tbRegistroSaidas[[#This Row],[DATA DO CAIXA PREVISTO]]))</f>
        <v>2022</v>
      </c>
    </row>
    <row r="594" spans="1:14" s="5" customFormat="1" ht="14.4" x14ac:dyDescent="0.3">
      <c r="A594" s="38">
        <v>44701.686793981484</v>
      </c>
      <c r="B594" s="49">
        <v>44661</v>
      </c>
      <c r="C594" s="49">
        <v>44701.686793981484</v>
      </c>
      <c r="D594" s="49" t="s">
        <v>67</v>
      </c>
      <c r="E594" s="51" t="s">
        <v>26</v>
      </c>
      <c r="F594" s="51" t="s">
        <v>18</v>
      </c>
      <c r="G594" s="52" t="s">
        <v>456</v>
      </c>
      <c r="H594" s="18">
        <v>597</v>
      </c>
      <c r="I594" s="5">
        <f>IF(tbRegistroSaidas[[#This Row],[DATA DE CAIXA REALIZADO]]="N/A",0,YEAR(tbRegistroSaidas[[#This Row],[DATA DE CAIXA REALIZADO]]))</f>
        <v>2022</v>
      </c>
      <c r="J594" s="5" t="str">
        <f>IF(tbRegistroSaidas[[#This Row],[DATA DE CAIXA REALIZADO]]="N/A","0",UPPER(TEXT(tbRegistroSaidas[[#This Row],[DATA DE CAIXA REALIZADO]],"mmm")))</f>
        <v>MAI</v>
      </c>
      <c r="K594" s="79" t="str">
        <f>IF(tbRegistroSaidas[[#This Row],[DATA DA COMPETÊNCIA]]="N/A","0",UPPER(TEXT(tbRegistroSaidas[[#This Row],[DATA DA COMPETÊNCIA]],"mmm")))</f>
        <v>ABR</v>
      </c>
      <c r="L594" s="79">
        <f>IF(tbRegistroSaidas[[#This Row],[DATA DA COMPETÊNCIA]]="N/A",0,YEAR(tbRegistroSaidas[[#This Row],[DATA DA COMPETÊNCIA]]))</f>
        <v>2022</v>
      </c>
      <c r="M594" s="5" t="str">
        <f>IF(tbRegistroSaidas[[#This Row],[DATA DO CAIXA PREVISTO]]="N/A","0",UPPER(TEXT(tbRegistroSaidas[[#This Row],[DATA DO CAIXA PREVISTO]],"mmm")))</f>
        <v>MAI</v>
      </c>
      <c r="N594" s="5">
        <f>IF(tbRegistroSaidas[[#This Row],[DATA DO CAIXA PREVISTO]]="N/A",0,YEAR(tbRegistroSaidas[[#This Row],[DATA DO CAIXA PREVISTO]]))</f>
        <v>2022</v>
      </c>
    </row>
    <row r="595" spans="1:14" s="5" customFormat="1" ht="14.4" x14ac:dyDescent="0.3">
      <c r="A595" s="38">
        <v>44751.308483796296</v>
      </c>
      <c r="B595" s="49">
        <v>44667</v>
      </c>
      <c r="C595" s="49">
        <v>44670.12059027778</v>
      </c>
      <c r="D595" s="49" t="s">
        <v>66</v>
      </c>
      <c r="E595" s="51" t="s">
        <v>26</v>
      </c>
      <c r="F595" s="51" t="s">
        <v>33</v>
      </c>
      <c r="G595" s="52" t="s">
        <v>457</v>
      </c>
      <c r="H595" s="18">
        <v>3445</v>
      </c>
      <c r="I595" s="5">
        <f>IF(tbRegistroSaidas[[#This Row],[DATA DE CAIXA REALIZADO]]="N/A",0,YEAR(tbRegistroSaidas[[#This Row],[DATA DE CAIXA REALIZADO]]))</f>
        <v>2022</v>
      </c>
      <c r="J595" s="5" t="str">
        <f>IF(tbRegistroSaidas[[#This Row],[DATA DE CAIXA REALIZADO]]="N/A","0",UPPER(TEXT(tbRegistroSaidas[[#This Row],[DATA DE CAIXA REALIZADO]],"mmm")))</f>
        <v>JUL</v>
      </c>
      <c r="K595" s="79" t="str">
        <f>IF(tbRegistroSaidas[[#This Row],[DATA DA COMPETÊNCIA]]="N/A","0",UPPER(TEXT(tbRegistroSaidas[[#This Row],[DATA DA COMPETÊNCIA]],"mmm")))</f>
        <v>ABR</v>
      </c>
      <c r="L595" s="79">
        <f>IF(tbRegistroSaidas[[#This Row],[DATA DA COMPETÊNCIA]]="N/A",0,YEAR(tbRegistroSaidas[[#This Row],[DATA DA COMPETÊNCIA]]))</f>
        <v>2022</v>
      </c>
      <c r="M595" s="5" t="str">
        <f>IF(tbRegistroSaidas[[#This Row],[DATA DO CAIXA PREVISTO]]="N/A","0",UPPER(TEXT(tbRegistroSaidas[[#This Row],[DATA DO CAIXA PREVISTO]],"mmm")))</f>
        <v>ABR</v>
      </c>
      <c r="N595" s="5">
        <f>IF(tbRegistroSaidas[[#This Row],[DATA DO CAIXA PREVISTO]]="N/A",0,YEAR(tbRegistroSaidas[[#This Row],[DATA DO CAIXA PREVISTO]]))</f>
        <v>2022</v>
      </c>
    </row>
    <row r="596" spans="1:14" s="5" customFormat="1" ht="14.4" x14ac:dyDescent="0.3">
      <c r="A596" s="38">
        <v>44683.305289351854</v>
      </c>
      <c r="B596" s="49">
        <v>44673</v>
      </c>
      <c r="C596" s="49">
        <v>44683.305289351854</v>
      </c>
      <c r="D596" s="49" t="s">
        <v>67</v>
      </c>
      <c r="E596" s="51" t="s">
        <v>26</v>
      </c>
      <c r="F596" s="51" t="s">
        <v>16</v>
      </c>
      <c r="G596" s="52" t="s">
        <v>458</v>
      </c>
      <c r="H596" s="18">
        <v>1996</v>
      </c>
      <c r="I596" s="5">
        <f>IF(tbRegistroSaidas[[#This Row],[DATA DE CAIXA REALIZADO]]="N/A",0,YEAR(tbRegistroSaidas[[#This Row],[DATA DE CAIXA REALIZADO]]))</f>
        <v>2022</v>
      </c>
      <c r="J596" s="5" t="str">
        <f>IF(tbRegistroSaidas[[#This Row],[DATA DE CAIXA REALIZADO]]="N/A","0",UPPER(TEXT(tbRegistroSaidas[[#This Row],[DATA DE CAIXA REALIZADO]],"mmm")))</f>
        <v>MAI</v>
      </c>
      <c r="K596" s="79" t="str">
        <f>IF(tbRegistroSaidas[[#This Row],[DATA DA COMPETÊNCIA]]="N/A","0",UPPER(TEXT(tbRegistroSaidas[[#This Row],[DATA DA COMPETÊNCIA]],"mmm")))</f>
        <v>ABR</v>
      </c>
      <c r="L596" s="79">
        <f>IF(tbRegistroSaidas[[#This Row],[DATA DA COMPETÊNCIA]]="N/A",0,YEAR(tbRegistroSaidas[[#This Row],[DATA DA COMPETÊNCIA]]))</f>
        <v>2022</v>
      </c>
      <c r="M596" s="5" t="str">
        <f>IF(tbRegistroSaidas[[#This Row],[DATA DO CAIXA PREVISTO]]="N/A","0",UPPER(TEXT(tbRegistroSaidas[[#This Row],[DATA DO CAIXA PREVISTO]],"mmm")))</f>
        <v>MAI</v>
      </c>
      <c r="N596" s="5">
        <f>IF(tbRegistroSaidas[[#This Row],[DATA DO CAIXA PREVISTO]]="N/A",0,YEAR(tbRegistroSaidas[[#This Row],[DATA DO CAIXA PREVISTO]]))</f>
        <v>2022</v>
      </c>
    </row>
    <row r="597" spans="1:14" s="5" customFormat="1" ht="14.4" x14ac:dyDescent="0.3">
      <c r="A597" s="38">
        <v>44693.768703703703</v>
      </c>
      <c r="B597" s="49">
        <v>44679</v>
      </c>
      <c r="C597" s="49">
        <v>44693.768703703703</v>
      </c>
      <c r="D597" s="49" t="s">
        <v>61</v>
      </c>
      <c r="E597" s="51" t="s">
        <v>26</v>
      </c>
      <c r="F597" s="51" t="s">
        <v>18</v>
      </c>
      <c r="G597" s="52" t="s">
        <v>459</v>
      </c>
      <c r="H597" s="18">
        <v>1254</v>
      </c>
      <c r="I597" s="5">
        <f>IF(tbRegistroSaidas[[#This Row],[DATA DE CAIXA REALIZADO]]="N/A",0,YEAR(tbRegistroSaidas[[#This Row],[DATA DE CAIXA REALIZADO]]))</f>
        <v>2022</v>
      </c>
      <c r="J597" s="5" t="str">
        <f>IF(tbRegistroSaidas[[#This Row],[DATA DE CAIXA REALIZADO]]="N/A","0",UPPER(TEXT(tbRegistroSaidas[[#This Row],[DATA DE CAIXA REALIZADO]],"mmm")))</f>
        <v>MAI</v>
      </c>
      <c r="K597" s="79" t="str">
        <f>IF(tbRegistroSaidas[[#This Row],[DATA DA COMPETÊNCIA]]="N/A","0",UPPER(TEXT(tbRegistroSaidas[[#This Row],[DATA DA COMPETÊNCIA]],"mmm")))</f>
        <v>ABR</v>
      </c>
      <c r="L597" s="79">
        <f>IF(tbRegistroSaidas[[#This Row],[DATA DA COMPETÊNCIA]]="N/A",0,YEAR(tbRegistroSaidas[[#This Row],[DATA DA COMPETÊNCIA]]))</f>
        <v>2022</v>
      </c>
      <c r="M597" s="5" t="str">
        <f>IF(tbRegistroSaidas[[#This Row],[DATA DO CAIXA PREVISTO]]="N/A","0",UPPER(TEXT(tbRegistroSaidas[[#This Row],[DATA DO CAIXA PREVISTO]],"mmm")))</f>
        <v>MAI</v>
      </c>
      <c r="N597" s="5">
        <f>IF(tbRegistroSaidas[[#This Row],[DATA DO CAIXA PREVISTO]]="N/A",0,YEAR(tbRegistroSaidas[[#This Row],[DATA DO CAIXA PREVISTO]]))</f>
        <v>2022</v>
      </c>
    </row>
    <row r="598" spans="1:14" s="5" customFormat="1" ht="14.4" x14ac:dyDescent="0.3">
      <c r="A598" s="38">
        <v>44702.145891203705</v>
      </c>
      <c r="B598" s="49">
        <v>44680</v>
      </c>
      <c r="C598" s="49">
        <v>44684.806261574071</v>
      </c>
      <c r="D598" s="49" t="s">
        <v>62</v>
      </c>
      <c r="E598" s="51" t="s">
        <v>26</v>
      </c>
      <c r="F598" s="51" t="s">
        <v>18</v>
      </c>
      <c r="G598" s="52" t="s">
        <v>460</v>
      </c>
      <c r="H598" s="18">
        <v>905</v>
      </c>
      <c r="I598" s="5">
        <f>IF(tbRegistroSaidas[[#This Row],[DATA DE CAIXA REALIZADO]]="N/A",0,YEAR(tbRegistroSaidas[[#This Row],[DATA DE CAIXA REALIZADO]]))</f>
        <v>2022</v>
      </c>
      <c r="J598" s="5" t="str">
        <f>IF(tbRegistroSaidas[[#This Row],[DATA DE CAIXA REALIZADO]]="N/A","0",UPPER(TEXT(tbRegistroSaidas[[#This Row],[DATA DE CAIXA REALIZADO]],"mmm")))</f>
        <v>MAI</v>
      </c>
      <c r="K598" s="79" t="str">
        <f>IF(tbRegistroSaidas[[#This Row],[DATA DA COMPETÊNCIA]]="N/A","0",UPPER(TEXT(tbRegistroSaidas[[#This Row],[DATA DA COMPETÊNCIA]],"mmm")))</f>
        <v>ABR</v>
      </c>
      <c r="L598" s="79">
        <f>IF(tbRegistroSaidas[[#This Row],[DATA DA COMPETÊNCIA]]="N/A",0,YEAR(tbRegistroSaidas[[#This Row],[DATA DA COMPETÊNCIA]]))</f>
        <v>2022</v>
      </c>
      <c r="M598" s="5" t="str">
        <f>IF(tbRegistroSaidas[[#This Row],[DATA DO CAIXA PREVISTO]]="N/A","0",UPPER(TEXT(tbRegistroSaidas[[#This Row],[DATA DO CAIXA PREVISTO]],"mmm")))</f>
        <v>MAI</v>
      </c>
      <c r="N598" s="5">
        <f>IF(tbRegistroSaidas[[#This Row],[DATA DO CAIXA PREVISTO]]="N/A",0,YEAR(tbRegistroSaidas[[#This Row],[DATA DO CAIXA PREVISTO]]))</f>
        <v>2022</v>
      </c>
    </row>
    <row r="599" spans="1:14" s="5" customFormat="1" ht="14.4" x14ac:dyDescent="0.3">
      <c r="A599" s="38">
        <v>44712.616597222222</v>
      </c>
      <c r="B599" s="49">
        <v>44683</v>
      </c>
      <c r="C599" s="49">
        <v>44712.616597222222</v>
      </c>
      <c r="D599" s="49" t="s">
        <v>62</v>
      </c>
      <c r="E599" s="51" t="s">
        <v>26</v>
      </c>
      <c r="F599" s="51" t="s">
        <v>17</v>
      </c>
      <c r="G599" s="52" t="s">
        <v>461</v>
      </c>
      <c r="H599" s="18">
        <v>2975</v>
      </c>
      <c r="I599" s="5">
        <f>IF(tbRegistroSaidas[[#This Row],[DATA DE CAIXA REALIZADO]]="N/A",0,YEAR(tbRegistroSaidas[[#This Row],[DATA DE CAIXA REALIZADO]]))</f>
        <v>2022</v>
      </c>
      <c r="J599" s="5" t="str">
        <f>IF(tbRegistroSaidas[[#This Row],[DATA DE CAIXA REALIZADO]]="N/A","0",UPPER(TEXT(tbRegistroSaidas[[#This Row],[DATA DE CAIXA REALIZADO]],"mmm")))</f>
        <v>MAI</v>
      </c>
      <c r="K599" s="79" t="str">
        <f>IF(tbRegistroSaidas[[#This Row],[DATA DA COMPETÊNCIA]]="N/A","0",UPPER(TEXT(tbRegistroSaidas[[#This Row],[DATA DA COMPETÊNCIA]],"mmm")))</f>
        <v>MAI</v>
      </c>
      <c r="L599" s="79">
        <f>IF(tbRegistroSaidas[[#This Row],[DATA DA COMPETÊNCIA]]="N/A",0,YEAR(tbRegistroSaidas[[#This Row],[DATA DA COMPETÊNCIA]]))</f>
        <v>2022</v>
      </c>
      <c r="M599" s="5" t="str">
        <f>IF(tbRegistroSaidas[[#This Row],[DATA DO CAIXA PREVISTO]]="N/A","0",UPPER(TEXT(tbRegistroSaidas[[#This Row],[DATA DO CAIXA PREVISTO]],"mmm")))</f>
        <v>MAI</v>
      </c>
      <c r="N599" s="5">
        <f>IF(tbRegistroSaidas[[#This Row],[DATA DO CAIXA PREVISTO]]="N/A",0,YEAR(tbRegistroSaidas[[#This Row],[DATA DO CAIXA PREVISTO]]))</f>
        <v>2022</v>
      </c>
    </row>
    <row r="600" spans="1:14" s="5" customFormat="1" ht="14.4" x14ac:dyDescent="0.3">
      <c r="A600" s="38">
        <v>44689.679131944446</v>
      </c>
      <c r="B600" s="49">
        <v>44684</v>
      </c>
      <c r="C600" s="49">
        <v>44689.679131944446</v>
      </c>
      <c r="D600" s="49" t="s">
        <v>61</v>
      </c>
      <c r="E600" s="51" t="s">
        <v>26</v>
      </c>
      <c r="F600" s="51" t="s">
        <v>33</v>
      </c>
      <c r="G600" s="52" t="s">
        <v>462</v>
      </c>
      <c r="H600" s="18">
        <v>4807</v>
      </c>
      <c r="I600" s="5">
        <f>IF(tbRegistroSaidas[[#This Row],[DATA DE CAIXA REALIZADO]]="N/A",0,YEAR(tbRegistroSaidas[[#This Row],[DATA DE CAIXA REALIZADO]]))</f>
        <v>2022</v>
      </c>
      <c r="J600" s="5" t="str">
        <f>IF(tbRegistroSaidas[[#This Row],[DATA DE CAIXA REALIZADO]]="N/A","0",UPPER(TEXT(tbRegistroSaidas[[#This Row],[DATA DE CAIXA REALIZADO]],"mmm")))</f>
        <v>MAI</v>
      </c>
      <c r="K600" s="79" t="str">
        <f>IF(tbRegistroSaidas[[#This Row],[DATA DA COMPETÊNCIA]]="N/A","0",UPPER(TEXT(tbRegistroSaidas[[#This Row],[DATA DA COMPETÊNCIA]],"mmm")))</f>
        <v>MAI</v>
      </c>
      <c r="L600" s="79">
        <f>IF(tbRegistroSaidas[[#This Row],[DATA DA COMPETÊNCIA]]="N/A",0,YEAR(tbRegistroSaidas[[#This Row],[DATA DA COMPETÊNCIA]]))</f>
        <v>2022</v>
      </c>
      <c r="M600" s="5" t="str">
        <f>IF(tbRegistroSaidas[[#This Row],[DATA DO CAIXA PREVISTO]]="N/A","0",UPPER(TEXT(tbRegistroSaidas[[#This Row],[DATA DO CAIXA PREVISTO]],"mmm")))</f>
        <v>MAI</v>
      </c>
      <c r="N600" s="5">
        <f>IF(tbRegistroSaidas[[#This Row],[DATA DO CAIXA PREVISTO]]="N/A",0,YEAR(tbRegistroSaidas[[#This Row],[DATA DO CAIXA PREVISTO]]))</f>
        <v>2022</v>
      </c>
    </row>
    <row r="601" spans="1:14" s="5" customFormat="1" ht="14.4" x14ac:dyDescent="0.3">
      <c r="A601" s="38">
        <v>44725.296944444446</v>
      </c>
      <c r="B601" s="49">
        <v>44691</v>
      </c>
      <c r="C601" s="49">
        <v>44725.296944444446</v>
      </c>
      <c r="D601" s="49" t="s">
        <v>61</v>
      </c>
      <c r="E601" s="51" t="s">
        <v>26</v>
      </c>
      <c r="F601" s="51" t="s">
        <v>16</v>
      </c>
      <c r="G601" s="52" t="s">
        <v>463</v>
      </c>
      <c r="H601" s="18">
        <v>1882</v>
      </c>
      <c r="I601" s="5">
        <f>IF(tbRegistroSaidas[[#This Row],[DATA DE CAIXA REALIZADO]]="N/A",0,YEAR(tbRegistroSaidas[[#This Row],[DATA DE CAIXA REALIZADO]]))</f>
        <v>2022</v>
      </c>
      <c r="J601" s="5" t="str">
        <f>IF(tbRegistroSaidas[[#This Row],[DATA DE CAIXA REALIZADO]]="N/A","0",UPPER(TEXT(tbRegistroSaidas[[#This Row],[DATA DE CAIXA REALIZADO]],"mmm")))</f>
        <v>JUN</v>
      </c>
      <c r="K601" s="79" t="str">
        <f>IF(tbRegistroSaidas[[#This Row],[DATA DA COMPETÊNCIA]]="N/A","0",UPPER(TEXT(tbRegistroSaidas[[#This Row],[DATA DA COMPETÊNCIA]],"mmm")))</f>
        <v>MAI</v>
      </c>
      <c r="L601" s="79">
        <f>IF(tbRegistroSaidas[[#This Row],[DATA DA COMPETÊNCIA]]="N/A",0,YEAR(tbRegistroSaidas[[#This Row],[DATA DA COMPETÊNCIA]]))</f>
        <v>2022</v>
      </c>
      <c r="M601" s="5" t="str">
        <f>IF(tbRegistroSaidas[[#This Row],[DATA DO CAIXA PREVISTO]]="N/A","0",UPPER(TEXT(tbRegistroSaidas[[#This Row],[DATA DO CAIXA PREVISTO]],"mmm")))</f>
        <v>JUN</v>
      </c>
      <c r="N601" s="5">
        <f>IF(tbRegistroSaidas[[#This Row],[DATA DO CAIXA PREVISTO]]="N/A",0,YEAR(tbRegistroSaidas[[#This Row],[DATA DO CAIXA PREVISTO]]))</f>
        <v>2022</v>
      </c>
    </row>
    <row r="602" spans="1:14" s="5" customFormat="1" ht="14.4" x14ac:dyDescent="0.3">
      <c r="A602" s="38">
        <v>44739.791759259257</v>
      </c>
      <c r="B602" s="49">
        <v>44696</v>
      </c>
      <c r="C602" s="49">
        <v>44739.791759259257</v>
      </c>
      <c r="D602" s="49" t="s">
        <v>138</v>
      </c>
      <c r="E602" s="51" t="s">
        <v>26</v>
      </c>
      <c r="F602" s="51" t="s">
        <v>32</v>
      </c>
      <c r="G602" s="52" t="s">
        <v>464</v>
      </c>
      <c r="H602" s="18">
        <v>3932</v>
      </c>
      <c r="I602" s="5">
        <f>IF(tbRegistroSaidas[[#This Row],[DATA DE CAIXA REALIZADO]]="N/A",0,YEAR(tbRegistroSaidas[[#This Row],[DATA DE CAIXA REALIZADO]]))</f>
        <v>2022</v>
      </c>
      <c r="J602" s="5" t="str">
        <f>IF(tbRegistroSaidas[[#This Row],[DATA DE CAIXA REALIZADO]]="N/A","0",UPPER(TEXT(tbRegistroSaidas[[#This Row],[DATA DE CAIXA REALIZADO]],"mmm")))</f>
        <v>JUN</v>
      </c>
      <c r="K602" s="79" t="str">
        <f>IF(tbRegistroSaidas[[#This Row],[DATA DA COMPETÊNCIA]]="N/A","0",UPPER(TEXT(tbRegistroSaidas[[#This Row],[DATA DA COMPETÊNCIA]],"mmm")))</f>
        <v>MAI</v>
      </c>
      <c r="L602" s="79">
        <f>IF(tbRegistroSaidas[[#This Row],[DATA DA COMPETÊNCIA]]="N/A",0,YEAR(tbRegistroSaidas[[#This Row],[DATA DA COMPETÊNCIA]]))</f>
        <v>2022</v>
      </c>
      <c r="M602" s="5" t="str">
        <f>IF(tbRegistroSaidas[[#This Row],[DATA DO CAIXA PREVISTO]]="N/A","0",UPPER(TEXT(tbRegistroSaidas[[#This Row],[DATA DO CAIXA PREVISTO]],"mmm")))</f>
        <v>JUN</v>
      </c>
      <c r="N602" s="5">
        <f>IF(tbRegistroSaidas[[#This Row],[DATA DO CAIXA PREVISTO]]="N/A",0,YEAR(tbRegistroSaidas[[#This Row],[DATA DO CAIXA PREVISTO]]))</f>
        <v>2022</v>
      </c>
    </row>
    <row r="603" spans="1:14" s="5" customFormat="1" ht="14.4" x14ac:dyDescent="0.3">
      <c r="A603" s="38" t="s">
        <v>141</v>
      </c>
      <c r="B603" s="49">
        <v>44699</v>
      </c>
      <c r="C603" s="49">
        <v>44714.101307870369</v>
      </c>
      <c r="D603" s="49" t="s">
        <v>137</v>
      </c>
      <c r="E603" s="51" t="s">
        <v>26</v>
      </c>
      <c r="F603" s="51" t="s">
        <v>33</v>
      </c>
      <c r="G603" s="52" t="s">
        <v>465</v>
      </c>
      <c r="H603" s="18">
        <v>701</v>
      </c>
      <c r="I603" s="5">
        <f>IF(tbRegistroSaidas[[#This Row],[DATA DE CAIXA REALIZADO]]="N/A",0,YEAR(tbRegistroSaidas[[#This Row],[DATA DE CAIXA REALIZADO]]))</f>
        <v>0</v>
      </c>
      <c r="J603" s="5" t="str">
        <f>IF(tbRegistroSaidas[[#This Row],[DATA DE CAIXA REALIZADO]]="N/A","0",UPPER(TEXT(tbRegistroSaidas[[#This Row],[DATA DE CAIXA REALIZADO]],"mmm")))</f>
        <v>0</v>
      </c>
      <c r="K603" s="79" t="str">
        <f>IF(tbRegistroSaidas[[#This Row],[DATA DA COMPETÊNCIA]]="N/A","0",UPPER(TEXT(tbRegistroSaidas[[#This Row],[DATA DA COMPETÊNCIA]],"mmm")))</f>
        <v>MAI</v>
      </c>
      <c r="L603" s="79">
        <f>IF(tbRegistroSaidas[[#This Row],[DATA DA COMPETÊNCIA]]="N/A",0,YEAR(tbRegistroSaidas[[#This Row],[DATA DA COMPETÊNCIA]]))</f>
        <v>2022</v>
      </c>
      <c r="M603" s="5" t="str">
        <f>IF(tbRegistroSaidas[[#This Row],[DATA DO CAIXA PREVISTO]]="N/A","0",UPPER(TEXT(tbRegistroSaidas[[#This Row],[DATA DO CAIXA PREVISTO]],"mmm")))</f>
        <v>JUN</v>
      </c>
      <c r="N603" s="5">
        <f>IF(tbRegistroSaidas[[#This Row],[DATA DO CAIXA PREVISTO]]="N/A",0,YEAR(tbRegistroSaidas[[#This Row],[DATA DO CAIXA PREVISTO]]))</f>
        <v>2022</v>
      </c>
    </row>
    <row r="604" spans="1:14" s="5" customFormat="1" ht="14.4" x14ac:dyDescent="0.3">
      <c r="A604" s="38">
        <v>44739.250300925924</v>
      </c>
      <c r="B604" s="49">
        <v>44700</v>
      </c>
      <c r="C604" s="49">
        <v>44739.250300925924</v>
      </c>
      <c r="D604" s="49" t="s">
        <v>65</v>
      </c>
      <c r="E604" s="51" t="s">
        <v>26</v>
      </c>
      <c r="F604" s="51" t="s">
        <v>33</v>
      </c>
      <c r="G604" s="52" t="s">
        <v>466</v>
      </c>
      <c r="H604" s="18">
        <v>2651</v>
      </c>
      <c r="I604" s="5">
        <f>IF(tbRegistroSaidas[[#This Row],[DATA DE CAIXA REALIZADO]]="N/A",0,YEAR(tbRegistroSaidas[[#This Row],[DATA DE CAIXA REALIZADO]]))</f>
        <v>2022</v>
      </c>
      <c r="J604" s="5" t="str">
        <f>IF(tbRegistroSaidas[[#This Row],[DATA DE CAIXA REALIZADO]]="N/A","0",UPPER(TEXT(tbRegistroSaidas[[#This Row],[DATA DE CAIXA REALIZADO]],"mmm")))</f>
        <v>JUN</v>
      </c>
      <c r="K604" s="79" t="str">
        <f>IF(tbRegistroSaidas[[#This Row],[DATA DA COMPETÊNCIA]]="N/A","0",UPPER(TEXT(tbRegistroSaidas[[#This Row],[DATA DA COMPETÊNCIA]],"mmm")))</f>
        <v>MAI</v>
      </c>
      <c r="L604" s="79">
        <f>IF(tbRegistroSaidas[[#This Row],[DATA DA COMPETÊNCIA]]="N/A",0,YEAR(tbRegistroSaidas[[#This Row],[DATA DA COMPETÊNCIA]]))</f>
        <v>2022</v>
      </c>
      <c r="M604" s="5" t="str">
        <f>IF(tbRegistroSaidas[[#This Row],[DATA DO CAIXA PREVISTO]]="N/A","0",UPPER(TEXT(tbRegistroSaidas[[#This Row],[DATA DO CAIXA PREVISTO]],"mmm")))</f>
        <v>JUN</v>
      </c>
      <c r="N604" s="5">
        <f>IF(tbRegistroSaidas[[#This Row],[DATA DO CAIXA PREVISTO]]="N/A",0,YEAR(tbRegistroSaidas[[#This Row],[DATA DO CAIXA PREVISTO]]))</f>
        <v>2022</v>
      </c>
    </row>
    <row r="605" spans="1:14" s="5" customFormat="1" ht="14.4" x14ac:dyDescent="0.3">
      <c r="A605" s="38">
        <v>44811.331608796296</v>
      </c>
      <c r="B605" s="49">
        <v>44707</v>
      </c>
      <c r="C605" s="49">
        <v>44743.817546296297</v>
      </c>
      <c r="D605" s="49" t="s">
        <v>65</v>
      </c>
      <c r="E605" s="51" t="s">
        <v>26</v>
      </c>
      <c r="F605" s="51" t="s">
        <v>33</v>
      </c>
      <c r="G605" s="52" t="s">
        <v>467</v>
      </c>
      <c r="H605" s="18">
        <v>3792</v>
      </c>
      <c r="I605" s="5">
        <f>IF(tbRegistroSaidas[[#This Row],[DATA DE CAIXA REALIZADO]]="N/A",0,YEAR(tbRegistroSaidas[[#This Row],[DATA DE CAIXA REALIZADO]]))</f>
        <v>2022</v>
      </c>
      <c r="J605" s="5" t="str">
        <f>IF(tbRegistroSaidas[[#This Row],[DATA DE CAIXA REALIZADO]]="N/A","0",UPPER(TEXT(tbRegistroSaidas[[#This Row],[DATA DE CAIXA REALIZADO]],"mmm")))</f>
        <v>SET</v>
      </c>
      <c r="K605" s="79" t="str">
        <f>IF(tbRegistroSaidas[[#This Row],[DATA DA COMPETÊNCIA]]="N/A","0",UPPER(TEXT(tbRegistroSaidas[[#This Row],[DATA DA COMPETÊNCIA]],"mmm")))</f>
        <v>MAI</v>
      </c>
      <c r="L605" s="79">
        <f>IF(tbRegistroSaidas[[#This Row],[DATA DA COMPETÊNCIA]]="N/A",0,YEAR(tbRegistroSaidas[[#This Row],[DATA DA COMPETÊNCIA]]))</f>
        <v>2022</v>
      </c>
      <c r="M605" s="5" t="str">
        <f>IF(tbRegistroSaidas[[#This Row],[DATA DO CAIXA PREVISTO]]="N/A","0",UPPER(TEXT(tbRegistroSaidas[[#This Row],[DATA DO CAIXA PREVISTO]],"mmm")))</f>
        <v>JUL</v>
      </c>
      <c r="N605" s="5">
        <f>IF(tbRegistroSaidas[[#This Row],[DATA DO CAIXA PREVISTO]]="N/A",0,YEAR(tbRegistroSaidas[[#This Row],[DATA DO CAIXA PREVISTO]]))</f>
        <v>2022</v>
      </c>
    </row>
    <row r="606" spans="1:14" s="5" customFormat="1" ht="14.4" x14ac:dyDescent="0.3">
      <c r="A606" s="38">
        <v>44795.039976851855</v>
      </c>
      <c r="B606" s="49">
        <v>44709</v>
      </c>
      <c r="C606" s="49">
        <v>44767.553379629629</v>
      </c>
      <c r="D606" s="49" t="s">
        <v>138</v>
      </c>
      <c r="E606" s="51" t="s">
        <v>26</v>
      </c>
      <c r="F606" s="51" t="s">
        <v>32</v>
      </c>
      <c r="G606" s="52" t="s">
        <v>468</v>
      </c>
      <c r="H606" s="18">
        <v>611</v>
      </c>
      <c r="I606" s="5">
        <f>IF(tbRegistroSaidas[[#This Row],[DATA DE CAIXA REALIZADO]]="N/A",0,YEAR(tbRegistroSaidas[[#This Row],[DATA DE CAIXA REALIZADO]]))</f>
        <v>2022</v>
      </c>
      <c r="J606" s="5" t="str">
        <f>IF(tbRegistroSaidas[[#This Row],[DATA DE CAIXA REALIZADO]]="N/A","0",UPPER(TEXT(tbRegistroSaidas[[#This Row],[DATA DE CAIXA REALIZADO]],"mmm")))</f>
        <v>AGO</v>
      </c>
      <c r="K606" s="79" t="str">
        <f>IF(tbRegistroSaidas[[#This Row],[DATA DA COMPETÊNCIA]]="N/A","0",UPPER(TEXT(tbRegistroSaidas[[#This Row],[DATA DA COMPETÊNCIA]],"mmm")))</f>
        <v>MAI</v>
      </c>
      <c r="L606" s="79">
        <f>IF(tbRegistroSaidas[[#This Row],[DATA DA COMPETÊNCIA]]="N/A",0,YEAR(tbRegistroSaidas[[#This Row],[DATA DA COMPETÊNCIA]]))</f>
        <v>2022</v>
      </c>
      <c r="M606" s="5" t="str">
        <f>IF(tbRegistroSaidas[[#This Row],[DATA DO CAIXA PREVISTO]]="N/A","0",UPPER(TEXT(tbRegistroSaidas[[#This Row],[DATA DO CAIXA PREVISTO]],"mmm")))</f>
        <v>JUL</v>
      </c>
      <c r="N606" s="5">
        <f>IF(tbRegistroSaidas[[#This Row],[DATA DO CAIXA PREVISTO]]="N/A",0,YEAR(tbRegistroSaidas[[#This Row],[DATA DO CAIXA PREVISTO]]))</f>
        <v>2022</v>
      </c>
    </row>
    <row r="607" spans="1:14" s="5" customFormat="1" ht="14.4" x14ac:dyDescent="0.3">
      <c r="A607" s="38">
        <v>44753.621990740743</v>
      </c>
      <c r="B607" s="49">
        <v>44712</v>
      </c>
      <c r="C607" s="49">
        <v>44753.621990740743</v>
      </c>
      <c r="D607" s="49" t="s">
        <v>67</v>
      </c>
      <c r="E607" s="51" t="s">
        <v>26</v>
      </c>
      <c r="F607" s="51" t="s">
        <v>17</v>
      </c>
      <c r="G607" s="52" t="s">
        <v>469</v>
      </c>
      <c r="H607" s="18">
        <v>3431</v>
      </c>
      <c r="I607" s="5">
        <f>IF(tbRegistroSaidas[[#This Row],[DATA DE CAIXA REALIZADO]]="N/A",0,YEAR(tbRegistroSaidas[[#This Row],[DATA DE CAIXA REALIZADO]]))</f>
        <v>2022</v>
      </c>
      <c r="J607" s="5" t="str">
        <f>IF(tbRegistroSaidas[[#This Row],[DATA DE CAIXA REALIZADO]]="N/A","0",UPPER(TEXT(tbRegistroSaidas[[#This Row],[DATA DE CAIXA REALIZADO]],"mmm")))</f>
        <v>JUL</v>
      </c>
      <c r="K607" s="79" t="str">
        <f>IF(tbRegistroSaidas[[#This Row],[DATA DA COMPETÊNCIA]]="N/A","0",UPPER(TEXT(tbRegistroSaidas[[#This Row],[DATA DA COMPETÊNCIA]],"mmm")))</f>
        <v>MAI</v>
      </c>
      <c r="L607" s="79">
        <f>IF(tbRegistroSaidas[[#This Row],[DATA DA COMPETÊNCIA]]="N/A",0,YEAR(tbRegistroSaidas[[#This Row],[DATA DA COMPETÊNCIA]]))</f>
        <v>2022</v>
      </c>
      <c r="M607" s="5" t="str">
        <f>IF(tbRegistroSaidas[[#This Row],[DATA DO CAIXA PREVISTO]]="N/A","0",UPPER(TEXT(tbRegistroSaidas[[#This Row],[DATA DO CAIXA PREVISTO]],"mmm")))</f>
        <v>JUL</v>
      </c>
      <c r="N607" s="5">
        <f>IF(tbRegistroSaidas[[#This Row],[DATA DO CAIXA PREVISTO]]="N/A",0,YEAR(tbRegistroSaidas[[#This Row],[DATA DO CAIXA PREVISTO]]))</f>
        <v>2022</v>
      </c>
    </row>
    <row r="608" spans="1:14" s="5" customFormat="1" ht="14.4" x14ac:dyDescent="0.3">
      <c r="A608" s="38">
        <v>44740.068043981482</v>
      </c>
      <c r="B608" s="49">
        <v>44714</v>
      </c>
      <c r="C608" s="49">
        <v>44740.068043981482</v>
      </c>
      <c r="D608" s="49" t="s">
        <v>66</v>
      </c>
      <c r="E608" s="51" t="s">
        <v>26</v>
      </c>
      <c r="F608" s="51" t="s">
        <v>33</v>
      </c>
      <c r="G608" s="52" t="s">
        <v>470</v>
      </c>
      <c r="H608" s="18">
        <v>3670</v>
      </c>
      <c r="I608" s="5">
        <f>IF(tbRegistroSaidas[[#This Row],[DATA DE CAIXA REALIZADO]]="N/A",0,YEAR(tbRegistroSaidas[[#This Row],[DATA DE CAIXA REALIZADO]]))</f>
        <v>2022</v>
      </c>
      <c r="J608" s="5" t="str">
        <f>IF(tbRegistroSaidas[[#This Row],[DATA DE CAIXA REALIZADO]]="N/A","0",UPPER(TEXT(tbRegistroSaidas[[#This Row],[DATA DE CAIXA REALIZADO]],"mmm")))</f>
        <v>JUN</v>
      </c>
      <c r="K608" s="79" t="str">
        <f>IF(tbRegistroSaidas[[#This Row],[DATA DA COMPETÊNCIA]]="N/A","0",UPPER(TEXT(tbRegistroSaidas[[#This Row],[DATA DA COMPETÊNCIA]],"mmm")))</f>
        <v>JUN</v>
      </c>
      <c r="L608" s="79">
        <f>IF(tbRegistroSaidas[[#This Row],[DATA DA COMPETÊNCIA]]="N/A",0,YEAR(tbRegistroSaidas[[#This Row],[DATA DA COMPETÊNCIA]]))</f>
        <v>2022</v>
      </c>
      <c r="M608" s="5" t="str">
        <f>IF(tbRegistroSaidas[[#This Row],[DATA DO CAIXA PREVISTO]]="N/A","0",UPPER(TEXT(tbRegistroSaidas[[#This Row],[DATA DO CAIXA PREVISTO]],"mmm")))</f>
        <v>JUN</v>
      </c>
      <c r="N608" s="5">
        <f>IF(tbRegistroSaidas[[#This Row],[DATA DO CAIXA PREVISTO]]="N/A",0,YEAR(tbRegistroSaidas[[#This Row],[DATA DO CAIXA PREVISTO]]))</f>
        <v>2022</v>
      </c>
    </row>
    <row r="609" spans="1:14" s="5" customFormat="1" ht="14.4" x14ac:dyDescent="0.3">
      <c r="A609" s="38">
        <v>44720.666678240741</v>
      </c>
      <c r="B609" s="49">
        <v>44716</v>
      </c>
      <c r="C609" s="49">
        <v>44720.666678240741</v>
      </c>
      <c r="D609" s="49" t="s">
        <v>63</v>
      </c>
      <c r="E609" s="51" t="s">
        <v>26</v>
      </c>
      <c r="F609" s="51" t="s">
        <v>33</v>
      </c>
      <c r="G609" s="52" t="s">
        <v>471</v>
      </c>
      <c r="H609" s="18">
        <v>4320</v>
      </c>
      <c r="I609" s="5">
        <f>IF(tbRegistroSaidas[[#This Row],[DATA DE CAIXA REALIZADO]]="N/A",0,YEAR(tbRegistroSaidas[[#This Row],[DATA DE CAIXA REALIZADO]]))</f>
        <v>2022</v>
      </c>
      <c r="J609" s="5" t="str">
        <f>IF(tbRegistroSaidas[[#This Row],[DATA DE CAIXA REALIZADO]]="N/A","0",UPPER(TEXT(tbRegistroSaidas[[#This Row],[DATA DE CAIXA REALIZADO]],"mmm")))</f>
        <v>JUN</v>
      </c>
      <c r="K609" s="79" t="str">
        <f>IF(tbRegistroSaidas[[#This Row],[DATA DA COMPETÊNCIA]]="N/A","0",UPPER(TEXT(tbRegistroSaidas[[#This Row],[DATA DA COMPETÊNCIA]],"mmm")))</f>
        <v>JUN</v>
      </c>
      <c r="L609" s="79">
        <f>IF(tbRegistroSaidas[[#This Row],[DATA DA COMPETÊNCIA]]="N/A",0,YEAR(tbRegistroSaidas[[#This Row],[DATA DA COMPETÊNCIA]]))</f>
        <v>2022</v>
      </c>
      <c r="M609" s="5" t="str">
        <f>IF(tbRegistroSaidas[[#This Row],[DATA DO CAIXA PREVISTO]]="N/A","0",UPPER(TEXT(tbRegistroSaidas[[#This Row],[DATA DO CAIXA PREVISTO]],"mmm")))</f>
        <v>JUN</v>
      </c>
      <c r="N609" s="5">
        <f>IF(tbRegistroSaidas[[#This Row],[DATA DO CAIXA PREVISTO]]="N/A",0,YEAR(tbRegistroSaidas[[#This Row],[DATA DO CAIXA PREVISTO]]))</f>
        <v>2022</v>
      </c>
    </row>
    <row r="610" spans="1:14" s="5" customFormat="1" ht="14.4" x14ac:dyDescent="0.3">
      <c r="A610" s="38">
        <v>44743.679467592592</v>
      </c>
      <c r="B610" s="49">
        <v>44717</v>
      </c>
      <c r="C610" s="49">
        <v>44743.679467592592</v>
      </c>
      <c r="D610" s="49" t="s">
        <v>137</v>
      </c>
      <c r="E610" s="51" t="s">
        <v>26</v>
      </c>
      <c r="F610" s="51" t="s">
        <v>17</v>
      </c>
      <c r="G610" s="52" t="s">
        <v>472</v>
      </c>
      <c r="H610" s="18">
        <v>1809</v>
      </c>
      <c r="I610" s="5">
        <f>IF(tbRegistroSaidas[[#This Row],[DATA DE CAIXA REALIZADO]]="N/A",0,YEAR(tbRegistroSaidas[[#This Row],[DATA DE CAIXA REALIZADO]]))</f>
        <v>2022</v>
      </c>
      <c r="J610" s="5" t="str">
        <f>IF(tbRegistroSaidas[[#This Row],[DATA DE CAIXA REALIZADO]]="N/A","0",UPPER(TEXT(tbRegistroSaidas[[#This Row],[DATA DE CAIXA REALIZADO]],"mmm")))</f>
        <v>JUL</v>
      </c>
      <c r="K610" s="79" t="str">
        <f>IF(tbRegistroSaidas[[#This Row],[DATA DA COMPETÊNCIA]]="N/A","0",UPPER(TEXT(tbRegistroSaidas[[#This Row],[DATA DA COMPETÊNCIA]],"mmm")))</f>
        <v>JUN</v>
      </c>
      <c r="L610" s="79">
        <f>IF(tbRegistroSaidas[[#This Row],[DATA DA COMPETÊNCIA]]="N/A",0,YEAR(tbRegistroSaidas[[#This Row],[DATA DA COMPETÊNCIA]]))</f>
        <v>2022</v>
      </c>
      <c r="M610" s="5" t="str">
        <f>IF(tbRegistroSaidas[[#This Row],[DATA DO CAIXA PREVISTO]]="N/A","0",UPPER(TEXT(tbRegistroSaidas[[#This Row],[DATA DO CAIXA PREVISTO]],"mmm")))</f>
        <v>JUL</v>
      </c>
      <c r="N610" s="5">
        <f>IF(tbRegistroSaidas[[#This Row],[DATA DO CAIXA PREVISTO]]="N/A",0,YEAR(tbRegistroSaidas[[#This Row],[DATA DO CAIXA PREVISTO]]))</f>
        <v>2022</v>
      </c>
    </row>
    <row r="611" spans="1:14" s="5" customFormat="1" ht="14.4" x14ac:dyDescent="0.3">
      <c r="A611" s="38">
        <v>44767.811331018522</v>
      </c>
      <c r="B611" s="49">
        <v>44719</v>
      </c>
      <c r="C611" s="49">
        <v>44767.811331018522</v>
      </c>
      <c r="D611" s="49" t="s">
        <v>137</v>
      </c>
      <c r="E611" s="51" t="s">
        <v>26</v>
      </c>
      <c r="F611" s="51" t="s">
        <v>33</v>
      </c>
      <c r="G611" s="52" t="s">
        <v>473</v>
      </c>
      <c r="H611" s="18">
        <v>667</v>
      </c>
      <c r="I611" s="5">
        <f>IF(tbRegistroSaidas[[#This Row],[DATA DE CAIXA REALIZADO]]="N/A",0,YEAR(tbRegistroSaidas[[#This Row],[DATA DE CAIXA REALIZADO]]))</f>
        <v>2022</v>
      </c>
      <c r="J611" s="5" t="str">
        <f>IF(tbRegistroSaidas[[#This Row],[DATA DE CAIXA REALIZADO]]="N/A","0",UPPER(TEXT(tbRegistroSaidas[[#This Row],[DATA DE CAIXA REALIZADO]],"mmm")))</f>
        <v>JUL</v>
      </c>
      <c r="K611" s="79" t="str">
        <f>IF(tbRegistroSaidas[[#This Row],[DATA DA COMPETÊNCIA]]="N/A","0",UPPER(TEXT(tbRegistroSaidas[[#This Row],[DATA DA COMPETÊNCIA]],"mmm")))</f>
        <v>JUN</v>
      </c>
      <c r="L611" s="79">
        <f>IF(tbRegistroSaidas[[#This Row],[DATA DA COMPETÊNCIA]]="N/A",0,YEAR(tbRegistroSaidas[[#This Row],[DATA DA COMPETÊNCIA]]))</f>
        <v>2022</v>
      </c>
      <c r="M611" s="5" t="str">
        <f>IF(tbRegistroSaidas[[#This Row],[DATA DO CAIXA PREVISTO]]="N/A","0",UPPER(TEXT(tbRegistroSaidas[[#This Row],[DATA DO CAIXA PREVISTO]],"mmm")))</f>
        <v>JUL</v>
      </c>
      <c r="N611" s="5">
        <f>IF(tbRegistroSaidas[[#This Row],[DATA DO CAIXA PREVISTO]]="N/A",0,YEAR(tbRegistroSaidas[[#This Row],[DATA DO CAIXA PREVISTO]]))</f>
        <v>2022</v>
      </c>
    </row>
    <row r="612" spans="1:14" s="5" customFormat="1" ht="14.4" x14ac:dyDescent="0.3">
      <c r="A612" s="38">
        <v>44730.791759259257</v>
      </c>
      <c r="B612" s="49">
        <v>44723</v>
      </c>
      <c r="C612" s="49">
        <v>44730.791759259257</v>
      </c>
      <c r="D612" s="49" t="s">
        <v>62</v>
      </c>
      <c r="E612" s="51" t="s">
        <v>26</v>
      </c>
      <c r="F612" s="51" t="s">
        <v>16</v>
      </c>
      <c r="G612" s="52" t="s">
        <v>474</v>
      </c>
      <c r="H612" s="18">
        <v>1613</v>
      </c>
      <c r="I612" s="5">
        <f>IF(tbRegistroSaidas[[#This Row],[DATA DE CAIXA REALIZADO]]="N/A",0,YEAR(tbRegistroSaidas[[#This Row],[DATA DE CAIXA REALIZADO]]))</f>
        <v>2022</v>
      </c>
      <c r="J612" s="5" t="str">
        <f>IF(tbRegistroSaidas[[#This Row],[DATA DE CAIXA REALIZADO]]="N/A","0",UPPER(TEXT(tbRegistroSaidas[[#This Row],[DATA DE CAIXA REALIZADO]],"mmm")))</f>
        <v>JUN</v>
      </c>
      <c r="K612" s="79" t="str">
        <f>IF(tbRegistroSaidas[[#This Row],[DATA DA COMPETÊNCIA]]="N/A","0",UPPER(TEXT(tbRegistroSaidas[[#This Row],[DATA DA COMPETÊNCIA]],"mmm")))</f>
        <v>JUN</v>
      </c>
      <c r="L612" s="79">
        <f>IF(tbRegistroSaidas[[#This Row],[DATA DA COMPETÊNCIA]]="N/A",0,YEAR(tbRegistroSaidas[[#This Row],[DATA DA COMPETÊNCIA]]))</f>
        <v>2022</v>
      </c>
      <c r="M612" s="5" t="str">
        <f>IF(tbRegistroSaidas[[#This Row],[DATA DO CAIXA PREVISTO]]="N/A","0",UPPER(TEXT(tbRegistroSaidas[[#This Row],[DATA DO CAIXA PREVISTO]],"mmm")))</f>
        <v>JUN</v>
      </c>
      <c r="N612" s="5">
        <f>IF(tbRegistroSaidas[[#This Row],[DATA DO CAIXA PREVISTO]]="N/A",0,YEAR(tbRegistroSaidas[[#This Row],[DATA DO CAIXA PREVISTO]]))</f>
        <v>2022</v>
      </c>
    </row>
    <row r="613" spans="1:14" s="5" customFormat="1" ht="14.4" x14ac:dyDescent="0.3">
      <c r="A613" s="38">
        <v>44770.241793981484</v>
      </c>
      <c r="B613" s="49">
        <v>44729</v>
      </c>
      <c r="C613" s="49">
        <v>44770.241793981484</v>
      </c>
      <c r="D613" s="49" t="s">
        <v>64</v>
      </c>
      <c r="E613" s="51" t="s">
        <v>26</v>
      </c>
      <c r="F613" s="51" t="s">
        <v>32</v>
      </c>
      <c r="G613" s="52" t="s">
        <v>475</v>
      </c>
      <c r="H613" s="18">
        <v>3756</v>
      </c>
      <c r="I613" s="5">
        <f>IF(tbRegistroSaidas[[#This Row],[DATA DE CAIXA REALIZADO]]="N/A",0,YEAR(tbRegistroSaidas[[#This Row],[DATA DE CAIXA REALIZADO]]))</f>
        <v>2022</v>
      </c>
      <c r="J613" s="5" t="str">
        <f>IF(tbRegistroSaidas[[#This Row],[DATA DE CAIXA REALIZADO]]="N/A","0",UPPER(TEXT(tbRegistroSaidas[[#This Row],[DATA DE CAIXA REALIZADO]],"mmm")))</f>
        <v>JUL</v>
      </c>
      <c r="K613" s="79" t="str">
        <f>IF(tbRegistroSaidas[[#This Row],[DATA DA COMPETÊNCIA]]="N/A","0",UPPER(TEXT(tbRegistroSaidas[[#This Row],[DATA DA COMPETÊNCIA]],"mmm")))</f>
        <v>JUN</v>
      </c>
      <c r="L613" s="79">
        <f>IF(tbRegistroSaidas[[#This Row],[DATA DA COMPETÊNCIA]]="N/A",0,YEAR(tbRegistroSaidas[[#This Row],[DATA DA COMPETÊNCIA]]))</f>
        <v>2022</v>
      </c>
      <c r="M613" s="5" t="str">
        <f>IF(tbRegistroSaidas[[#This Row],[DATA DO CAIXA PREVISTO]]="N/A","0",UPPER(TEXT(tbRegistroSaidas[[#This Row],[DATA DO CAIXA PREVISTO]],"mmm")))</f>
        <v>JUL</v>
      </c>
      <c r="N613" s="5">
        <f>IF(tbRegistroSaidas[[#This Row],[DATA DO CAIXA PREVISTO]]="N/A",0,YEAR(tbRegistroSaidas[[#This Row],[DATA DO CAIXA PREVISTO]]))</f>
        <v>2022</v>
      </c>
    </row>
    <row r="614" spans="1:14" s="5" customFormat="1" ht="14.4" x14ac:dyDescent="0.3">
      <c r="A614" s="38">
        <v>44789.010324074072</v>
      </c>
      <c r="B614" s="49">
        <v>44732</v>
      </c>
      <c r="C614" s="49">
        <v>44789.010324074072</v>
      </c>
      <c r="D614" s="49" t="s">
        <v>64</v>
      </c>
      <c r="E614" s="51" t="s">
        <v>26</v>
      </c>
      <c r="F614" s="51" t="s">
        <v>17</v>
      </c>
      <c r="G614" s="52" t="s">
        <v>476</v>
      </c>
      <c r="H614" s="18">
        <v>3672</v>
      </c>
      <c r="I614" s="5">
        <f>IF(tbRegistroSaidas[[#This Row],[DATA DE CAIXA REALIZADO]]="N/A",0,YEAR(tbRegistroSaidas[[#This Row],[DATA DE CAIXA REALIZADO]]))</f>
        <v>2022</v>
      </c>
      <c r="J614" s="5" t="str">
        <f>IF(tbRegistroSaidas[[#This Row],[DATA DE CAIXA REALIZADO]]="N/A","0",UPPER(TEXT(tbRegistroSaidas[[#This Row],[DATA DE CAIXA REALIZADO]],"mmm")))</f>
        <v>AGO</v>
      </c>
      <c r="K614" s="79" t="str">
        <f>IF(tbRegistroSaidas[[#This Row],[DATA DA COMPETÊNCIA]]="N/A","0",UPPER(TEXT(tbRegistroSaidas[[#This Row],[DATA DA COMPETÊNCIA]],"mmm")))</f>
        <v>JUN</v>
      </c>
      <c r="L614" s="79">
        <f>IF(tbRegistroSaidas[[#This Row],[DATA DA COMPETÊNCIA]]="N/A",0,YEAR(tbRegistroSaidas[[#This Row],[DATA DA COMPETÊNCIA]]))</f>
        <v>2022</v>
      </c>
      <c r="M614" s="5" t="str">
        <f>IF(tbRegistroSaidas[[#This Row],[DATA DO CAIXA PREVISTO]]="N/A","0",UPPER(TEXT(tbRegistroSaidas[[#This Row],[DATA DO CAIXA PREVISTO]],"mmm")))</f>
        <v>AGO</v>
      </c>
      <c r="N614" s="5">
        <f>IF(tbRegistroSaidas[[#This Row],[DATA DO CAIXA PREVISTO]]="N/A",0,YEAR(tbRegistroSaidas[[#This Row],[DATA DO CAIXA PREVISTO]]))</f>
        <v>2022</v>
      </c>
    </row>
    <row r="615" spans="1:14" s="5" customFormat="1" ht="14.4" x14ac:dyDescent="0.3">
      <c r="A615" s="38">
        <v>44790.109710648147</v>
      </c>
      <c r="B615" s="49">
        <v>44738</v>
      </c>
      <c r="C615" s="49">
        <v>44749.040879629632</v>
      </c>
      <c r="D615" s="49" t="s">
        <v>64</v>
      </c>
      <c r="E615" s="51" t="s">
        <v>26</v>
      </c>
      <c r="F615" s="51" t="s">
        <v>33</v>
      </c>
      <c r="G615" s="52" t="s">
        <v>477</v>
      </c>
      <c r="H615" s="18">
        <v>658</v>
      </c>
      <c r="I615" s="5">
        <f>IF(tbRegistroSaidas[[#This Row],[DATA DE CAIXA REALIZADO]]="N/A",0,YEAR(tbRegistroSaidas[[#This Row],[DATA DE CAIXA REALIZADO]]))</f>
        <v>2022</v>
      </c>
      <c r="J615" s="5" t="str">
        <f>IF(tbRegistroSaidas[[#This Row],[DATA DE CAIXA REALIZADO]]="N/A","0",UPPER(TEXT(tbRegistroSaidas[[#This Row],[DATA DE CAIXA REALIZADO]],"mmm")))</f>
        <v>AGO</v>
      </c>
      <c r="K615" s="79" t="str">
        <f>IF(tbRegistroSaidas[[#This Row],[DATA DA COMPETÊNCIA]]="N/A","0",UPPER(TEXT(tbRegistroSaidas[[#This Row],[DATA DA COMPETÊNCIA]],"mmm")))</f>
        <v>JUN</v>
      </c>
      <c r="L615" s="79">
        <f>IF(tbRegistroSaidas[[#This Row],[DATA DA COMPETÊNCIA]]="N/A",0,YEAR(tbRegistroSaidas[[#This Row],[DATA DA COMPETÊNCIA]]))</f>
        <v>2022</v>
      </c>
      <c r="M615" s="5" t="str">
        <f>IF(tbRegistroSaidas[[#This Row],[DATA DO CAIXA PREVISTO]]="N/A","0",UPPER(TEXT(tbRegistroSaidas[[#This Row],[DATA DO CAIXA PREVISTO]],"mmm")))</f>
        <v>JUL</v>
      </c>
      <c r="N615" s="5">
        <f>IF(tbRegistroSaidas[[#This Row],[DATA DO CAIXA PREVISTO]]="N/A",0,YEAR(tbRegistroSaidas[[#This Row],[DATA DO CAIXA PREVISTO]]))</f>
        <v>2022</v>
      </c>
    </row>
    <row r="616" spans="1:14" s="5" customFormat="1" ht="14.4" x14ac:dyDescent="0.3">
      <c r="A616" s="38">
        <v>44797.432893518519</v>
      </c>
      <c r="B616" s="49">
        <v>44741</v>
      </c>
      <c r="C616" s="49">
        <v>44797.432893518519</v>
      </c>
      <c r="D616" s="49" t="s">
        <v>61</v>
      </c>
      <c r="E616" s="51" t="s">
        <v>26</v>
      </c>
      <c r="F616" s="51" t="s">
        <v>17</v>
      </c>
      <c r="G616" s="52" t="s">
        <v>478</v>
      </c>
      <c r="H616" s="18">
        <v>4762</v>
      </c>
      <c r="I616" s="5">
        <f>IF(tbRegistroSaidas[[#This Row],[DATA DE CAIXA REALIZADO]]="N/A",0,YEAR(tbRegistroSaidas[[#This Row],[DATA DE CAIXA REALIZADO]]))</f>
        <v>2022</v>
      </c>
      <c r="J616" s="5" t="str">
        <f>IF(tbRegistroSaidas[[#This Row],[DATA DE CAIXA REALIZADO]]="N/A","0",UPPER(TEXT(tbRegistroSaidas[[#This Row],[DATA DE CAIXA REALIZADO]],"mmm")))</f>
        <v>AGO</v>
      </c>
      <c r="K616" s="79" t="str">
        <f>IF(tbRegistroSaidas[[#This Row],[DATA DA COMPETÊNCIA]]="N/A","0",UPPER(TEXT(tbRegistroSaidas[[#This Row],[DATA DA COMPETÊNCIA]],"mmm")))</f>
        <v>JUN</v>
      </c>
      <c r="L616" s="79">
        <f>IF(tbRegistroSaidas[[#This Row],[DATA DA COMPETÊNCIA]]="N/A",0,YEAR(tbRegistroSaidas[[#This Row],[DATA DA COMPETÊNCIA]]))</f>
        <v>2022</v>
      </c>
      <c r="M616" s="5" t="str">
        <f>IF(tbRegistroSaidas[[#This Row],[DATA DO CAIXA PREVISTO]]="N/A","0",UPPER(TEXT(tbRegistroSaidas[[#This Row],[DATA DO CAIXA PREVISTO]],"mmm")))</f>
        <v>AGO</v>
      </c>
      <c r="N616" s="5">
        <f>IF(tbRegistroSaidas[[#This Row],[DATA DO CAIXA PREVISTO]]="N/A",0,YEAR(tbRegistroSaidas[[#This Row],[DATA DO CAIXA PREVISTO]]))</f>
        <v>2022</v>
      </c>
    </row>
    <row r="617" spans="1:14" s="5" customFormat="1" ht="14.4" x14ac:dyDescent="0.3">
      <c r="A617" s="38">
        <v>44751.700266203705</v>
      </c>
      <c r="B617" s="49">
        <v>44744</v>
      </c>
      <c r="C617" s="49">
        <v>44751.700266203705</v>
      </c>
      <c r="D617" s="49" t="s">
        <v>61</v>
      </c>
      <c r="E617" s="51" t="s">
        <v>26</v>
      </c>
      <c r="F617" s="51" t="s">
        <v>32</v>
      </c>
      <c r="G617" s="52" t="s">
        <v>479</v>
      </c>
      <c r="H617" s="18">
        <v>2186</v>
      </c>
      <c r="I617" s="5">
        <f>IF(tbRegistroSaidas[[#This Row],[DATA DE CAIXA REALIZADO]]="N/A",0,YEAR(tbRegistroSaidas[[#This Row],[DATA DE CAIXA REALIZADO]]))</f>
        <v>2022</v>
      </c>
      <c r="J617" s="5" t="str">
        <f>IF(tbRegistroSaidas[[#This Row],[DATA DE CAIXA REALIZADO]]="N/A","0",UPPER(TEXT(tbRegistroSaidas[[#This Row],[DATA DE CAIXA REALIZADO]],"mmm")))</f>
        <v>JUL</v>
      </c>
      <c r="K617" s="79" t="str">
        <f>IF(tbRegistroSaidas[[#This Row],[DATA DA COMPETÊNCIA]]="N/A","0",UPPER(TEXT(tbRegistroSaidas[[#This Row],[DATA DA COMPETÊNCIA]],"mmm")))</f>
        <v>JUL</v>
      </c>
      <c r="L617" s="79">
        <f>IF(tbRegistroSaidas[[#This Row],[DATA DA COMPETÊNCIA]]="N/A",0,YEAR(tbRegistroSaidas[[#This Row],[DATA DA COMPETÊNCIA]]))</f>
        <v>2022</v>
      </c>
      <c r="M617" s="5" t="str">
        <f>IF(tbRegistroSaidas[[#This Row],[DATA DO CAIXA PREVISTO]]="N/A","0",UPPER(TEXT(tbRegistroSaidas[[#This Row],[DATA DO CAIXA PREVISTO]],"mmm")))</f>
        <v>JUL</v>
      </c>
      <c r="N617" s="5">
        <f>IF(tbRegistroSaidas[[#This Row],[DATA DO CAIXA PREVISTO]]="N/A",0,YEAR(tbRegistroSaidas[[#This Row],[DATA DO CAIXA PREVISTO]]))</f>
        <v>2022</v>
      </c>
    </row>
    <row r="618" spans="1:14" s="5" customFormat="1" ht="14.4" x14ac:dyDescent="0.3">
      <c r="A618" s="38">
        <v>44766.188657407409</v>
      </c>
      <c r="B618" s="49">
        <v>44745</v>
      </c>
      <c r="C618" s="49">
        <v>44766.188657407409</v>
      </c>
      <c r="D618" s="49" t="s">
        <v>67</v>
      </c>
      <c r="E618" s="51" t="s">
        <v>26</v>
      </c>
      <c r="F618" s="51" t="s">
        <v>17</v>
      </c>
      <c r="G618" s="52" t="s">
        <v>480</v>
      </c>
      <c r="H618" s="18">
        <v>3411</v>
      </c>
      <c r="I618" s="5">
        <f>IF(tbRegistroSaidas[[#This Row],[DATA DE CAIXA REALIZADO]]="N/A",0,YEAR(tbRegistroSaidas[[#This Row],[DATA DE CAIXA REALIZADO]]))</f>
        <v>2022</v>
      </c>
      <c r="J618" s="5" t="str">
        <f>IF(tbRegistroSaidas[[#This Row],[DATA DE CAIXA REALIZADO]]="N/A","0",UPPER(TEXT(tbRegistroSaidas[[#This Row],[DATA DE CAIXA REALIZADO]],"mmm")))</f>
        <v>JUL</v>
      </c>
      <c r="K618" s="79" t="str">
        <f>IF(tbRegistroSaidas[[#This Row],[DATA DA COMPETÊNCIA]]="N/A","0",UPPER(TEXT(tbRegistroSaidas[[#This Row],[DATA DA COMPETÊNCIA]],"mmm")))</f>
        <v>JUL</v>
      </c>
      <c r="L618" s="79">
        <f>IF(tbRegistroSaidas[[#This Row],[DATA DA COMPETÊNCIA]]="N/A",0,YEAR(tbRegistroSaidas[[#This Row],[DATA DA COMPETÊNCIA]]))</f>
        <v>2022</v>
      </c>
      <c r="M618" s="5" t="str">
        <f>IF(tbRegistroSaidas[[#This Row],[DATA DO CAIXA PREVISTO]]="N/A","0",UPPER(TEXT(tbRegistroSaidas[[#This Row],[DATA DO CAIXA PREVISTO]],"mmm")))</f>
        <v>JUL</v>
      </c>
      <c r="N618" s="5">
        <f>IF(tbRegistroSaidas[[#This Row],[DATA DO CAIXA PREVISTO]]="N/A",0,YEAR(tbRegistroSaidas[[#This Row],[DATA DO CAIXA PREVISTO]]))</f>
        <v>2022</v>
      </c>
    </row>
    <row r="619" spans="1:14" s="5" customFormat="1" ht="14.4" x14ac:dyDescent="0.3">
      <c r="A619" s="38">
        <v>44766.434629629628</v>
      </c>
      <c r="B619" s="49">
        <v>44750</v>
      </c>
      <c r="C619" s="49">
        <v>44766.434629629628</v>
      </c>
      <c r="D619" s="49" t="s">
        <v>137</v>
      </c>
      <c r="E619" s="51" t="s">
        <v>26</v>
      </c>
      <c r="F619" s="51" t="s">
        <v>17</v>
      </c>
      <c r="G619" s="52" t="s">
        <v>481</v>
      </c>
      <c r="H619" s="18">
        <v>2524</v>
      </c>
      <c r="I619" s="5">
        <f>IF(tbRegistroSaidas[[#This Row],[DATA DE CAIXA REALIZADO]]="N/A",0,YEAR(tbRegistroSaidas[[#This Row],[DATA DE CAIXA REALIZADO]]))</f>
        <v>2022</v>
      </c>
      <c r="J619" s="5" t="str">
        <f>IF(tbRegistroSaidas[[#This Row],[DATA DE CAIXA REALIZADO]]="N/A","0",UPPER(TEXT(tbRegistroSaidas[[#This Row],[DATA DE CAIXA REALIZADO]],"mmm")))</f>
        <v>JUL</v>
      </c>
      <c r="K619" s="79" t="str">
        <f>IF(tbRegistroSaidas[[#This Row],[DATA DA COMPETÊNCIA]]="N/A","0",UPPER(TEXT(tbRegistroSaidas[[#This Row],[DATA DA COMPETÊNCIA]],"mmm")))</f>
        <v>JUL</v>
      </c>
      <c r="L619" s="79">
        <f>IF(tbRegistroSaidas[[#This Row],[DATA DA COMPETÊNCIA]]="N/A",0,YEAR(tbRegistroSaidas[[#This Row],[DATA DA COMPETÊNCIA]]))</f>
        <v>2022</v>
      </c>
      <c r="M619" s="5" t="str">
        <f>IF(tbRegistroSaidas[[#This Row],[DATA DO CAIXA PREVISTO]]="N/A","0",UPPER(TEXT(tbRegistroSaidas[[#This Row],[DATA DO CAIXA PREVISTO]],"mmm")))</f>
        <v>JUL</v>
      </c>
      <c r="N619" s="5">
        <f>IF(tbRegistroSaidas[[#This Row],[DATA DO CAIXA PREVISTO]]="N/A",0,YEAR(tbRegistroSaidas[[#This Row],[DATA DO CAIXA PREVISTO]]))</f>
        <v>2022</v>
      </c>
    </row>
    <row r="620" spans="1:14" s="5" customFormat="1" ht="14.4" x14ac:dyDescent="0.3">
      <c r="A620" s="38">
        <v>44774.176701388889</v>
      </c>
      <c r="B620" s="49">
        <v>44752</v>
      </c>
      <c r="C620" s="49">
        <v>44774.176701388889</v>
      </c>
      <c r="D620" s="49" t="s">
        <v>65</v>
      </c>
      <c r="E620" s="51" t="s">
        <v>26</v>
      </c>
      <c r="F620" s="51" t="s">
        <v>32</v>
      </c>
      <c r="G620" s="52" t="s">
        <v>482</v>
      </c>
      <c r="H620" s="18">
        <v>1709</v>
      </c>
      <c r="I620" s="5">
        <f>IF(tbRegistroSaidas[[#This Row],[DATA DE CAIXA REALIZADO]]="N/A",0,YEAR(tbRegistroSaidas[[#This Row],[DATA DE CAIXA REALIZADO]]))</f>
        <v>2022</v>
      </c>
      <c r="J620" s="5" t="str">
        <f>IF(tbRegistroSaidas[[#This Row],[DATA DE CAIXA REALIZADO]]="N/A","0",UPPER(TEXT(tbRegistroSaidas[[#This Row],[DATA DE CAIXA REALIZADO]],"mmm")))</f>
        <v>AGO</v>
      </c>
      <c r="K620" s="79" t="str">
        <f>IF(tbRegistroSaidas[[#This Row],[DATA DA COMPETÊNCIA]]="N/A","0",UPPER(TEXT(tbRegistroSaidas[[#This Row],[DATA DA COMPETÊNCIA]],"mmm")))</f>
        <v>JUL</v>
      </c>
      <c r="L620" s="79">
        <f>IF(tbRegistroSaidas[[#This Row],[DATA DA COMPETÊNCIA]]="N/A",0,YEAR(tbRegistroSaidas[[#This Row],[DATA DA COMPETÊNCIA]]))</f>
        <v>2022</v>
      </c>
      <c r="M620" s="5" t="str">
        <f>IF(tbRegistroSaidas[[#This Row],[DATA DO CAIXA PREVISTO]]="N/A","0",UPPER(TEXT(tbRegistroSaidas[[#This Row],[DATA DO CAIXA PREVISTO]],"mmm")))</f>
        <v>AGO</v>
      </c>
      <c r="N620" s="5">
        <f>IF(tbRegistroSaidas[[#This Row],[DATA DO CAIXA PREVISTO]]="N/A",0,YEAR(tbRegistroSaidas[[#This Row],[DATA DO CAIXA PREVISTO]]))</f>
        <v>2022</v>
      </c>
    </row>
    <row r="621" spans="1:14" s="5" customFormat="1" ht="14.4" x14ac:dyDescent="0.3">
      <c r="A621" s="38">
        <v>44801.349293981482</v>
      </c>
      <c r="B621" s="49">
        <v>44757</v>
      </c>
      <c r="C621" s="49">
        <v>44801.349293981482</v>
      </c>
      <c r="D621" s="49" t="s">
        <v>64</v>
      </c>
      <c r="E621" s="51" t="s">
        <v>26</v>
      </c>
      <c r="F621" s="51" t="s">
        <v>33</v>
      </c>
      <c r="G621" s="52" t="s">
        <v>483</v>
      </c>
      <c r="H621" s="18">
        <v>3181</v>
      </c>
      <c r="I621" s="5">
        <f>IF(tbRegistroSaidas[[#This Row],[DATA DE CAIXA REALIZADO]]="N/A",0,YEAR(tbRegistroSaidas[[#This Row],[DATA DE CAIXA REALIZADO]]))</f>
        <v>2022</v>
      </c>
      <c r="J621" s="5" t="str">
        <f>IF(tbRegistroSaidas[[#This Row],[DATA DE CAIXA REALIZADO]]="N/A","0",UPPER(TEXT(tbRegistroSaidas[[#This Row],[DATA DE CAIXA REALIZADO]],"mmm")))</f>
        <v>AGO</v>
      </c>
      <c r="K621" s="79" t="str">
        <f>IF(tbRegistroSaidas[[#This Row],[DATA DA COMPETÊNCIA]]="N/A","0",UPPER(TEXT(tbRegistroSaidas[[#This Row],[DATA DA COMPETÊNCIA]],"mmm")))</f>
        <v>JUL</v>
      </c>
      <c r="L621" s="79">
        <f>IF(tbRegistroSaidas[[#This Row],[DATA DA COMPETÊNCIA]]="N/A",0,YEAR(tbRegistroSaidas[[#This Row],[DATA DA COMPETÊNCIA]]))</f>
        <v>2022</v>
      </c>
      <c r="M621" s="5" t="str">
        <f>IF(tbRegistroSaidas[[#This Row],[DATA DO CAIXA PREVISTO]]="N/A","0",UPPER(TEXT(tbRegistroSaidas[[#This Row],[DATA DO CAIXA PREVISTO]],"mmm")))</f>
        <v>AGO</v>
      </c>
      <c r="N621" s="5">
        <f>IF(tbRegistroSaidas[[#This Row],[DATA DO CAIXA PREVISTO]]="N/A",0,YEAR(tbRegistroSaidas[[#This Row],[DATA DO CAIXA PREVISTO]]))</f>
        <v>2022</v>
      </c>
    </row>
    <row r="622" spans="1:14" s="5" customFormat="1" ht="14.4" x14ac:dyDescent="0.3">
      <c r="A622" s="38">
        <v>44782.703958333332</v>
      </c>
      <c r="B622" s="49">
        <v>44758</v>
      </c>
      <c r="C622" s="49">
        <v>44782.703958333332</v>
      </c>
      <c r="D622" s="49" t="s">
        <v>67</v>
      </c>
      <c r="E622" s="51" t="s">
        <v>26</v>
      </c>
      <c r="F622" s="51" t="s">
        <v>18</v>
      </c>
      <c r="G622" s="52" t="s">
        <v>484</v>
      </c>
      <c r="H622" s="18">
        <v>1108</v>
      </c>
      <c r="I622" s="5">
        <f>IF(tbRegistroSaidas[[#This Row],[DATA DE CAIXA REALIZADO]]="N/A",0,YEAR(tbRegistroSaidas[[#This Row],[DATA DE CAIXA REALIZADO]]))</f>
        <v>2022</v>
      </c>
      <c r="J622" s="5" t="str">
        <f>IF(tbRegistroSaidas[[#This Row],[DATA DE CAIXA REALIZADO]]="N/A","0",UPPER(TEXT(tbRegistroSaidas[[#This Row],[DATA DE CAIXA REALIZADO]],"mmm")))</f>
        <v>AGO</v>
      </c>
      <c r="K622" s="79" t="str">
        <f>IF(tbRegistroSaidas[[#This Row],[DATA DA COMPETÊNCIA]]="N/A","0",UPPER(TEXT(tbRegistroSaidas[[#This Row],[DATA DA COMPETÊNCIA]],"mmm")))</f>
        <v>JUL</v>
      </c>
      <c r="L622" s="79">
        <f>IF(tbRegistroSaidas[[#This Row],[DATA DA COMPETÊNCIA]]="N/A",0,YEAR(tbRegistroSaidas[[#This Row],[DATA DA COMPETÊNCIA]]))</f>
        <v>2022</v>
      </c>
      <c r="M622" s="5" t="str">
        <f>IF(tbRegistroSaidas[[#This Row],[DATA DO CAIXA PREVISTO]]="N/A","0",UPPER(TEXT(tbRegistroSaidas[[#This Row],[DATA DO CAIXA PREVISTO]],"mmm")))</f>
        <v>AGO</v>
      </c>
      <c r="N622" s="5">
        <f>IF(tbRegistroSaidas[[#This Row],[DATA DO CAIXA PREVISTO]]="N/A",0,YEAR(tbRegistroSaidas[[#This Row],[DATA DO CAIXA PREVISTO]]))</f>
        <v>2022</v>
      </c>
    </row>
    <row r="623" spans="1:14" s="5" customFormat="1" ht="14.4" x14ac:dyDescent="0.3">
      <c r="A623" s="38">
        <v>44791.010671296295</v>
      </c>
      <c r="B623" s="49">
        <v>44759</v>
      </c>
      <c r="C623" s="49">
        <v>44791.010671296295</v>
      </c>
      <c r="D623" s="49" t="s">
        <v>66</v>
      </c>
      <c r="E623" s="51" t="s">
        <v>26</v>
      </c>
      <c r="F623" s="51" t="s">
        <v>33</v>
      </c>
      <c r="G623" s="52" t="s">
        <v>485</v>
      </c>
      <c r="H623" s="18">
        <v>2777</v>
      </c>
      <c r="I623" s="5">
        <f>IF(tbRegistroSaidas[[#This Row],[DATA DE CAIXA REALIZADO]]="N/A",0,YEAR(tbRegistroSaidas[[#This Row],[DATA DE CAIXA REALIZADO]]))</f>
        <v>2022</v>
      </c>
      <c r="J623" s="5" t="str">
        <f>IF(tbRegistroSaidas[[#This Row],[DATA DE CAIXA REALIZADO]]="N/A","0",UPPER(TEXT(tbRegistroSaidas[[#This Row],[DATA DE CAIXA REALIZADO]],"mmm")))</f>
        <v>AGO</v>
      </c>
      <c r="K623" s="79" t="str">
        <f>IF(tbRegistroSaidas[[#This Row],[DATA DA COMPETÊNCIA]]="N/A","0",UPPER(TEXT(tbRegistroSaidas[[#This Row],[DATA DA COMPETÊNCIA]],"mmm")))</f>
        <v>JUL</v>
      </c>
      <c r="L623" s="79">
        <f>IF(tbRegistroSaidas[[#This Row],[DATA DA COMPETÊNCIA]]="N/A",0,YEAR(tbRegistroSaidas[[#This Row],[DATA DA COMPETÊNCIA]]))</f>
        <v>2022</v>
      </c>
      <c r="M623" s="5" t="str">
        <f>IF(tbRegistroSaidas[[#This Row],[DATA DO CAIXA PREVISTO]]="N/A","0",UPPER(TEXT(tbRegistroSaidas[[#This Row],[DATA DO CAIXA PREVISTO]],"mmm")))</f>
        <v>AGO</v>
      </c>
      <c r="N623" s="5">
        <f>IF(tbRegistroSaidas[[#This Row],[DATA DO CAIXA PREVISTO]]="N/A",0,YEAR(tbRegistroSaidas[[#This Row],[DATA DO CAIXA PREVISTO]]))</f>
        <v>2022</v>
      </c>
    </row>
    <row r="624" spans="1:14" s="5" customFormat="1" ht="14.4" x14ac:dyDescent="0.3">
      <c r="A624" s="38">
        <v>44818.040891203702</v>
      </c>
      <c r="B624" s="49">
        <v>44761</v>
      </c>
      <c r="C624" s="49">
        <v>44818.040891203702</v>
      </c>
      <c r="D624" s="49" t="s">
        <v>137</v>
      </c>
      <c r="E624" s="51" t="s">
        <v>26</v>
      </c>
      <c r="F624" s="51" t="s">
        <v>32</v>
      </c>
      <c r="G624" s="52" t="s">
        <v>486</v>
      </c>
      <c r="H624" s="18">
        <v>3793</v>
      </c>
      <c r="I624" s="5">
        <f>IF(tbRegistroSaidas[[#This Row],[DATA DE CAIXA REALIZADO]]="N/A",0,YEAR(tbRegistroSaidas[[#This Row],[DATA DE CAIXA REALIZADO]]))</f>
        <v>2022</v>
      </c>
      <c r="J624" s="5" t="str">
        <f>IF(tbRegistroSaidas[[#This Row],[DATA DE CAIXA REALIZADO]]="N/A","0",UPPER(TEXT(tbRegistroSaidas[[#This Row],[DATA DE CAIXA REALIZADO]],"mmm")))</f>
        <v>SET</v>
      </c>
      <c r="K624" s="79" t="str">
        <f>IF(tbRegistroSaidas[[#This Row],[DATA DA COMPETÊNCIA]]="N/A","0",UPPER(TEXT(tbRegistroSaidas[[#This Row],[DATA DA COMPETÊNCIA]],"mmm")))</f>
        <v>JUL</v>
      </c>
      <c r="L624" s="79">
        <f>IF(tbRegistroSaidas[[#This Row],[DATA DA COMPETÊNCIA]]="N/A",0,YEAR(tbRegistroSaidas[[#This Row],[DATA DA COMPETÊNCIA]]))</f>
        <v>2022</v>
      </c>
      <c r="M624" s="5" t="str">
        <f>IF(tbRegistroSaidas[[#This Row],[DATA DO CAIXA PREVISTO]]="N/A","0",UPPER(TEXT(tbRegistroSaidas[[#This Row],[DATA DO CAIXA PREVISTO]],"mmm")))</f>
        <v>SET</v>
      </c>
      <c r="N624" s="5">
        <f>IF(tbRegistroSaidas[[#This Row],[DATA DO CAIXA PREVISTO]]="N/A",0,YEAR(tbRegistroSaidas[[#This Row],[DATA DO CAIXA PREVISTO]]))</f>
        <v>2022</v>
      </c>
    </row>
    <row r="625" spans="1:14" s="5" customFormat="1" ht="14.4" x14ac:dyDescent="0.3">
      <c r="A625" s="38" t="s">
        <v>141</v>
      </c>
      <c r="B625" s="49">
        <v>44763</v>
      </c>
      <c r="C625" s="49">
        <v>44785.888842592591</v>
      </c>
      <c r="D625" s="49" t="s">
        <v>63</v>
      </c>
      <c r="E625" s="51" t="s">
        <v>26</v>
      </c>
      <c r="F625" s="51" t="s">
        <v>17</v>
      </c>
      <c r="G625" s="52" t="s">
        <v>487</v>
      </c>
      <c r="H625" s="18">
        <v>4217</v>
      </c>
      <c r="I625" s="5">
        <f>IF(tbRegistroSaidas[[#This Row],[DATA DE CAIXA REALIZADO]]="N/A",0,YEAR(tbRegistroSaidas[[#This Row],[DATA DE CAIXA REALIZADO]]))</f>
        <v>0</v>
      </c>
      <c r="J625" s="5" t="str">
        <f>IF(tbRegistroSaidas[[#This Row],[DATA DE CAIXA REALIZADO]]="N/A","0",UPPER(TEXT(tbRegistroSaidas[[#This Row],[DATA DE CAIXA REALIZADO]],"mmm")))</f>
        <v>0</v>
      </c>
      <c r="K625" s="79" t="str">
        <f>IF(tbRegistroSaidas[[#This Row],[DATA DA COMPETÊNCIA]]="N/A","0",UPPER(TEXT(tbRegistroSaidas[[#This Row],[DATA DA COMPETÊNCIA]],"mmm")))</f>
        <v>JUL</v>
      </c>
      <c r="L625" s="79">
        <f>IF(tbRegistroSaidas[[#This Row],[DATA DA COMPETÊNCIA]]="N/A",0,YEAR(tbRegistroSaidas[[#This Row],[DATA DA COMPETÊNCIA]]))</f>
        <v>2022</v>
      </c>
      <c r="M625" s="5" t="str">
        <f>IF(tbRegistroSaidas[[#This Row],[DATA DO CAIXA PREVISTO]]="N/A","0",UPPER(TEXT(tbRegistroSaidas[[#This Row],[DATA DO CAIXA PREVISTO]],"mmm")))</f>
        <v>AGO</v>
      </c>
      <c r="N625" s="5">
        <f>IF(tbRegistroSaidas[[#This Row],[DATA DO CAIXA PREVISTO]]="N/A",0,YEAR(tbRegistroSaidas[[#This Row],[DATA DO CAIXA PREVISTO]]))</f>
        <v>2022</v>
      </c>
    </row>
    <row r="626" spans="1:14" s="5" customFormat="1" ht="14.4" x14ac:dyDescent="0.3">
      <c r="A626" s="38">
        <v>44803.623495370368</v>
      </c>
      <c r="B626" s="49">
        <v>44770</v>
      </c>
      <c r="C626" s="49">
        <v>44803.623495370368</v>
      </c>
      <c r="D626" s="49" t="s">
        <v>137</v>
      </c>
      <c r="E626" s="51" t="s">
        <v>26</v>
      </c>
      <c r="F626" s="51" t="s">
        <v>33</v>
      </c>
      <c r="G626" s="52" t="s">
        <v>488</v>
      </c>
      <c r="H626" s="18">
        <v>4850</v>
      </c>
      <c r="I626" s="5">
        <f>IF(tbRegistroSaidas[[#This Row],[DATA DE CAIXA REALIZADO]]="N/A",0,YEAR(tbRegistroSaidas[[#This Row],[DATA DE CAIXA REALIZADO]]))</f>
        <v>2022</v>
      </c>
      <c r="J626" s="5" t="str">
        <f>IF(tbRegistroSaidas[[#This Row],[DATA DE CAIXA REALIZADO]]="N/A","0",UPPER(TEXT(tbRegistroSaidas[[#This Row],[DATA DE CAIXA REALIZADO]],"mmm")))</f>
        <v>AGO</v>
      </c>
      <c r="K626" s="79" t="str">
        <f>IF(tbRegistroSaidas[[#This Row],[DATA DA COMPETÊNCIA]]="N/A","0",UPPER(TEXT(tbRegistroSaidas[[#This Row],[DATA DA COMPETÊNCIA]],"mmm")))</f>
        <v>JUL</v>
      </c>
      <c r="L626" s="79">
        <f>IF(tbRegistroSaidas[[#This Row],[DATA DA COMPETÊNCIA]]="N/A",0,YEAR(tbRegistroSaidas[[#This Row],[DATA DA COMPETÊNCIA]]))</f>
        <v>2022</v>
      </c>
      <c r="M626" s="5" t="str">
        <f>IF(tbRegistroSaidas[[#This Row],[DATA DO CAIXA PREVISTO]]="N/A","0",UPPER(TEXT(tbRegistroSaidas[[#This Row],[DATA DO CAIXA PREVISTO]],"mmm")))</f>
        <v>AGO</v>
      </c>
      <c r="N626" s="5">
        <f>IF(tbRegistroSaidas[[#This Row],[DATA DO CAIXA PREVISTO]]="N/A",0,YEAR(tbRegistroSaidas[[#This Row],[DATA DO CAIXA PREVISTO]]))</f>
        <v>2022</v>
      </c>
    </row>
    <row r="627" spans="1:14" s="5" customFormat="1" ht="14.4" x14ac:dyDescent="0.3">
      <c r="A627" s="38">
        <v>44815.968090277776</v>
      </c>
      <c r="B627" s="49">
        <v>44772</v>
      </c>
      <c r="C627" s="49">
        <v>44792.330509259256</v>
      </c>
      <c r="D627" s="49" t="s">
        <v>61</v>
      </c>
      <c r="E627" s="51" t="s">
        <v>26</v>
      </c>
      <c r="F627" s="51" t="s">
        <v>17</v>
      </c>
      <c r="G627" s="52" t="s">
        <v>489</v>
      </c>
      <c r="H627" s="18">
        <v>4309</v>
      </c>
      <c r="I627" s="5">
        <f>IF(tbRegistroSaidas[[#This Row],[DATA DE CAIXA REALIZADO]]="N/A",0,YEAR(tbRegistroSaidas[[#This Row],[DATA DE CAIXA REALIZADO]]))</f>
        <v>2022</v>
      </c>
      <c r="J627" s="5" t="str">
        <f>IF(tbRegistroSaidas[[#This Row],[DATA DE CAIXA REALIZADO]]="N/A","0",UPPER(TEXT(tbRegistroSaidas[[#This Row],[DATA DE CAIXA REALIZADO]],"mmm")))</f>
        <v>SET</v>
      </c>
      <c r="K627" s="79" t="str">
        <f>IF(tbRegistroSaidas[[#This Row],[DATA DA COMPETÊNCIA]]="N/A","0",UPPER(TEXT(tbRegistroSaidas[[#This Row],[DATA DA COMPETÊNCIA]],"mmm")))</f>
        <v>JUL</v>
      </c>
      <c r="L627" s="79">
        <f>IF(tbRegistroSaidas[[#This Row],[DATA DA COMPETÊNCIA]]="N/A",0,YEAR(tbRegistroSaidas[[#This Row],[DATA DA COMPETÊNCIA]]))</f>
        <v>2022</v>
      </c>
      <c r="M627" s="5" t="str">
        <f>IF(tbRegistroSaidas[[#This Row],[DATA DO CAIXA PREVISTO]]="N/A","0",UPPER(TEXT(tbRegistroSaidas[[#This Row],[DATA DO CAIXA PREVISTO]],"mmm")))</f>
        <v>AGO</v>
      </c>
      <c r="N627" s="5">
        <f>IF(tbRegistroSaidas[[#This Row],[DATA DO CAIXA PREVISTO]]="N/A",0,YEAR(tbRegistroSaidas[[#This Row],[DATA DO CAIXA PREVISTO]]))</f>
        <v>2022</v>
      </c>
    </row>
    <row r="628" spans="1:14" s="5" customFormat="1" ht="14.4" x14ac:dyDescent="0.3">
      <c r="A628" s="38">
        <v>44835.615787037037</v>
      </c>
      <c r="B628" s="49">
        <v>44774</v>
      </c>
      <c r="C628" s="49">
        <v>44775.57608796296</v>
      </c>
      <c r="D628" s="49" t="s">
        <v>61</v>
      </c>
      <c r="E628" s="51" t="s">
        <v>26</v>
      </c>
      <c r="F628" s="51" t="s">
        <v>18</v>
      </c>
      <c r="G628" s="52" t="s">
        <v>490</v>
      </c>
      <c r="H628" s="18">
        <v>4462</v>
      </c>
      <c r="I628" s="5">
        <f>IF(tbRegistroSaidas[[#This Row],[DATA DE CAIXA REALIZADO]]="N/A",0,YEAR(tbRegistroSaidas[[#This Row],[DATA DE CAIXA REALIZADO]]))</f>
        <v>2022</v>
      </c>
      <c r="J628" s="5" t="str">
        <f>IF(tbRegistroSaidas[[#This Row],[DATA DE CAIXA REALIZADO]]="N/A","0",UPPER(TEXT(tbRegistroSaidas[[#This Row],[DATA DE CAIXA REALIZADO]],"mmm")))</f>
        <v>OUT</v>
      </c>
      <c r="K628" s="79" t="str">
        <f>IF(tbRegistroSaidas[[#This Row],[DATA DA COMPETÊNCIA]]="N/A","0",UPPER(TEXT(tbRegistroSaidas[[#This Row],[DATA DA COMPETÊNCIA]],"mmm")))</f>
        <v>AGO</v>
      </c>
      <c r="L628" s="79">
        <f>IF(tbRegistroSaidas[[#This Row],[DATA DA COMPETÊNCIA]]="N/A",0,YEAR(tbRegistroSaidas[[#This Row],[DATA DA COMPETÊNCIA]]))</f>
        <v>2022</v>
      </c>
      <c r="M628" s="5" t="str">
        <f>IF(tbRegistroSaidas[[#This Row],[DATA DO CAIXA PREVISTO]]="N/A","0",UPPER(TEXT(tbRegistroSaidas[[#This Row],[DATA DO CAIXA PREVISTO]],"mmm")))</f>
        <v>AGO</v>
      </c>
      <c r="N628" s="5">
        <f>IF(tbRegistroSaidas[[#This Row],[DATA DO CAIXA PREVISTO]]="N/A",0,YEAR(tbRegistroSaidas[[#This Row],[DATA DO CAIXA PREVISTO]]))</f>
        <v>2022</v>
      </c>
    </row>
    <row r="629" spans="1:14" s="5" customFormat="1" ht="14.4" x14ac:dyDescent="0.3">
      <c r="A629" s="38">
        <v>44836.491446759261</v>
      </c>
      <c r="B629" s="49">
        <v>44780</v>
      </c>
      <c r="C629" s="49">
        <v>44836.491446759261</v>
      </c>
      <c r="D629" s="49" t="s">
        <v>62</v>
      </c>
      <c r="E629" s="51" t="s">
        <v>26</v>
      </c>
      <c r="F629" s="51" t="s">
        <v>16</v>
      </c>
      <c r="G629" s="52" t="s">
        <v>491</v>
      </c>
      <c r="H629" s="18">
        <v>4947</v>
      </c>
      <c r="I629" s="5">
        <f>IF(tbRegistroSaidas[[#This Row],[DATA DE CAIXA REALIZADO]]="N/A",0,YEAR(tbRegistroSaidas[[#This Row],[DATA DE CAIXA REALIZADO]]))</f>
        <v>2022</v>
      </c>
      <c r="J629" s="5" t="str">
        <f>IF(tbRegistroSaidas[[#This Row],[DATA DE CAIXA REALIZADO]]="N/A","0",UPPER(TEXT(tbRegistroSaidas[[#This Row],[DATA DE CAIXA REALIZADO]],"mmm")))</f>
        <v>OUT</v>
      </c>
      <c r="K629" s="79" t="str">
        <f>IF(tbRegistroSaidas[[#This Row],[DATA DA COMPETÊNCIA]]="N/A","0",UPPER(TEXT(tbRegistroSaidas[[#This Row],[DATA DA COMPETÊNCIA]],"mmm")))</f>
        <v>AGO</v>
      </c>
      <c r="L629" s="79">
        <f>IF(tbRegistroSaidas[[#This Row],[DATA DA COMPETÊNCIA]]="N/A",0,YEAR(tbRegistroSaidas[[#This Row],[DATA DA COMPETÊNCIA]]))</f>
        <v>2022</v>
      </c>
      <c r="M629" s="5" t="str">
        <f>IF(tbRegistroSaidas[[#This Row],[DATA DO CAIXA PREVISTO]]="N/A","0",UPPER(TEXT(tbRegistroSaidas[[#This Row],[DATA DO CAIXA PREVISTO]],"mmm")))</f>
        <v>OUT</v>
      </c>
      <c r="N629" s="5">
        <f>IF(tbRegistroSaidas[[#This Row],[DATA DO CAIXA PREVISTO]]="N/A",0,YEAR(tbRegistroSaidas[[#This Row],[DATA DO CAIXA PREVISTO]]))</f>
        <v>2022</v>
      </c>
    </row>
    <row r="630" spans="1:14" s="5" customFormat="1" ht="14.4" x14ac:dyDescent="0.3">
      <c r="A630" s="38">
        <v>44829.704861111109</v>
      </c>
      <c r="B630" s="49">
        <v>44783</v>
      </c>
      <c r="C630" s="49">
        <v>44829.704861111109</v>
      </c>
      <c r="D630" s="49" t="s">
        <v>64</v>
      </c>
      <c r="E630" s="51" t="s">
        <v>26</v>
      </c>
      <c r="F630" s="51" t="s">
        <v>32</v>
      </c>
      <c r="G630" s="52" t="s">
        <v>492</v>
      </c>
      <c r="H630" s="18">
        <v>902</v>
      </c>
      <c r="I630" s="5">
        <f>IF(tbRegistroSaidas[[#This Row],[DATA DE CAIXA REALIZADO]]="N/A",0,YEAR(tbRegistroSaidas[[#This Row],[DATA DE CAIXA REALIZADO]]))</f>
        <v>2022</v>
      </c>
      <c r="J630" s="5" t="str">
        <f>IF(tbRegistroSaidas[[#This Row],[DATA DE CAIXA REALIZADO]]="N/A","0",UPPER(TEXT(tbRegistroSaidas[[#This Row],[DATA DE CAIXA REALIZADO]],"mmm")))</f>
        <v>SET</v>
      </c>
      <c r="K630" s="79" t="str">
        <f>IF(tbRegistroSaidas[[#This Row],[DATA DA COMPETÊNCIA]]="N/A","0",UPPER(TEXT(tbRegistroSaidas[[#This Row],[DATA DA COMPETÊNCIA]],"mmm")))</f>
        <v>AGO</v>
      </c>
      <c r="L630" s="79">
        <f>IF(tbRegistroSaidas[[#This Row],[DATA DA COMPETÊNCIA]]="N/A",0,YEAR(tbRegistroSaidas[[#This Row],[DATA DA COMPETÊNCIA]]))</f>
        <v>2022</v>
      </c>
      <c r="M630" s="5" t="str">
        <f>IF(tbRegistroSaidas[[#This Row],[DATA DO CAIXA PREVISTO]]="N/A","0",UPPER(TEXT(tbRegistroSaidas[[#This Row],[DATA DO CAIXA PREVISTO]],"mmm")))</f>
        <v>SET</v>
      </c>
      <c r="N630" s="5">
        <f>IF(tbRegistroSaidas[[#This Row],[DATA DO CAIXA PREVISTO]]="N/A",0,YEAR(tbRegistroSaidas[[#This Row],[DATA DO CAIXA PREVISTO]]))</f>
        <v>2022</v>
      </c>
    </row>
    <row r="631" spans="1:14" s="5" customFormat="1" ht="14.4" x14ac:dyDescent="0.3">
      <c r="A631" s="38">
        <v>44827.872013888889</v>
      </c>
      <c r="B631" s="49">
        <v>44785</v>
      </c>
      <c r="C631" s="49">
        <v>44827.872013888889</v>
      </c>
      <c r="D631" s="49" t="s">
        <v>64</v>
      </c>
      <c r="E631" s="51" t="s">
        <v>26</v>
      </c>
      <c r="F631" s="51" t="s">
        <v>16</v>
      </c>
      <c r="G631" s="52" t="s">
        <v>493</v>
      </c>
      <c r="H631" s="18">
        <v>432</v>
      </c>
      <c r="I631" s="5">
        <f>IF(tbRegistroSaidas[[#This Row],[DATA DE CAIXA REALIZADO]]="N/A",0,YEAR(tbRegistroSaidas[[#This Row],[DATA DE CAIXA REALIZADO]]))</f>
        <v>2022</v>
      </c>
      <c r="J631" s="5" t="str">
        <f>IF(tbRegistroSaidas[[#This Row],[DATA DE CAIXA REALIZADO]]="N/A","0",UPPER(TEXT(tbRegistroSaidas[[#This Row],[DATA DE CAIXA REALIZADO]],"mmm")))</f>
        <v>SET</v>
      </c>
      <c r="K631" s="79" t="str">
        <f>IF(tbRegistroSaidas[[#This Row],[DATA DA COMPETÊNCIA]]="N/A","0",UPPER(TEXT(tbRegistroSaidas[[#This Row],[DATA DA COMPETÊNCIA]],"mmm")))</f>
        <v>AGO</v>
      </c>
      <c r="L631" s="79">
        <f>IF(tbRegistroSaidas[[#This Row],[DATA DA COMPETÊNCIA]]="N/A",0,YEAR(tbRegistroSaidas[[#This Row],[DATA DA COMPETÊNCIA]]))</f>
        <v>2022</v>
      </c>
      <c r="M631" s="5" t="str">
        <f>IF(tbRegistroSaidas[[#This Row],[DATA DO CAIXA PREVISTO]]="N/A","0",UPPER(TEXT(tbRegistroSaidas[[#This Row],[DATA DO CAIXA PREVISTO]],"mmm")))</f>
        <v>SET</v>
      </c>
      <c r="N631" s="5">
        <f>IF(tbRegistroSaidas[[#This Row],[DATA DO CAIXA PREVISTO]]="N/A",0,YEAR(tbRegistroSaidas[[#This Row],[DATA DO CAIXA PREVISTO]]))</f>
        <v>2022</v>
      </c>
    </row>
    <row r="632" spans="1:14" s="5" customFormat="1" ht="14.4" x14ac:dyDescent="0.3">
      <c r="A632" s="38">
        <v>44817.956111111111</v>
      </c>
      <c r="B632" s="49">
        <v>44788</v>
      </c>
      <c r="C632" s="49">
        <v>44817.956111111111</v>
      </c>
      <c r="D632" s="49" t="s">
        <v>65</v>
      </c>
      <c r="E632" s="51" t="s">
        <v>26</v>
      </c>
      <c r="F632" s="51" t="s">
        <v>17</v>
      </c>
      <c r="G632" s="52" t="s">
        <v>494</v>
      </c>
      <c r="H632" s="18">
        <v>4084</v>
      </c>
      <c r="I632" s="5">
        <f>IF(tbRegistroSaidas[[#This Row],[DATA DE CAIXA REALIZADO]]="N/A",0,YEAR(tbRegistroSaidas[[#This Row],[DATA DE CAIXA REALIZADO]]))</f>
        <v>2022</v>
      </c>
      <c r="J632" s="5" t="str">
        <f>IF(tbRegistroSaidas[[#This Row],[DATA DE CAIXA REALIZADO]]="N/A","0",UPPER(TEXT(tbRegistroSaidas[[#This Row],[DATA DE CAIXA REALIZADO]],"mmm")))</f>
        <v>SET</v>
      </c>
      <c r="K632" s="79" t="str">
        <f>IF(tbRegistroSaidas[[#This Row],[DATA DA COMPETÊNCIA]]="N/A","0",UPPER(TEXT(tbRegistroSaidas[[#This Row],[DATA DA COMPETÊNCIA]],"mmm")))</f>
        <v>AGO</v>
      </c>
      <c r="L632" s="79">
        <f>IF(tbRegistroSaidas[[#This Row],[DATA DA COMPETÊNCIA]]="N/A",0,YEAR(tbRegistroSaidas[[#This Row],[DATA DA COMPETÊNCIA]]))</f>
        <v>2022</v>
      </c>
      <c r="M632" s="5" t="str">
        <f>IF(tbRegistroSaidas[[#This Row],[DATA DO CAIXA PREVISTO]]="N/A","0",UPPER(TEXT(tbRegistroSaidas[[#This Row],[DATA DO CAIXA PREVISTO]],"mmm")))</f>
        <v>SET</v>
      </c>
      <c r="N632" s="5">
        <f>IF(tbRegistroSaidas[[#This Row],[DATA DO CAIXA PREVISTO]]="N/A",0,YEAR(tbRegistroSaidas[[#This Row],[DATA DO CAIXA PREVISTO]]))</f>
        <v>2022</v>
      </c>
    </row>
    <row r="633" spans="1:14" s="5" customFormat="1" ht="14.4" x14ac:dyDescent="0.3">
      <c r="A633" s="38">
        <v>44894.012233796297</v>
      </c>
      <c r="B633" s="49">
        <v>44795</v>
      </c>
      <c r="C633" s="49">
        <v>44820.016631944447</v>
      </c>
      <c r="D633" s="49" t="s">
        <v>63</v>
      </c>
      <c r="E633" s="51" t="s">
        <v>26</v>
      </c>
      <c r="F633" s="51" t="s">
        <v>33</v>
      </c>
      <c r="G633" s="52" t="s">
        <v>495</v>
      </c>
      <c r="H633" s="18">
        <v>1054</v>
      </c>
      <c r="I633" s="5">
        <f>IF(tbRegistroSaidas[[#This Row],[DATA DE CAIXA REALIZADO]]="N/A",0,YEAR(tbRegistroSaidas[[#This Row],[DATA DE CAIXA REALIZADO]]))</f>
        <v>2022</v>
      </c>
      <c r="J633" s="5" t="str">
        <f>IF(tbRegistroSaidas[[#This Row],[DATA DE CAIXA REALIZADO]]="N/A","0",UPPER(TEXT(tbRegistroSaidas[[#This Row],[DATA DE CAIXA REALIZADO]],"mmm")))</f>
        <v>NOV</v>
      </c>
      <c r="K633" s="79" t="str">
        <f>IF(tbRegistroSaidas[[#This Row],[DATA DA COMPETÊNCIA]]="N/A","0",UPPER(TEXT(tbRegistroSaidas[[#This Row],[DATA DA COMPETÊNCIA]],"mmm")))</f>
        <v>AGO</v>
      </c>
      <c r="L633" s="79">
        <f>IF(tbRegistroSaidas[[#This Row],[DATA DA COMPETÊNCIA]]="N/A",0,YEAR(tbRegistroSaidas[[#This Row],[DATA DA COMPETÊNCIA]]))</f>
        <v>2022</v>
      </c>
      <c r="M633" s="5" t="str">
        <f>IF(tbRegistroSaidas[[#This Row],[DATA DO CAIXA PREVISTO]]="N/A","0",UPPER(TEXT(tbRegistroSaidas[[#This Row],[DATA DO CAIXA PREVISTO]],"mmm")))</f>
        <v>SET</v>
      </c>
      <c r="N633" s="5">
        <f>IF(tbRegistroSaidas[[#This Row],[DATA DO CAIXA PREVISTO]]="N/A",0,YEAR(tbRegistroSaidas[[#This Row],[DATA DO CAIXA PREVISTO]]))</f>
        <v>2022</v>
      </c>
    </row>
    <row r="634" spans="1:14" s="5" customFormat="1" ht="14.4" x14ac:dyDescent="0.3">
      <c r="A634" s="38">
        <v>44813.07739583333</v>
      </c>
      <c r="B634" s="49">
        <v>44796</v>
      </c>
      <c r="C634" s="49">
        <v>44813.07739583333</v>
      </c>
      <c r="D634" s="49" t="s">
        <v>61</v>
      </c>
      <c r="E634" s="51" t="s">
        <v>26</v>
      </c>
      <c r="F634" s="51" t="s">
        <v>16</v>
      </c>
      <c r="G634" s="52" t="s">
        <v>496</v>
      </c>
      <c r="H634" s="18">
        <v>4608</v>
      </c>
      <c r="I634" s="5">
        <f>IF(tbRegistroSaidas[[#This Row],[DATA DE CAIXA REALIZADO]]="N/A",0,YEAR(tbRegistroSaidas[[#This Row],[DATA DE CAIXA REALIZADO]]))</f>
        <v>2022</v>
      </c>
      <c r="J634" s="5" t="str">
        <f>IF(tbRegistroSaidas[[#This Row],[DATA DE CAIXA REALIZADO]]="N/A","0",UPPER(TEXT(tbRegistroSaidas[[#This Row],[DATA DE CAIXA REALIZADO]],"mmm")))</f>
        <v>SET</v>
      </c>
      <c r="K634" s="79" t="str">
        <f>IF(tbRegistroSaidas[[#This Row],[DATA DA COMPETÊNCIA]]="N/A","0",UPPER(TEXT(tbRegistroSaidas[[#This Row],[DATA DA COMPETÊNCIA]],"mmm")))</f>
        <v>AGO</v>
      </c>
      <c r="L634" s="79">
        <f>IF(tbRegistroSaidas[[#This Row],[DATA DA COMPETÊNCIA]]="N/A",0,YEAR(tbRegistroSaidas[[#This Row],[DATA DA COMPETÊNCIA]]))</f>
        <v>2022</v>
      </c>
      <c r="M634" s="5" t="str">
        <f>IF(tbRegistroSaidas[[#This Row],[DATA DO CAIXA PREVISTO]]="N/A","0",UPPER(TEXT(tbRegistroSaidas[[#This Row],[DATA DO CAIXA PREVISTO]],"mmm")))</f>
        <v>SET</v>
      </c>
      <c r="N634" s="5">
        <f>IF(tbRegistroSaidas[[#This Row],[DATA DO CAIXA PREVISTO]]="N/A",0,YEAR(tbRegistroSaidas[[#This Row],[DATA DO CAIXA PREVISTO]]))</f>
        <v>2022</v>
      </c>
    </row>
    <row r="635" spans="1:14" s="5" customFormat="1" ht="14.4" x14ac:dyDescent="0.3">
      <c r="A635" s="38">
        <v>44824.149664351855</v>
      </c>
      <c r="B635" s="49">
        <v>44801</v>
      </c>
      <c r="C635" s="49">
        <v>44824.149664351855</v>
      </c>
      <c r="D635" s="49" t="s">
        <v>61</v>
      </c>
      <c r="E635" s="51" t="s">
        <v>26</v>
      </c>
      <c r="F635" s="51" t="s">
        <v>32</v>
      </c>
      <c r="G635" s="52" t="s">
        <v>497</v>
      </c>
      <c r="H635" s="18">
        <v>1238</v>
      </c>
      <c r="I635" s="5">
        <f>IF(tbRegistroSaidas[[#This Row],[DATA DE CAIXA REALIZADO]]="N/A",0,YEAR(tbRegistroSaidas[[#This Row],[DATA DE CAIXA REALIZADO]]))</f>
        <v>2022</v>
      </c>
      <c r="J635" s="5" t="str">
        <f>IF(tbRegistroSaidas[[#This Row],[DATA DE CAIXA REALIZADO]]="N/A","0",UPPER(TEXT(tbRegistroSaidas[[#This Row],[DATA DE CAIXA REALIZADO]],"mmm")))</f>
        <v>SET</v>
      </c>
      <c r="K635" s="79" t="str">
        <f>IF(tbRegistroSaidas[[#This Row],[DATA DA COMPETÊNCIA]]="N/A","0",UPPER(TEXT(tbRegistroSaidas[[#This Row],[DATA DA COMPETÊNCIA]],"mmm")))</f>
        <v>AGO</v>
      </c>
      <c r="L635" s="79">
        <f>IF(tbRegistroSaidas[[#This Row],[DATA DA COMPETÊNCIA]]="N/A",0,YEAR(tbRegistroSaidas[[#This Row],[DATA DA COMPETÊNCIA]]))</f>
        <v>2022</v>
      </c>
      <c r="M635" s="5" t="str">
        <f>IF(tbRegistroSaidas[[#This Row],[DATA DO CAIXA PREVISTO]]="N/A","0",UPPER(TEXT(tbRegistroSaidas[[#This Row],[DATA DO CAIXA PREVISTO]],"mmm")))</f>
        <v>SET</v>
      </c>
      <c r="N635" s="5">
        <f>IF(tbRegistroSaidas[[#This Row],[DATA DO CAIXA PREVISTO]]="N/A",0,YEAR(tbRegistroSaidas[[#This Row],[DATA DO CAIXA PREVISTO]]))</f>
        <v>2022</v>
      </c>
    </row>
    <row r="636" spans="1:14" s="5" customFormat="1" ht="14.4" x14ac:dyDescent="0.3">
      <c r="A636" s="38">
        <v>44831.729953703703</v>
      </c>
      <c r="B636" s="49">
        <v>44807</v>
      </c>
      <c r="C636" s="49">
        <v>44831.729953703703</v>
      </c>
      <c r="D636" s="49" t="s">
        <v>65</v>
      </c>
      <c r="E636" s="51" t="s">
        <v>26</v>
      </c>
      <c r="F636" s="51" t="s">
        <v>33</v>
      </c>
      <c r="G636" s="52" t="s">
        <v>498</v>
      </c>
      <c r="H636" s="18">
        <v>1342</v>
      </c>
      <c r="I636" s="5">
        <f>IF(tbRegistroSaidas[[#This Row],[DATA DE CAIXA REALIZADO]]="N/A",0,YEAR(tbRegistroSaidas[[#This Row],[DATA DE CAIXA REALIZADO]]))</f>
        <v>2022</v>
      </c>
      <c r="J636" s="5" t="str">
        <f>IF(tbRegistroSaidas[[#This Row],[DATA DE CAIXA REALIZADO]]="N/A","0",UPPER(TEXT(tbRegistroSaidas[[#This Row],[DATA DE CAIXA REALIZADO]],"mmm")))</f>
        <v>SET</v>
      </c>
      <c r="K636" s="79" t="str">
        <f>IF(tbRegistroSaidas[[#This Row],[DATA DA COMPETÊNCIA]]="N/A","0",UPPER(TEXT(tbRegistroSaidas[[#This Row],[DATA DA COMPETÊNCIA]],"mmm")))</f>
        <v>SET</v>
      </c>
      <c r="L636" s="79">
        <f>IF(tbRegistroSaidas[[#This Row],[DATA DA COMPETÊNCIA]]="N/A",0,YEAR(tbRegistroSaidas[[#This Row],[DATA DA COMPETÊNCIA]]))</f>
        <v>2022</v>
      </c>
      <c r="M636" s="5" t="str">
        <f>IF(tbRegistroSaidas[[#This Row],[DATA DO CAIXA PREVISTO]]="N/A","0",UPPER(TEXT(tbRegistroSaidas[[#This Row],[DATA DO CAIXA PREVISTO]],"mmm")))</f>
        <v>SET</v>
      </c>
      <c r="N636" s="5">
        <f>IF(tbRegistroSaidas[[#This Row],[DATA DO CAIXA PREVISTO]]="N/A",0,YEAR(tbRegistroSaidas[[#This Row],[DATA DO CAIXA PREVISTO]]))</f>
        <v>2022</v>
      </c>
    </row>
    <row r="637" spans="1:14" s="5" customFormat="1" ht="14.4" x14ac:dyDescent="0.3">
      <c r="A637" s="38">
        <v>44899.840636574074</v>
      </c>
      <c r="B637" s="49">
        <v>44811</v>
      </c>
      <c r="C637" s="49">
        <v>44863.779513888891</v>
      </c>
      <c r="D637" s="49" t="s">
        <v>65</v>
      </c>
      <c r="E637" s="51" t="s">
        <v>26</v>
      </c>
      <c r="F637" s="51" t="s">
        <v>16</v>
      </c>
      <c r="G637" s="52" t="s">
        <v>499</v>
      </c>
      <c r="H637" s="18">
        <v>2936</v>
      </c>
      <c r="I637" s="5">
        <f>IF(tbRegistroSaidas[[#This Row],[DATA DE CAIXA REALIZADO]]="N/A",0,YEAR(tbRegistroSaidas[[#This Row],[DATA DE CAIXA REALIZADO]]))</f>
        <v>2022</v>
      </c>
      <c r="J637" s="5" t="str">
        <f>IF(tbRegistroSaidas[[#This Row],[DATA DE CAIXA REALIZADO]]="N/A","0",UPPER(TEXT(tbRegistroSaidas[[#This Row],[DATA DE CAIXA REALIZADO]],"mmm")))</f>
        <v>DEZ</v>
      </c>
      <c r="K637" s="79" t="str">
        <f>IF(tbRegistroSaidas[[#This Row],[DATA DA COMPETÊNCIA]]="N/A","0",UPPER(TEXT(tbRegistroSaidas[[#This Row],[DATA DA COMPETÊNCIA]],"mmm")))</f>
        <v>SET</v>
      </c>
      <c r="L637" s="79">
        <f>IF(tbRegistroSaidas[[#This Row],[DATA DA COMPETÊNCIA]]="N/A",0,YEAR(tbRegistroSaidas[[#This Row],[DATA DA COMPETÊNCIA]]))</f>
        <v>2022</v>
      </c>
      <c r="M637" s="5" t="str">
        <f>IF(tbRegistroSaidas[[#This Row],[DATA DO CAIXA PREVISTO]]="N/A","0",UPPER(TEXT(tbRegistroSaidas[[#This Row],[DATA DO CAIXA PREVISTO]],"mmm")))</f>
        <v>OUT</v>
      </c>
      <c r="N637" s="5">
        <f>IF(tbRegistroSaidas[[#This Row],[DATA DO CAIXA PREVISTO]]="N/A",0,YEAR(tbRegistroSaidas[[#This Row],[DATA DO CAIXA PREVISTO]]))</f>
        <v>2022</v>
      </c>
    </row>
    <row r="638" spans="1:14" s="5" customFormat="1" ht="14.4" x14ac:dyDescent="0.3">
      <c r="A638" s="38">
        <v>44842.142094907409</v>
      </c>
      <c r="B638" s="49">
        <v>44812</v>
      </c>
      <c r="C638" s="49">
        <v>44842.142094907409</v>
      </c>
      <c r="D638" s="49" t="s">
        <v>62</v>
      </c>
      <c r="E638" s="51" t="s">
        <v>26</v>
      </c>
      <c r="F638" s="51" t="s">
        <v>33</v>
      </c>
      <c r="G638" s="52" t="s">
        <v>500</v>
      </c>
      <c r="H638" s="18">
        <v>875</v>
      </c>
      <c r="I638" s="5">
        <f>IF(tbRegistroSaidas[[#This Row],[DATA DE CAIXA REALIZADO]]="N/A",0,YEAR(tbRegistroSaidas[[#This Row],[DATA DE CAIXA REALIZADO]]))</f>
        <v>2022</v>
      </c>
      <c r="J638" s="5" t="str">
        <f>IF(tbRegistroSaidas[[#This Row],[DATA DE CAIXA REALIZADO]]="N/A","0",UPPER(TEXT(tbRegistroSaidas[[#This Row],[DATA DE CAIXA REALIZADO]],"mmm")))</f>
        <v>OUT</v>
      </c>
      <c r="K638" s="79" t="str">
        <f>IF(tbRegistroSaidas[[#This Row],[DATA DA COMPETÊNCIA]]="N/A","0",UPPER(TEXT(tbRegistroSaidas[[#This Row],[DATA DA COMPETÊNCIA]],"mmm")))</f>
        <v>SET</v>
      </c>
      <c r="L638" s="79">
        <f>IF(tbRegistroSaidas[[#This Row],[DATA DA COMPETÊNCIA]]="N/A",0,YEAR(tbRegistroSaidas[[#This Row],[DATA DA COMPETÊNCIA]]))</f>
        <v>2022</v>
      </c>
      <c r="M638" s="5" t="str">
        <f>IF(tbRegistroSaidas[[#This Row],[DATA DO CAIXA PREVISTO]]="N/A","0",UPPER(TEXT(tbRegistroSaidas[[#This Row],[DATA DO CAIXA PREVISTO]],"mmm")))</f>
        <v>OUT</v>
      </c>
      <c r="N638" s="5">
        <f>IF(tbRegistroSaidas[[#This Row],[DATA DO CAIXA PREVISTO]]="N/A",0,YEAR(tbRegistroSaidas[[#This Row],[DATA DO CAIXA PREVISTO]]))</f>
        <v>2022</v>
      </c>
    </row>
    <row r="639" spans="1:14" s="5" customFormat="1" ht="14.4" x14ac:dyDescent="0.3">
      <c r="A639" s="38">
        <v>44816.021701388891</v>
      </c>
      <c r="B639" s="49">
        <v>44814</v>
      </c>
      <c r="C639" s="49">
        <v>44816.021701388891</v>
      </c>
      <c r="D639" s="49" t="s">
        <v>61</v>
      </c>
      <c r="E639" s="51" t="s">
        <v>26</v>
      </c>
      <c r="F639" s="51" t="s">
        <v>18</v>
      </c>
      <c r="G639" s="52" t="s">
        <v>501</v>
      </c>
      <c r="H639" s="18">
        <v>159</v>
      </c>
      <c r="I639" s="5">
        <f>IF(tbRegistroSaidas[[#This Row],[DATA DE CAIXA REALIZADO]]="N/A",0,YEAR(tbRegistroSaidas[[#This Row],[DATA DE CAIXA REALIZADO]]))</f>
        <v>2022</v>
      </c>
      <c r="J639" s="5" t="str">
        <f>IF(tbRegistroSaidas[[#This Row],[DATA DE CAIXA REALIZADO]]="N/A","0",UPPER(TEXT(tbRegistroSaidas[[#This Row],[DATA DE CAIXA REALIZADO]],"mmm")))</f>
        <v>SET</v>
      </c>
      <c r="K639" s="79" t="str">
        <f>IF(tbRegistroSaidas[[#This Row],[DATA DA COMPETÊNCIA]]="N/A","0",UPPER(TEXT(tbRegistroSaidas[[#This Row],[DATA DA COMPETÊNCIA]],"mmm")))</f>
        <v>SET</v>
      </c>
      <c r="L639" s="79">
        <f>IF(tbRegistroSaidas[[#This Row],[DATA DA COMPETÊNCIA]]="N/A",0,YEAR(tbRegistroSaidas[[#This Row],[DATA DA COMPETÊNCIA]]))</f>
        <v>2022</v>
      </c>
      <c r="M639" s="5" t="str">
        <f>IF(tbRegistroSaidas[[#This Row],[DATA DO CAIXA PREVISTO]]="N/A","0",UPPER(TEXT(tbRegistroSaidas[[#This Row],[DATA DO CAIXA PREVISTO]],"mmm")))</f>
        <v>SET</v>
      </c>
      <c r="N639" s="5">
        <f>IF(tbRegistroSaidas[[#This Row],[DATA DO CAIXA PREVISTO]]="N/A",0,YEAR(tbRegistroSaidas[[#This Row],[DATA DO CAIXA PREVISTO]]))</f>
        <v>2022</v>
      </c>
    </row>
    <row r="640" spans="1:14" s="5" customFormat="1" ht="14.4" x14ac:dyDescent="0.3">
      <c r="A640" s="38">
        <v>44843.641284722224</v>
      </c>
      <c r="B640" s="49">
        <v>44819</v>
      </c>
      <c r="C640" s="49">
        <v>44843.641284722224</v>
      </c>
      <c r="D640" s="49" t="s">
        <v>61</v>
      </c>
      <c r="E640" s="51" t="s">
        <v>26</v>
      </c>
      <c r="F640" s="51" t="s">
        <v>33</v>
      </c>
      <c r="G640" s="52" t="s">
        <v>502</v>
      </c>
      <c r="H640" s="18">
        <v>2933</v>
      </c>
      <c r="I640" s="5">
        <f>IF(tbRegistroSaidas[[#This Row],[DATA DE CAIXA REALIZADO]]="N/A",0,YEAR(tbRegistroSaidas[[#This Row],[DATA DE CAIXA REALIZADO]]))</f>
        <v>2022</v>
      </c>
      <c r="J640" s="5" t="str">
        <f>IF(tbRegistroSaidas[[#This Row],[DATA DE CAIXA REALIZADO]]="N/A","0",UPPER(TEXT(tbRegistroSaidas[[#This Row],[DATA DE CAIXA REALIZADO]],"mmm")))</f>
        <v>OUT</v>
      </c>
      <c r="K640" s="79" t="str">
        <f>IF(tbRegistroSaidas[[#This Row],[DATA DA COMPETÊNCIA]]="N/A","0",UPPER(TEXT(tbRegistroSaidas[[#This Row],[DATA DA COMPETÊNCIA]],"mmm")))</f>
        <v>SET</v>
      </c>
      <c r="L640" s="79">
        <f>IF(tbRegistroSaidas[[#This Row],[DATA DA COMPETÊNCIA]]="N/A",0,YEAR(tbRegistroSaidas[[#This Row],[DATA DA COMPETÊNCIA]]))</f>
        <v>2022</v>
      </c>
      <c r="M640" s="5" t="str">
        <f>IF(tbRegistroSaidas[[#This Row],[DATA DO CAIXA PREVISTO]]="N/A","0",UPPER(TEXT(tbRegistroSaidas[[#This Row],[DATA DO CAIXA PREVISTO]],"mmm")))</f>
        <v>OUT</v>
      </c>
      <c r="N640" s="5">
        <f>IF(tbRegistroSaidas[[#This Row],[DATA DO CAIXA PREVISTO]]="N/A",0,YEAR(tbRegistroSaidas[[#This Row],[DATA DO CAIXA PREVISTO]]))</f>
        <v>2022</v>
      </c>
    </row>
    <row r="641" spans="1:14" s="5" customFormat="1" ht="14.4" x14ac:dyDescent="0.3">
      <c r="A641" s="38">
        <v>44866.129641203705</v>
      </c>
      <c r="B641" s="49">
        <v>44819</v>
      </c>
      <c r="C641" s="49">
        <v>44866.129641203705</v>
      </c>
      <c r="D641" s="49" t="s">
        <v>63</v>
      </c>
      <c r="E641" s="51" t="s">
        <v>26</v>
      </c>
      <c r="F641" s="51" t="s">
        <v>33</v>
      </c>
      <c r="G641" s="52" t="s">
        <v>503</v>
      </c>
      <c r="H641" s="18">
        <v>4944</v>
      </c>
      <c r="I641" s="5">
        <f>IF(tbRegistroSaidas[[#This Row],[DATA DE CAIXA REALIZADO]]="N/A",0,YEAR(tbRegistroSaidas[[#This Row],[DATA DE CAIXA REALIZADO]]))</f>
        <v>2022</v>
      </c>
      <c r="J641" s="5" t="str">
        <f>IF(tbRegistroSaidas[[#This Row],[DATA DE CAIXA REALIZADO]]="N/A","0",UPPER(TEXT(tbRegistroSaidas[[#This Row],[DATA DE CAIXA REALIZADO]],"mmm")))</f>
        <v>NOV</v>
      </c>
      <c r="K641" s="79" t="str">
        <f>IF(tbRegistroSaidas[[#This Row],[DATA DA COMPETÊNCIA]]="N/A","0",UPPER(TEXT(tbRegistroSaidas[[#This Row],[DATA DA COMPETÊNCIA]],"mmm")))</f>
        <v>SET</v>
      </c>
      <c r="L641" s="79">
        <f>IF(tbRegistroSaidas[[#This Row],[DATA DA COMPETÊNCIA]]="N/A",0,YEAR(tbRegistroSaidas[[#This Row],[DATA DA COMPETÊNCIA]]))</f>
        <v>2022</v>
      </c>
      <c r="M641" s="5" t="str">
        <f>IF(tbRegistroSaidas[[#This Row],[DATA DO CAIXA PREVISTO]]="N/A","0",UPPER(TEXT(tbRegistroSaidas[[#This Row],[DATA DO CAIXA PREVISTO]],"mmm")))</f>
        <v>NOV</v>
      </c>
      <c r="N641" s="5">
        <f>IF(tbRegistroSaidas[[#This Row],[DATA DO CAIXA PREVISTO]]="N/A",0,YEAR(tbRegistroSaidas[[#This Row],[DATA DO CAIXA PREVISTO]]))</f>
        <v>2022</v>
      </c>
    </row>
    <row r="642" spans="1:14" s="5" customFormat="1" ht="14.4" x14ac:dyDescent="0.3">
      <c r="A642" s="38">
        <v>44838.659988425927</v>
      </c>
      <c r="B642" s="49">
        <v>44823</v>
      </c>
      <c r="C642" s="49">
        <v>44838.659988425927</v>
      </c>
      <c r="D642" s="49" t="s">
        <v>66</v>
      </c>
      <c r="E642" s="51" t="s">
        <v>26</v>
      </c>
      <c r="F642" s="51" t="s">
        <v>32</v>
      </c>
      <c r="G642" s="52" t="s">
        <v>504</v>
      </c>
      <c r="H642" s="18">
        <v>4173</v>
      </c>
      <c r="I642" s="5">
        <f>IF(tbRegistroSaidas[[#This Row],[DATA DE CAIXA REALIZADO]]="N/A",0,YEAR(tbRegistroSaidas[[#This Row],[DATA DE CAIXA REALIZADO]]))</f>
        <v>2022</v>
      </c>
      <c r="J642" s="5" t="str">
        <f>IF(tbRegistroSaidas[[#This Row],[DATA DE CAIXA REALIZADO]]="N/A","0",UPPER(TEXT(tbRegistroSaidas[[#This Row],[DATA DE CAIXA REALIZADO]],"mmm")))</f>
        <v>OUT</v>
      </c>
      <c r="K642" s="79" t="str">
        <f>IF(tbRegistroSaidas[[#This Row],[DATA DA COMPETÊNCIA]]="N/A","0",UPPER(TEXT(tbRegistroSaidas[[#This Row],[DATA DA COMPETÊNCIA]],"mmm")))</f>
        <v>SET</v>
      </c>
      <c r="L642" s="79">
        <f>IF(tbRegistroSaidas[[#This Row],[DATA DA COMPETÊNCIA]]="N/A",0,YEAR(tbRegistroSaidas[[#This Row],[DATA DA COMPETÊNCIA]]))</f>
        <v>2022</v>
      </c>
      <c r="M642" s="5" t="str">
        <f>IF(tbRegistroSaidas[[#This Row],[DATA DO CAIXA PREVISTO]]="N/A","0",UPPER(TEXT(tbRegistroSaidas[[#This Row],[DATA DO CAIXA PREVISTO]],"mmm")))</f>
        <v>OUT</v>
      </c>
      <c r="N642" s="5">
        <f>IF(tbRegistroSaidas[[#This Row],[DATA DO CAIXA PREVISTO]]="N/A",0,YEAR(tbRegistroSaidas[[#This Row],[DATA DO CAIXA PREVISTO]]))</f>
        <v>2022</v>
      </c>
    </row>
    <row r="643" spans="1:14" s="5" customFormat="1" ht="14.4" x14ac:dyDescent="0.3">
      <c r="A643" s="38">
        <v>44836.186041666668</v>
      </c>
      <c r="B643" s="49">
        <v>44828</v>
      </c>
      <c r="C643" s="49">
        <v>44836.186041666668</v>
      </c>
      <c r="D643" s="49" t="s">
        <v>66</v>
      </c>
      <c r="E643" s="51" t="s">
        <v>26</v>
      </c>
      <c r="F643" s="51" t="s">
        <v>16</v>
      </c>
      <c r="G643" s="52" t="s">
        <v>505</v>
      </c>
      <c r="H643" s="18">
        <v>2065</v>
      </c>
      <c r="I643" s="5">
        <f>IF(tbRegistroSaidas[[#This Row],[DATA DE CAIXA REALIZADO]]="N/A",0,YEAR(tbRegistroSaidas[[#This Row],[DATA DE CAIXA REALIZADO]]))</f>
        <v>2022</v>
      </c>
      <c r="J643" s="5" t="str">
        <f>IF(tbRegistroSaidas[[#This Row],[DATA DE CAIXA REALIZADO]]="N/A","0",UPPER(TEXT(tbRegistroSaidas[[#This Row],[DATA DE CAIXA REALIZADO]],"mmm")))</f>
        <v>OUT</v>
      </c>
      <c r="K643" s="79" t="str">
        <f>IF(tbRegistroSaidas[[#This Row],[DATA DA COMPETÊNCIA]]="N/A","0",UPPER(TEXT(tbRegistroSaidas[[#This Row],[DATA DA COMPETÊNCIA]],"mmm")))</f>
        <v>SET</v>
      </c>
      <c r="L643" s="79">
        <f>IF(tbRegistroSaidas[[#This Row],[DATA DA COMPETÊNCIA]]="N/A",0,YEAR(tbRegistroSaidas[[#This Row],[DATA DA COMPETÊNCIA]]))</f>
        <v>2022</v>
      </c>
      <c r="M643" s="5" t="str">
        <f>IF(tbRegistroSaidas[[#This Row],[DATA DO CAIXA PREVISTO]]="N/A","0",UPPER(TEXT(tbRegistroSaidas[[#This Row],[DATA DO CAIXA PREVISTO]],"mmm")))</f>
        <v>OUT</v>
      </c>
      <c r="N643" s="5">
        <f>IF(tbRegistroSaidas[[#This Row],[DATA DO CAIXA PREVISTO]]="N/A",0,YEAR(tbRegistroSaidas[[#This Row],[DATA DO CAIXA PREVISTO]]))</f>
        <v>2022</v>
      </c>
    </row>
    <row r="644" spans="1:14" s="5" customFormat="1" ht="14.4" x14ac:dyDescent="0.3">
      <c r="A644" s="38">
        <v>44883.470081018517</v>
      </c>
      <c r="B644" s="49">
        <v>44832</v>
      </c>
      <c r="C644" s="49">
        <v>44883.470081018517</v>
      </c>
      <c r="D644" s="49" t="s">
        <v>62</v>
      </c>
      <c r="E644" s="51" t="s">
        <v>26</v>
      </c>
      <c r="F644" s="51" t="s">
        <v>17</v>
      </c>
      <c r="G644" s="52" t="s">
        <v>506</v>
      </c>
      <c r="H644" s="18">
        <v>521</v>
      </c>
      <c r="I644" s="5">
        <f>IF(tbRegistroSaidas[[#This Row],[DATA DE CAIXA REALIZADO]]="N/A",0,YEAR(tbRegistroSaidas[[#This Row],[DATA DE CAIXA REALIZADO]]))</f>
        <v>2022</v>
      </c>
      <c r="J644" s="5" t="str">
        <f>IF(tbRegistroSaidas[[#This Row],[DATA DE CAIXA REALIZADO]]="N/A","0",UPPER(TEXT(tbRegistroSaidas[[#This Row],[DATA DE CAIXA REALIZADO]],"mmm")))</f>
        <v>NOV</v>
      </c>
      <c r="K644" s="79" t="str">
        <f>IF(tbRegistroSaidas[[#This Row],[DATA DA COMPETÊNCIA]]="N/A","0",UPPER(TEXT(tbRegistroSaidas[[#This Row],[DATA DA COMPETÊNCIA]],"mmm")))</f>
        <v>SET</v>
      </c>
      <c r="L644" s="79">
        <f>IF(tbRegistroSaidas[[#This Row],[DATA DA COMPETÊNCIA]]="N/A",0,YEAR(tbRegistroSaidas[[#This Row],[DATA DA COMPETÊNCIA]]))</f>
        <v>2022</v>
      </c>
      <c r="M644" s="5" t="str">
        <f>IF(tbRegistroSaidas[[#This Row],[DATA DO CAIXA PREVISTO]]="N/A","0",UPPER(TEXT(tbRegistroSaidas[[#This Row],[DATA DO CAIXA PREVISTO]],"mmm")))</f>
        <v>NOV</v>
      </c>
      <c r="N644" s="5">
        <f>IF(tbRegistroSaidas[[#This Row],[DATA DO CAIXA PREVISTO]]="N/A",0,YEAR(tbRegistroSaidas[[#This Row],[DATA DO CAIXA PREVISTO]]))</f>
        <v>2022</v>
      </c>
    </row>
    <row r="645" spans="1:14" s="5" customFormat="1" ht="14.4" x14ac:dyDescent="0.3">
      <c r="A645" s="38">
        <v>44878.826817129629</v>
      </c>
      <c r="B645" s="49">
        <v>44835</v>
      </c>
      <c r="C645" s="49">
        <v>44878.826817129629</v>
      </c>
      <c r="D645" s="49" t="s">
        <v>137</v>
      </c>
      <c r="E645" s="51" t="s">
        <v>26</v>
      </c>
      <c r="F645" s="51" t="s">
        <v>17</v>
      </c>
      <c r="G645" s="52" t="s">
        <v>507</v>
      </c>
      <c r="H645" s="18">
        <v>819</v>
      </c>
      <c r="I645" s="5">
        <f>IF(tbRegistroSaidas[[#This Row],[DATA DE CAIXA REALIZADO]]="N/A",0,YEAR(tbRegistroSaidas[[#This Row],[DATA DE CAIXA REALIZADO]]))</f>
        <v>2022</v>
      </c>
      <c r="J645" s="5" t="str">
        <f>IF(tbRegistroSaidas[[#This Row],[DATA DE CAIXA REALIZADO]]="N/A","0",UPPER(TEXT(tbRegistroSaidas[[#This Row],[DATA DE CAIXA REALIZADO]],"mmm")))</f>
        <v>NOV</v>
      </c>
      <c r="K645" s="79" t="str">
        <f>IF(tbRegistroSaidas[[#This Row],[DATA DA COMPETÊNCIA]]="N/A","0",UPPER(TEXT(tbRegistroSaidas[[#This Row],[DATA DA COMPETÊNCIA]],"mmm")))</f>
        <v>OUT</v>
      </c>
      <c r="L645" s="79">
        <f>IF(tbRegistroSaidas[[#This Row],[DATA DA COMPETÊNCIA]]="N/A",0,YEAR(tbRegistroSaidas[[#This Row],[DATA DA COMPETÊNCIA]]))</f>
        <v>2022</v>
      </c>
      <c r="M645" s="5" t="str">
        <f>IF(tbRegistroSaidas[[#This Row],[DATA DO CAIXA PREVISTO]]="N/A","0",UPPER(TEXT(tbRegistroSaidas[[#This Row],[DATA DO CAIXA PREVISTO]],"mmm")))</f>
        <v>NOV</v>
      </c>
      <c r="N645" s="5">
        <f>IF(tbRegistroSaidas[[#This Row],[DATA DO CAIXA PREVISTO]]="N/A",0,YEAR(tbRegistroSaidas[[#This Row],[DATA DO CAIXA PREVISTO]]))</f>
        <v>2022</v>
      </c>
    </row>
    <row r="646" spans="1:14" s="5" customFormat="1" ht="14.4" x14ac:dyDescent="0.3">
      <c r="A646" s="38">
        <v>44894.158715277779</v>
      </c>
      <c r="B646" s="49">
        <v>44838</v>
      </c>
      <c r="C646" s="49">
        <v>44894.158715277779</v>
      </c>
      <c r="D646" s="49" t="s">
        <v>137</v>
      </c>
      <c r="E646" s="51" t="s">
        <v>26</v>
      </c>
      <c r="F646" s="51" t="s">
        <v>32</v>
      </c>
      <c r="G646" s="52" t="s">
        <v>508</v>
      </c>
      <c r="H646" s="18">
        <v>1260</v>
      </c>
      <c r="I646" s="5">
        <f>IF(tbRegistroSaidas[[#This Row],[DATA DE CAIXA REALIZADO]]="N/A",0,YEAR(tbRegistroSaidas[[#This Row],[DATA DE CAIXA REALIZADO]]))</f>
        <v>2022</v>
      </c>
      <c r="J646" s="5" t="str">
        <f>IF(tbRegistroSaidas[[#This Row],[DATA DE CAIXA REALIZADO]]="N/A","0",UPPER(TEXT(tbRegistroSaidas[[#This Row],[DATA DE CAIXA REALIZADO]],"mmm")))</f>
        <v>NOV</v>
      </c>
      <c r="K646" s="79" t="str">
        <f>IF(tbRegistroSaidas[[#This Row],[DATA DA COMPETÊNCIA]]="N/A","0",UPPER(TEXT(tbRegistroSaidas[[#This Row],[DATA DA COMPETÊNCIA]],"mmm")))</f>
        <v>OUT</v>
      </c>
      <c r="L646" s="79">
        <f>IF(tbRegistroSaidas[[#This Row],[DATA DA COMPETÊNCIA]]="N/A",0,YEAR(tbRegistroSaidas[[#This Row],[DATA DA COMPETÊNCIA]]))</f>
        <v>2022</v>
      </c>
      <c r="M646" s="5" t="str">
        <f>IF(tbRegistroSaidas[[#This Row],[DATA DO CAIXA PREVISTO]]="N/A","0",UPPER(TEXT(tbRegistroSaidas[[#This Row],[DATA DO CAIXA PREVISTO]],"mmm")))</f>
        <v>NOV</v>
      </c>
      <c r="N646" s="5">
        <f>IF(tbRegistroSaidas[[#This Row],[DATA DO CAIXA PREVISTO]]="N/A",0,YEAR(tbRegistroSaidas[[#This Row],[DATA DO CAIXA PREVISTO]]))</f>
        <v>2022</v>
      </c>
    </row>
    <row r="647" spans="1:14" s="5" customFormat="1" ht="14.4" x14ac:dyDescent="0.3">
      <c r="A647" s="38">
        <v>44850.890057870369</v>
      </c>
      <c r="B647" s="49">
        <v>44844</v>
      </c>
      <c r="C647" s="49">
        <v>44850.890057870369</v>
      </c>
      <c r="D647" s="49" t="s">
        <v>63</v>
      </c>
      <c r="E647" s="51" t="s">
        <v>26</v>
      </c>
      <c r="F647" s="51" t="s">
        <v>16</v>
      </c>
      <c r="G647" s="52" t="s">
        <v>509</v>
      </c>
      <c r="H647" s="18">
        <v>2998</v>
      </c>
      <c r="I647" s="5">
        <f>IF(tbRegistroSaidas[[#This Row],[DATA DE CAIXA REALIZADO]]="N/A",0,YEAR(tbRegistroSaidas[[#This Row],[DATA DE CAIXA REALIZADO]]))</f>
        <v>2022</v>
      </c>
      <c r="J647" s="5" t="str">
        <f>IF(tbRegistroSaidas[[#This Row],[DATA DE CAIXA REALIZADO]]="N/A","0",UPPER(TEXT(tbRegistroSaidas[[#This Row],[DATA DE CAIXA REALIZADO]],"mmm")))</f>
        <v>OUT</v>
      </c>
      <c r="K647" s="79" t="str">
        <f>IF(tbRegistroSaidas[[#This Row],[DATA DA COMPETÊNCIA]]="N/A","0",UPPER(TEXT(tbRegistroSaidas[[#This Row],[DATA DA COMPETÊNCIA]],"mmm")))</f>
        <v>OUT</v>
      </c>
      <c r="L647" s="79">
        <f>IF(tbRegistroSaidas[[#This Row],[DATA DA COMPETÊNCIA]]="N/A",0,YEAR(tbRegistroSaidas[[#This Row],[DATA DA COMPETÊNCIA]]))</f>
        <v>2022</v>
      </c>
      <c r="M647" s="5" t="str">
        <f>IF(tbRegistroSaidas[[#This Row],[DATA DO CAIXA PREVISTO]]="N/A","0",UPPER(TEXT(tbRegistroSaidas[[#This Row],[DATA DO CAIXA PREVISTO]],"mmm")))</f>
        <v>OUT</v>
      </c>
      <c r="N647" s="5">
        <f>IF(tbRegistroSaidas[[#This Row],[DATA DO CAIXA PREVISTO]]="N/A",0,YEAR(tbRegistroSaidas[[#This Row],[DATA DO CAIXA PREVISTO]]))</f>
        <v>2022</v>
      </c>
    </row>
    <row r="648" spans="1:14" s="5" customFormat="1" ht="14.4" x14ac:dyDescent="0.3">
      <c r="A648" s="38">
        <v>44865.046689814815</v>
      </c>
      <c r="B648" s="49">
        <v>44846</v>
      </c>
      <c r="C648" s="49">
        <v>44865.046689814815</v>
      </c>
      <c r="D648" s="49" t="s">
        <v>138</v>
      </c>
      <c r="E648" s="51" t="s">
        <v>26</v>
      </c>
      <c r="F648" s="51" t="s">
        <v>16</v>
      </c>
      <c r="G648" s="52" t="s">
        <v>510</v>
      </c>
      <c r="H648" s="18">
        <v>4287</v>
      </c>
      <c r="I648" s="5">
        <f>IF(tbRegistroSaidas[[#This Row],[DATA DE CAIXA REALIZADO]]="N/A",0,YEAR(tbRegistroSaidas[[#This Row],[DATA DE CAIXA REALIZADO]]))</f>
        <v>2022</v>
      </c>
      <c r="J648" s="5" t="str">
        <f>IF(tbRegistroSaidas[[#This Row],[DATA DE CAIXA REALIZADO]]="N/A","0",UPPER(TEXT(tbRegistroSaidas[[#This Row],[DATA DE CAIXA REALIZADO]],"mmm")))</f>
        <v>OUT</v>
      </c>
      <c r="K648" s="79" t="str">
        <f>IF(tbRegistroSaidas[[#This Row],[DATA DA COMPETÊNCIA]]="N/A","0",UPPER(TEXT(tbRegistroSaidas[[#This Row],[DATA DA COMPETÊNCIA]],"mmm")))</f>
        <v>OUT</v>
      </c>
      <c r="L648" s="79">
        <f>IF(tbRegistroSaidas[[#This Row],[DATA DA COMPETÊNCIA]]="N/A",0,YEAR(tbRegistroSaidas[[#This Row],[DATA DA COMPETÊNCIA]]))</f>
        <v>2022</v>
      </c>
      <c r="M648" s="5" t="str">
        <f>IF(tbRegistroSaidas[[#This Row],[DATA DO CAIXA PREVISTO]]="N/A","0",UPPER(TEXT(tbRegistroSaidas[[#This Row],[DATA DO CAIXA PREVISTO]],"mmm")))</f>
        <v>OUT</v>
      </c>
      <c r="N648" s="5">
        <f>IF(tbRegistroSaidas[[#This Row],[DATA DO CAIXA PREVISTO]]="N/A",0,YEAR(tbRegistroSaidas[[#This Row],[DATA DO CAIXA PREVISTO]]))</f>
        <v>2022</v>
      </c>
    </row>
    <row r="649" spans="1:14" s="5" customFormat="1" ht="14.4" x14ac:dyDescent="0.3">
      <c r="A649" s="38">
        <v>44968.755972222221</v>
      </c>
      <c r="B649" s="49">
        <v>44848</v>
      </c>
      <c r="C649" s="49">
        <v>44889.148564814815</v>
      </c>
      <c r="D649" s="49" t="s">
        <v>138</v>
      </c>
      <c r="E649" s="51" t="s">
        <v>26</v>
      </c>
      <c r="F649" s="51" t="s">
        <v>18</v>
      </c>
      <c r="G649" s="52" t="s">
        <v>511</v>
      </c>
      <c r="H649" s="18">
        <v>2015</v>
      </c>
      <c r="I649" s="5">
        <f>IF(tbRegistroSaidas[[#This Row],[DATA DE CAIXA REALIZADO]]="N/A",0,YEAR(tbRegistroSaidas[[#This Row],[DATA DE CAIXA REALIZADO]]))</f>
        <v>2023</v>
      </c>
      <c r="J649" s="5" t="str">
        <f>IF(tbRegistroSaidas[[#This Row],[DATA DE CAIXA REALIZADO]]="N/A","0",UPPER(TEXT(tbRegistroSaidas[[#This Row],[DATA DE CAIXA REALIZADO]],"mmm")))</f>
        <v>FEV</v>
      </c>
      <c r="K649" s="79" t="str">
        <f>IF(tbRegistroSaidas[[#This Row],[DATA DA COMPETÊNCIA]]="N/A","0",UPPER(TEXT(tbRegistroSaidas[[#This Row],[DATA DA COMPETÊNCIA]],"mmm")))</f>
        <v>OUT</v>
      </c>
      <c r="L649" s="79">
        <f>IF(tbRegistroSaidas[[#This Row],[DATA DA COMPETÊNCIA]]="N/A",0,YEAR(tbRegistroSaidas[[#This Row],[DATA DA COMPETÊNCIA]]))</f>
        <v>2022</v>
      </c>
      <c r="M649" s="5" t="str">
        <f>IF(tbRegistroSaidas[[#This Row],[DATA DO CAIXA PREVISTO]]="N/A","0",UPPER(TEXT(tbRegistroSaidas[[#This Row],[DATA DO CAIXA PREVISTO]],"mmm")))</f>
        <v>NOV</v>
      </c>
      <c r="N649" s="5">
        <f>IF(tbRegistroSaidas[[#This Row],[DATA DO CAIXA PREVISTO]]="N/A",0,YEAR(tbRegistroSaidas[[#This Row],[DATA DO CAIXA PREVISTO]]))</f>
        <v>2022</v>
      </c>
    </row>
    <row r="650" spans="1:14" s="5" customFormat="1" ht="14.4" x14ac:dyDescent="0.3">
      <c r="A650" s="38">
        <v>44910.211875000001</v>
      </c>
      <c r="B650" s="49">
        <v>44854</v>
      </c>
      <c r="C650" s="49">
        <v>44910.211875000001</v>
      </c>
      <c r="D650" s="49" t="s">
        <v>67</v>
      </c>
      <c r="E650" s="51" t="s">
        <v>26</v>
      </c>
      <c r="F650" s="51" t="s">
        <v>18</v>
      </c>
      <c r="G650" s="52" t="s">
        <v>512</v>
      </c>
      <c r="H650" s="18">
        <v>3369</v>
      </c>
      <c r="I650" s="5">
        <f>IF(tbRegistroSaidas[[#This Row],[DATA DE CAIXA REALIZADO]]="N/A",0,YEAR(tbRegistroSaidas[[#This Row],[DATA DE CAIXA REALIZADO]]))</f>
        <v>2022</v>
      </c>
      <c r="J650" s="5" t="str">
        <f>IF(tbRegistroSaidas[[#This Row],[DATA DE CAIXA REALIZADO]]="N/A","0",UPPER(TEXT(tbRegistroSaidas[[#This Row],[DATA DE CAIXA REALIZADO]],"mmm")))</f>
        <v>DEZ</v>
      </c>
      <c r="K650" s="79" t="str">
        <f>IF(tbRegistroSaidas[[#This Row],[DATA DA COMPETÊNCIA]]="N/A","0",UPPER(TEXT(tbRegistroSaidas[[#This Row],[DATA DA COMPETÊNCIA]],"mmm")))</f>
        <v>OUT</v>
      </c>
      <c r="L650" s="79">
        <f>IF(tbRegistroSaidas[[#This Row],[DATA DA COMPETÊNCIA]]="N/A",0,YEAR(tbRegistroSaidas[[#This Row],[DATA DA COMPETÊNCIA]]))</f>
        <v>2022</v>
      </c>
      <c r="M650" s="5" t="str">
        <f>IF(tbRegistroSaidas[[#This Row],[DATA DO CAIXA PREVISTO]]="N/A","0",UPPER(TEXT(tbRegistroSaidas[[#This Row],[DATA DO CAIXA PREVISTO]],"mmm")))</f>
        <v>DEZ</v>
      </c>
      <c r="N650" s="5">
        <f>IF(tbRegistroSaidas[[#This Row],[DATA DO CAIXA PREVISTO]]="N/A",0,YEAR(tbRegistroSaidas[[#This Row],[DATA DO CAIXA PREVISTO]]))</f>
        <v>2022</v>
      </c>
    </row>
    <row r="651" spans="1:14" s="5" customFormat="1" ht="14.4" x14ac:dyDescent="0.3">
      <c r="A651" s="38">
        <v>44865.811331018522</v>
      </c>
      <c r="B651" s="49">
        <v>44855</v>
      </c>
      <c r="C651" s="49">
        <v>44865.811331018522</v>
      </c>
      <c r="D651" s="49" t="s">
        <v>66</v>
      </c>
      <c r="E651" s="51" t="s">
        <v>26</v>
      </c>
      <c r="F651" s="51" t="s">
        <v>33</v>
      </c>
      <c r="G651" s="52" t="s">
        <v>513</v>
      </c>
      <c r="H651" s="18">
        <v>4851</v>
      </c>
      <c r="I651" s="5">
        <f>IF(tbRegistroSaidas[[#This Row],[DATA DE CAIXA REALIZADO]]="N/A",0,YEAR(tbRegistroSaidas[[#This Row],[DATA DE CAIXA REALIZADO]]))</f>
        <v>2022</v>
      </c>
      <c r="J651" s="5" t="str">
        <f>IF(tbRegistroSaidas[[#This Row],[DATA DE CAIXA REALIZADO]]="N/A","0",UPPER(TEXT(tbRegistroSaidas[[#This Row],[DATA DE CAIXA REALIZADO]],"mmm")))</f>
        <v>OUT</v>
      </c>
      <c r="K651" s="79" t="str">
        <f>IF(tbRegistroSaidas[[#This Row],[DATA DA COMPETÊNCIA]]="N/A","0",UPPER(TEXT(tbRegistroSaidas[[#This Row],[DATA DA COMPETÊNCIA]],"mmm")))</f>
        <v>OUT</v>
      </c>
      <c r="L651" s="79">
        <f>IF(tbRegistroSaidas[[#This Row],[DATA DA COMPETÊNCIA]]="N/A",0,YEAR(tbRegistroSaidas[[#This Row],[DATA DA COMPETÊNCIA]]))</f>
        <v>2022</v>
      </c>
      <c r="M651" s="5" t="str">
        <f>IF(tbRegistroSaidas[[#This Row],[DATA DO CAIXA PREVISTO]]="N/A","0",UPPER(TEXT(tbRegistroSaidas[[#This Row],[DATA DO CAIXA PREVISTO]],"mmm")))</f>
        <v>OUT</v>
      </c>
      <c r="N651" s="5">
        <f>IF(tbRegistroSaidas[[#This Row],[DATA DO CAIXA PREVISTO]]="N/A",0,YEAR(tbRegistroSaidas[[#This Row],[DATA DO CAIXA PREVISTO]]))</f>
        <v>2022</v>
      </c>
    </row>
    <row r="652" spans="1:14" s="5" customFormat="1" ht="14.4" x14ac:dyDescent="0.3">
      <c r="A652" s="38">
        <v>44917.03162037037</v>
      </c>
      <c r="B652" s="49">
        <v>44859</v>
      </c>
      <c r="C652" s="49">
        <v>44910.013472222221</v>
      </c>
      <c r="D652" s="49" t="s">
        <v>61</v>
      </c>
      <c r="E652" s="51" t="s">
        <v>26</v>
      </c>
      <c r="F652" s="51" t="s">
        <v>33</v>
      </c>
      <c r="G652" s="52" t="s">
        <v>514</v>
      </c>
      <c r="H652" s="18">
        <v>2178</v>
      </c>
      <c r="I652" s="5">
        <f>IF(tbRegistroSaidas[[#This Row],[DATA DE CAIXA REALIZADO]]="N/A",0,YEAR(tbRegistroSaidas[[#This Row],[DATA DE CAIXA REALIZADO]]))</f>
        <v>2022</v>
      </c>
      <c r="J652" s="5" t="str">
        <f>IF(tbRegistroSaidas[[#This Row],[DATA DE CAIXA REALIZADO]]="N/A","0",UPPER(TEXT(tbRegistroSaidas[[#This Row],[DATA DE CAIXA REALIZADO]],"mmm")))</f>
        <v>DEZ</v>
      </c>
      <c r="K652" s="79" t="str">
        <f>IF(tbRegistroSaidas[[#This Row],[DATA DA COMPETÊNCIA]]="N/A","0",UPPER(TEXT(tbRegistroSaidas[[#This Row],[DATA DA COMPETÊNCIA]],"mmm")))</f>
        <v>OUT</v>
      </c>
      <c r="L652" s="79">
        <f>IF(tbRegistroSaidas[[#This Row],[DATA DA COMPETÊNCIA]]="N/A",0,YEAR(tbRegistroSaidas[[#This Row],[DATA DA COMPETÊNCIA]]))</f>
        <v>2022</v>
      </c>
      <c r="M652" s="5" t="str">
        <f>IF(tbRegistroSaidas[[#This Row],[DATA DO CAIXA PREVISTO]]="N/A","0",UPPER(TEXT(tbRegistroSaidas[[#This Row],[DATA DO CAIXA PREVISTO]],"mmm")))</f>
        <v>DEZ</v>
      </c>
      <c r="N652" s="5">
        <f>IF(tbRegistroSaidas[[#This Row],[DATA DO CAIXA PREVISTO]]="N/A",0,YEAR(tbRegistroSaidas[[#This Row],[DATA DO CAIXA PREVISTO]]))</f>
        <v>2022</v>
      </c>
    </row>
    <row r="653" spans="1:14" s="5" customFormat="1" ht="14.4" x14ac:dyDescent="0.3">
      <c r="A653" s="38">
        <v>44885.062048611115</v>
      </c>
      <c r="B653" s="49">
        <v>44861</v>
      </c>
      <c r="C653" s="49">
        <v>44885.062048611115</v>
      </c>
      <c r="D653" s="49" t="s">
        <v>67</v>
      </c>
      <c r="E653" s="51" t="s">
        <v>26</v>
      </c>
      <c r="F653" s="51" t="s">
        <v>18</v>
      </c>
      <c r="G653" s="52" t="s">
        <v>515</v>
      </c>
      <c r="H653" s="18">
        <v>4052</v>
      </c>
      <c r="I653" s="5">
        <f>IF(tbRegistroSaidas[[#This Row],[DATA DE CAIXA REALIZADO]]="N/A",0,YEAR(tbRegistroSaidas[[#This Row],[DATA DE CAIXA REALIZADO]]))</f>
        <v>2022</v>
      </c>
      <c r="J653" s="5" t="str">
        <f>IF(tbRegistroSaidas[[#This Row],[DATA DE CAIXA REALIZADO]]="N/A","0",UPPER(TEXT(tbRegistroSaidas[[#This Row],[DATA DE CAIXA REALIZADO]],"mmm")))</f>
        <v>NOV</v>
      </c>
      <c r="K653" s="79" t="str">
        <f>IF(tbRegistroSaidas[[#This Row],[DATA DA COMPETÊNCIA]]="N/A","0",UPPER(TEXT(tbRegistroSaidas[[#This Row],[DATA DA COMPETÊNCIA]],"mmm")))</f>
        <v>OUT</v>
      </c>
      <c r="L653" s="79">
        <f>IF(tbRegistroSaidas[[#This Row],[DATA DA COMPETÊNCIA]]="N/A",0,YEAR(tbRegistroSaidas[[#This Row],[DATA DA COMPETÊNCIA]]))</f>
        <v>2022</v>
      </c>
      <c r="M653" s="5" t="str">
        <f>IF(tbRegistroSaidas[[#This Row],[DATA DO CAIXA PREVISTO]]="N/A","0",UPPER(TEXT(tbRegistroSaidas[[#This Row],[DATA DO CAIXA PREVISTO]],"mmm")))</f>
        <v>NOV</v>
      </c>
      <c r="N653" s="5">
        <f>IF(tbRegistroSaidas[[#This Row],[DATA DO CAIXA PREVISTO]]="N/A",0,YEAR(tbRegistroSaidas[[#This Row],[DATA DO CAIXA PREVISTO]]))</f>
        <v>2022</v>
      </c>
    </row>
    <row r="654" spans="1:14" s="5" customFormat="1" ht="14.4" x14ac:dyDescent="0.3">
      <c r="A654" s="38">
        <v>44881.587268518517</v>
      </c>
      <c r="B654" s="49">
        <v>44864</v>
      </c>
      <c r="C654" s="49">
        <v>44881.587268518517</v>
      </c>
      <c r="D654" s="49" t="s">
        <v>66</v>
      </c>
      <c r="E654" s="51" t="s">
        <v>26</v>
      </c>
      <c r="F654" s="51" t="s">
        <v>16</v>
      </c>
      <c r="G654" s="52" t="s">
        <v>516</v>
      </c>
      <c r="H654" s="18">
        <v>2864</v>
      </c>
      <c r="I654" s="5">
        <f>IF(tbRegistroSaidas[[#This Row],[DATA DE CAIXA REALIZADO]]="N/A",0,YEAR(tbRegistroSaidas[[#This Row],[DATA DE CAIXA REALIZADO]]))</f>
        <v>2022</v>
      </c>
      <c r="J654" s="5" t="str">
        <f>IF(tbRegistroSaidas[[#This Row],[DATA DE CAIXA REALIZADO]]="N/A","0",UPPER(TEXT(tbRegistroSaidas[[#This Row],[DATA DE CAIXA REALIZADO]],"mmm")))</f>
        <v>NOV</v>
      </c>
      <c r="K654" s="79" t="str">
        <f>IF(tbRegistroSaidas[[#This Row],[DATA DA COMPETÊNCIA]]="N/A","0",UPPER(TEXT(tbRegistroSaidas[[#This Row],[DATA DA COMPETÊNCIA]],"mmm")))</f>
        <v>OUT</v>
      </c>
      <c r="L654" s="79">
        <f>IF(tbRegistroSaidas[[#This Row],[DATA DA COMPETÊNCIA]]="N/A",0,YEAR(tbRegistroSaidas[[#This Row],[DATA DA COMPETÊNCIA]]))</f>
        <v>2022</v>
      </c>
      <c r="M654" s="5" t="str">
        <f>IF(tbRegistroSaidas[[#This Row],[DATA DO CAIXA PREVISTO]]="N/A","0",UPPER(TEXT(tbRegistroSaidas[[#This Row],[DATA DO CAIXA PREVISTO]],"mmm")))</f>
        <v>NOV</v>
      </c>
      <c r="N654" s="5">
        <f>IF(tbRegistroSaidas[[#This Row],[DATA DO CAIXA PREVISTO]]="N/A",0,YEAR(tbRegistroSaidas[[#This Row],[DATA DO CAIXA PREVISTO]]))</f>
        <v>2022</v>
      </c>
    </row>
    <row r="655" spans="1:14" s="5" customFormat="1" ht="14.4" x14ac:dyDescent="0.3">
      <c r="A655" s="38">
        <v>44922.891875000001</v>
      </c>
      <c r="B655" s="49">
        <v>44866</v>
      </c>
      <c r="C655" s="49">
        <v>44922.891875000001</v>
      </c>
      <c r="D655" s="49" t="s">
        <v>67</v>
      </c>
      <c r="E655" s="51" t="s">
        <v>26</v>
      </c>
      <c r="F655" s="51" t="s">
        <v>33</v>
      </c>
      <c r="G655" s="52" t="s">
        <v>517</v>
      </c>
      <c r="H655" s="18">
        <v>2425</v>
      </c>
      <c r="I655" s="5">
        <f>IF(tbRegistroSaidas[[#This Row],[DATA DE CAIXA REALIZADO]]="N/A",0,YEAR(tbRegistroSaidas[[#This Row],[DATA DE CAIXA REALIZADO]]))</f>
        <v>2022</v>
      </c>
      <c r="J655" s="5" t="str">
        <f>IF(tbRegistroSaidas[[#This Row],[DATA DE CAIXA REALIZADO]]="N/A","0",UPPER(TEXT(tbRegistroSaidas[[#This Row],[DATA DE CAIXA REALIZADO]],"mmm")))</f>
        <v>DEZ</v>
      </c>
      <c r="K655" s="79" t="str">
        <f>IF(tbRegistroSaidas[[#This Row],[DATA DA COMPETÊNCIA]]="N/A","0",UPPER(TEXT(tbRegistroSaidas[[#This Row],[DATA DA COMPETÊNCIA]],"mmm")))</f>
        <v>NOV</v>
      </c>
      <c r="L655" s="79">
        <f>IF(tbRegistroSaidas[[#This Row],[DATA DA COMPETÊNCIA]]="N/A",0,YEAR(tbRegistroSaidas[[#This Row],[DATA DA COMPETÊNCIA]]))</f>
        <v>2022</v>
      </c>
      <c r="M655" s="5" t="str">
        <f>IF(tbRegistroSaidas[[#This Row],[DATA DO CAIXA PREVISTO]]="N/A","0",UPPER(TEXT(tbRegistroSaidas[[#This Row],[DATA DO CAIXA PREVISTO]],"mmm")))</f>
        <v>DEZ</v>
      </c>
      <c r="N655" s="5">
        <f>IF(tbRegistroSaidas[[#This Row],[DATA DO CAIXA PREVISTO]]="N/A",0,YEAR(tbRegistroSaidas[[#This Row],[DATA DO CAIXA PREVISTO]]))</f>
        <v>2022</v>
      </c>
    </row>
    <row r="656" spans="1:14" s="5" customFormat="1" ht="14.4" x14ac:dyDescent="0.3">
      <c r="A656" s="38">
        <v>44952.131655092591</v>
      </c>
      <c r="B656" s="49">
        <v>44868</v>
      </c>
      <c r="C656" s="49">
        <v>44927.552164351851</v>
      </c>
      <c r="D656" s="49" t="s">
        <v>62</v>
      </c>
      <c r="E656" s="51" t="s">
        <v>26</v>
      </c>
      <c r="F656" s="51" t="s">
        <v>16</v>
      </c>
      <c r="G656" s="52" t="s">
        <v>435</v>
      </c>
      <c r="H656" s="18">
        <v>1542</v>
      </c>
      <c r="I656" s="5">
        <f>IF(tbRegistroSaidas[[#This Row],[DATA DE CAIXA REALIZADO]]="N/A",0,YEAR(tbRegistroSaidas[[#This Row],[DATA DE CAIXA REALIZADO]]))</f>
        <v>2023</v>
      </c>
      <c r="J656" s="5" t="str">
        <f>IF(tbRegistroSaidas[[#This Row],[DATA DE CAIXA REALIZADO]]="N/A","0",UPPER(TEXT(tbRegistroSaidas[[#This Row],[DATA DE CAIXA REALIZADO]],"mmm")))</f>
        <v>JAN</v>
      </c>
      <c r="K656" s="79" t="str">
        <f>IF(tbRegistroSaidas[[#This Row],[DATA DA COMPETÊNCIA]]="N/A","0",UPPER(TEXT(tbRegistroSaidas[[#This Row],[DATA DA COMPETÊNCIA]],"mmm")))</f>
        <v>NOV</v>
      </c>
      <c r="L656" s="79">
        <f>IF(tbRegistroSaidas[[#This Row],[DATA DA COMPETÊNCIA]]="N/A",0,YEAR(tbRegistroSaidas[[#This Row],[DATA DA COMPETÊNCIA]]))</f>
        <v>2022</v>
      </c>
      <c r="M656" s="5" t="str">
        <f>IF(tbRegistroSaidas[[#This Row],[DATA DO CAIXA PREVISTO]]="N/A","0",UPPER(TEXT(tbRegistroSaidas[[#This Row],[DATA DO CAIXA PREVISTO]],"mmm")))</f>
        <v>JAN</v>
      </c>
      <c r="N656" s="5">
        <f>IF(tbRegistroSaidas[[#This Row],[DATA DO CAIXA PREVISTO]]="N/A",0,YEAR(tbRegistroSaidas[[#This Row],[DATA DO CAIXA PREVISTO]]))</f>
        <v>2023</v>
      </c>
    </row>
    <row r="657" spans="1:14" s="5" customFormat="1" ht="14.4" x14ac:dyDescent="0.3">
      <c r="A657" s="38">
        <v>44907.735196759262</v>
      </c>
      <c r="B657" s="49">
        <v>44873</v>
      </c>
      <c r="C657" s="49">
        <v>44907.735196759262</v>
      </c>
      <c r="D657" s="49" t="s">
        <v>61</v>
      </c>
      <c r="E657" s="51" t="s">
        <v>26</v>
      </c>
      <c r="F657" s="51" t="s">
        <v>33</v>
      </c>
      <c r="G657" s="52" t="s">
        <v>518</v>
      </c>
      <c r="H657" s="18">
        <v>1736</v>
      </c>
      <c r="I657" s="5">
        <f>IF(tbRegistroSaidas[[#This Row],[DATA DE CAIXA REALIZADO]]="N/A",0,YEAR(tbRegistroSaidas[[#This Row],[DATA DE CAIXA REALIZADO]]))</f>
        <v>2022</v>
      </c>
      <c r="J657" s="5" t="str">
        <f>IF(tbRegistroSaidas[[#This Row],[DATA DE CAIXA REALIZADO]]="N/A","0",UPPER(TEXT(tbRegistroSaidas[[#This Row],[DATA DE CAIXA REALIZADO]],"mmm")))</f>
        <v>DEZ</v>
      </c>
      <c r="K657" s="79" t="str">
        <f>IF(tbRegistroSaidas[[#This Row],[DATA DA COMPETÊNCIA]]="N/A","0",UPPER(TEXT(tbRegistroSaidas[[#This Row],[DATA DA COMPETÊNCIA]],"mmm")))</f>
        <v>NOV</v>
      </c>
      <c r="L657" s="79">
        <f>IF(tbRegistroSaidas[[#This Row],[DATA DA COMPETÊNCIA]]="N/A",0,YEAR(tbRegistroSaidas[[#This Row],[DATA DA COMPETÊNCIA]]))</f>
        <v>2022</v>
      </c>
      <c r="M657" s="5" t="str">
        <f>IF(tbRegistroSaidas[[#This Row],[DATA DO CAIXA PREVISTO]]="N/A","0",UPPER(TEXT(tbRegistroSaidas[[#This Row],[DATA DO CAIXA PREVISTO]],"mmm")))</f>
        <v>DEZ</v>
      </c>
      <c r="N657" s="5">
        <f>IF(tbRegistroSaidas[[#This Row],[DATA DO CAIXA PREVISTO]]="N/A",0,YEAR(tbRegistroSaidas[[#This Row],[DATA DO CAIXA PREVISTO]]))</f>
        <v>2022</v>
      </c>
    </row>
    <row r="658" spans="1:14" s="5" customFormat="1" ht="14.4" x14ac:dyDescent="0.3">
      <c r="A658" s="38">
        <v>44935.679629629631</v>
      </c>
      <c r="B658" s="49">
        <v>44876</v>
      </c>
      <c r="C658" s="49">
        <v>44935.679629629631</v>
      </c>
      <c r="D658" s="49" t="s">
        <v>62</v>
      </c>
      <c r="E658" s="51" t="s">
        <v>26</v>
      </c>
      <c r="F658" s="51" t="s">
        <v>17</v>
      </c>
      <c r="G658" s="52" t="s">
        <v>519</v>
      </c>
      <c r="H658" s="18">
        <v>1628</v>
      </c>
      <c r="I658" s="5">
        <f>IF(tbRegistroSaidas[[#This Row],[DATA DE CAIXA REALIZADO]]="N/A",0,YEAR(tbRegistroSaidas[[#This Row],[DATA DE CAIXA REALIZADO]]))</f>
        <v>2023</v>
      </c>
      <c r="J658" s="5" t="str">
        <f>IF(tbRegistroSaidas[[#This Row],[DATA DE CAIXA REALIZADO]]="N/A","0",UPPER(TEXT(tbRegistroSaidas[[#This Row],[DATA DE CAIXA REALIZADO]],"mmm")))</f>
        <v>JAN</v>
      </c>
      <c r="K658" s="79" t="str">
        <f>IF(tbRegistroSaidas[[#This Row],[DATA DA COMPETÊNCIA]]="N/A","0",UPPER(TEXT(tbRegistroSaidas[[#This Row],[DATA DA COMPETÊNCIA]],"mmm")))</f>
        <v>NOV</v>
      </c>
      <c r="L658" s="79">
        <f>IF(tbRegistroSaidas[[#This Row],[DATA DA COMPETÊNCIA]]="N/A",0,YEAR(tbRegistroSaidas[[#This Row],[DATA DA COMPETÊNCIA]]))</f>
        <v>2022</v>
      </c>
      <c r="M658" s="5" t="str">
        <f>IF(tbRegistroSaidas[[#This Row],[DATA DO CAIXA PREVISTO]]="N/A","0",UPPER(TEXT(tbRegistroSaidas[[#This Row],[DATA DO CAIXA PREVISTO]],"mmm")))</f>
        <v>JAN</v>
      </c>
      <c r="N658" s="5">
        <f>IF(tbRegistroSaidas[[#This Row],[DATA DO CAIXA PREVISTO]]="N/A",0,YEAR(tbRegistroSaidas[[#This Row],[DATA DO CAIXA PREVISTO]]))</f>
        <v>2023</v>
      </c>
    </row>
    <row r="659" spans="1:14" s="5" customFormat="1" ht="14.4" x14ac:dyDescent="0.3">
      <c r="A659" s="38">
        <v>44881.107754629629</v>
      </c>
      <c r="B659" s="49">
        <v>44878</v>
      </c>
      <c r="C659" s="49">
        <v>44881.107754629629</v>
      </c>
      <c r="D659" s="49" t="s">
        <v>61</v>
      </c>
      <c r="E659" s="51" t="s">
        <v>26</v>
      </c>
      <c r="F659" s="51" t="s">
        <v>33</v>
      </c>
      <c r="G659" s="52" t="s">
        <v>520</v>
      </c>
      <c r="H659" s="18">
        <v>3853</v>
      </c>
      <c r="I659" s="5">
        <f>IF(tbRegistroSaidas[[#This Row],[DATA DE CAIXA REALIZADO]]="N/A",0,YEAR(tbRegistroSaidas[[#This Row],[DATA DE CAIXA REALIZADO]]))</f>
        <v>2022</v>
      </c>
      <c r="J659" s="5" t="str">
        <f>IF(tbRegistroSaidas[[#This Row],[DATA DE CAIXA REALIZADO]]="N/A","0",UPPER(TEXT(tbRegistroSaidas[[#This Row],[DATA DE CAIXA REALIZADO]],"mmm")))</f>
        <v>NOV</v>
      </c>
      <c r="K659" s="79" t="str">
        <f>IF(tbRegistroSaidas[[#This Row],[DATA DA COMPETÊNCIA]]="N/A","0",UPPER(TEXT(tbRegistroSaidas[[#This Row],[DATA DA COMPETÊNCIA]],"mmm")))</f>
        <v>NOV</v>
      </c>
      <c r="L659" s="79">
        <f>IF(tbRegistroSaidas[[#This Row],[DATA DA COMPETÊNCIA]]="N/A",0,YEAR(tbRegistroSaidas[[#This Row],[DATA DA COMPETÊNCIA]]))</f>
        <v>2022</v>
      </c>
      <c r="M659" s="5" t="str">
        <f>IF(tbRegistroSaidas[[#This Row],[DATA DO CAIXA PREVISTO]]="N/A","0",UPPER(TEXT(tbRegistroSaidas[[#This Row],[DATA DO CAIXA PREVISTO]],"mmm")))</f>
        <v>NOV</v>
      </c>
      <c r="N659" s="5">
        <f>IF(tbRegistroSaidas[[#This Row],[DATA DO CAIXA PREVISTO]]="N/A",0,YEAR(tbRegistroSaidas[[#This Row],[DATA DO CAIXA PREVISTO]]))</f>
        <v>2022</v>
      </c>
    </row>
    <row r="660" spans="1:14" s="5" customFormat="1" ht="14.4" x14ac:dyDescent="0.3">
      <c r="A660" s="38">
        <v>44912.204016203701</v>
      </c>
      <c r="B660" s="49">
        <v>44882</v>
      </c>
      <c r="C660" s="49">
        <v>44912.204016203701</v>
      </c>
      <c r="D660" s="49" t="s">
        <v>61</v>
      </c>
      <c r="E660" s="51" t="s">
        <v>26</v>
      </c>
      <c r="F660" s="51" t="s">
        <v>17</v>
      </c>
      <c r="G660" s="52" t="s">
        <v>521</v>
      </c>
      <c r="H660" s="18">
        <v>883</v>
      </c>
      <c r="I660" s="5">
        <f>IF(tbRegistroSaidas[[#This Row],[DATA DE CAIXA REALIZADO]]="N/A",0,YEAR(tbRegistroSaidas[[#This Row],[DATA DE CAIXA REALIZADO]]))</f>
        <v>2022</v>
      </c>
      <c r="J660" s="5" t="str">
        <f>IF(tbRegistroSaidas[[#This Row],[DATA DE CAIXA REALIZADO]]="N/A","0",UPPER(TEXT(tbRegistroSaidas[[#This Row],[DATA DE CAIXA REALIZADO]],"mmm")))</f>
        <v>DEZ</v>
      </c>
      <c r="K660" s="79" t="str">
        <f>IF(tbRegistroSaidas[[#This Row],[DATA DA COMPETÊNCIA]]="N/A","0",UPPER(TEXT(tbRegistroSaidas[[#This Row],[DATA DA COMPETÊNCIA]],"mmm")))</f>
        <v>NOV</v>
      </c>
      <c r="L660" s="79">
        <f>IF(tbRegistroSaidas[[#This Row],[DATA DA COMPETÊNCIA]]="N/A",0,YEAR(tbRegistroSaidas[[#This Row],[DATA DA COMPETÊNCIA]]))</f>
        <v>2022</v>
      </c>
      <c r="M660" s="5" t="str">
        <f>IF(tbRegistroSaidas[[#This Row],[DATA DO CAIXA PREVISTO]]="N/A","0",UPPER(TEXT(tbRegistroSaidas[[#This Row],[DATA DO CAIXA PREVISTO]],"mmm")))</f>
        <v>DEZ</v>
      </c>
      <c r="N660" s="5">
        <f>IF(tbRegistroSaidas[[#This Row],[DATA DO CAIXA PREVISTO]]="N/A",0,YEAR(tbRegistroSaidas[[#This Row],[DATA DO CAIXA PREVISTO]]))</f>
        <v>2022</v>
      </c>
    </row>
    <row r="661" spans="1:14" s="5" customFormat="1" ht="14.4" x14ac:dyDescent="0.3">
      <c r="A661" s="38">
        <v>44902.762175925927</v>
      </c>
      <c r="B661" s="49">
        <v>44882</v>
      </c>
      <c r="C661" s="49">
        <v>44902.762175925927</v>
      </c>
      <c r="D661" s="49" t="s">
        <v>138</v>
      </c>
      <c r="E661" s="51" t="s">
        <v>26</v>
      </c>
      <c r="F661" s="51" t="s">
        <v>33</v>
      </c>
      <c r="G661" s="52" t="s">
        <v>522</v>
      </c>
      <c r="H661" s="18">
        <v>976</v>
      </c>
      <c r="I661" s="5">
        <f>IF(tbRegistroSaidas[[#This Row],[DATA DE CAIXA REALIZADO]]="N/A",0,YEAR(tbRegistroSaidas[[#This Row],[DATA DE CAIXA REALIZADO]]))</f>
        <v>2022</v>
      </c>
      <c r="J661" s="5" t="str">
        <f>IF(tbRegistroSaidas[[#This Row],[DATA DE CAIXA REALIZADO]]="N/A","0",UPPER(TEXT(tbRegistroSaidas[[#This Row],[DATA DE CAIXA REALIZADO]],"mmm")))</f>
        <v>DEZ</v>
      </c>
      <c r="K661" s="79" t="str">
        <f>IF(tbRegistroSaidas[[#This Row],[DATA DA COMPETÊNCIA]]="N/A","0",UPPER(TEXT(tbRegistroSaidas[[#This Row],[DATA DA COMPETÊNCIA]],"mmm")))</f>
        <v>NOV</v>
      </c>
      <c r="L661" s="79">
        <f>IF(tbRegistroSaidas[[#This Row],[DATA DA COMPETÊNCIA]]="N/A",0,YEAR(tbRegistroSaidas[[#This Row],[DATA DA COMPETÊNCIA]]))</f>
        <v>2022</v>
      </c>
      <c r="M661" s="5" t="str">
        <f>IF(tbRegistroSaidas[[#This Row],[DATA DO CAIXA PREVISTO]]="N/A","0",UPPER(TEXT(tbRegistroSaidas[[#This Row],[DATA DO CAIXA PREVISTO]],"mmm")))</f>
        <v>DEZ</v>
      </c>
      <c r="N661" s="5">
        <f>IF(tbRegistroSaidas[[#This Row],[DATA DO CAIXA PREVISTO]]="N/A",0,YEAR(tbRegistroSaidas[[#This Row],[DATA DO CAIXA PREVISTO]]))</f>
        <v>2022</v>
      </c>
    </row>
    <row r="662" spans="1:14" s="5" customFormat="1" ht="14.4" x14ac:dyDescent="0.3">
      <c r="A662" s="38">
        <v>44926.942395833335</v>
      </c>
      <c r="B662" s="49">
        <v>44885</v>
      </c>
      <c r="C662" s="49">
        <v>44926.942395833335</v>
      </c>
      <c r="D662" s="49" t="s">
        <v>137</v>
      </c>
      <c r="E662" s="51" t="s">
        <v>26</v>
      </c>
      <c r="F662" s="51" t="s">
        <v>17</v>
      </c>
      <c r="G662" s="52" t="s">
        <v>523</v>
      </c>
      <c r="H662" s="18">
        <v>2663</v>
      </c>
      <c r="I662" s="5">
        <f>IF(tbRegistroSaidas[[#This Row],[DATA DE CAIXA REALIZADO]]="N/A",0,YEAR(tbRegistroSaidas[[#This Row],[DATA DE CAIXA REALIZADO]]))</f>
        <v>2022</v>
      </c>
      <c r="J662" s="5" t="str">
        <f>IF(tbRegistroSaidas[[#This Row],[DATA DE CAIXA REALIZADO]]="N/A","0",UPPER(TEXT(tbRegistroSaidas[[#This Row],[DATA DE CAIXA REALIZADO]],"mmm")))</f>
        <v>DEZ</v>
      </c>
      <c r="K662" s="79" t="str">
        <f>IF(tbRegistroSaidas[[#This Row],[DATA DA COMPETÊNCIA]]="N/A","0",UPPER(TEXT(tbRegistroSaidas[[#This Row],[DATA DA COMPETÊNCIA]],"mmm")))</f>
        <v>NOV</v>
      </c>
      <c r="L662" s="79">
        <f>IF(tbRegistroSaidas[[#This Row],[DATA DA COMPETÊNCIA]]="N/A",0,YEAR(tbRegistroSaidas[[#This Row],[DATA DA COMPETÊNCIA]]))</f>
        <v>2022</v>
      </c>
      <c r="M662" s="5" t="str">
        <f>IF(tbRegistroSaidas[[#This Row],[DATA DO CAIXA PREVISTO]]="N/A","0",UPPER(TEXT(tbRegistroSaidas[[#This Row],[DATA DO CAIXA PREVISTO]],"mmm")))</f>
        <v>DEZ</v>
      </c>
      <c r="N662" s="5">
        <f>IF(tbRegistroSaidas[[#This Row],[DATA DO CAIXA PREVISTO]]="N/A",0,YEAR(tbRegistroSaidas[[#This Row],[DATA DO CAIXA PREVISTO]]))</f>
        <v>2022</v>
      </c>
    </row>
    <row r="663" spans="1:14" s="5" customFormat="1" ht="14.4" x14ac:dyDescent="0.3">
      <c r="A663" s="38">
        <v>44891.953634259262</v>
      </c>
      <c r="B663" s="49">
        <v>44891</v>
      </c>
      <c r="C663" s="49">
        <v>44891.953634259262</v>
      </c>
      <c r="D663" s="49" t="s">
        <v>65</v>
      </c>
      <c r="E663" s="51" t="s">
        <v>26</v>
      </c>
      <c r="F663" s="51" t="s">
        <v>33</v>
      </c>
      <c r="G663" s="52" t="s">
        <v>524</v>
      </c>
      <c r="H663" s="18">
        <v>4888</v>
      </c>
      <c r="I663" s="5">
        <f>IF(tbRegistroSaidas[[#This Row],[DATA DE CAIXA REALIZADO]]="N/A",0,YEAR(tbRegistroSaidas[[#This Row],[DATA DE CAIXA REALIZADO]]))</f>
        <v>2022</v>
      </c>
      <c r="J663" s="5" t="str">
        <f>IF(tbRegistroSaidas[[#This Row],[DATA DE CAIXA REALIZADO]]="N/A","0",UPPER(TEXT(tbRegistroSaidas[[#This Row],[DATA DE CAIXA REALIZADO]],"mmm")))</f>
        <v>NOV</v>
      </c>
      <c r="K663" s="79" t="str">
        <f>IF(tbRegistroSaidas[[#This Row],[DATA DA COMPETÊNCIA]]="N/A","0",UPPER(TEXT(tbRegistroSaidas[[#This Row],[DATA DA COMPETÊNCIA]],"mmm")))</f>
        <v>NOV</v>
      </c>
      <c r="L663" s="79">
        <f>IF(tbRegistroSaidas[[#This Row],[DATA DA COMPETÊNCIA]]="N/A",0,YEAR(tbRegistroSaidas[[#This Row],[DATA DA COMPETÊNCIA]]))</f>
        <v>2022</v>
      </c>
      <c r="M663" s="5" t="str">
        <f>IF(tbRegistroSaidas[[#This Row],[DATA DO CAIXA PREVISTO]]="N/A","0",UPPER(TEXT(tbRegistroSaidas[[#This Row],[DATA DO CAIXA PREVISTO]],"mmm")))</f>
        <v>NOV</v>
      </c>
      <c r="N663" s="5">
        <f>IF(tbRegistroSaidas[[#This Row],[DATA DO CAIXA PREVISTO]]="N/A",0,YEAR(tbRegistroSaidas[[#This Row],[DATA DO CAIXA PREVISTO]]))</f>
        <v>2022</v>
      </c>
    </row>
    <row r="664" spans="1:14" s="5" customFormat="1" ht="14.4" x14ac:dyDescent="0.3">
      <c r="A664" s="38">
        <v>44978.763877314814</v>
      </c>
      <c r="B664" s="49">
        <v>44894</v>
      </c>
      <c r="C664" s="49">
        <v>44939.804328703707</v>
      </c>
      <c r="D664" s="49" t="s">
        <v>65</v>
      </c>
      <c r="E664" s="51" t="s">
        <v>26</v>
      </c>
      <c r="F664" s="51" t="s">
        <v>17</v>
      </c>
      <c r="G664" s="52" t="s">
        <v>525</v>
      </c>
      <c r="H664" s="18">
        <v>2030</v>
      </c>
      <c r="I664" s="5">
        <f>IF(tbRegistroSaidas[[#This Row],[DATA DE CAIXA REALIZADO]]="N/A",0,YEAR(tbRegistroSaidas[[#This Row],[DATA DE CAIXA REALIZADO]]))</f>
        <v>2023</v>
      </c>
      <c r="J664" s="5" t="str">
        <f>IF(tbRegistroSaidas[[#This Row],[DATA DE CAIXA REALIZADO]]="N/A","0",UPPER(TEXT(tbRegistroSaidas[[#This Row],[DATA DE CAIXA REALIZADO]],"mmm")))</f>
        <v>FEV</v>
      </c>
      <c r="K664" s="79" t="str">
        <f>IF(tbRegistroSaidas[[#This Row],[DATA DA COMPETÊNCIA]]="N/A","0",UPPER(TEXT(tbRegistroSaidas[[#This Row],[DATA DA COMPETÊNCIA]],"mmm")))</f>
        <v>NOV</v>
      </c>
      <c r="L664" s="79">
        <f>IF(tbRegistroSaidas[[#This Row],[DATA DA COMPETÊNCIA]]="N/A",0,YEAR(tbRegistroSaidas[[#This Row],[DATA DA COMPETÊNCIA]]))</f>
        <v>2022</v>
      </c>
      <c r="M664" s="5" t="str">
        <f>IF(tbRegistroSaidas[[#This Row],[DATA DO CAIXA PREVISTO]]="N/A","0",UPPER(TEXT(tbRegistroSaidas[[#This Row],[DATA DO CAIXA PREVISTO]],"mmm")))</f>
        <v>JAN</v>
      </c>
      <c r="N664" s="5">
        <f>IF(tbRegistroSaidas[[#This Row],[DATA DO CAIXA PREVISTO]]="N/A",0,YEAR(tbRegistroSaidas[[#This Row],[DATA DO CAIXA PREVISTO]]))</f>
        <v>2023</v>
      </c>
    </row>
    <row r="665" spans="1:14" s="5" customFormat="1" ht="14.4" x14ac:dyDescent="0.3">
      <c r="A665" s="38" t="s">
        <v>141</v>
      </c>
      <c r="B665" s="49">
        <v>44897</v>
      </c>
      <c r="C665" s="49">
        <v>44946.820925925924</v>
      </c>
      <c r="D665" s="49" t="s">
        <v>138</v>
      </c>
      <c r="E665" s="51" t="s">
        <v>26</v>
      </c>
      <c r="F665" s="51" t="s">
        <v>33</v>
      </c>
      <c r="G665" s="52" t="s">
        <v>526</v>
      </c>
      <c r="H665" s="18">
        <v>2117</v>
      </c>
      <c r="I665" s="5">
        <f>IF(tbRegistroSaidas[[#This Row],[DATA DE CAIXA REALIZADO]]="N/A",0,YEAR(tbRegistroSaidas[[#This Row],[DATA DE CAIXA REALIZADO]]))</f>
        <v>0</v>
      </c>
      <c r="J665" s="5" t="str">
        <f>IF(tbRegistroSaidas[[#This Row],[DATA DE CAIXA REALIZADO]]="N/A","0",UPPER(TEXT(tbRegistroSaidas[[#This Row],[DATA DE CAIXA REALIZADO]],"mmm")))</f>
        <v>0</v>
      </c>
      <c r="K665" s="79" t="str">
        <f>IF(tbRegistroSaidas[[#This Row],[DATA DA COMPETÊNCIA]]="N/A","0",UPPER(TEXT(tbRegistroSaidas[[#This Row],[DATA DA COMPETÊNCIA]],"mmm")))</f>
        <v>DEZ</v>
      </c>
      <c r="L665" s="79">
        <f>IF(tbRegistroSaidas[[#This Row],[DATA DA COMPETÊNCIA]]="N/A",0,YEAR(tbRegistroSaidas[[#This Row],[DATA DA COMPETÊNCIA]]))</f>
        <v>2022</v>
      </c>
      <c r="M665" s="5" t="str">
        <f>IF(tbRegistroSaidas[[#This Row],[DATA DO CAIXA PREVISTO]]="N/A","0",UPPER(TEXT(tbRegistroSaidas[[#This Row],[DATA DO CAIXA PREVISTO]],"mmm")))</f>
        <v>JAN</v>
      </c>
      <c r="N665" s="5">
        <f>IF(tbRegistroSaidas[[#This Row],[DATA DO CAIXA PREVISTO]]="N/A",0,YEAR(tbRegistroSaidas[[#This Row],[DATA DO CAIXA PREVISTO]]))</f>
        <v>2023</v>
      </c>
    </row>
    <row r="666" spans="1:14" s="5" customFormat="1" ht="14.4" x14ac:dyDescent="0.3">
      <c r="A666" s="38">
        <v>45037.351307870369</v>
      </c>
      <c r="B666" s="49">
        <v>44899</v>
      </c>
      <c r="C666" s="49">
        <v>44955.750069444446</v>
      </c>
      <c r="D666" s="49" t="s">
        <v>67</v>
      </c>
      <c r="E666" s="51" t="s">
        <v>26</v>
      </c>
      <c r="F666" s="51" t="s">
        <v>33</v>
      </c>
      <c r="G666" s="52" t="s">
        <v>527</v>
      </c>
      <c r="H666" s="18">
        <v>1236</v>
      </c>
      <c r="I666" s="5">
        <f>IF(tbRegistroSaidas[[#This Row],[DATA DE CAIXA REALIZADO]]="N/A",0,YEAR(tbRegistroSaidas[[#This Row],[DATA DE CAIXA REALIZADO]]))</f>
        <v>2023</v>
      </c>
      <c r="J666" s="5" t="str">
        <f>IF(tbRegistroSaidas[[#This Row],[DATA DE CAIXA REALIZADO]]="N/A","0",UPPER(TEXT(tbRegistroSaidas[[#This Row],[DATA DE CAIXA REALIZADO]],"mmm")))</f>
        <v>ABR</v>
      </c>
      <c r="K666" s="79" t="str">
        <f>IF(tbRegistroSaidas[[#This Row],[DATA DA COMPETÊNCIA]]="N/A","0",UPPER(TEXT(tbRegistroSaidas[[#This Row],[DATA DA COMPETÊNCIA]],"mmm")))</f>
        <v>DEZ</v>
      </c>
      <c r="L666" s="79">
        <f>IF(tbRegistroSaidas[[#This Row],[DATA DA COMPETÊNCIA]]="N/A",0,YEAR(tbRegistroSaidas[[#This Row],[DATA DA COMPETÊNCIA]]))</f>
        <v>2022</v>
      </c>
      <c r="M666" s="5" t="str">
        <f>IF(tbRegistroSaidas[[#This Row],[DATA DO CAIXA PREVISTO]]="N/A","0",UPPER(TEXT(tbRegistroSaidas[[#This Row],[DATA DO CAIXA PREVISTO]],"mmm")))</f>
        <v>JAN</v>
      </c>
      <c r="N666" s="5">
        <f>IF(tbRegistroSaidas[[#This Row],[DATA DO CAIXA PREVISTO]]="N/A",0,YEAR(tbRegistroSaidas[[#This Row],[DATA DO CAIXA PREVISTO]]))</f>
        <v>2023</v>
      </c>
    </row>
    <row r="667" spans="1:14" s="5" customFormat="1" ht="14.4" x14ac:dyDescent="0.3">
      <c r="A667" s="38">
        <v>44926.746898148151</v>
      </c>
      <c r="B667" s="49">
        <v>44904</v>
      </c>
      <c r="C667" s="49">
        <v>44926.746898148151</v>
      </c>
      <c r="D667" s="49" t="s">
        <v>66</v>
      </c>
      <c r="E667" s="51" t="s">
        <v>26</v>
      </c>
      <c r="F667" s="51" t="s">
        <v>33</v>
      </c>
      <c r="G667" s="52" t="s">
        <v>528</v>
      </c>
      <c r="H667" s="18">
        <v>426</v>
      </c>
      <c r="I667" s="5">
        <f>IF(tbRegistroSaidas[[#This Row],[DATA DE CAIXA REALIZADO]]="N/A",0,YEAR(tbRegistroSaidas[[#This Row],[DATA DE CAIXA REALIZADO]]))</f>
        <v>2022</v>
      </c>
      <c r="J667" s="5" t="str">
        <f>IF(tbRegistroSaidas[[#This Row],[DATA DE CAIXA REALIZADO]]="N/A","0",UPPER(TEXT(tbRegistroSaidas[[#This Row],[DATA DE CAIXA REALIZADO]],"mmm")))</f>
        <v>DEZ</v>
      </c>
      <c r="K667" s="79" t="str">
        <f>IF(tbRegistroSaidas[[#This Row],[DATA DA COMPETÊNCIA]]="N/A","0",UPPER(TEXT(tbRegistroSaidas[[#This Row],[DATA DA COMPETÊNCIA]],"mmm")))</f>
        <v>DEZ</v>
      </c>
      <c r="L667" s="79">
        <f>IF(tbRegistroSaidas[[#This Row],[DATA DA COMPETÊNCIA]]="N/A",0,YEAR(tbRegistroSaidas[[#This Row],[DATA DA COMPETÊNCIA]]))</f>
        <v>2022</v>
      </c>
      <c r="M667" s="5" t="str">
        <f>IF(tbRegistroSaidas[[#This Row],[DATA DO CAIXA PREVISTO]]="N/A","0",UPPER(TEXT(tbRegistroSaidas[[#This Row],[DATA DO CAIXA PREVISTO]],"mmm")))</f>
        <v>DEZ</v>
      </c>
      <c r="N667" s="5">
        <f>IF(tbRegistroSaidas[[#This Row],[DATA DO CAIXA PREVISTO]]="N/A",0,YEAR(tbRegistroSaidas[[#This Row],[DATA DO CAIXA PREVISTO]]))</f>
        <v>2022</v>
      </c>
    </row>
    <row r="668" spans="1:14" s="5" customFormat="1" ht="14.4" x14ac:dyDescent="0.3">
      <c r="A668" s="38">
        <v>44926.10728009259</v>
      </c>
      <c r="B668" s="49">
        <v>44905</v>
      </c>
      <c r="C668" s="49">
        <v>44919.160578703704</v>
      </c>
      <c r="D668" s="49" t="s">
        <v>63</v>
      </c>
      <c r="E668" s="51" t="s">
        <v>26</v>
      </c>
      <c r="F668" s="51" t="s">
        <v>16</v>
      </c>
      <c r="G668" s="52" t="s">
        <v>529</v>
      </c>
      <c r="H668" s="18">
        <v>3956</v>
      </c>
      <c r="I668" s="5">
        <f>IF(tbRegistroSaidas[[#This Row],[DATA DE CAIXA REALIZADO]]="N/A",0,YEAR(tbRegistroSaidas[[#This Row],[DATA DE CAIXA REALIZADO]]))</f>
        <v>2022</v>
      </c>
      <c r="J668" s="5" t="str">
        <f>IF(tbRegistroSaidas[[#This Row],[DATA DE CAIXA REALIZADO]]="N/A","0",UPPER(TEXT(tbRegistroSaidas[[#This Row],[DATA DE CAIXA REALIZADO]],"mmm")))</f>
        <v>DEZ</v>
      </c>
      <c r="K668" s="79" t="str">
        <f>IF(tbRegistroSaidas[[#This Row],[DATA DA COMPETÊNCIA]]="N/A","0",UPPER(TEXT(tbRegistroSaidas[[#This Row],[DATA DA COMPETÊNCIA]],"mmm")))</f>
        <v>DEZ</v>
      </c>
      <c r="L668" s="79">
        <f>IF(tbRegistroSaidas[[#This Row],[DATA DA COMPETÊNCIA]]="N/A",0,YEAR(tbRegistroSaidas[[#This Row],[DATA DA COMPETÊNCIA]]))</f>
        <v>2022</v>
      </c>
      <c r="M668" s="5" t="str">
        <f>IF(tbRegistroSaidas[[#This Row],[DATA DO CAIXA PREVISTO]]="N/A","0",UPPER(TEXT(tbRegistroSaidas[[#This Row],[DATA DO CAIXA PREVISTO]],"mmm")))</f>
        <v>DEZ</v>
      </c>
      <c r="N668" s="5">
        <f>IF(tbRegistroSaidas[[#This Row],[DATA DO CAIXA PREVISTO]]="N/A",0,YEAR(tbRegistroSaidas[[#This Row],[DATA DO CAIXA PREVISTO]]))</f>
        <v>2022</v>
      </c>
    </row>
    <row r="669" spans="1:14" s="5" customFormat="1" ht="14.4" x14ac:dyDescent="0.3">
      <c r="A669" s="38" t="s">
        <v>141</v>
      </c>
      <c r="B669" s="49">
        <v>44909</v>
      </c>
      <c r="C669" s="49">
        <v>44941.746979166666</v>
      </c>
      <c r="D669" s="49" t="s">
        <v>137</v>
      </c>
      <c r="E669" s="51" t="s">
        <v>26</v>
      </c>
      <c r="F669" s="51" t="s">
        <v>33</v>
      </c>
      <c r="G669" s="52" t="s">
        <v>530</v>
      </c>
      <c r="H669" s="18">
        <v>3042</v>
      </c>
      <c r="I669" s="5">
        <f>IF(tbRegistroSaidas[[#This Row],[DATA DE CAIXA REALIZADO]]="N/A",0,YEAR(tbRegistroSaidas[[#This Row],[DATA DE CAIXA REALIZADO]]))</f>
        <v>0</v>
      </c>
      <c r="J669" s="5" t="str">
        <f>IF(tbRegistroSaidas[[#This Row],[DATA DE CAIXA REALIZADO]]="N/A","0",UPPER(TEXT(tbRegistroSaidas[[#This Row],[DATA DE CAIXA REALIZADO]],"mmm")))</f>
        <v>0</v>
      </c>
      <c r="K669" s="79" t="str">
        <f>IF(tbRegistroSaidas[[#This Row],[DATA DA COMPETÊNCIA]]="N/A","0",UPPER(TEXT(tbRegistroSaidas[[#This Row],[DATA DA COMPETÊNCIA]],"mmm")))</f>
        <v>DEZ</v>
      </c>
      <c r="L669" s="79">
        <f>IF(tbRegistroSaidas[[#This Row],[DATA DA COMPETÊNCIA]]="N/A",0,YEAR(tbRegistroSaidas[[#This Row],[DATA DA COMPETÊNCIA]]))</f>
        <v>2022</v>
      </c>
      <c r="M669" s="5" t="str">
        <f>IF(tbRegistroSaidas[[#This Row],[DATA DO CAIXA PREVISTO]]="N/A","0",UPPER(TEXT(tbRegistroSaidas[[#This Row],[DATA DO CAIXA PREVISTO]],"mmm")))</f>
        <v>JAN</v>
      </c>
      <c r="N669" s="5">
        <f>IF(tbRegistroSaidas[[#This Row],[DATA DO CAIXA PREVISTO]]="N/A",0,YEAR(tbRegistroSaidas[[#This Row],[DATA DO CAIXA PREVISTO]]))</f>
        <v>2023</v>
      </c>
    </row>
    <row r="670" spans="1:14" s="5" customFormat="1" ht="14.4" x14ac:dyDescent="0.3">
      <c r="A670" s="38">
        <v>44967.264594907407</v>
      </c>
      <c r="B670" s="49">
        <v>44910</v>
      </c>
      <c r="C670" s="49">
        <v>44950.3359375</v>
      </c>
      <c r="D670" s="49" t="s">
        <v>137</v>
      </c>
      <c r="E670" s="51" t="s">
        <v>26</v>
      </c>
      <c r="F670" s="51" t="s">
        <v>33</v>
      </c>
      <c r="G670" s="52" t="s">
        <v>531</v>
      </c>
      <c r="H670" s="18">
        <v>1434</v>
      </c>
      <c r="I670" s="5">
        <f>IF(tbRegistroSaidas[[#This Row],[DATA DE CAIXA REALIZADO]]="N/A",0,YEAR(tbRegistroSaidas[[#This Row],[DATA DE CAIXA REALIZADO]]))</f>
        <v>2023</v>
      </c>
      <c r="J670" s="5" t="str">
        <f>IF(tbRegistroSaidas[[#This Row],[DATA DE CAIXA REALIZADO]]="N/A","0",UPPER(TEXT(tbRegistroSaidas[[#This Row],[DATA DE CAIXA REALIZADO]],"mmm")))</f>
        <v>FEV</v>
      </c>
      <c r="K670" s="79" t="str">
        <f>IF(tbRegistroSaidas[[#This Row],[DATA DA COMPETÊNCIA]]="N/A","0",UPPER(TEXT(tbRegistroSaidas[[#This Row],[DATA DA COMPETÊNCIA]],"mmm")))</f>
        <v>DEZ</v>
      </c>
      <c r="L670" s="79">
        <f>IF(tbRegistroSaidas[[#This Row],[DATA DA COMPETÊNCIA]]="N/A",0,YEAR(tbRegistroSaidas[[#This Row],[DATA DA COMPETÊNCIA]]))</f>
        <v>2022</v>
      </c>
      <c r="M670" s="5" t="str">
        <f>IF(tbRegistroSaidas[[#This Row],[DATA DO CAIXA PREVISTO]]="N/A","0",UPPER(TEXT(tbRegistroSaidas[[#This Row],[DATA DO CAIXA PREVISTO]],"mmm")))</f>
        <v>JAN</v>
      </c>
      <c r="N670" s="5">
        <f>IF(tbRegistroSaidas[[#This Row],[DATA DO CAIXA PREVISTO]]="N/A",0,YEAR(tbRegistroSaidas[[#This Row],[DATA DO CAIXA PREVISTO]]))</f>
        <v>2023</v>
      </c>
    </row>
    <row r="671" spans="1:14" s="5" customFormat="1" ht="14.4" x14ac:dyDescent="0.3">
      <c r="A671" s="38">
        <v>44948.188425925924</v>
      </c>
      <c r="B671" s="49">
        <v>44913</v>
      </c>
      <c r="C671" s="49">
        <v>44948.188425925924</v>
      </c>
      <c r="D671" s="49" t="s">
        <v>62</v>
      </c>
      <c r="E671" s="51" t="s">
        <v>26</v>
      </c>
      <c r="F671" s="51" t="s">
        <v>32</v>
      </c>
      <c r="G671" s="52" t="s">
        <v>532</v>
      </c>
      <c r="H671" s="18">
        <v>1782</v>
      </c>
      <c r="I671" s="5">
        <f>IF(tbRegistroSaidas[[#This Row],[DATA DE CAIXA REALIZADO]]="N/A",0,YEAR(tbRegistroSaidas[[#This Row],[DATA DE CAIXA REALIZADO]]))</f>
        <v>2023</v>
      </c>
      <c r="J671" s="5" t="str">
        <f>IF(tbRegistroSaidas[[#This Row],[DATA DE CAIXA REALIZADO]]="N/A","0",UPPER(TEXT(tbRegistroSaidas[[#This Row],[DATA DE CAIXA REALIZADO]],"mmm")))</f>
        <v>JAN</v>
      </c>
      <c r="K671" s="79" t="str">
        <f>IF(tbRegistroSaidas[[#This Row],[DATA DA COMPETÊNCIA]]="N/A","0",UPPER(TEXT(tbRegistroSaidas[[#This Row],[DATA DA COMPETÊNCIA]],"mmm")))</f>
        <v>DEZ</v>
      </c>
      <c r="L671" s="79">
        <f>IF(tbRegistroSaidas[[#This Row],[DATA DA COMPETÊNCIA]]="N/A",0,YEAR(tbRegistroSaidas[[#This Row],[DATA DA COMPETÊNCIA]]))</f>
        <v>2022</v>
      </c>
      <c r="M671" s="5" t="str">
        <f>IF(tbRegistroSaidas[[#This Row],[DATA DO CAIXA PREVISTO]]="N/A","0",UPPER(TEXT(tbRegistroSaidas[[#This Row],[DATA DO CAIXA PREVISTO]],"mmm")))</f>
        <v>JAN</v>
      </c>
      <c r="N671" s="5">
        <f>IF(tbRegistroSaidas[[#This Row],[DATA DO CAIXA PREVISTO]]="N/A",0,YEAR(tbRegistroSaidas[[#This Row],[DATA DO CAIXA PREVISTO]]))</f>
        <v>2023</v>
      </c>
    </row>
    <row r="672" spans="1:14" s="5" customFormat="1" ht="14.4" x14ac:dyDescent="0.3">
      <c r="A672" s="38">
        <v>44975.403182870374</v>
      </c>
      <c r="B672" s="49">
        <v>44920</v>
      </c>
      <c r="C672" s="49">
        <v>44975.403182870374</v>
      </c>
      <c r="D672" s="49" t="s">
        <v>64</v>
      </c>
      <c r="E672" s="51" t="s">
        <v>26</v>
      </c>
      <c r="F672" s="51" t="s">
        <v>33</v>
      </c>
      <c r="G672" s="52" t="s">
        <v>533</v>
      </c>
      <c r="H672" s="18">
        <v>365</v>
      </c>
      <c r="I672" s="5">
        <f>IF(tbRegistroSaidas[[#This Row],[DATA DE CAIXA REALIZADO]]="N/A",0,YEAR(tbRegistroSaidas[[#This Row],[DATA DE CAIXA REALIZADO]]))</f>
        <v>2023</v>
      </c>
      <c r="J672" s="5" t="str">
        <f>IF(tbRegistroSaidas[[#This Row],[DATA DE CAIXA REALIZADO]]="N/A","0",UPPER(TEXT(tbRegistroSaidas[[#This Row],[DATA DE CAIXA REALIZADO]],"mmm")))</f>
        <v>FEV</v>
      </c>
      <c r="K672" s="79" t="str">
        <f>IF(tbRegistroSaidas[[#This Row],[DATA DA COMPETÊNCIA]]="N/A","0",UPPER(TEXT(tbRegistroSaidas[[#This Row],[DATA DA COMPETÊNCIA]],"mmm")))</f>
        <v>DEZ</v>
      </c>
      <c r="L672" s="79">
        <f>IF(tbRegistroSaidas[[#This Row],[DATA DA COMPETÊNCIA]]="N/A",0,YEAR(tbRegistroSaidas[[#This Row],[DATA DA COMPETÊNCIA]]))</f>
        <v>2022</v>
      </c>
      <c r="M672" s="5" t="str">
        <f>IF(tbRegistroSaidas[[#This Row],[DATA DO CAIXA PREVISTO]]="N/A","0",UPPER(TEXT(tbRegistroSaidas[[#This Row],[DATA DO CAIXA PREVISTO]],"mmm")))</f>
        <v>FEV</v>
      </c>
      <c r="N672" s="5">
        <f>IF(tbRegistroSaidas[[#This Row],[DATA DO CAIXA PREVISTO]]="N/A",0,YEAR(tbRegistroSaidas[[#This Row],[DATA DO CAIXA PREVISTO]]))</f>
        <v>2023</v>
      </c>
    </row>
    <row r="673" spans="1:14" s="5" customFormat="1" ht="14.4" x14ac:dyDescent="0.3">
      <c r="A673" s="38">
        <v>44952.679224537038</v>
      </c>
      <c r="B673" s="49">
        <v>44922</v>
      </c>
      <c r="C673" s="49">
        <v>44952.679224537038</v>
      </c>
      <c r="D673" s="49" t="s">
        <v>64</v>
      </c>
      <c r="E673" s="51" t="s">
        <v>26</v>
      </c>
      <c r="F673" s="51" t="s">
        <v>33</v>
      </c>
      <c r="G673" s="52" t="s">
        <v>534</v>
      </c>
      <c r="H673" s="18">
        <v>2757</v>
      </c>
      <c r="I673" s="5">
        <f>IF(tbRegistroSaidas[[#This Row],[DATA DE CAIXA REALIZADO]]="N/A",0,YEAR(tbRegistroSaidas[[#This Row],[DATA DE CAIXA REALIZADO]]))</f>
        <v>2023</v>
      </c>
      <c r="J673" s="5" t="str">
        <f>IF(tbRegistroSaidas[[#This Row],[DATA DE CAIXA REALIZADO]]="N/A","0",UPPER(TEXT(tbRegistroSaidas[[#This Row],[DATA DE CAIXA REALIZADO]],"mmm")))</f>
        <v>JAN</v>
      </c>
      <c r="K673" s="79" t="str">
        <f>IF(tbRegistroSaidas[[#This Row],[DATA DA COMPETÊNCIA]]="N/A","0",UPPER(TEXT(tbRegistroSaidas[[#This Row],[DATA DA COMPETÊNCIA]],"mmm")))</f>
        <v>DEZ</v>
      </c>
      <c r="L673" s="79">
        <f>IF(tbRegistroSaidas[[#This Row],[DATA DA COMPETÊNCIA]]="N/A",0,YEAR(tbRegistroSaidas[[#This Row],[DATA DA COMPETÊNCIA]]))</f>
        <v>2022</v>
      </c>
      <c r="M673" s="5" t="str">
        <f>IF(tbRegistroSaidas[[#This Row],[DATA DO CAIXA PREVISTO]]="N/A","0",UPPER(TEXT(tbRegistroSaidas[[#This Row],[DATA DO CAIXA PREVISTO]],"mmm")))</f>
        <v>JAN</v>
      </c>
      <c r="N673" s="5">
        <f>IF(tbRegistroSaidas[[#This Row],[DATA DO CAIXA PREVISTO]]="N/A",0,YEAR(tbRegistroSaidas[[#This Row],[DATA DO CAIXA PREVISTO]]))</f>
        <v>2023</v>
      </c>
    </row>
    <row r="674" spans="1:14" s="5" customFormat="1" ht="14.4" x14ac:dyDescent="0.3">
      <c r="A674" s="38">
        <v>44976.206909722219</v>
      </c>
      <c r="B674" s="49">
        <v>44925</v>
      </c>
      <c r="C674" s="49">
        <v>44976.206909722219</v>
      </c>
      <c r="D674" s="49" t="s">
        <v>64</v>
      </c>
      <c r="E674" s="51" t="s">
        <v>26</v>
      </c>
      <c r="F674" s="51" t="s">
        <v>32</v>
      </c>
      <c r="G674" s="52" t="s">
        <v>535</v>
      </c>
      <c r="H674" s="18">
        <v>2112</v>
      </c>
      <c r="I674" s="5">
        <f>IF(tbRegistroSaidas[[#This Row],[DATA DE CAIXA REALIZADO]]="N/A",0,YEAR(tbRegistroSaidas[[#This Row],[DATA DE CAIXA REALIZADO]]))</f>
        <v>2023</v>
      </c>
      <c r="J674" s="5" t="str">
        <f>IF(tbRegistroSaidas[[#This Row],[DATA DE CAIXA REALIZADO]]="N/A","0",UPPER(TEXT(tbRegistroSaidas[[#This Row],[DATA DE CAIXA REALIZADO]],"mmm")))</f>
        <v>FEV</v>
      </c>
      <c r="K674" s="79" t="str">
        <f>IF(tbRegistroSaidas[[#This Row],[DATA DA COMPETÊNCIA]]="N/A","0",UPPER(TEXT(tbRegistroSaidas[[#This Row],[DATA DA COMPETÊNCIA]],"mmm")))</f>
        <v>DEZ</v>
      </c>
      <c r="L674" s="79">
        <f>IF(tbRegistroSaidas[[#This Row],[DATA DA COMPETÊNCIA]]="N/A",0,YEAR(tbRegistroSaidas[[#This Row],[DATA DA COMPETÊNCIA]]))</f>
        <v>2022</v>
      </c>
      <c r="M674" s="5" t="str">
        <f>IF(tbRegistroSaidas[[#This Row],[DATA DO CAIXA PREVISTO]]="N/A","0",UPPER(TEXT(tbRegistroSaidas[[#This Row],[DATA DO CAIXA PREVISTO]],"mmm")))</f>
        <v>FEV</v>
      </c>
      <c r="N674" s="5">
        <f>IF(tbRegistroSaidas[[#This Row],[DATA DO CAIXA PREVISTO]]="N/A",0,YEAR(tbRegistroSaidas[[#This Row],[DATA DO CAIXA PREVISTO]]))</f>
        <v>2023</v>
      </c>
    </row>
    <row r="675" spans="1:14" s="5" customFormat="1" ht="14.4" x14ac:dyDescent="0.3">
      <c r="A675" s="38">
        <v>45034.207291666666</v>
      </c>
      <c r="B675" s="49">
        <v>44928</v>
      </c>
      <c r="C675" s="49">
        <v>44944.579942129632</v>
      </c>
      <c r="D675" s="49" t="s">
        <v>61</v>
      </c>
      <c r="E675" s="51" t="s">
        <v>26</v>
      </c>
      <c r="F675" s="51" t="s">
        <v>32</v>
      </c>
      <c r="G675" s="52" t="s">
        <v>536</v>
      </c>
      <c r="H675" s="18">
        <v>2190</v>
      </c>
      <c r="I675" s="5">
        <f>IF(tbRegistroSaidas[[#This Row],[DATA DE CAIXA REALIZADO]]="N/A",0,YEAR(tbRegistroSaidas[[#This Row],[DATA DE CAIXA REALIZADO]]))</f>
        <v>2023</v>
      </c>
      <c r="J675" s="5" t="str">
        <f>IF(tbRegistroSaidas[[#This Row],[DATA DE CAIXA REALIZADO]]="N/A","0",UPPER(TEXT(tbRegistroSaidas[[#This Row],[DATA DE CAIXA REALIZADO]],"mmm")))</f>
        <v>ABR</v>
      </c>
      <c r="K675" s="79" t="str">
        <f>IF(tbRegistroSaidas[[#This Row],[DATA DA COMPETÊNCIA]]="N/A","0",UPPER(TEXT(tbRegistroSaidas[[#This Row],[DATA DA COMPETÊNCIA]],"mmm")))</f>
        <v>JAN</v>
      </c>
      <c r="L675" s="79">
        <f>IF(tbRegistroSaidas[[#This Row],[DATA DA COMPETÊNCIA]]="N/A",0,YEAR(tbRegistroSaidas[[#This Row],[DATA DA COMPETÊNCIA]]))</f>
        <v>2023</v>
      </c>
      <c r="M675" s="5" t="str">
        <f>IF(tbRegistroSaidas[[#This Row],[DATA DO CAIXA PREVISTO]]="N/A","0",UPPER(TEXT(tbRegistroSaidas[[#This Row],[DATA DO CAIXA PREVISTO]],"mmm")))</f>
        <v>JAN</v>
      </c>
      <c r="N675" s="5">
        <f>IF(tbRegistroSaidas[[#This Row],[DATA DO CAIXA PREVISTO]]="N/A",0,YEAR(tbRegistroSaidas[[#This Row],[DATA DO CAIXA PREVISTO]]))</f>
        <v>2023</v>
      </c>
    </row>
    <row r="676" spans="1:14" s="5" customFormat="1" ht="14.4" x14ac:dyDescent="0.3">
      <c r="A676" s="38">
        <v>44946.642326388886</v>
      </c>
      <c r="B676" s="49">
        <v>44930</v>
      </c>
      <c r="C676" s="49">
        <v>44946.642326388886</v>
      </c>
      <c r="D676" s="49" t="s">
        <v>61</v>
      </c>
      <c r="E676" s="51" t="s">
        <v>26</v>
      </c>
      <c r="F676" s="51" t="s">
        <v>33</v>
      </c>
      <c r="G676" s="52" t="s">
        <v>537</v>
      </c>
      <c r="H676" s="18">
        <v>2998</v>
      </c>
      <c r="I676" s="5">
        <f>IF(tbRegistroSaidas[[#This Row],[DATA DE CAIXA REALIZADO]]="N/A",0,YEAR(tbRegistroSaidas[[#This Row],[DATA DE CAIXA REALIZADO]]))</f>
        <v>2023</v>
      </c>
      <c r="J676" s="5" t="str">
        <f>IF(tbRegistroSaidas[[#This Row],[DATA DE CAIXA REALIZADO]]="N/A","0",UPPER(TEXT(tbRegistroSaidas[[#This Row],[DATA DE CAIXA REALIZADO]],"mmm")))</f>
        <v>JAN</v>
      </c>
      <c r="K676" s="79" t="str">
        <f>IF(tbRegistroSaidas[[#This Row],[DATA DA COMPETÊNCIA]]="N/A","0",UPPER(TEXT(tbRegistroSaidas[[#This Row],[DATA DA COMPETÊNCIA]],"mmm")))</f>
        <v>JAN</v>
      </c>
      <c r="L676" s="79">
        <f>IF(tbRegistroSaidas[[#This Row],[DATA DA COMPETÊNCIA]]="N/A",0,YEAR(tbRegistroSaidas[[#This Row],[DATA DA COMPETÊNCIA]]))</f>
        <v>2023</v>
      </c>
      <c r="M676" s="5" t="str">
        <f>IF(tbRegistroSaidas[[#This Row],[DATA DO CAIXA PREVISTO]]="N/A","0",UPPER(TEXT(tbRegistroSaidas[[#This Row],[DATA DO CAIXA PREVISTO]],"mmm")))</f>
        <v>JAN</v>
      </c>
      <c r="N676" s="5">
        <f>IF(tbRegistroSaidas[[#This Row],[DATA DO CAIXA PREVISTO]]="N/A",0,YEAR(tbRegistroSaidas[[#This Row],[DATA DO CAIXA PREVISTO]]))</f>
        <v>2023</v>
      </c>
    </row>
    <row r="677" spans="1:14" s="5" customFormat="1" ht="14.4" x14ac:dyDescent="0.3">
      <c r="A677" s="38">
        <v>44962.032673611109</v>
      </c>
      <c r="B677" s="49">
        <v>44937</v>
      </c>
      <c r="C677" s="49">
        <v>44962.032673611109</v>
      </c>
      <c r="D677" s="49" t="s">
        <v>67</v>
      </c>
      <c r="E677" s="51" t="s">
        <v>26</v>
      </c>
      <c r="F677" s="51" t="s">
        <v>33</v>
      </c>
      <c r="G677" s="52" t="s">
        <v>538</v>
      </c>
      <c r="H677" s="18">
        <v>3808</v>
      </c>
      <c r="I677" s="5">
        <f>IF(tbRegistroSaidas[[#This Row],[DATA DE CAIXA REALIZADO]]="N/A",0,YEAR(tbRegistroSaidas[[#This Row],[DATA DE CAIXA REALIZADO]]))</f>
        <v>2023</v>
      </c>
      <c r="J677" s="5" t="str">
        <f>IF(tbRegistroSaidas[[#This Row],[DATA DE CAIXA REALIZADO]]="N/A","0",UPPER(TEXT(tbRegistroSaidas[[#This Row],[DATA DE CAIXA REALIZADO]],"mmm")))</f>
        <v>FEV</v>
      </c>
      <c r="K677" s="79" t="str">
        <f>IF(tbRegistroSaidas[[#This Row],[DATA DA COMPETÊNCIA]]="N/A","0",UPPER(TEXT(tbRegistroSaidas[[#This Row],[DATA DA COMPETÊNCIA]],"mmm")))</f>
        <v>JAN</v>
      </c>
      <c r="L677" s="79">
        <f>IF(tbRegistroSaidas[[#This Row],[DATA DA COMPETÊNCIA]]="N/A",0,YEAR(tbRegistroSaidas[[#This Row],[DATA DA COMPETÊNCIA]]))</f>
        <v>2023</v>
      </c>
      <c r="M677" s="5" t="str">
        <f>IF(tbRegistroSaidas[[#This Row],[DATA DO CAIXA PREVISTO]]="N/A","0",UPPER(TEXT(tbRegistroSaidas[[#This Row],[DATA DO CAIXA PREVISTO]],"mmm")))</f>
        <v>FEV</v>
      </c>
      <c r="N677" s="5">
        <f>IF(tbRegistroSaidas[[#This Row],[DATA DO CAIXA PREVISTO]]="N/A",0,YEAR(tbRegistroSaidas[[#This Row],[DATA DO CAIXA PREVISTO]]))</f>
        <v>2023</v>
      </c>
    </row>
    <row r="678" spans="1:14" s="5" customFormat="1" ht="14.4" x14ac:dyDescent="0.3">
      <c r="A678" s="38">
        <v>44956.478912037041</v>
      </c>
      <c r="B678" s="49">
        <v>44940</v>
      </c>
      <c r="C678" s="49">
        <v>44956.478912037041</v>
      </c>
      <c r="D678" s="49" t="s">
        <v>137</v>
      </c>
      <c r="E678" s="51" t="s">
        <v>26</v>
      </c>
      <c r="F678" s="51" t="s">
        <v>33</v>
      </c>
      <c r="G678" s="52" t="s">
        <v>539</v>
      </c>
      <c r="H678" s="18">
        <v>4928</v>
      </c>
      <c r="I678" s="5">
        <f>IF(tbRegistroSaidas[[#This Row],[DATA DE CAIXA REALIZADO]]="N/A",0,YEAR(tbRegistroSaidas[[#This Row],[DATA DE CAIXA REALIZADO]]))</f>
        <v>2023</v>
      </c>
      <c r="J678" s="5" t="str">
        <f>IF(tbRegistroSaidas[[#This Row],[DATA DE CAIXA REALIZADO]]="N/A","0",UPPER(TEXT(tbRegistroSaidas[[#This Row],[DATA DE CAIXA REALIZADO]],"mmm")))</f>
        <v>JAN</v>
      </c>
      <c r="K678" s="79" t="str">
        <f>IF(tbRegistroSaidas[[#This Row],[DATA DA COMPETÊNCIA]]="N/A","0",UPPER(TEXT(tbRegistroSaidas[[#This Row],[DATA DA COMPETÊNCIA]],"mmm")))</f>
        <v>JAN</v>
      </c>
      <c r="L678" s="79">
        <f>IF(tbRegistroSaidas[[#This Row],[DATA DA COMPETÊNCIA]]="N/A",0,YEAR(tbRegistroSaidas[[#This Row],[DATA DA COMPETÊNCIA]]))</f>
        <v>2023</v>
      </c>
      <c r="M678" s="5" t="str">
        <f>IF(tbRegistroSaidas[[#This Row],[DATA DO CAIXA PREVISTO]]="N/A","0",UPPER(TEXT(tbRegistroSaidas[[#This Row],[DATA DO CAIXA PREVISTO]],"mmm")))</f>
        <v>JAN</v>
      </c>
      <c r="N678" s="5">
        <f>IF(tbRegistroSaidas[[#This Row],[DATA DO CAIXA PREVISTO]]="N/A",0,YEAR(tbRegistroSaidas[[#This Row],[DATA DO CAIXA PREVISTO]]))</f>
        <v>2023</v>
      </c>
    </row>
    <row r="679" spans="1:14" s="5" customFormat="1" ht="14.4" x14ac:dyDescent="0.3">
      <c r="A679" s="38">
        <v>44997.025613425925</v>
      </c>
      <c r="B679" s="49">
        <v>44943</v>
      </c>
      <c r="C679" s="49">
        <v>44997.025613425925</v>
      </c>
      <c r="D679" s="49" t="s">
        <v>65</v>
      </c>
      <c r="E679" s="51" t="s">
        <v>26</v>
      </c>
      <c r="F679" s="51" t="s">
        <v>32</v>
      </c>
      <c r="G679" s="52" t="s">
        <v>540</v>
      </c>
      <c r="H679" s="18">
        <v>4179</v>
      </c>
      <c r="I679" s="5">
        <f>IF(tbRegistroSaidas[[#This Row],[DATA DE CAIXA REALIZADO]]="N/A",0,YEAR(tbRegistroSaidas[[#This Row],[DATA DE CAIXA REALIZADO]]))</f>
        <v>2023</v>
      </c>
      <c r="J679" s="5" t="str">
        <f>IF(tbRegistroSaidas[[#This Row],[DATA DE CAIXA REALIZADO]]="N/A","0",UPPER(TEXT(tbRegistroSaidas[[#This Row],[DATA DE CAIXA REALIZADO]],"mmm")))</f>
        <v>MAR</v>
      </c>
      <c r="K679" s="79" t="str">
        <f>IF(tbRegistroSaidas[[#This Row],[DATA DA COMPETÊNCIA]]="N/A","0",UPPER(TEXT(tbRegistroSaidas[[#This Row],[DATA DA COMPETÊNCIA]],"mmm")))</f>
        <v>JAN</v>
      </c>
      <c r="L679" s="79">
        <f>IF(tbRegistroSaidas[[#This Row],[DATA DA COMPETÊNCIA]]="N/A",0,YEAR(tbRegistroSaidas[[#This Row],[DATA DA COMPETÊNCIA]]))</f>
        <v>2023</v>
      </c>
      <c r="M679" s="5" t="str">
        <f>IF(tbRegistroSaidas[[#This Row],[DATA DO CAIXA PREVISTO]]="N/A","0",UPPER(TEXT(tbRegistroSaidas[[#This Row],[DATA DO CAIXA PREVISTO]],"mmm")))</f>
        <v>MAR</v>
      </c>
      <c r="N679" s="5">
        <f>IF(tbRegistroSaidas[[#This Row],[DATA DO CAIXA PREVISTO]]="N/A",0,YEAR(tbRegistroSaidas[[#This Row],[DATA DO CAIXA PREVISTO]]))</f>
        <v>2023</v>
      </c>
    </row>
    <row r="680" spans="1:14" s="5" customFormat="1" ht="14.4" x14ac:dyDescent="0.3">
      <c r="A680" s="38">
        <v>44960.993518518517</v>
      </c>
      <c r="B680" s="49">
        <v>44945</v>
      </c>
      <c r="C680" s="49">
        <v>44960.993518518517</v>
      </c>
      <c r="D680" s="49" t="s">
        <v>64</v>
      </c>
      <c r="E680" s="51" t="s">
        <v>26</v>
      </c>
      <c r="F680" s="51" t="s">
        <v>16</v>
      </c>
      <c r="G680" s="52" t="s">
        <v>541</v>
      </c>
      <c r="H680" s="18">
        <v>4896</v>
      </c>
      <c r="I680" s="5">
        <f>IF(tbRegistroSaidas[[#This Row],[DATA DE CAIXA REALIZADO]]="N/A",0,YEAR(tbRegistroSaidas[[#This Row],[DATA DE CAIXA REALIZADO]]))</f>
        <v>2023</v>
      </c>
      <c r="J680" s="5" t="str">
        <f>IF(tbRegistroSaidas[[#This Row],[DATA DE CAIXA REALIZADO]]="N/A","0",UPPER(TEXT(tbRegistroSaidas[[#This Row],[DATA DE CAIXA REALIZADO]],"mmm")))</f>
        <v>FEV</v>
      </c>
      <c r="K680" s="79" t="str">
        <f>IF(tbRegistroSaidas[[#This Row],[DATA DA COMPETÊNCIA]]="N/A","0",UPPER(TEXT(tbRegistroSaidas[[#This Row],[DATA DA COMPETÊNCIA]],"mmm")))</f>
        <v>JAN</v>
      </c>
      <c r="L680" s="79">
        <f>IF(tbRegistroSaidas[[#This Row],[DATA DA COMPETÊNCIA]]="N/A",0,YEAR(tbRegistroSaidas[[#This Row],[DATA DA COMPETÊNCIA]]))</f>
        <v>2023</v>
      </c>
      <c r="M680" s="5" t="str">
        <f>IF(tbRegistroSaidas[[#This Row],[DATA DO CAIXA PREVISTO]]="N/A","0",UPPER(TEXT(tbRegistroSaidas[[#This Row],[DATA DO CAIXA PREVISTO]],"mmm")))</f>
        <v>FEV</v>
      </c>
      <c r="N680" s="5">
        <f>IF(tbRegistroSaidas[[#This Row],[DATA DO CAIXA PREVISTO]]="N/A",0,YEAR(tbRegistroSaidas[[#This Row],[DATA DO CAIXA PREVISTO]]))</f>
        <v>2023</v>
      </c>
    </row>
    <row r="681" spans="1:14" s="5" customFormat="1" ht="14.4" x14ac:dyDescent="0.3">
      <c r="A681" s="38">
        <v>44959.13108796296</v>
      </c>
      <c r="B681" s="49">
        <v>44948</v>
      </c>
      <c r="C681" s="49">
        <v>44959.13108796296</v>
      </c>
      <c r="D681" s="49" t="s">
        <v>67</v>
      </c>
      <c r="E681" s="51" t="s">
        <v>26</v>
      </c>
      <c r="F681" s="51" t="s">
        <v>32</v>
      </c>
      <c r="G681" s="52" t="s">
        <v>457</v>
      </c>
      <c r="H681" s="18">
        <v>4092</v>
      </c>
      <c r="I681" s="5">
        <f>IF(tbRegistroSaidas[[#This Row],[DATA DE CAIXA REALIZADO]]="N/A",0,YEAR(tbRegistroSaidas[[#This Row],[DATA DE CAIXA REALIZADO]]))</f>
        <v>2023</v>
      </c>
      <c r="J681" s="5" t="str">
        <f>IF(tbRegistroSaidas[[#This Row],[DATA DE CAIXA REALIZADO]]="N/A","0",UPPER(TEXT(tbRegistroSaidas[[#This Row],[DATA DE CAIXA REALIZADO]],"mmm")))</f>
        <v>FEV</v>
      </c>
      <c r="K681" s="79" t="str">
        <f>IF(tbRegistroSaidas[[#This Row],[DATA DA COMPETÊNCIA]]="N/A","0",UPPER(TEXT(tbRegistroSaidas[[#This Row],[DATA DA COMPETÊNCIA]],"mmm")))</f>
        <v>JAN</v>
      </c>
      <c r="L681" s="79">
        <f>IF(tbRegistroSaidas[[#This Row],[DATA DA COMPETÊNCIA]]="N/A",0,YEAR(tbRegistroSaidas[[#This Row],[DATA DA COMPETÊNCIA]]))</f>
        <v>2023</v>
      </c>
      <c r="M681" s="5" t="str">
        <f>IF(tbRegistroSaidas[[#This Row],[DATA DO CAIXA PREVISTO]]="N/A","0",UPPER(TEXT(tbRegistroSaidas[[#This Row],[DATA DO CAIXA PREVISTO]],"mmm")))</f>
        <v>FEV</v>
      </c>
      <c r="N681" s="5">
        <f>IF(tbRegistroSaidas[[#This Row],[DATA DO CAIXA PREVISTO]]="N/A",0,YEAR(tbRegistroSaidas[[#This Row],[DATA DO CAIXA PREVISTO]]))</f>
        <v>2023</v>
      </c>
    </row>
    <row r="682" spans="1:14" s="5" customFormat="1" ht="14.4" x14ac:dyDescent="0.3">
      <c r="A682" s="38">
        <v>44957.933668981481</v>
      </c>
      <c r="B682" s="49">
        <v>44953</v>
      </c>
      <c r="C682" s="49">
        <v>44957.933668981481</v>
      </c>
      <c r="D682" s="49" t="s">
        <v>66</v>
      </c>
      <c r="E682" s="51" t="s">
        <v>26</v>
      </c>
      <c r="F682" s="51" t="s">
        <v>33</v>
      </c>
      <c r="G682" s="52" t="s">
        <v>542</v>
      </c>
      <c r="H682" s="18">
        <v>2956</v>
      </c>
      <c r="I682" s="5">
        <f>IF(tbRegistroSaidas[[#This Row],[DATA DE CAIXA REALIZADO]]="N/A",0,YEAR(tbRegistroSaidas[[#This Row],[DATA DE CAIXA REALIZADO]]))</f>
        <v>2023</v>
      </c>
      <c r="J682" s="5" t="str">
        <f>IF(tbRegistroSaidas[[#This Row],[DATA DE CAIXA REALIZADO]]="N/A","0",UPPER(TEXT(tbRegistroSaidas[[#This Row],[DATA DE CAIXA REALIZADO]],"mmm")))</f>
        <v>JAN</v>
      </c>
      <c r="K682" s="79" t="str">
        <f>IF(tbRegistroSaidas[[#This Row],[DATA DA COMPETÊNCIA]]="N/A","0",UPPER(TEXT(tbRegistroSaidas[[#This Row],[DATA DA COMPETÊNCIA]],"mmm")))</f>
        <v>JAN</v>
      </c>
      <c r="L682" s="79">
        <f>IF(tbRegistroSaidas[[#This Row],[DATA DA COMPETÊNCIA]]="N/A",0,YEAR(tbRegistroSaidas[[#This Row],[DATA DA COMPETÊNCIA]]))</f>
        <v>2023</v>
      </c>
      <c r="M682" s="5" t="str">
        <f>IF(tbRegistroSaidas[[#This Row],[DATA DO CAIXA PREVISTO]]="N/A","0",UPPER(TEXT(tbRegistroSaidas[[#This Row],[DATA DO CAIXA PREVISTO]],"mmm")))</f>
        <v>JAN</v>
      </c>
      <c r="N682" s="5">
        <f>IF(tbRegistroSaidas[[#This Row],[DATA DO CAIXA PREVISTO]]="N/A",0,YEAR(tbRegistroSaidas[[#This Row],[DATA DO CAIXA PREVISTO]]))</f>
        <v>2023</v>
      </c>
    </row>
    <row r="683" spans="1:14" s="5" customFormat="1" ht="14.4" x14ac:dyDescent="0.3">
      <c r="A683" s="38">
        <v>44970.777939814812</v>
      </c>
      <c r="B683" s="49">
        <v>44957</v>
      </c>
      <c r="C683" s="49">
        <v>44970.777939814812</v>
      </c>
      <c r="D683" s="49" t="s">
        <v>137</v>
      </c>
      <c r="E683" s="51" t="s">
        <v>26</v>
      </c>
      <c r="F683" s="51" t="s">
        <v>32</v>
      </c>
      <c r="G683" s="52" t="s">
        <v>543</v>
      </c>
      <c r="H683" s="18">
        <v>533</v>
      </c>
      <c r="I683" s="5">
        <f>IF(tbRegistroSaidas[[#This Row],[DATA DE CAIXA REALIZADO]]="N/A",0,YEAR(tbRegistroSaidas[[#This Row],[DATA DE CAIXA REALIZADO]]))</f>
        <v>2023</v>
      </c>
      <c r="J683" s="5" t="str">
        <f>IF(tbRegistroSaidas[[#This Row],[DATA DE CAIXA REALIZADO]]="N/A","0",UPPER(TEXT(tbRegistroSaidas[[#This Row],[DATA DE CAIXA REALIZADO]],"mmm")))</f>
        <v>FEV</v>
      </c>
      <c r="K683" s="79" t="str">
        <f>IF(tbRegistroSaidas[[#This Row],[DATA DA COMPETÊNCIA]]="N/A","0",UPPER(TEXT(tbRegistroSaidas[[#This Row],[DATA DA COMPETÊNCIA]],"mmm")))</f>
        <v>JAN</v>
      </c>
      <c r="L683" s="79">
        <f>IF(tbRegistroSaidas[[#This Row],[DATA DA COMPETÊNCIA]]="N/A",0,YEAR(tbRegistroSaidas[[#This Row],[DATA DA COMPETÊNCIA]]))</f>
        <v>2023</v>
      </c>
      <c r="M683" s="5" t="str">
        <f>IF(tbRegistroSaidas[[#This Row],[DATA DO CAIXA PREVISTO]]="N/A","0",UPPER(TEXT(tbRegistroSaidas[[#This Row],[DATA DO CAIXA PREVISTO]],"mmm")))</f>
        <v>FEV</v>
      </c>
      <c r="N683" s="5">
        <f>IF(tbRegistroSaidas[[#This Row],[DATA DO CAIXA PREVISTO]]="N/A",0,YEAR(tbRegistroSaidas[[#This Row],[DATA DO CAIXA PREVISTO]]))</f>
        <v>2023</v>
      </c>
    </row>
    <row r="684" spans="1:14" s="5" customFormat="1" ht="14.4" x14ac:dyDescent="0.3">
      <c r="A684" s="38">
        <v>44981.730636574073</v>
      </c>
      <c r="B684" s="49">
        <v>44958</v>
      </c>
      <c r="C684" s="49">
        <v>44981.730636574073</v>
      </c>
      <c r="D684" s="49" t="s">
        <v>63</v>
      </c>
      <c r="E684" s="51" t="s">
        <v>26</v>
      </c>
      <c r="F684" s="51" t="s">
        <v>17</v>
      </c>
      <c r="G684" s="52" t="s">
        <v>544</v>
      </c>
      <c r="H684" s="18">
        <v>3519</v>
      </c>
      <c r="I684" s="5">
        <f>IF(tbRegistroSaidas[[#This Row],[DATA DE CAIXA REALIZADO]]="N/A",0,YEAR(tbRegistroSaidas[[#This Row],[DATA DE CAIXA REALIZADO]]))</f>
        <v>2023</v>
      </c>
      <c r="J684" s="5" t="str">
        <f>IF(tbRegistroSaidas[[#This Row],[DATA DE CAIXA REALIZADO]]="N/A","0",UPPER(TEXT(tbRegistroSaidas[[#This Row],[DATA DE CAIXA REALIZADO]],"mmm")))</f>
        <v>FEV</v>
      </c>
      <c r="K684" s="79" t="str">
        <f>IF(tbRegistroSaidas[[#This Row],[DATA DA COMPETÊNCIA]]="N/A","0",UPPER(TEXT(tbRegistroSaidas[[#This Row],[DATA DA COMPETÊNCIA]],"mmm")))</f>
        <v>FEV</v>
      </c>
      <c r="L684" s="79">
        <f>IF(tbRegistroSaidas[[#This Row],[DATA DA COMPETÊNCIA]]="N/A",0,YEAR(tbRegistroSaidas[[#This Row],[DATA DA COMPETÊNCIA]]))</f>
        <v>2023</v>
      </c>
      <c r="M684" s="5" t="str">
        <f>IF(tbRegistroSaidas[[#This Row],[DATA DO CAIXA PREVISTO]]="N/A","0",UPPER(TEXT(tbRegistroSaidas[[#This Row],[DATA DO CAIXA PREVISTO]],"mmm")))</f>
        <v>FEV</v>
      </c>
      <c r="N684" s="5">
        <f>IF(tbRegistroSaidas[[#This Row],[DATA DO CAIXA PREVISTO]]="N/A",0,YEAR(tbRegistroSaidas[[#This Row],[DATA DO CAIXA PREVISTO]]))</f>
        <v>2023</v>
      </c>
    </row>
    <row r="685" spans="1:14" s="5" customFormat="1" ht="14.4" x14ac:dyDescent="0.3">
      <c r="A685" s="38">
        <v>45009.787974537037</v>
      </c>
      <c r="B685" s="49">
        <v>44960</v>
      </c>
      <c r="C685" s="49">
        <v>45009.787974537037</v>
      </c>
      <c r="D685" s="49" t="s">
        <v>137</v>
      </c>
      <c r="E685" s="51" t="s">
        <v>26</v>
      </c>
      <c r="F685" s="51" t="s">
        <v>16</v>
      </c>
      <c r="G685" s="52" t="s">
        <v>545</v>
      </c>
      <c r="H685" s="18">
        <v>757</v>
      </c>
      <c r="I685" s="5">
        <f>IF(tbRegistroSaidas[[#This Row],[DATA DE CAIXA REALIZADO]]="N/A",0,YEAR(tbRegistroSaidas[[#This Row],[DATA DE CAIXA REALIZADO]]))</f>
        <v>2023</v>
      </c>
      <c r="J685" s="5" t="str">
        <f>IF(tbRegistroSaidas[[#This Row],[DATA DE CAIXA REALIZADO]]="N/A","0",UPPER(TEXT(tbRegistroSaidas[[#This Row],[DATA DE CAIXA REALIZADO]],"mmm")))</f>
        <v>MAR</v>
      </c>
      <c r="K685" s="79" t="str">
        <f>IF(tbRegistroSaidas[[#This Row],[DATA DA COMPETÊNCIA]]="N/A","0",UPPER(TEXT(tbRegistroSaidas[[#This Row],[DATA DA COMPETÊNCIA]],"mmm")))</f>
        <v>FEV</v>
      </c>
      <c r="L685" s="79">
        <f>IF(tbRegistroSaidas[[#This Row],[DATA DA COMPETÊNCIA]]="N/A",0,YEAR(tbRegistroSaidas[[#This Row],[DATA DA COMPETÊNCIA]]))</f>
        <v>2023</v>
      </c>
      <c r="M685" s="5" t="str">
        <f>IF(tbRegistroSaidas[[#This Row],[DATA DO CAIXA PREVISTO]]="N/A","0",UPPER(TEXT(tbRegistroSaidas[[#This Row],[DATA DO CAIXA PREVISTO]],"mmm")))</f>
        <v>MAR</v>
      </c>
      <c r="N685" s="5">
        <f>IF(tbRegistroSaidas[[#This Row],[DATA DO CAIXA PREVISTO]]="N/A",0,YEAR(tbRegistroSaidas[[#This Row],[DATA DO CAIXA PREVISTO]]))</f>
        <v>2023</v>
      </c>
    </row>
    <row r="686" spans="1:14" s="5" customFormat="1" ht="14.4" x14ac:dyDescent="0.3">
      <c r="A686" s="38">
        <v>45013.247546296298</v>
      </c>
      <c r="B686" s="49">
        <v>44964</v>
      </c>
      <c r="C686" s="49">
        <v>45013.247546296298</v>
      </c>
      <c r="D686" s="49" t="s">
        <v>61</v>
      </c>
      <c r="E686" s="51" t="s">
        <v>26</v>
      </c>
      <c r="F686" s="51" t="s">
        <v>33</v>
      </c>
      <c r="G686" s="52" t="s">
        <v>546</v>
      </c>
      <c r="H686" s="18">
        <v>2688</v>
      </c>
      <c r="I686" s="5">
        <f>IF(tbRegistroSaidas[[#This Row],[DATA DE CAIXA REALIZADO]]="N/A",0,YEAR(tbRegistroSaidas[[#This Row],[DATA DE CAIXA REALIZADO]]))</f>
        <v>2023</v>
      </c>
      <c r="J686" s="5" t="str">
        <f>IF(tbRegistroSaidas[[#This Row],[DATA DE CAIXA REALIZADO]]="N/A","0",UPPER(TEXT(tbRegistroSaidas[[#This Row],[DATA DE CAIXA REALIZADO]],"mmm")))</f>
        <v>MAR</v>
      </c>
      <c r="K686" s="79" t="str">
        <f>IF(tbRegistroSaidas[[#This Row],[DATA DA COMPETÊNCIA]]="N/A","0",UPPER(TEXT(tbRegistroSaidas[[#This Row],[DATA DA COMPETÊNCIA]],"mmm")))</f>
        <v>FEV</v>
      </c>
      <c r="L686" s="79">
        <f>IF(tbRegistroSaidas[[#This Row],[DATA DA COMPETÊNCIA]]="N/A",0,YEAR(tbRegistroSaidas[[#This Row],[DATA DA COMPETÊNCIA]]))</f>
        <v>2023</v>
      </c>
      <c r="M686" s="5" t="str">
        <f>IF(tbRegistroSaidas[[#This Row],[DATA DO CAIXA PREVISTO]]="N/A","0",UPPER(TEXT(tbRegistroSaidas[[#This Row],[DATA DO CAIXA PREVISTO]],"mmm")))</f>
        <v>MAR</v>
      </c>
      <c r="N686" s="5">
        <f>IF(tbRegistroSaidas[[#This Row],[DATA DO CAIXA PREVISTO]]="N/A",0,YEAR(tbRegistroSaidas[[#This Row],[DATA DO CAIXA PREVISTO]]))</f>
        <v>2023</v>
      </c>
    </row>
    <row r="687" spans="1:14" s="5" customFormat="1" ht="14.4" x14ac:dyDescent="0.3">
      <c r="A687" s="38">
        <v>45015.442662037036</v>
      </c>
      <c r="B687" s="49">
        <v>44966</v>
      </c>
      <c r="C687" s="49">
        <v>45015.442662037036</v>
      </c>
      <c r="D687" s="49" t="s">
        <v>61</v>
      </c>
      <c r="E687" s="51" t="s">
        <v>26</v>
      </c>
      <c r="F687" s="51" t="s">
        <v>18</v>
      </c>
      <c r="G687" s="52" t="s">
        <v>547</v>
      </c>
      <c r="H687" s="18">
        <v>340</v>
      </c>
      <c r="I687" s="5">
        <f>IF(tbRegistroSaidas[[#This Row],[DATA DE CAIXA REALIZADO]]="N/A",0,YEAR(tbRegistroSaidas[[#This Row],[DATA DE CAIXA REALIZADO]]))</f>
        <v>2023</v>
      </c>
      <c r="J687" s="5" t="str">
        <f>IF(tbRegistroSaidas[[#This Row],[DATA DE CAIXA REALIZADO]]="N/A","0",UPPER(TEXT(tbRegistroSaidas[[#This Row],[DATA DE CAIXA REALIZADO]],"mmm")))</f>
        <v>MAR</v>
      </c>
      <c r="K687" s="79" t="str">
        <f>IF(tbRegistroSaidas[[#This Row],[DATA DA COMPETÊNCIA]]="N/A","0",UPPER(TEXT(tbRegistroSaidas[[#This Row],[DATA DA COMPETÊNCIA]],"mmm")))</f>
        <v>FEV</v>
      </c>
      <c r="L687" s="79">
        <f>IF(tbRegistroSaidas[[#This Row],[DATA DA COMPETÊNCIA]]="N/A",0,YEAR(tbRegistroSaidas[[#This Row],[DATA DA COMPETÊNCIA]]))</f>
        <v>2023</v>
      </c>
      <c r="M687" s="5" t="str">
        <f>IF(tbRegistroSaidas[[#This Row],[DATA DO CAIXA PREVISTO]]="N/A","0",UPPER(TEXT(tbRegistroSaidas[[#This Row],[DATA DO CAIXA PREVISTO]],"mmm")))</f>
        <v>MAR</v>
      </c>
      <c r="N687" s="5">
        <f>IF(tbRegistroSaidas[[#This Row],[DATA DO CAIXA PREVISTO]]="N/A",0,YEAR(tbRegistroSaidas[[#This Row],[DATA DO CAIXA PREVISTO]]))</f>
        <v>2023</v>
      </c>
    </row>
    <row r="688" spans="1:14" s="5" customFormat="1" ht="14.4" x14ac:dyDescent="0.3">
      <c r="A688" s="38">
        <v>44969.592569444445</v>
      </c>
      <c r="B688" s="49">
        <v>44967</v>
      </c>
      <c r="C688" s="49">
        <v>44969.592569444445</v>
      </c>
      <c r="D688" s="49" t="s">
        <v>62</v>
      </c>
      <c r="E688" s="51" t="s">
        <v>26</v>
      </c>
      <c r="F688" s="51" t="s">
        <v>18</v>
      </c>
      <c r="G688" s="52" t="s">
        <v>548</v>
      </c>
      <c r="H688" s="18">
        <v>4204</v>
      </c>
      <c r="I688" s="5">
        <f>IF(tbRegistroSaidas[[#This Row],[DATA DE CAIXA REALIZADO]]="N/A",0,YEAR(tbRegistroSaidas[[#This Row],[DATA DE CAIXA REALIZADO]]))</f>
        <v>2023</v>
      </c>
      <c r="J688" s="5" t="str">
        <f>IF(tbRegistroSaidas[[#This Row],[DATA DE CAIXA REALIZADO]]="N/A","0",UPPER(TEXT(tbRegistroSaidas[[#This Row],[DATA DE CAIXA REALIZADO]],"mmm")))</f>
        <v>FEV</v>
      </c>
      <c r="K688" s="79" t="str">
        <f>IF(tbRegistroSaidas[[#This Row],[DATA DA COMPETÊNCIA]]="N/A","0",UPPER(TEXT(tbRegistroSaidas[[#This Row],[DATA DA COMPETÊNCIA]],"mmm")))</f>
        <v>FEV</v>
      </c>
      <c r="L688" s="79">
        <f>IF(tbRegistroSaidas[[#This Row],[DATA DA COMPETÊNCIA]]="N/A",0,YEAR(tbRegistroSaidas[[#This Row],[DATA DA COMPETÊNCIA]]))</f>
        <v>2023</v>
      </c>
      <c r="M688" s="5" t="str">
        <f>IF(tbRegistroSaidas[[#This Row],[DATA DO CAIXA PREVISTO]]="N/A","0",UPPER(TEXT(tbRegistroSaidas[[#This Row],[DATA DO CAIXA PREVISTO]],"mmm")))</f>
        <v>FEV</v>
      </c>
      <c r="N688" s="5">
        <f>IF(tbRegistroSaidas[[#This Row],[DATA DO CAIXA PREVISTO]]="N/A",0,YEAR(tbRegistroSaidas[[#This Row],[DATA DO CAIXA PREVISTO]]))</f>
        <v>2023</v>
      </c>
    </row>
    <row r="689" spans="1:14" s="5" customFormat="1" ht="14.4" x14ac:dyDescent="0.3">
      <c r="A689" s="38">
        <v>45016.285150462965</v>
      </c>
      <c r="B689" s="49">
        <v>44969</v>
      </c>
      <c r="C689" s="49">
        <v>45016.285150462965</v>
      </c>
      <c r="D689" s="49" t="s">
        <v>64</v>
      </c>
      <c r="E689" s="51" t="s">
        <v>26</v>
      </c>
      <c r="F689" s="51" t="s">
        <v>17</v>
      </c>
      <c r="G689" s="52" t="s">
        <v>549</v>
      </c>
      <c r="H689" s="18">
        <v>3695</v>
      </c>
      <c r="I689" s="5">
        <f>IF(tbRegistroSaidas[[#This Row],[DATA DE CAIXA REALIZADO]]="N/A",0,YEAR(tbRegistroSaidas[[#This Row],[DATA DE CAIXA REALIZADO]]))</f>
        <v>2023</v>
      </c>
      <c r="J689" s="5" t="str">
        <f>IF(tbRegistroSaidas[[#This Row],[DATA DE CAIXA REALIZADO]]="N/A","0",UPPER(TEXT(tbRegistroSaidas[[#This Row],[DATA DE CAIXA REALIZADO]],"mmm")))</f>
        <v>MAR</v>
      </c>
      <c r="K689" s="79" t="str">
        <f>IF(tbRegistroSaidas[[#This Row],[DATA DA COMPETÊNCIA]]="N/A","0",UPPER(TEXT(tbRegistroSaidas[[#This Row],[DATA DA COMPETÊNCIA]],"mmm")))</f>
        <v>FEV</v>
      </c>
      <c r="L689" s="79">
        <f>IF(tbRegistroSaidas[[#This Row],[DATA DA COMPETÊNCIA]]="N/A",0,YEAR(tbRegistroSaidas[[#This Row],[DATA DA COMPETÊNCIA]]))</f>
        <v>2023</v>
      </c>
      <c r="M689" s="5" t="str">
        <f>IF(tbRegistroSaidas[[#This Row],[DATA DO CAIXA PREVISTO]]="N/A","0",UPPER(TEXT(tbRegistroSaidas[[#This Row],[DATA DO CAIXA PREVISTO]],"mmm")))</f>
        <v>MAR</v>
      </c>
      <c r="N689" s="5">
        <f>IF(tbRegistroSaidas[[#This Row],[DATA DO CAIXA PREVISTO]]="N/A",0,YEAR(tbRegistroSaidas[[#This Row],[DATA DO CAIXA PREVISTO]]))</f>
        <v>2023</v>
      </c>
    </row>
    <row r="690" spans="1:14" s="5" customFormat="1" ht="14.4" x14ac:dyDescent="0.3">
      <c r="A690" s="38">
        <v>45080.877280092594</v>
      </c>
      <c r="B690" s="49">
        <v>44978</v>
      </c>
      <c r="C690" s="49">
        <v>45009.006377314814</v>
      </c>
      <c r="D690" s="49" t="s">
        <v>64</v>
      </c>
      <c r="E690" s="51" t="s">
        <v>26</v>
      </c>
      <c r="F690" s="51" t="s">
        <v>32</v>
      </c>
      <c r="G690" s="52" t="s">
        <v>550</v>
      </c>
      <c r="H690" s="18">
        <v>4148</v>
      </c>
      <c r="I690" s="5">
        <f>IF(tbRegistroSaidas[[#This Row],[DATA DE CAIXA REALIZADO]]="N/A",0,YEAR(tbRegistroSaidas[[#This Row],[DATA DE CAIXA REALIZADO]]))</f>
        <v>2023</v>
      </c>
      <c r="J690" s="5" t="str">
        <f>IF(tbRegistroSaidas[[#This Row],[DATA DE CAIXA REALIZADO]]="N/A","0",UPPER(TEXT(tbRegistroSaidas[[#This Row],[DATA DE CAIXA REALIZADO]],"mmm")))</f>
        <v>JUN</v>
      </c>
      <c r="K690" s="79" t="str">
        <f>IF(tbRegistroSaidas[[#This Row],[DATA DA COMPETÊNCIA]]="N/A","0",UPPER(TEXT(tbRegistroSaidas[[#This Row],[DATA DA COMPETÊNCIA]],"mmm")))</f>
        <v>FEV</v>
      </c>
      <c r="L690" s="79">
        <f>IF(tbRegistroSaidas[[#This Row],[DATA DA COMPETÊNCIA]]="N/A",0,YEAR(tbRegistroSaidas[[#This Row],[DATA DA COMPETÊNCIA]]))</f>
        <v>2023</v>
      </c>
      <c r="M690" s="5" t="str">
        <f>IF(tbRegistroSaidas[[#This Row],[DATA DO CAIXA PREVISTO]]="N/A","0",UPPER(TEXT(tbRegistroSaidas[[#This Row],[DATA DO CAIXA PREVISTO]],"mmm")))</f>
        <v>MAR</v>
      </c>
      <c r="N690" s="5">
        <f>IF(tbRegistroSaidas[[#This Row],[DATA DO CAIXA PREVISTO]]="N/A",0,YEAR(tbRegistroSaidas[[#This Row],[DATA DO CAIXA PREVISTO]]))</f>
        <v>2023</v>
      </c>
    </row>
    <row r="691" spans="1:14" s="5" customFormat="1" ht="14.4" x14ac:dyDescent="0.3">
      <c r="A691" s="38">
        <v>45027.482465277775</v>
      </c>
      <c r="B691" s="49">
        <v>44982</v>
      </c>
      <c r="C691" s="49">
        <v>45014.920092592591</v>
      </c>
      <c r="D691" s="49" t="s">
        <v>65</v>
      </c>
      <c r="E691" s="51" t="s">
        <v>26</v>
      </c>
      <c r="F691" s="51" t="s">
        <v>33</v>
      </c>
      <c r="G691" s="52" t="s">
        <v>551</v>
      </c>
      <c r="H691" s="18">
        <v>4303</v>
      </c>
      <c r="I691" s="5">
        <f>IF(tbRegistroSaidas[[#This Row],[DATA DE CAIXA REALIZADO]]="N/A",0,YEAR(tbRegistroSaidas[[#This Row],[DATA DE CAIXA REALIZADO]]))</f>
        <v>2023</v>
      </c>
      <c r="J691" s="5" t="str">
        <f>IF(tbRegistroSaidas[[#This Row],[DATA DE CAIXA REALIZADO]]="N/A","0",UPPER(TEXT(tbRegistroSaidas[[#This Row],[DATA DE CAIXA REALIZADO]],"mmm")))</f>
        <v>ABR</v>
      </c>
      <c r="K691" s="79" t="str">
        <f>IF(tbRegistroSaidas[[#This Row],[DATA DA COMPETÊNCIA]]="N/A","0",UPPER(TEXT(tbRegistroSaidas[[#This Row],[DATA DA COMPETÊNCIA]],"mmm")))</f>
        <v>FEV</v>
      </c>
      <c r="L691" s="79">
        <f>IF(tbRegistroSaidas[[#This Row],[DATA DA COMPETÊNCIA]]="N/A",0,YEAR(tbRegistroSaidas[[#This Row],[DATA DA COMPETÊNCIA]]))</f>
        <v>2023</v>
      </c>
      <c r="M691" s="5" t="str">
        <f>IF(tbRegistroSaidas[[#This Row],[DATA DO CAIXA PREVISTO]]="N/A","0",UPPER(TEXT(tbRegistroSaidas[[#This Row],[DATA DO CAIXA PREVISTO]],"mmm")))</f>
        <v>MAR</v>
      </c>
      <c r="N691" s="5">
        <f>IF(tbRegistroSaidas[[#This Row],[DATA DO CAIXA PREVISTO]]="N/A",0,YEAR(tbRegistroSaidas[[#This Row],[DATA DO CAIXA PREVISTO]]))</f>
        <v>2023</v>
      </c>
    </row>
    <row r="692" spans="1:14" s="5" customFormat="1" ht="14.4" x14ac:dyDescent="0.3">
      <c r="A692" s="38">
        <v>44992.738182870373</v>
      </c>
      <c r="B692" s="49">
        <v>44984</v>
      </c>
      <c r="C692" s="49">
        <v>44992.738182870373</v>
      </c>
      <c r="D692" s="49" t="s">
        <v>63</v>
      </c>
      <c r="E692" s="51" t="s">
        <v>26</v>
      </c>
      <c r="F692" s="51" t="s">
        <v>18</v>
      </c>
      <c r="G692" s="52" t="s">
        <v>552</v>
      </c>
      <c r="H692" s="18">
        <v>2674</v>
      </c>
      <c r="I692" s="5">
        <f>IF(tbRegistroSaidas[[#This Row],[DATA DE CAIXA REALIZADO]]="N/A",0,YEAR(tbRegistroSaidas[[#This Row],[DATA DE CAIXA REALIZADO]]))</f>
        <v>2023</v>
      </c>
      <c r="J692" s="5" t="str">
        <f>IF(tbRegistroSaidas[[#This Row],[DATA DE CAIXA REALIZADO]]="N/A","0",UPPER(TEXT(tbRegistroSaidas[[#This Row],[DATA DE CAIXA REALIZADO]],"mmm")))</f>
        <v>MAR</v>
      </c>
      <c r="K692" s="79" t="str">
        <f>IF(tbRegistroSaidas[[#This Row],[DATA DA COMPETÊNCIA]]="N/A","0",UPPER(TEXT(tbRegistroSaidas[[#This Row],[DATA DA COMPETÊNCIA]],"mmm")))</f>
        <v>FEV</v>
      </c>
      <c r="L692" s="79">
        <f>IF(tbRegistroSaidas[[#This Row],[DATA DA COMPETÊNCIA]]="N/A",0,YEAR(tbRegistroSaidas[[#This Row],[DATA DA COMPETÊNCIA]]))</f>
        <v>2023</v>
      </c>
      <c r="M692" s="5" t="str">
        <f>IF(tbRegistroSaidas[[#This Row],[DATA DO CAIXA PREVISTO]]="N/A","0",UPPER(TEXT(tbRegistroSaidas[[#This Row],[DATA DO CAIXA PREVISTO]],"mmm")))</f>
        <v>MAR</v>
      </c>
      <c r="N692" s="5">
        <f>IF(tbRegistroSaidas[[#This Row],[DATA DO CAIXA PREVISTO]]="N/A",0,YEAR(tbRegistroSaidas[[#This Row],[DATA DO CAIXA PREVISTO]]))</f>
        <v>2023</v>
      </c>
    </row>
    <row r="693" spans="1:14" s="5" customFormat="1" ht="14.4" x14ac:dyDescent="0.3">
      <c r="A693" s="38">
        <v>45030.835590277777</v>
      </c>
      <c r="B693" s="49">
        <v>44987</v>
      </c>
      <c r="C693" s="49">
        <v>45030.835590277777</v>
      </c>
      <c r="D693" s="49" t="s">
        <v>61</v>
      </c>
      <c r="E693" s="51" t="s">
        <v>26</v>
      </c>
      <c r="F693" s="51" t="s">
        <v>16</v>
      </c>
      <c r="G693" s="52" t="s">
        <v>553</v>
      </c>
      <c r="H693" s="18">
        <v>1720</v>
      </c>
      <c r="I693" s="5">
        <f>IF(tbRegistroSaidas[[#This Row],[DATA DE CAIXA REALIZADO]]="N/A",0,YEAR(tbRegistroSaidas[[#This Row],[DATA DE CAIXA REALIZADO]]))</f>
        <v>2023</v>
      </c>
      <c r="J693" s="5" t="str">
        <f>IF(tbRegistroSaidas[[#This Row],[DATA DE CAIXA REALIZADO]]="N/A","0",UPPER(TEXT(tbRegistroSaidas[[#This Row],[DATA DE CAIXA REALIZADO]],"mmm")))</f>
        <v>ABR</v>
      </c>
      <c r="K693" s="79" t="str">
        <f>IF(tbRegistroSaidas[[#This Row],[DATA DA COMPETÊNCIA]]="N/A","0",UPPER(TEXT(tbRegistroSaidas[[#This Row],[DATA DA COMPETÊNCIA]],"mmm")))</f>
        <v>MAR</v>
      </c>
      <c r="L693" s="79">
        <f>IF(tbRegistroSaidas[[#This Row],[DATA DA COMPETÊNCIA]]="N/A",0,YEAR(tbRegistroSaidas[[#This Row],[DATA DA COMPETÊNCIA]]))</f>
        <v>2023</v>
      </c>
      <c r="M693" s="5" t="str">
        <f>IF(tbRegistroSaidas[[#This Row],[DATA DO CAIXA PREVISTO]]="N/A","0",UPPER(TEXT(tbRegistroSaidas[[#This Row],[DATA DO CAIXA PREVISTO]],"mmm")))</f>
        <v>ABR</v>
      </c>
      <c r="N693" s="5">
        <f>IF(tbRegistroSaidas[[#This Row],[DATA DO CAIXA PREVISTO]]="N/A",0,YEAR(tbRegistroSaidas[[#This Row],[DATA DO CAIXA PREVISTO]]))</f>
        <v>2023</v>
      </c>
    </row>
    <row r="694" spans="1:14" s="5" customFormat="1" ht="14.4" x14ac:dyDescent="0.3">
      <c r="A694" s="38">
        <v>45028.757974537039</v>
      </c>
      <c r="B694" s="49">
        <v>44991</v>
      </c>
      <c r="C694" s="49">
        <v>45028.757974537039</v>
      </c>
      <c r="D694" s="49" t="s">
        <v>61</v>
      </c>
      <c r="E694" s="51" t="s">
        <v>26</v>
      </c>
      <c r="F694" s="51" t="s">
        <v>16</v>
      </c>
      <c r="G694" s="52" t="s">
        <v>554</v>
      </c>
      <c r="H694" s="18">
        <v>1854</v>
      </c>
      <c r="I694" s="5">
        <f>IF(tbRegistroSaidas[[#This Row],[DATA DE CAIXA REALIZADO]]="N/A",0,YEAR(tbRegistroSaidas[[#This Row],[DATA DE CAIXA REALIZADO]]))</f>
        <v>2023</v>
      </c>
      <c r="J694" s="5" t="str">
        <f>IF(tbRegistroSaidas[[#This Row],[DATA DE CAIXA REALIZADO]]="N/A","0",UPPER(TEXT(tbRegistroSaidas[[#This Row],[DATA DE CAIXA REALIZADO]],"mmm")))</f>
        <v>ABR</v>
      </c>
      <c r="K694" s="79" t="str">
        <f>IF(tbRegistroSaidas[[#This Row],[DATA DA COMPETÊNCIA]]="N/A","0",UPPER(TEXT(tbRegistroSaidas[[#This Row],[DATA DA COMPETÊNCIA]],"mmm")))</f>
        <v>MAR</v>
      </c>
      <c r="L694" s="79">
        <f>IF(tbRegistroSaidas[[#This Row],[DATA DA COMPETÊNCIA]]="N/A",0,YEAR(tbRegistroSaidas[[#This Row],[DATA DA COMPETÊNCIA]]))</f>
        <v>2023</v>
      </c>
      <c r="M694" s="5" t="str">
        <f>IF(tbRegistroSaidas[[#This Row],[DATA DO CAIXA PREVISTO]]="N/A","0",UPPER(TEXT(tbRegistroSaidas[[#This Row],[DATA DO CAIXA PREVISTO]],"mmm")))</f>
        <v>ABR</v>
      </c>
      <c r="N694" s="5">
        <f>IF(tbRegistroSaidas[[#This Row],[DATA DO CAIXA PREVISTO]]="N/A",0,YEAR(tbRegistroSaidas[[#This Row],[DATA DO CAIXA PREVISTO]]))</f>
        <v>2023</v>
      </c>
    </row>
    <row r="695" spans="1:14" s="5" customFormat="1" ht="14.4" x14ac:dyDescent="0.3">
      <c r="A695" s="38">
        <v>44996.079293981478</v>
      </c>
      <c r="B695" s="49">
        <v>44993</v>
      </c>
      <c r="C695" s="49">
        <v>44996.079293981478</v>
      </c>
      <c r="D695" s="49" t="s">
        <v>65</v>
      </c>
      <c r="E695" s="51" t="s">
        <v>26</v>
      </c>
      <c r="F695" s="51" t="s">
        <v>33</v>
      </c>
      <c r="G695" s="52" t="s">
        <v>555</v>
      </c>
      <c r="H695" s="18">
        <v>2568</v>
      </c>
      <c r="I695" s="5">
        <f>IF(tbRegistroSaidas[[#This Row],[DATA DE CAIXA REALIZADO]]="N/A",0,YEAR(tbRegistroSaidas[[#This Row],[DATA DE CAIXA REALIZADO]]))</f>
        <v>2023</v>
      </c>
      <c r="J695" s="5" t="str">
        <f>IF(tbRegistroSaidas[[#This Row],[DATA DE CAIXA REALIZADO]]="N/A","0",UPPER(TEXT(tbRegistroSaidas[[#This Row],[DATA DE CAIXA REALIZADO]],"mmm")))</f>
        <v>MAR</v>
      </c>
      <c r="K695" s="79" t="str">
        <f>IF(tbRegistroSaidas[[#This Row],[DATA DA COMPETÊNCIA]]="N/A","0",UPPER(TEXT(tbRegistroSaidas[[#This Row],[DATA DA COMPETÊNCIA]],"mmm")))</f>
        <v>MAR</v>
      </c>
      <c r="L695" s="79">
        <f>IF(tbRegistroSaidas[[#This Row],[DATA DA COMPETÊNCIA]]="N/A",0,YEAR(tbRegistroSaidas[[#This Row],[DATA DA COMPETÊNCIA]]))</f>
        <v>2023</v>
      </c>
      <c r="M695" s="5" t="str">
        <f>IF(tbRegistroSaidas[[#This Row],[DATA DO CAIXA PREVISTO]]="N/A","0",UPPER(TEXT(tbRegistroSaidas[[#This Row],[DATA DO CAIXA PREVISTO]],"mmm")))</f>
        <v>MAR</v>
      </c>
      <c r="N695" s="5">
        <f>IF(tbRegistroSaidas[[#This Row],[DATA DO CAIXA PREVISTO]]="N/A",0,YEAR(tbRegistroSaidas[[#This Row],[DATA DO CAIXA PREVISTO]]))</f>
        <v>2023</v>
      </c>
    </row>
    <row r="696" spans="1:14" s="5" customFormat="1" ht="14.4" x14ac:dyDescent="0.3">
      <c r="A696" s="38">
        <v>45033.596134259256</v>
      </c>
      <c r="B696" s="49">
        <v>44993</v>
      </c>
      <c r="C696" s="49">
        <v>45033.596134259256</v>
      </c>
      <c r="D696" s="49" t="s">
        <v>65</v>
      </c>
      <c r="E696" s="51" t="s">
        <v>26</v>
      </c>
      <c r="F696" s="51" t="s">
        <v>33</v>
      </c>
      <c r="G696" s="52" t="s">
        <v>556</v>
      </c>
      <c r="H696" s="18">
        <v>3690</v>
      </c>
      <c r="I696" s="5">
        <f>IF(tbRegistroSaidas[[#This Row],[DATA DE CAIXA REALIZADO]]="N/A",0,YEAR(tbRegistroSaidas[[#This Row],[DATA DE CAIXA REALIZADO]]))</f>
        <v>2023</v>
      </c>
      <c r="J696" s="5" t="str">
        <f>IF(tbRegistroSaidas[[#This Row],[DATA DE CAIXA REALIZADO]]="N/A","0",UPPER(TEXT(tbRegistroSaidas[[#This Row],[DATA DE CAIXA REALIZADO]],"mmm")))</f>
        <v>ABR</v>
      </c>
      <c r="K696" s="79" t="str">
        <f>IF(tbRegistroSaidas[[#This Row],[DATA DA COMPETÊNCIA]]="N/A","0",UPPER(TEXT(tbRegistroSaidas[[#This Row],[DATA DA COMPETÊNCIA]],"mmm")))</f>
        <v>MAR</v>
      </c>
      <c r="L696" s="79">
        <f>IF(tbRegistroSaidas[[#This Row],[DATA DA COMPETÊNCIA]]="N/A",0,YEAR(tbRegistroSaidas[[#This Row],[DATA DA COMPETÊNCIA]]))</f>
        <v>2023</v>
      </c>
      <c r="M696" s="5" t="str">
        <f>IF(tbRegistroSaidas[[#This Row],[DATA DO CAIXA PREVISTO]]="N/A","0",UPPER(TEXT(tbRegistroSaidas[[#This Row],[DATA DO CAIXA PREVISTO]],"mmm")))</f>
        <v>ABR</v>
      </c>
      <c r="N696" s="5">
        <f>IF(tbRegistroSaidas[[#This Row],[DATA DO CAIXA PREVISTO]]="N/A",0,YEAR(tbRegistroSaidas[[#This Row],[DATA DO CAIXA PREVISTO]]))</f>
        <v>2023</v>
      </c>
    </row>
    <row r="697" spans="1:14" s="5" customFormat="1" ht="14.4" x14ac:dyDescent="0.3">
      <c r="A697" s="38">
        <v>45082.515266203707</v>
      </c>
      <c r="B697" s="49">
        <v>44995</v>
      </c>
      <c r="C697" s="49">
        <v>45031.539027777777</v>
      </c>
      <c r="D697" s="49" t="s">
        <v>62</v>
      </c>
      <c r="E697" s="51" t="s">
        <v>26</v>
      </c>
      <c r="F697" s="51" t="s">
        <v>32</v>
      </c>
      <c r="G697" s="52" t="s">
        <v>557</v>
      </c>
      <c r="H697" s="18">
        <v>3746</v>
      </c>
      <c r="I697" s="5">
        <f>IF(tbRegistroSaidas[[#This Row],[DATA DE CAIXA REALIZADO]]="N/A",0,YEAR(tbRegistroSaidas[[#This Row],[DATA DE CAIXA REALIZADO]]))</f>
        <v>2023</v>
      </c>
      <c r="J697" s="5" t="str">
        <f>IF(tbRegistroSaidas[[#This Row],[DATA DE CAIXA REALIZADO]]="N/A","0",UPPER(TEXT(tbRegistroSaidas[[#This Row],[DATA DE CAIXA REALIZADO]],"mmm")))</f>
        <v>JUN</v>
      </c>
      <c r="K697" s="79" t="str">
        <f>IF(tbRegistroSaidas[[#This Row],[DATA DA COMPETÊNCIA]]="N/A","0",UPPER(TEXT(tbRegistroSaidas[[#This Row],[DATA DA COMPETÊNCIA]],"mmm")))</f>
        <v>MAR</v>
      </c>
      <c r="L697" s="79">
        <f>IF(tbRegistroSaidas[[#This Row],[DATA DA COMPETÊNCIA]]="N/A",0,YEAR(tbRegistroSaidas[[#This Row],[DATA DA COMPETÊNCIA]]))</f>
        <v>2023</v>
      </c>
      <c r="M697" s="5" t="str">
        <f>IF(tbRegistroSaidas[[#This Row],[DATA DO CAIXA PREVISTO]]="N/A","0",UPPER(TEXT(tbRegistroSaidas[[#This Row],[DATA DO CAIXA PREVISTO]],"mmm")))</f>
        <v>ABR</v>
      </c>
      <c r="N697" s="5">
        <f>IF(tbRegistroSaidas[[#This Row],[DATA DO CAIXA PREVISTO]]="N/A",0,YEAR(tbRegistroSaidas[[#This Row],[DATA DO CAIXA PREVISTO]]))</f>
        <v>2023</v>
      </c>
    </row>
    <row r="698" spans="1:14" s="5" customFormat="1" ht="14.4" x14ac:dyDescent="0.3">
      <c r="A698" s="38">
        <v>45032.740763888891</v>
      </c>
      <c r="B698" s="49">
        <v>44997</v>
      </c>
      <c r="C698" s="49">
        <v>45032.740763888891</v>
      </c>
      <c r="D698" s="49" t="s">
        <v>61</v>
      </c>
      <c r="E698" s="51" t="s">
        <v>26</v>
      </c>
      <c r="F698" s="51" t="s">
        <v>16</v>
      </c>
      <c r="G698" s="52" t="s">
        <v>558</v>
      </c>
      <c r="H698" s="18">
        <v>4360</v>
      </c>
      <c r="I698" s="5">
        <f>IF(tbRegistroSaidas[[#This Row],[DATA DE CAIXA REALIZADO]]="N/A",0,YEAR(tbRegistroSaidas[[#This Row],[DATA DE CAIXA REALIZADO]]))</f>
        <v>2023</v>
      </c>
      <c r="J698" s="5" t="str">
        <f>IF(tbRegistroSaidas[[#This Row],[DATA DE CAIXA REALIZADO]]="N/A","0",UPPER(TEXT(tbRegistroSaidas[[#This Row],[DATA DE CAIXA REALIZADO]],"mmm")))</f>
        <v>ABR</v>
      </c>
      <c r="K698" s="79" t="str">
        <f>IF(tbRegistroSaidas[[#This Row],[DATA DA COMPETÊNCIA]]="N/A","0",UPPER(TEXT(tbRegistroSaidas[[#This Row],[DATA DA COMPETÊNCIA]],"mmm")))</f>
        <v>MAR</v>
      </c>
      <c r="L698" s="79">
        <f>IF(tbRegistroSaidas[[#This Row],[DATA DA COMPETÊNCIA]]="N/A",0,YEAR(tbRegistroSaidas[[#This Row],[DATA DA COMPETÊNCIA]]))</f>
        <v>2023</v>
      </c>
      <c r="M698" s="5" t="str">
        <f>IF(tbRegistroSaidas[[#This Row],[DATA DO CAIXA PREVISTO]]="N/A","0",UPPER(TEXT(tbRegistroSaidas[[#This Row],[DATA DO CAIXA PREVISTO]],"mmm")))</f>
        <v>ABR</v>
      </c>
      <c r="N698" s="5">
        <f>IF(tbRegistroSaidas[[#This Row],[DATA DO CAIXA PREVISTO]]="N/A",0,YEAR(tbRegistroSaidas[[#This Row],[DATA DO CAIXA PREVISTO]]))</f>
        <v>2023</v>
      </c>
    </row>
    <row r="699" spans="1:14" s="5" customFormat="1" ht="14.4" x14ac:dyDescent="0.3">
      <c r="A699" s="38" t="s">
        <v>141</v>
      </c>
      <c r="B699" s="49">
        <v>44998</v>
      </c>
      <c r="C699" s="49">
        <v>45037.376921296294</v>
      </c>
      <c r="D699" s="49" t="s">
        <v>61</v>
      </c>
      <c r="E699" s="51" t="s">
        <v>26</v>
      </c>
      <c r="F699" s="51" t="s">
        <v>32</v>
      </c>
      <c r="G699" s="52" t="s">
        <v>559</v>
      </c>
      <c r="H699" s="18">
        <v>1753</v>
      </c>
      <c r="I699" s="5">
        <f>IF(tbRegistroSaidas[[#This Row],[DATA DE CAIXA REALIZADO]]="N/A",0,YEAR(tbRegistroSaidas[[#This Row],[DATA DE CAIXA REALIZADO]]))</f>
        <v>0</v>
      </c>
      <c r="J699" s="5" t="str">
        <f>IF(tbRegistroSaidas[[#This Row],[DATA DE CAIXA REALIZADO]]="N/A","0",UPPER(TEXT(tbRegistroSaidas[[#This Row],[DATA DE CAIXA REALIZADO]],"mmm")))</f>
        <v>0</v>
      </c>
      <c r="K699" s="79" t="str">
        <f>IF(tbRegistroSaidas[[#This Row],[DATA DA COMPETÊNCIA]]="N/A","0",UPPER(TEXT(tbRegistroSaidas[[#This Row],[DATA DA COMPETÊNCIA]],"mmm")))</f>
        <v>MAR</v>
      </c>
      <c r="L699" s="79">
        <f>IF(tbRegistroSaidas[[#This Row],[DATA DA COMPETÊNCIA]]="N/A",0,YEAR(tbRegistroSaidas[[#This Row],[DATA DA COMPETÊNCIA]]))</f>
        <v>2023</v>
      </c>
      <c r="M699" s="5" t="str">
        <f>IF(tbRegistroSaidas[[#This Row],[DATA DO CAIXA PREVISTO]]="N/A","0",UPPER(TEXT(tbRegistroSaidas[[#This Row],[DATA DO CAIXA PREVISTO]],"mmm")))</f>
        <v>ABR</v>
      </c>
      <c r="N699" s="5">
        <f>IF(tbRegistroSaidas[[#This Row],[DATA DO CAIXA PREVISTO]]="N/A",0,YEAR(tbRegistroSaidas[[#This Row],[DATA DO CAIXA PREVISTO]]))</f>
        <v>2023</v>
      </c>
    </row>
    <row r="700" spans="1:14" s="5" customFormat="1" ht="14.4" x14ac:dyDescent="0.3">
      <c r="A700" s="38">
        <v>45004.657349537039</v>
      </c>
      <c r="B700" s="49">
        <v>45001</v>
      </c>
      <c r="C700" s="49">
        <v>45004.657349537039</v>
      </c>
      <c r="D700" s="49" t="s">
        <v>63</v>
      </c>
      <c r="E700" s="51" t="s">
        <v>26</v>
      </c>
      <c r="F700" s="51" t="s">
        <v>16</v>
      </c>
      <c r="G700" s="52" t="s">
        <v>560</v>
      </c>
      <c r="H700" s="18">
        <v>1421</v>
      </c>
      <c r="I700" s="5">
        <f>IF(tbRegistroSaidas[[#This Row],[DATA DE CAIXA REALIZADO]]="N/A",0,YEAR(tbRegistroSaidas[[#This Row],[DATA DE CAIXA REALIZADO]]))</f>
        <v>2023</v>
      </c>
      <c r="J700" s="5" t="str">
        <f>IF(tbRegistroSaidas[[#This Row],[DATA DE CAIXA REALIZADO]]="N/A","0",UPPER(TEXT(tbRegistroSaidas[[#This Row],[DATA DE CAIXA REALIZADO]],"mmm")))</f>
        <v>MAR</v>
      </c>
      <c r="K700" s="79" t="str">
        <f>IF(tbRegistroSaidas[[#This Row],[DATA DA COMPETÊNCIA]]="N/A","0",UPPER(TEXT(tbRegistroSaidas[[#This Row],[DATA DA COMPETÊNCIA]],"mmm")))</f>
        <v>MAR</v>
      </c>
      <c r="L700" s="79">
        <f>IF(tbRegistroSaidas[[#This Row],[DATA DA COMPETÊNCIA]]="N/A",0,YEAR(tbRegistroSaidas[[#This Row],[DATA DA COMPETÊNCIA]]))</f>
        <v>2023</v>
      </c>
      <c r="M700" s="5" t="str">
        <f>IF(tbRegistroSaidas[[#This Row],[DATA DO CAIXA PREVISTO]]="N/A","0",UPPER(TEXT(tbRegistroSaidas[[#This Row],[DATA DO CAIXA PREVISTO]],"mmm")))</f>
        <v>MAR</v>
      </c>
      <c r="N700" s="5">
        <f>IF(tbRegistroSaidas[[#This Row],[DATA DO CAIXA PREVISTO]]="N/A",0,YEAR(tbRegistroSaidas[[#This Row],[DATA DO CAIXA PREVISTO]]))</f>
        <v>2023</v>
      </c>
    </row>
    <row r="701" spans="1:14" s="5" customFormat="1" ht="14.4" x14ac:dyDescent="0.3">
      <c r="A701" s="38">
        <v>45027.333020833335</v>
      </c>
      <c r="B701" s="49">
        <v>45004</v>
      </c>
      <c r="C701" s="49">
        <v>45027.333020833335</v>
      </c>
      <c r="D701" s="49" t="s">
        <v>66</v>
      </c>
      <c r="E701" s="51" t="s">
        <v>26</v>
      </c>
      <c r="F701" s="51" t="s">
        <v>32</v>
      </c>
      <c r="G701" s="52" t="s">
        <v>561</v>
      </c>
      <c r="H701" s="18">
        <v>3565</v>
      </c>
      <c r="I701" s="5">
        <f>IF(tbRegistroSaidas[[#This Row],[DATA DE CAIXA REALIZADO]]="N/A",0,YEAR(tbRegistroSaidas[[#This Row],[DATA DE CAIXA REALIZADO]]))</f>
        <v>2023</v>
      </c>
      <c r="J701" s="5" t="str">
        <f>IF(tbRegistroSaidas[[#This Row],[DATA DE CAIXA REALIZADO]]="N/A","0",UPPER(TEXT(tbRegistroSaidas[[#This Row],[DATA DE CAIXA REALIZADO]],"mmm")))</f>
        <v>ABR</v>
      </c>
      <c r="K701" s="79" t="str">
        <f>IF(tbRegistroSaidas[[#This Row],[DATA DA COMPETÊNCIA]]="N/A","0",UPPER(TEXT(tbRegistroSaidas[[#This Row],[DATA DA COMPETÊNCIA]],"mmm")))</f>
        <v>MAR</v>
      </c>
      <c r="L701" s="79">
        <f>IF(tbRegistroSaidas[[#This Row],[DATA DA COMPETÊNCIA]]="N/A",0,YEAR(tbRegistroSaidas[[#This Row],[DATA DA COMPETÊNCIA]]))</f>
        <v>2023</v>
      </c>
      <c r="M701" s="5" t="str">
        <f>IF(tbRegistroSaidas[[#This Row],[DATA DO CAIXA PREVISTO]]="N/A","0",UPPER(TEXT(tbRegistroSaidas[[#This Row],[DATA DO CAIXA PREVISTO]],"mmm")))</f>
        <v>ABR</v>
      </c>
      <c r="N701" s="5">
        <f>IF(tbRegistroSaidas[[#This Row],[DATA DO CAIXA PREVISTO]]="N/A",0,YEAR(tbRegistroSaidas[[#This Row],[DATA DO CAIXA PREVISTO]]))</f>
        <v>2023</v>
      </c>
    </row>
    <row r="702" spans="1:14" s="5" customFormat="1" ht="14.4" x14ac:dyDescent="0.3">
      <c r="A702" s="38">
        <v>45124.382685185185</v>
      </c>
      <c r="B702" s="49">
        <v>45007</v>
      </c>
      <c r="C702" s="49">
        <v>45047.481921296298</v>
      </c>
      <c r="D702" s="49" t="s">
        <v>66</v>
      </c>
      <c r="E702" s="51" t="s">
        <v>26</v>
      </c>
      <c r="F702" s="51" t="s">
        <v>33</v>
      </c>
      <c r="G702" s="52" t="s">
        <v>562</v>
      </c>
      <c r="H702" s="18">
        <v>1961</v>
      </c>
      <c r="I702" s="5">
        <f>IF(tbRegistroSaidas[[#This Row],[DATA DE CAIXA REALIZADO]]="N/A",0,YEAR(tbRegistroSaidas[[#This Row],[DATA DE CAIXA REALIZADO]]))</f>
        <v>2023</v>
      </c>
      <c r="J702" s="5" t="str">
        <f>IF(tbRegistroSaidas[[#This Row],[DATA DE CAIXA REALIZADO]]="N/A","0",UPPER(TEXT(tbRegistroSaidas[[#This Row],[DATA DE CAIXA REALIZADO]],"mmm")))</f>
        <v>JUL</v>
      </c>
      <c r="K702" s="79" t="str">
        <f>IF(tbRegistroSaidas[[#This Row],[DATA DA COMPETÊNCIA]]="N/A","0",UPPER(TEXT(tbRegistroSaidas[[#This Row],[DATA DA COMPETÊNCIA]],"mmm")))</f>
        <v>MAR</v>
      </c>
      <c r="L702" s="79">
        <f>IF(tbRegistroSaidas[[#This Row],[DATA DA COMPETÊNCIA]]="N/A",0,YEAR(tbRegistroSaidas[[#This Row],[DATA DA COMPETÊNCIA]]))</f>
        <v>2023</v>
      </c>
      <c r="M702" s="5" t="str">
        <f>IF(tbRegistroSaidas[[#This Row],[DATA DO CAIXA PREVISTO]]="N/A","0",UPPER(TEXT(tbRegistroSaidas[[#This Row],[DATA DO CAIXA PREVISTO]],"mmm")))</f>
        <v>MAI</v>
      </c>
      <c r="N702" s="5">
        <f>IF(tbRegistroSaidas[[#This Row],[DATA DO CAIXA PREVISTO]]="N/A",0,YEAR(tbRegistroSaidas[[#This Row],[DATA DO CAIXA PREVISTO]]))</f>
        <v>2023</v>
      </c>
    </row>
    <row r="703" spans="1:14" s="5" customFormat="1" ht="14.4" x14ac:dyDescent="0.3">
      <c r="A703" s="38">
        <v>45031.097268518519</v>
      </c>
      <c r="B703" s="49">
        <v>45012</v>
      </c>
      <c r="C703" s="49">
        <v>45018.08357638889</v>
      </c>
      <c r="D703" s="49" t="s">
        <v>62</v>
      </c>
      <c r="E703" s="51" t="s">
        <v>26</v>
      </c>
      <c r="F703" s="51" t="s">
        <v>18</v>
      </c>
      <c r="G703" s="52" t="s">
        <v>563</v>
      </c>
      <c r="H703" s="18">
        <v>4854</v>
      </c>
      <c r="I703" s="5">
        <f>IF(tbRegistroSaidas[[#This Row],[DATA DE CAIXA REALIZADO]]="N/A",0,YEAR(tbRegistroSaidas[[#This Row],[DATA DE CAIXA REALIZADO]]))</f>
        <v>2023</v>
      </c>
      <c r="J703" s="5" t="str">
        <f>IF(tbRegistroSaidas[[#This Row],[DATA DE CAIXA REALIZADO]]="N/A","0",UPPER(TEXT(tbRegistroSaidas[[#This Row],[DATA DE CAIXA REALIZADO]],"mmm")))</f>
        <v>ABR</v>
      </c>
      <c r="K703" s="79" t="str">
        <f>IF(tbRegistroSaidas[[#This Row],[DATA DA COMPETÊNCIA]]="N/A","0",UPPER(TEXT(tbRegistroSaidas[[#This Row],[DATA DA COMPETÊNCIA]],"mmm")))</f>
        <v>MAR</v>
      </c>
      <c r="L703" s="79">
        <f>IF(tbRegistroSaidas[[#This Row],[DATA DA COMPETÊNCIA]]="N/A",0,YEAR(tbRegistroSaidas[[#This Row],[DATA DA COMPETÊNCIA]]))</f>
        <v>2023</v>
      </c>
      <c r="M703" s="5" t="str">
        <f>IF(tbRegistroSaidas[[#This Row],[DATA DO CAIXA PREVISTO]]="N/A","0",UPPER(TEXT(tbRegistroSaidas[[#This Row],[DATA DO CAIXA PREVISTO]],"mmm")))</f>
        <v>ABR</v>
      </c>
      <c r="N703" s="5">
        <f>IF(tbRegistroSaidas[[#This Row],[DATA DO CAIXA PREVISTO]]="N/A",0,YEAR(tbRegistroSaidas[[#This Row],[DATA DO CAIXA PREVISTO]]))</f>
        <v>2023</v>
      </c>
    </row>
    <row r="704" spans="1:14" s="5" customFormat="1" ht="14.4" x14ac:dyDescent="0.3">
      <c r="A704" s="38">
        <v>45039.736319444448</v>
      </c>
      <c r="B704" s="49">
        <v>45018</v>
      </c>
      <c r="C704" s="49">
        <v>45039.736319444448</v>
      </c>
      <c r="D704" s="49" t="s">
        <v>137</v>
      </c>
      <c r="E704" s="51" t="s">
        <v>26</v>
      </c>
      <c r="F704" s="51" t="s">
        <v>16</v>
      </c>
      <c r="G704" s="52" t="s">
        <v>564</v>
      </c>
      <c r="H704" s="18">
        <v>3453</v>
      </c>
      <c r="I704" s="5">
        <f>IF(tbRegistroSaidas[[#This Row],[DATA DE CAIXA REALIZADO]]="N/A",0,YEAR(tbRegistroSaidas[[#This Row],[DATA DE CAIXA REALIZADO]]))</f>
        <v>2023</v>
      </c>
      <c r="J704" s="5" t="str">
        <f>IF(tbRegistroSaidas[[#This Row],[DATA DE CAIXA REALIZADO]]="N/A","0",UPPER(TEXT(tbRegistroSaidas[[#This Row],[DATA DE CAIXA REALIZADO]],"mmm")))</f>
        <v>ABR</v>
      </c>
      <c r="K704" s="79" t="str">
        <f>IF(tbRegistroSaidas[[#This Row],[DATA DA COMPETÊNCIA]]="N/A","0",UPPER(TEXT(tbRegistroSaidas[[#This Row],[DATA DA COMPETÊNCIA]],"mmm")))</f>
        <v>ABR</v>
      </c>
      <c r="L704" s="79">
        <f>IF(tbRegistroSaidas[[#This Row],[DATA DA COMPETÊNCIA]]="N/A",0,YEAR(tbRegistroSaidas[[#This Row],[DATA DA COMPETÊNCIA]]))</f>
        <v>2023</v>
      </c>
      <c r="M704" s="5" t="str">
        <f>IF(tbRegistroSaidas[[#This Row],[DATA DO CAIXA PREVISTO]]="N/A","0",UPPER(TEXT(tbRegistroSaidas[[#This Row],[DATA DO CAIXA PREVISTO]],"mmm")))</f>
        <v>ABR</v>
      </c>
      <c r="N704" s="5">
        <f>IF(tbRegistroSaidas[[#This Row],[DATA DO CAIXA PREVISTO]]="N/A",0,YEAR(tbRegistroSaidas[[#This Row],[DATA DO CAIXA PREVISTO]]))</f>
        <v>2023</v>
      </c>
    </row>
    <row r="705" spans="1:14" s="5" customFormat="1" ht="14.4" x14ac:dyDescent="0.3">
      <c r="A705" s="38">
        <v>45036.110312500001</v>
      </c>
      <c r="B705" s="49">
        <v>45019</v>
      </c>
      <c r="C705" s="49">
        <v>45021.818472222221</v>
      </c>
      <c r="D705" s="49" t="s">
        <v>137</v>
      </c>
      <c r="E705" s="51" t="s">
        <v>26</v>
      </c>
      <c r="F705" s="51" t="s">
        <v>33</v>
      </c>
      <c r="G705" s="52" t="s">
        <v>565</v>
      </c>
      <c r="H705" s="18">
        <v>3341</v>
      </c>
      <c r="I705" s="5">
        <f>IF(tbRegistroSaidas[[#This Row],[DATA DE CAIXA REALIZADO]]="N/A",0,YEAR(tbRegistroSaidas[[#This Row],[DATA DE CAIXA REALIZADO]]))</f>
        <v>2023</v>
      </c>
      <c r="J705" s="5" t="str">
        <f>IF(tbRegistroSaidas[[#This Row],[DATA DE CAIXA REALIZADO]]="N/A","0",UPPER(TEXT(tbRegistroSaidas[[#This Row],[DATA DE CAIXA REALIZADO]],"mmm")))</f>
        <v>ABR</v>
      </c>
      <c r="K705" s="79" t="str">
        <f>IF(tbRegistroSaidas[[#This Row],[DATA DA COMPETÊNCIA]]="N/A","0",UPPER(TEXT(tbRegistroSaidas[[#This Row],[DATA DA COMPETÊNCIA]],"mmm")))</f>
        <v>ABR</v>
      </c>
      <c r="L705" s="79">
        <f>IF(tbRegistroSaidas[[#This Row],[DATA DA COMPETÊNCIA]]="N/A",0,YEAR(tbRegistroSaidas[[#This Row],[DATA DA COMPETÊNCIA]]))</f>
        <v>2023</v>
      </c>
      <c r="M705" s="5" t="str">
        <f>IF(tbRegistroSaidas[[#This Row],[DATA DO CAIXA PREVISTO]]="N/A","0",UPPER(TEXT(tbRegistroSaidas[[#This Row],[DATA DO CAIXA PREVISTO]],"mmm")))</f>
        <v>ABR</v>
      </c>
      <c r="N705" s="5">
        <f>IF(tbRegistroSaidas[[#This Row],[DATA DO CAIXA PREVISTO]]="N/A",0,YEAR(tbRegistroSaidas[[#This Row],[DATA DO CAIXA PREVISTO]]))</f>
        <v>2023</v>
      </c>
    </row>
    <row r="706" spans="1:14" s="5" customFormat="1" ht="14.4" x14ac:dyDescent="0.3">
      <c r="A706" s="38">
        <v>45066.865428240744</v>
      </c>
      <c r="B706" s="49">
        <v>45022</v>
      </c>
      <c r="C706" s="49">
        <v>45066.865428240744</v>
      </c>
      <c r="D706" s="49" t="s">
        <v>63</v>
      </c>
      <c r="E706" s="51" t="s">
        <v>26</v>
      </c>
      <c r="F706" s="51" t="s">
        <v>18</v>
      </c>
      <c r="G706" s="52" t="s">
        <v>566</v>
      </c>
      <c r="H706" s="18">
        <v>2707</v>
      </c>
      <c r="I706" s="5">
        <f>IF(tbRegistroSaidas[[#This Row],[DATA DE CAIXA REALIZADO]]="N/A",0,YEAR(tbRegistroSaidas[[#This Row],[DATA DE CAIXA REALIZADO]]))</f>
        <v>2023</v>
      </c>
      <c r="J706" s="5" t="str">
        <f>IF(tbRegistroSaidas[[#This Row],[DATA DE CAIXA REALIZADO]]="N/A","0",UPPER(TEXT(tbRegistroSaidas[[#This Row],[DATA DE CAIXA REALIZADO]],"mmm")))</f>
        <v>MAI</v>
      </c>
      <c r="K706" s="79" t="str">
        <f>IF(tbRegistroSaidas[[#This Row],[DATA DA COMPETÊNCIA]]="N/A","0",UPPER(TEXT(tbRegistroSaidas[[#This Row],[DATA DA COMPETÊNCIA]],"mmm")))</f>
        <v>ABR</v>
      </c>
      <c r="L706" s="79">
        <f>IF(tbRegistroSaidas[[#This Row],[DATA DA COMPETÊNCIA]]="N/A",0,YEAR(tbRegistroSaidas[[#This Row],[DATA DA COMPETÊNCIA]]))</f>
        <v>2023</v>
      </c>
      <c r="M706" s="5" t="str">
        <f>IF(tbRegistroSaidas[[#This Row],[DATA DO CAIXA PREVISTO]]="N/A","0",UPPER(TEXT(tbRegistroSaidas[[#This Row],[DATA DO CAIXA PREVISTO]],"mmm")))</f>
        <v>MAI</v>
      </c>
      <c r="N706" s="5">
        <f>IF(tbRegistroSaidas[[#This Row],[DATA DO CAIXA PREVISTO]]="N/A",0,YEAR(tbRegistroSaidas[[#This Row],[DATA DO CAIXA PREVISTO]]))</f>
        <v>2023</v>
      </c>
    </row>
    <row r="707" spans="1:14" s="5" customFormat="1" ht="14.4" x14ac:dyDescent="0.3">
      <c r="A707" s="38">
        <v>45064.683761574073</v>
      </c>
      <c r="B707" s="49">
        <v>45024</v>
      </c>
      <c r="C707" s="49">
        <v>45064.683761574073</v>
      </c>
      <c r="D707" s="49" t="s">
        <v>138</v>
      </c>
      <c r="E707" s="51" t="s">
        <v>26</v>
      </c>
      <c r="F707" s="51" t="s">
        <v>33</v>
      </c>
      <c r="G707" s="52" t="s">
        <v>567</v>
      </c>
      <c r="H707" s="18">
        <v>1582</v>
      </c>
      <c r="I707" s="5">
        <f>IF(tbRegistroSaidas[[#This Row],[DATA DE CAIXA REALIZADO]]="N/A",0,YEAR(tbRegistroSaidas[[#This Row],[DATA DE CAIXA REALIZADO]]))</f>
        <v>2023</v>
      </c>
      <c r="J707" s="5" t="str">
        <f>IF(tbRegistroSaidas[[#This Row],[DATA DE CAIXA REALIZADO]]="N/A","0",UPPER(TEXT(tbRegistroSaidas[[#This Row],[DATA DE CAIXA REALIZADO]],"mmm")))</f>
        <v>MAI</v>
      </c>
      <c r="K707" s="79" t="str">
        <f>IF(tbRegistroSaidas[[#This Row],[DATA DA COMPETÊNCIA]]="N/A","0",UPPER(TEXT(tbRegistroSaidas[[#This Row],[DATA DA COMPETÊNCIA]],"mmm")))</f>
        <v>ABR</v>
      </c>
      <c r="L707" s="79">
        <f>IF(tbRegistroSaidas[[#This Row],[DATA DA COMPETÊNCIA]]="N/A",0,YEAR(tbRegistroSaidas[[#This Row],[DATA DA COMPETÊNCIA]]))</f>
        <v>2023</v>
      </c>
      <c r="M707" s="5" t="str">
        <f>IF(tbRegistroSaidas[[#This Row],[DATA DO CAIXA PREVISTO]]="N/A","0",UPPER(TEXT(tbRegistroSaidas[[#This Row],[DATA DO CAIXA PREVISTO]],"mmm")))</f>
        <v>MAI</v>
      </c>
      <c r="N707" s="5">
        <f>IF(tbRegistroSaidas[[#This Row],[DATA DO CAIXA PREVISTO]]="N/A",0,YEAR(tbRegistroSaidas[[#This Row],[DATA DO CAIXA PREVISTO]]))</f>
        <v>2023</v>
      </c>
    </row>
    <row r="708" spans="1:14" s="5" customFormat="1" ht="14.4" x14ac:dyDescent="0.3">
      <c r="A708" s="38">
        <v>45060.508668981478</v>
      </c>
      <c r="B708" s="49">
        <v>45026</v>
      </c>
      <c r="C708" s="49">
        <v>45060.508668981478</v>
      </c>
      <c r="D708" s="49" t="s">
        <v>138</v>
      </c>
      <c r="E708" s="51" t="s">
        <v>26</v>
      </c>
      <c r="F708" s="51" t="s">
        <v>33</v>
      </c>
      <c r="G708" s="52" t="s">
        <v>568</v>
      </c>
      <c r="H708" s="18">
        <v>3889</v>
      </c>
      <c r="I708" s="5">
        <f>IF(tbRegistroSaidas[[#This Row],[DATA DE CAIXA REALIZADO]]="N/A",0,YEAR(tbRegistroSaidas[[#This Row],[DATA DE CAIXA REALIZADO]]))</f>
        <v>2023</v>
      </c>
      <c r="J708" s="5" t="str">
        <f>IF(tbRegistroSaidas[[#This Row],[DATA DE CAIXA REALIZADO]]="N/A","0",UPPER(TEXT(tbRegistroSaidas[[#This Row],[DATA DE CAIXA REALIZADO]],"mmm")))</f>
        <v>MAI</v>
      </c>
      <c r="K708" s="79" t="str">
        <f>IF(tbRegistroSaidas[[#This Row],[DATA DA COMPETÊNCIA]]="N/A","0",UPPER(TEXT(tbRegistroSaidas[[#This Row],[DATA DA COMPETÊNCIA]],"mmm")))</f>
        <v>ABR</v>
      </c>
      <c r="L708" s="79">
        <f>IF(tbRegistroSaidas[[#This Row],[DATA DA COMPETÊNCIA]]="N/A",0,YEAR(tbRegistroSaidas[[#This Row],[DATA DA COMPETÊNCIA]]))</f>
        <v>2023</v>
      </c>
      <c r="M708" s="5" t="str">
        <f>IF(tbRegistroSaidas[[#This Row],[DATA DO CAIXA PREVISTO]]="N/A","0",UPPER(TEXT(tbRegistroSaidas[[#This Row],[DATA DO CAIXA PREVISTO]],"mmm")))</f>
        <v>MAI</v>
      </c>
      <c r="N708" s="5">
        <f>IF(tbRegistroSaidas[[#This Row],[DATA DO CAIXA PREVISTO]]="N/A",0,YEAR(tbRegistroSaidas[[#This Row],[DATA DO CAIXA PREVISTO]]))</f>
        <v>2023</v>
      </c>
    </row>
    <row r="709" spans="1:14" s="5" customFormat="1" ht="14.4" x14ac:dyDescent="0.3">
      <c r="A709" s="38">
        <v>45045.569224537037</v>
      </c>
      <c r="B709" s="49">
        <v>45030</v>
      </c>
      <c r="C709" s="49">
        <v>45045.569224537037</v>
      </c>
      <c r="D709" s="49" t="s">
        <v>67</v>
      </c>
      <c r="E709" s="51" t="s">
        <v>26</v>
      </c>
      <c r="F709" s="51" t="s">
        <v>33</v>
      </c>
      <c r="G709" s="52" t="s">
        <v>569</v>
      </c>
      <c r="H709" s="18">
        <v>2303</v>
      </c>
      <c r="I709" s="5">
        <f>IF(tbRegistroSaidas[[#This Row],[DATA DE CAIXA REALIZADO]]="N/A",0,YEAR(tbRegistroSaidas[[#This Row],[DATA DE CAIXA REALIZADO]]))</f>
        <v>2023</v>
      </c>
      <c r="J709" s="5" t="str">
        <f>IF(tbRegistroSaidas[[#This Row],[DATA DE CAIXA REALIZADO]]="N/A","0",UPPER(TEXT(tbRegistroSaidas[[#This Row],[DATA DE CAIXA REALIZADO]],"mmm")))</f>
        <v>ABR</v>
      </c>
      <c r="K709" s="79" t="str">
        <f>IF(tbRegistroSaidas[[#This Row],[DATA DA COMPETÊNCIA]]="N/A","0",UPPER(TEXT(tbRegistroSaidas[[#This Row],[DATA DA COMPETÊNCIA]],"mmm")))</f>
        <v>ABR</v>
      </c>
      <c r="L709" s="79">
        <f>IF(tbRegistroSaidas[[#This Row],[DATA DA COMPETÊNCIA]]="N/A",0,YEAR(tbRegistroSaidas[[#This Row],[DATA DA COMPETÊNCIA]]))</f>
        <v>2023</v>
      </c>
      <c r="M709" s="5" t="str">
        <f>IF(tbRegistroSaidas[[#This Row],[DATA DO CAIXA PREVISTO]]="N/A","0",UPPER(TEXT(tbRegistroSaidas[[#This Row],[DATA DO CAIXA PREVISTO]],"mmm")))</f>
        <v>ABR</v>
      </c>
      <c r="N709" s="5">
        <f>IF(tbRegistroSaidas[[#This Row],[DATA DO CAIXA PREVISTO]]="N/A",0,YEAR(tbRegistroSaidas[[#This Row],[DATA DO CAIXA PREVISTO]]))</f>
        <v>2023</v>
      </c>
    </row>
    <row r="710" spans="1:14" s="5" customFormat="1" ht="14.4" x14ac:dyDescent="0.3">
      <c r="A710" s="38">
        <v>45065.65556712963</v>
      </c>
      <c r="B710" s="49">
        <v>45033</v>
      </c>
      <c r="C710" s="49">
        <v>45065.65556712963</v>
      </c>
      <c r="D710" s="49" t="s">
        <v>66</v>
      </c>
      <c r="E710" s="51" t="s">
        <v>26</v>
      </c>
      <c r="F710" s="51" t="s">
        <v>17</v>
      </c>
      <c r="G710" s="52" t="s">
        <v>570</v>
      </c>
      <c r="H710" s="18">
        <v>802</v>
      </c>
      <c r="I710" s="5">
        <f>IF(tbRegistroSaidas[[#This Row],[DATA DE CAIXA REALIZADO]]="N/A",0,YEAR(tbRegistroSaidas[[#This Row],[DATA DE CAIXA REALIZADO]]))</f>
        <v>2023</v>
      </c>
      <c r="J710" s="5" t="str">
        <f>IF(tbRegistroSaidas[[#This Row],[DATA DE CAIXA REALIZADO]]="N/A","0",UPPER(TEXT(tbRegistroSaidas[[#This Row],[DATA DE CAIXA REALIZADO]],"mmm")))</f>
        <v>MAI</v>
      </c>
      <c r="K710" s="79" t="str">
        <f>IF(tbRegistroSaidas[[#This Row],[DATA DA COMPETÊNCIA]]="N/A","0",UPPER(TEXT(tbRegistroSaidas[[#This Row],[DATA DA COMPETÊNCIA]],"mmm")))</f>
        <v>ABR</v>
      </c>
      <c r="L710" s="79">
        <f>IF(tbRegistroSaidas[[#This Row],[DATA DA COMPETÊNCIA]]="N/A",0,YEAR(tbRegistroSaidas[[#This Row],[DATA DA COMPETÊNCIA]]))</f>
        <v>2023</v>
      </c>
      <c r="M710" s="5" t="str">
        <f>IF(tbRegistroSaidas[[#This Row],[DATA DO CAIXA PREVISTO]]="N/A","0",UPPER(TEXT(tbRegistroSaidas[[#This Row],[DATA DO CAIXA PREVISTO]],"mmm")))</f>
        <v>MAI</v>
      </c>
      <c r="N710" s="5">
        <f>IF(tbRegistroSaidas[[#This Row],[DATA DO CAIXA PREVISTO]]="N/A",0,YEAR(tbRegistroSaidas[[#This Row],[DATA DO CAIXA PREVISTO]]))</f>
        <v>2023</v>
      </c>
    </row>
    <row r="711" spans="1:14" s="5" customFormat="1" ht="14.4" x14ac:dyDescent="0.3">
      <c r="A711" s="38">
        <v>45050.233182870368</v>
      </c>
      <c r="B711" s="49">
        <v>45035</v>
      </c>
      <c r="C711" s="49">
        <v>45050.233182870368</v>
      </c>
      <c r="D711" s="49" t="s">
        <v>61</v>
      </c>
      <c r="E711" s="51" t="s">
        <v>26</v>
      </c>
      <c r="F711" s="51" t="s">
        <v>33</v>
      </c>
      <c r="G711" s="52" t="s">
        <v>571</v>
      </c>
      <c r="H711" s="18">
        <v>4513</v>
      </c>
      <c r="I711" s="5">
        <f>IF(tbRegistroSaidas[[#This Row],[DATA DE CAIXA REALIZADO]]="N/A",0,YEAR(tbRegistroSaidas[[#This Row],[DATA DE CAIXA REALIZADO]]))</f>
        <v>2023</v>
      </c>
      <c r="J711" s="5" t="str">
        <f>IF(tbRegistroSaidas[[#This Row],[DATA DE CAIXA REALIZADO]]="N/A","0",UPPER(TEXT(tbRegistroSaidas[[#This Row],[DATA DE CAIXA REALIZADO]],"mmm")))</f>
        <v>MAI</v>
      </c>
      <c r="K711" s="79" t="str">
        <f>IF(tbRegistroSaidas[[#This Row],[DATA DA COMPETÊNCIA]]="N/A","0",UPPER(TEXT(tbRegistroSaidas[[#This Row],[DATA DA COMPETÊNCIA]],"mmm")))</f>
        <v>ABR</v>
      </c>
      <c r="L711" s="79">
        <f>IF(tbRegistroSaidas[[#This Row],[DATA DA COMPETÊNCIA]]="N/A",0,YEAR(tbRegistroSaidas[[#This Row],[DATA DA COMPETÊNCIA]]))</f>
        <v>2023</v>
      </c>
      <c r="M711" s="5" t="str">
        <f>IF(tbRegistroSaidas[[#This Row],[DATA DO CAIXA PREVISTO]]="N/A","0",UPPER(TEXT(tbRegistroSaidas[[#This Row],[DATA DO CAIXA PREVISTO]],"mmm")))</f>
        <v>MAI</v>
      </c>
      <c r="N711" s="5">
        <f>IF(tbRegistroSaidas[[#This Row],[DATA DO CAIXA PREVISTO]]="N/A",0,YEAR(tbRegistroSaidas[[#This Row],[DATA DO CAIXA PREVISTO]]))</f>
        <v>2023</v>
      </c>
    </row>
    <row r="712" spans="1:14" s="5" customFormat="1" ht="14.4" x14ac:dyDescent="0.3">
      <c r="A712" s="38">
        <v>45047.865937499999</v>
      </c>
      <c r="B712" s="49">
        <v>45037</v>
      </c>
      <c r="C712" s="49">
        <v>45047.865937499999</v>
      </c>
      <c r="D712" s="49" t="s">
        <v>67</v>
      </c>
      <c r="E712" s="51" t="s">
        <v>26</v>
      </c>
      <c r="F712" s="51" t="s">
        <v>33</v>
      </c>
      <c r="G712" s="52" t="s">
        <v>572</v>
      </c>
      <c r="H712" s="18">
        <v>3908</v>
      </c>
      <c r="I712" s="5">
        <f>IF(tbRegistroSaidas[[#This Row],[DATA DE CAIXA REALIZADO]]="N/A",0,YEAR(tbRegistroSaidas[[#This Row],[DATA DE CAIXA REALIZADO]]))</f>
        <v>2023</v>
      </c>
      <c r="J712" s="5" t="str">
        <f>IF(tbRegistroSaidas[[#This Row],[DATA DE CAIXA REALIZADO]]="N/A","0",UPPER(TEXT(tbRegistroSaidas[[#This Row],[DATA DE CAIXA REALIZADO]],"mmm")))</f>
        <v>MAI</v>
      </c>
      <c r="K712" s="79" t="str">
        <f>IF(tbRegistroSaidas[[#This Row],[DATA DA COMPETÊNCIA]]="N/A","0",UPPER(TEXT(tbRegistroSaidas[[#This Row],[DATA DA COMPETÊNCIA]],"mmm")))</f>
        <v>ABR</v>
      </c>
      <c r="L712" s="79">
        <f>IF(tbRegistroSaidas[[#This Row],[DATA DA COMPETÊNCIA]]="N/A",0,YEAR(tbRegistroSaidas[[#This Row],[DATA DA COMPETÊNCIA]]))</f>
        <v>2023</v>
      </c>
      <c r="M712" s="5" t="str">
        <f>IF(tbRegistroSaidas[[#This Row],[DATA DO CAIXA PREVISTO]]="N/A","0",UPPER(TEXT(tbRegistroSaidas[[#This Row],[DATA DO CAIXA PREVISTO]],"mmm")))</f>
        <v>MAI</v>
      </c>
      <c r="N712" s="5">
        <f>IF(tbRegistroSaidas[[#This Row],[DATA DO CAIXA PREVISTO]]="N/A",0,YEAR(tbRegistroSaidas[[#This Row],[DATA DO CAIXA PREVISTO]]))</f>
        <v>2023</v>
      </c>
    </row>
    <row r="713" spans="1:14" s="5" customFormat="1" ht="14.4" x14ac:dyDescent="0.3">
      <c r="A713" s="38">
        <v>45102.890694444446</v>
      </c>
      <c r="B713" s="49">
        <v>45041</v>
      </c>
      <c r="C713" s="49">
        <v>45096.027118055557</v>
      </c>
      <c r="D713" s="49" t="s">
        <v>66</v>
      </c>
      <c r="E713" s="51" t="s">
        <v>26</v>
      </c>
      <c r="F713" s="51" t="s">
        <v>33</v>
      </c>
      <c r="G713" s="52" t="s">
        <v>573</v>
      </c>
      <c r="H713" s="18">
        <v>156</v>
      </c>
      <c r="I713" s="5">
        <f>IF(tbRegistroSaidas[[#This Row],[DATA DE CAIXA REALIZADO]]="N/A",0,YEAR(tbRegistroSaidas[[#This Row],[DATA DE CAIXA REALIZADO]]))</f>
        <v>2023</v>
      </c>
      <c r="J713" s="5" t="str">
        <f>IF(tbRegistroSaidas[[#This Row],[DATA DE CAIXA REALIZADO]]="N/A","0",UPPER(TEXT(tbRegistroSaidas[[#This Row],[DATA DE CAIXA REALIZADO]],"mmm")))</f>
        <v>JUN</v>
      </c>
      <c r="K713" s="79" t="str">
        <f>IF(tbRegistroSaidas[[#This Row],[DATA DA COMPETÊNCIA]]="N/A","0",UPPER(TEXT(tbRegistroSaidas[[#This Row],[DATA DA COMPETÊNCIA]],"mmm")))</f>
        <v>ABR</v>
      </c>
      <c r="L713" s="79">
        <f>IF(tbRegistroSaidas[[#This Row],[DATA DA COMPETÊNCIA]]="N/A",0,YEAR(tbRegistroSaidas[[#This Row],[DATA DA COMPETÊNCIA]]))</f>
        <v>2023</v>
      </c>
      <c r="M713" s="5" t="str">
        <f>IF(tbRegistroSaidas[[#This Row],[DATA DO CAIXA PREVISTO]]="N/A","0",UPPER(TEXT(tbRegistroSaidas[[#This Row],[DATA DO CAIXA PREVISTO]],"mmm")))</f>
        <v>JUN</v>
      </c>
      <c r="N713" s="5">
        <f>IF(tbRegistroSaidas[[#This Row],[DATA DO CAIXA PREVISTO]]="N/A",0,YEAR(tbRegistroSaidas[[#This Row],[DATA DO CAIXA PREVISTO]]))</f>
        <v>2023</v>
      </c>
    </row>
    <row r="714" spans="1:14" s="5" customFormat="1" ht="14.4" x14ac:dyDescent="0.3">
      <c r="A714" s="38">
        <v>45083.113483796296</v>
      </c>
      <c r="B714" s="49">
        <v>45043</v>
      </c>
      <c r="C714" s="49">
        <v>45083.113483796296</v>
      </c>
      <c r="D714" s="49" t="s">
        <v>67</v>
      </c>
      <c r="E714" s="51" t="s">
        <v>26</v>
      </c>
      <c r="F714" s="51" t="s">
        <v>17</v>
      </c>
      <c r="G714" s="52" t="s">
        <v>574</v>
      </c>
      <c r="H714" s="18">
        <v>457</v>
      </c>
      <c r="I714" s="5">
        <f>IF(tbRegistroSaidas[[#This Row],[DATA DE CAIXA REALIZADO]]="N/A",0,YEAR(tbRegistroSaidas[[#This Row],[DATA DE CAIXA REALIZADO]]))</f>
        <v>2023</v>
      </c>
      <c r="J714" s="5" t="str">
        <f>IF(tbRegistroSaidas[[#This Row],[DATA DE CAIXA REALIZADO]]="N/A","0",UPPER(TEXT(tbRegistroSaidas[[#This Row],[DATA DE CAIXA REALIZADO]],"mmm")))</f>
        <v>JUN</v>
      </c>
      <c r="K714" s="79" t="str">
        <f>IF(tbRegistroSaidas[[#This Row],[DATA DA COMPETÊNCIA]]="N/A","0",UPPER(TEXT(tbRegistroSaidas[[#This Row],[DATA DA COMPETÊNCIA]],"mmm")))</f>
        <v>ABR</v>
      </c>
      <c r="L714" s="79">
        <f>IF(tbRegistroSaidas[[#This Row],[DATA DA COMPETÊNCIA]]="N/A",0,YEAR(tbRegistroSaidas[[#This Row],[DATA DA COMPETÊNCIA]]))</f>
        <v>2023</v>
      </c>
      <c r="M714" s="5" t="str">
        <f>IF(tbRegistroSaidas[[#This Row],[DATA DO CAIXA PREVISTO]]="N/A","0",UPPER(TEXT(tbRegistroSaidas[[#This Row],[DATA DO CAIXA PREVISTO]],"mmm")))</f>
        <v>JUN</v>
      </c>
      <c r="N714" s="5">
        <f>IF(tbRegistroSaidas[[#This Row],[DATA DO CAIXA PREVISTO]]="N/A",0,YEAR(tbRegistroSaidas[[#This Row],[DATA DO CAIXA PREVISTO]]))</f>
        <v>2023</v>
      </c>
    </row>
    <row r="715" spans="1:14" s="5" customFormat="1" ht="14.4" x14ac:dyDescent="0.3">
      <c r="A715" s="38">
        <v>45085.026608796295</v>
      </c>
      <c r="B715" s="49">
        <v>45049</v>
      </c>
      <c r="C715" s="49">
        <v>45085.026608796295</v>
      </c>
      <c r="D715" s="49" t="s">
        <v>61</v>
      </c>
      <c r="E715" s="51" t="s">
        <v>26</v>
      </c>
      <c r="F715" s="51" t="s">
        <v>33</v>
      </c>
      <c r="G715" s="52" t="s">
        <v>575</v>
      </c>
      <c r="H715" s="18">
        <v>3536</v>
      </c>
      <c r="I715" s="5">
        <f>IF(tbRegistroSaidas[[#This Row],[DATA DE CAIXA REALIZADO]]="N/A",0,YEAR(tbRegistroSaidas[[#This Row],[DATA DE CAIXA REALIZADO]]))</f>
        <v>2023</v>
      </c>
      <c r="J715" s="5" t="str">
        <f>IF(tbRegistroSaidas[[#This Row],[DATA DE CAIXA REALIZADO]]="N/A","0",UPPER(TEXT(tbRegistroSaidas[[#This Row],[DATA DE CAIXA REALIZADO]],"mmm")))</f>
        <v>JUN</v>
      </c>
      <c r="K715" s="79" t="str">
        <f>IF(tbRegistroSaidas[[#This Row],[DATA DA COMPETÊNCIA]]="N/A","0",UPPER(TEXT(tbRegistroSaidas[[#This Row],[DATA DA COMPETÊNCIA]],"mmm")))</f>
        <v>MAI</v>
      </c>
      <c r="L715" s="79">
        <f>IF(tbRegistroSaidas[[#This Row],[DATA DA COMPETÊNCIA]]="N/A",0,YEAR(tbRegistroSaidas[[#This Row],[DATA DA COMPETÊNCIA]]))</f>
        <v>2023</v>
      </c>
      <c r="M715" s="5" t="str">
        <f>IF(tbRegistroSaidas[[#This Row],[DATA DO CAIXA PREVISTO]]="N/A","0",UPPER(TEXT(tbRegistroSaidas[[#This Row],[DATA DO CAIXA PREVISTO]],"mmm")))</f>
        <v>JUN</v>
      </c>
      <c r="N715" s="5">
        <f>IF(tbRegistroSaidas[[#This Row],[DATA DO CAIXA PREVISTO]]="N/A",0,YEAR(tbRegistroSaidas[[#This Row],[DATA DO CAIXA PREVISTO]]))</f>
        <v>2023</v>
      </c>
    </row>
    <row r="716" spans="1:14" s="5" customFormat="1" ht="14.4" x14ac:dyDescent="0.3">
      <c r="A716" s="38">
        <v>45056.700138888889</v>
      </c>
      <c r="B716" s="49">
        <v>45051</v>
      </c>
      <c r="C716" s="49">
        <v>45056.700138888889</v>
      </c>
      <c r="D716" s="49" t="s">
        <v>62</v>
      </c>
      <c r="E716" s="51" t="s">
        <v>26</v>
      </c>
      <c r="F716" s="51" t="s">
        <v>33</v>
      </c>
      <c r="G716" s="52" t="s">
        <v>576</v>
      </c>
      <c r="H716" s="18">
        <v>1809</v>
      </c>
      <c r="I716" s="5">
        <f>IF(tbRegistroSaidas[[#This Row],[DATA DE CAIXA REALIZADO]]="N/A",0,YEAR(tbRegistroSaidas[[#This Row],[DATA DE CAIXA REALIZADO]]))</f>
        <v>2023</v>
      </c>
      <c r="J716" s="5" t="str">
        <f>IF(tbRegistroSaidas[[#This Row],[DATA DE CAIXA REALIZADO]]="N/A","0",UPPER(TEXT(tbRegistroSaidas[[#This Row],[DATA DE CAIXA REALIZADO]],"mmm")))</f>
        <v>MAI</v>
      </c>
      <c r="K716" s="79" t="str">
        <f>IF(tbRegistroSaidas[[#This Row],[DATA DA COMPETÊNCIA]]="N/A","0",UPPER(TEXT(tbRegistroSaidas[[#This Row],[DATA DA COMPETÊNCIA]],"mmm")))</f>
        <v>MAI</v>
      </c>
      <c r="L716" s="79">
        <f>IF(tbRegistroSaidas[[#This Row],[DATA DA COMPETÊNCIA]]="N/A",0,YEAR(tbRegistroSaidas[[#This Row],[DATA DA COMPETÊNCIA]]))</f>
        <v>2023</v>
      </c>
      <c r="M716" s="5" t="str">
        <f>IF(tbRegistroSaidas[[#This Row],[DATA DO CAIXA PREVISTO]]="N/A","0",UPPER(TEXT(tbRegistroSaidas[[#This Row],[DATA DO CAIXA PREVISTO]],"mmm")))</f>
        <v>MAI</v>
      </c>
      <c r="N716" s="5">
        <f>IF(tbRegistroSaidas[[#This Row],[DATA DO CAIXA PREVISTO]]="N/A",0,YEAR(tbRegistroSaidas[[#This Row],[DATA DO CAIXA PREVISTO]]))</f>
        <v>2023</v>
      </c>
    </row>
    <row r="717" spans="1:14" s="5" customFormat="1" ht="14.4" x14ac:dyDescent="0.3">
      <c r="A717" s="38">
        <v>45074.712962962964</v>
      </c>
      <c r="B717" s="49">
        <v>45052</v>
      </c>
      <c r="C717" s="49">
        <v>45074.712962962964</v>
      </c>
      <c r="D717" s="49" t="s">
        <v>62</v>
      </c>
      <c r="E717" s="51" t="s">
        <v>26</v>
      </c>
      <c r="F717" s="51" t="s">
        <v>17</v>
      </c>
      <c r="G717" s="52" t="s">
        <v>577</v>
      </c>
      <c r="H717" s="18">
        <v>4172</v>
      </c>
      <c r="I717" s="5">
        <f>IF(tbRegistroSaidas[[#This Row],[DATA DE CAIXA REALIZADO]]="N/A",0,YEAR(tbRegistroSaidas[[#This Row],[DATA DE CAIXA REALIZADO]]))</f>
        <v>2023</v>
      </c>
      <c r="J717" s="5" t="str">
        <f>IF(tbRegistroSaidas[[#This Row],[DATA DE CAIXA REALIZADO]]="N/A","0",UPPER(TEXT(tbRegistroSaidas[[#This Row],[DATA DE CAIXA REALIZADO]],"mmm")))</f>
        <v>MAI</v>
      </c>
      <c r="K717" s="79" t="str">
        <f>IF(tbRegistroSaidas[[#This Row],[DATA DA COMPETÊNCIA]]="N/A","0",UPPER(TEXT(tbRegistroSaidas[[#This Row],[DATA DA COMPETÊNCIA]],"mmm")))</f>
        <v>MAI</v>
      </c>
      <c r="L717" s="79">
        <f>IF(tbRegistroSaidas[[#This Row],[DATA DA COMPETÊNCIA]]="N/A",0,YEAR(tbRegistroSaidas[[#This Row],[DATA DA COMPETÊNCIA]]))</f>
        <v>2023</v>
      </c>
      <c r="M717" s="5" t="str">
        <f>IF(tbRegistroSaidas[[#This Row],[DATA DO CAIXA PREVISTO]]="N/A","0",UPPER(TEXT(tbRegistroSaidas[[#This Row],[DATA DO CAIXA PREVISTO]],"mmm")))</f>
        <v>MAI</v>
      </c>
      <c r="N717" s="5">
        <f>IF(tbRegistroSaidas[[#This Row],[DATA DO CAIXA PREVISTO]]="N/A",0,YEAR(tbRegistroSaidas[[#This Row],[DATA DO CAIXA PREVISTO]]))</f>
        <v>2023</v>
      </c>
    </row>
    <row r="718" spans="1:14" s="5" customFormat="1" ht="14.4" x14ac:dyDescent="0.3">
      <c r="A718" s="38">
        <v>45084.498749999999</v>
      </c>
      <c r="B718" s="49">
        <v>45053</v>
      </c>
      <c r="C718" s="49">
        <v>45084.498749999999</v>
      </c>
      <c r="D718" s="49" t="s">
        <v>61</v>
      </c>
      <c r="E718" s="51" t="s">
        <v>26</v>
      </c>
      <c r="F718" s="51" t="s">
        <v>17</v>
      </c>
      <c r="G718" s="52" t="s">
        <v>578</v>
      </c>
      <c r="H718" s="18">
        <v>3827</v>
      </c>
      <c r="I718" s="5">
        <f>IF(tbRegistroSaidas[[#This Row],[DATA DE CAIXA REALIZADO]]="N/A",0,YEAR(tbRegistroSaidas[[#This Row],[DATA DE CAIXA REALIZADO]]))</f>
        <v>2023</v>
      </c>
      <c r="J718" s="5" t="str">
        <f>IF(tbRegistroSaidas[[#This Row],[DATA DE CAIXA REALIZADO]]="N/A","0",UPPER(TEXT(tbRegistroSaidas[[#This Row],[DATA DE CAIXA REALIZADO]],"mmm")))</f>
        <v>JUN</v>
      </c>
      <c r="K718" s="79" t="str">
        <f>IF(tbRegistroSaidas[[#This Row],[DATA DA COMPETÊNCIA]]="N/A","0",UPPER(TEXT(tbRegistroSaidas[[#This Row],[DATA DA COMPETÊNCIA]],"mmm")))</f>
        <v>MAI</v>
      </c>
      <c r="L718" s="79">
        <f>IF(tbRegistroSaidas[[#This Row],[DATA DA COMPETÊNCIA]]="N/A",0,YEAR(tbRegistroSaidas[[#This Row],[DATA DA COMPETÊNCIA]]))</f>
        <v>2023</v>
      </c>
      <c r="M718" s="5" t="str">
        <f>IF(tbRegistroSaidas[[#This Row],[DATA DO CAIXA PREVISTO]]="N/A","0",UPPER(TEXT(tbRegistroSaidas[[#This Row],[DATA DO CAIXA PREVISTO]],"mmm")))</f>
        <v>JUN</v>
      </c>
      <c r="N718" s="5">
        <f>IF(tbRegistroSaidas[[#This Row],[DATA DO CAIXA PREVISTO]]="N/A",0,YEAR(tbRegistroSaidas[[#This Row],[DATA DO CAIXA PREVISTO]]))</f>
        <v>2023</v>
      </c>
    </row>
    <row r="719" spans="1:14" s="5" customFormat="1" ht="14.4" x14ac:dyDescent="0.3">
      <c r="A719" s="38">
        <v>45193.354490740741</v>
      </c>
      <c r="B719" s="49">
        <v>45055</v>
      </c>
      <c r="C719" s="49">
        <v>45106.188078703701</v>
      </c>
      <c r="D719" s="49" t="s">
        <v>61</v>
      </c>
      <c r="E719" s="51" t="s">
        <v>26</v>
      </c>
      <c r="F719" s="51" t="s">
        <v>17</v>
      </c>
      <c r="G719" s="52" t="s">
        <v>579</v>
      </c>
      <c r="H719" s="18">
        <v>1700</v>
      </c>
      <c r="I719" s="5">
        <f>IF(tbRegistroSaidas[[#This Row],[DATA DE CAIXA REALIZADO]]="N/A",0,YEAR(tbRegistroSaidas[[#This Row],[DATA DE CAIXA REALIZADO]]))</f>
        <v>2023</v>
      </c>
      <c r="J719" s="5" t="str">
        <f>IF(tbRegistroSaidas[[#This Row],[DATA DE CAIXA REALIZADO]]="N/A","0",UPPER(TEXT(tbRegistroSaidas[[#This Row],[DATA DE CAIXA REALIZADO]],"mmm")))</f>
        <v>SET</v>
      </c>
      <c r="K719" s="79" t="str">
        <f>IF(tbRegistroSaidas[[#This Row],[DATA DA COMPETÊNCIA]]="N/A","0",UPPER(TEXT(tbRegistroSaidas[[#This Row],[DATA DA COMPETÊNCIA]],"mmm")))</f>
        <v>MAI</v>
      </c>
      <c r="L719" s="79">
        <f>IF(tbRegistroSaidas[[#This Row],[DATA DA COMPETÊNCIA]]="N/A",0,YEAR(tbRegistroSaidas[[#This Row],[DATA DA COMPETÊNCIA]]))</f>
        <v>2023</v>
      </c>
      <c r="M719" s="5" t="str">
        <f>IF(tbRegistroSaidas[[#This Row],[DATA DO CAIXA PREVISTO]]="N/A","0",UPPER(TEXT(tbRegistroSaidas[[#This Row],[DATA DO CAIXA PREVISTO]],"mmm")))</f>
        <v>JUN</v>
      </c>
      <c r="N719" s="5">
        <f>IF(tbRegistroSaidas[[#This Row],[DATA DO CAIXA PREVISTO]]="N/A",0,YEAR(tbRegistroSaidas[[#This Row],[DATA DO CAIXA PREVISTO]]))</f>
        <v>2023</v>
      </c>
    </row>
    <row r="720" spans="1:14" s="5" customFormat="1" ht="14.4" x14ac:dyDescent="0.3">
      <c r="A720" s="38">
        <v>45075.763738425929</v>
      </c>
      <c r="B720" s="49">
        <v>45056</v>
      </c>
      <c r="C720" s="49">
        <v>45075.763738425929</v>
      </c>
      <c r="D720" s="49" t="s">
        <v>138</v>
      </c>
      <c r="E720" s="51" t="s">
        <v>26</v>
      </c>
      <c r="F720" s="51" t="s">
        <v>17</v>
      </c>
      <c r="G720" s="52" t="s">
        <v>580</v>
      </c>
      <c r="H720" s="18">
        <v>2090</v>
      </c>
      <c r="I720" s="5">
        <f>IF(tbRegistroSaidas[[#This Row],[DATA DE CAIXA REALIZADO]]="N/A",0,YEAR(tbRegistroSaidas[[#This Row],[DATA DE CAIXA REALIZADO]]))</f>
        <v>2023</v>
      </c>
      <c r="J720" s="5" t="str">
        <f>IF(tbRegistroSaidas[[#This Row],[DATA DE CAIXA REALIZADO]]="N/A","0",UPPER(TEXT(tbRegistroSaidas[[#This Row],[DATA DE CAIXA REALIZADO]],"mmm")))</f>
        <v>MAI</v>
      </c>
      <c r="K720" s="79" t="str">
        <f>IF(tbRegistroSaidas[[#This Row],[DATA DA COMPETÊNCIA]]="N/A","0",UPPER(TEXT(tbRegistroSaidas[[#This Row],[DATA DA COMPETÊNCIA]],"mmm")))</f>
        <v>MAI</v>
      </c>
      <c r="L720" s="79">
        <f>IF(tbRegistroSaidas[[#This Row],[DATA DA COMPETÊNCIA]]="N/A",0,YEAR(tbRegistroSaidas[[#This Row],[DATA DA COMPETÊNCIA]]))</f>
        <v>2023</v>
      </c>
      <c r="M720" s="5" t="str">
        <f>IF(tbRegistroSaidas[[#This Row],[DATA DO CAIXA PREVISTO]]="N/A","0",UPPER(TEXT(tbRegistroSaidas[[#This Row],[DATA DO CAIXA PREVISTO]],"mmm")))</f>
        <v>MAI</v>
      </c>
      <c r="N720" s="5">
        <f>IF(tbRegistroSaidas[[#This Row],[DATA DO CAIXA PREVISTO]]="N/A",0,YEAR(tbRegistroSaidas[[#This Row],[DATA DO CAIXA PREVISTO]]))</f>
        <v>2023</v>
      </c>
    </row>
    <row r="721" spans="1:14" s="5" customFormat="1" ht="14.4" x14ac:dyDescent="0.3">
      <c r="A721" s="38">
        <v>45063.13449074074</v>
      </c>
      <c r="B721" s="49">
        <v>45059</v>
      </c>
      <c r="C721" s="49">
        <v>45063.13449074074</v>
      </c>
      <c r="D721" s="49" t="s">
        <v>137</v>
      </c>
      <c r="E721" s="51" t="s">
        <v>26</v>
      </c>
      <c r="F721" s="51" t="s">
        <v>32</v>
      </c>
      <c r="G721" s="52" t="s">
        <v>581</v>
      </c>
      <c r="H721" s="18">
        <v>3230</v>
      </c>
      <c r="I721" s="5">
        <f>IF(tbRegistroSaidas[[#This Row],[DATA DE CAIXA REALIZADO]]="N/A",0,YEAR(tbRegistroSaidas[[#This Row],[DATA DE CAIXA REALIZADO]]))</f>
        <v>2023</v>
      </c>
      <c r="J721" s="5" t="str">
        <f>IF(tbRegistroSaidas[[#This Row],[DATA DE CAIXA REALIZADO]]="N/A","0",UPPER(TEXT(tbRegistroSaidas[[#This Row],[DATA DE CAIXA REALIZADO]],"mmm")))</f>
        <v>MAI</v>
      </c>
      <c r="K721" s="79" t="str">
        <f>IF(tbRegistroSaidas[[#This Row],[DATA DA COMPETÊNCIA]]="N/A","0",UPPER(TEXT(tbRegistroSaidas[[#This Row],[DATA DA COMPETÊNCIA]],"mmm")))</f>
        <v>MAI</v>
      </c>
      <c r="L721" s="79">
        <f>IF(tbRegistroSaidas[[#This Row],[DATA DA COMPETÊNCIA]]="N/A",0,YEAR(tbRegistroSaidas[[#This Row],[DATA DA COMPETÊNCIA]]))</f>
        <v>2023</v>
      </c>
      <c r="M721" s="5" t="str">
        <f>IF(tbRegistroSaidas[[#This Row],[DATA DO CAIXA PREVISTO]]="N/A","0",UPPER(TEXT(tbRegistroSaidas[[#This Row],[DATA DO CAIXA PREVISTO]],"mmm")))</f>
        <v>MAI</v>
      </c>
      <c r="N721" s="5">
        <f>IF(tbRegistroSaidas[[#This Row],[DATA DO CAIXA PREVISTO]]="N/A",0,YEAR(tbRegistroSaidas[[#This Row],[DATA DO CAIXA PREVISTO]]))</f>
        <v>2023</v>
      </c>
    </row>
    <row r="722" spans="1:14" s="5" customFormat="1" ht="14.4" x14ac:dyDescent="0.3">
      <c r="A722" s="38">
        <v>45079.943333333336</v>
      </c>
      <c r="B722" s="49">
        <v>45062</v>
      </c>
      <c r="C722" s="49">
        <v>45079.943333333336</v>
      </c>
      <c r="D722" s="49" t="s">
        <v>65</v>
      </c>
      <c r="E722" s="51" t="s">
        <v>26</v>
      </c>
      <c r="F722" s="51" t="s">
        <v>33</v>
      </c>
      <c r="G722" s="52" t="s">
        <v>582</v>
      </c>
      <c r="H722" s="18">
        <v>4030</v>
      </c>
      <c r="I722" s="5">
        <f>IF(tbRegistroSaidas[[#This Row],[DATA DE CAIXA REALIZADO]]="N/A",0,YEAR(tbRegistroSaidas[[#This Row],[DATA DE CAIXA REALIZADO]]))</f>
        <v>2023</v>
      </c>
      <c r="J722" s="5" t="str">
        <f>IF(tbRegistroSaidas[[#This Row],[DATA DE CAIXA REALIZADO]]="N/A","0",UPPER(TEXT(tbRegistroSaidas[[#This Row],[DATA DE CAIXA REALIZADO]],"mmm")))</f>
        <v>JUN</v>
      </c>
      <c r="K722" s="79" t="str">
        <f>IF(tbRegistroSaidas[[#This Row],[DATA DA COMPETÊNCIA]]="N/A","0",UPPER(TEXT(tbRegistroSaidas[[#This Row],[DATA DA COMPETÊNCIA]],"mmm")))</f>
        <v>MAI</v>
      </c>
      <c r="L722" s="79">
        <f>IF(tbRegistroSaidas[[#This Row],[DATA DA COMPETÊNCIA]]="N/A",0,YEAR(tbRegistroSaidas[[#This Row],[DATA DA COMPETÊNCIA]]))</f>
        <v>2023</v>
      </c>
      <c r="M722" s="5" t="str">
        <f>IF(tbRegistroSaidas[[#This Row],[DATA DO CAIXA PREVISTO]]="N/A","0",UPPER(TEXT(tbRegistroSaidas[[#This Row],[DATA DO CAIXA PREVISTO]],"mmm")))</f>
        <v>JUN</v>
      </c>
      <c r="N722" s="5">
        <f>IF(tbRegistroSaidas[[#This Row],[DATA DO CAIXA PREVISTO]]="N/A",0,YEAR(tbRegistroSaidas[[#This Row],[DATA DO CAIXA PREVISTO]]))</f>
        <v>2023</v>
      </c>
    </row>
    <row r="723" spans="1:14" s="5" customFormat="1" ht="14.4" x14ac:dyDescent="0.3">
      <c r="A723" s="38">
        <v>45164.895775462966</v>
      </c>
      <c r="B723" s="49">
        <v>45065</v>
      </c>
      <c r="C723" s="49">
        <v>45076.969849537039</v>
      </c>
      <c r="D723" s="49" t="s">
        <v>65</v>
      </c>
      <c r="E723" s="51" t="s">
        <v>26</v>
      </c>
      <c r="F723" s="51" t="s">
        <v>32</v>
      </c>
      <c r="G723" s="52" t="s">
        <v>583</v>
      </c>
      <c r="H723" s="18">
        <v>1367</v>
      </c>
      <c r="I723" s="5">
        <f>IF(tbRegistroSaidas[[#This Row],[DATA DE CAIXA REALIZADO]]="N/A",0,YEAR(tbRegistroSaidas[[#This Row],[DATA DE CAIXA REALIZADO]]))</f>
        <v>2023</v>
      </c>
      <c r="J723" s="5" t="str">
        <f>IF(tbRegistroSaidas[[#This Row],[DATA DE CAIXA REALIZADO]]="N/A","0",UPPER(TEXT(tbRegistroSaidas[[#This Row],[DATA DE CAIXA REALIZADO]],"mmm")))</f>
        <v>AGO</v>
      </c>
      <c r="K723" s="79" t="str">
        <f>IF(tbRegistroSaidas[[#This Row],[DATA DA COMPETÊNCIA]]="N/A","0",UPPER(TEXT(tbRegistroSaidas[[#This Row],[DATA DA COMPETÊNCIA]],"mmm")))</f>
        <v>MAI</v>
      </c>
      <c r="L723" s="79">
        <f>IF(tbRegistroSaidas[[#This Row],[DATA DA COMPETÊNCIA]]="N/A",0,YEAR(tbRegistroSaidas[[#This Row],[DATA DA COMPETÊNCIA]]))</f>
        <v>2023</v>
      </c>
      <c r="M723" s="5" t="str">
        <f>IF(tbRegistroSaidas[[#This Row],[DATA DO CAIXA PREVISTO]]="N/A","0",UPPER(TEXT(tbRegistroSaidas[[#This Row],[DATA DO CAIXA PREVISTO]],"mmm")))</f>
        <v>MAI</v>
      </c>
      <c r="N723" s="5">
        <f>IF(tbRegistroSaidas[[#This Row],[DATA DO CAIXA PREVISTO]]="N/A",0,YEAR(tbRegistroSaidas[[#This Row],[DATA DO CAIXA PREVISTO]]))</f>
        <v>2023</v>
      </c>
    </row>
    <row r="724" spans="1:14" s="5" customFormat="1" ht="14.4" x14ac:dyDescent="0.3">
      <c r="A724" s="38">
        <v>45087.228576388887</v>
      </c>
      <c r="B724" s="49">
        <v>45068</v>
      </c>
      <c r="C724" s="49">
        <v>45087.228576388887</v>
      </c>
      <c r="D724" s="49" t="s">
        <v>138</v>
      </c>
      <c r="E724" s="51" t="s">
        <v>26</v>
      </c>
      <c r="F724" s="51" t="s">
        <v>33</v>
      </c>
      <c r="G724" s="52" t="s">
        <v>584</v>
      </c>
      <c r="H724" s="18">
        <v>3945</v>
      </c>
      <c r="I724" s="5">
        <f>IF(tbRegistroSaidas[[#This Row],[DATA DE CAIXA REALIZADO]]="N/A",0,YEAR(tbRegistroSaidas[[#This Row],[DATA DE CAIXA REALIZADO]]))</f>
        <v>2023</v>
      </c>
      <c r="J724" s="5" t="str">
        <f>IF(tbRegistroSaidas[[#This Row],[DATA DE CAIXA REALIZADO]]="N/A","0",UPPER(TEXT(tbRegistroSaidas[[#This Row],[DATA DE CAIXA REALIZADO]],"mmm")))</f>
        <v>JUN</v>
      </c>
      <c r="K724" s="79" t="str">
        <f>IF(tbRegistroSaidas[[#This Row],[DATA DA COMPETÊNCIA]]="N/A","0",UPPER(TEXT(tbRegistroSaidas[[#This Row],[DATA DA COMPETÊNCIA]],"mmm")))</f>
        <v>MAI</v>
      </c>
      <c r="L724" s="79">
        <f>IF(tbRegistroSaidas[[#This Row],[DATA DA COMPETÊNCIA]]="N/A",0,YEAR(tbRegistroSaidas[[#This Row],[DATA DA COMPETÊNCIA]]))</f>
        <v>2023</v>
      </c>
      <c r="M724" s="5" t="str">
        <f>IF(tbRegistroSaidas[[#This Row],[DATA DO CAIXA PREVISTO]]="N/A","0",UPPER(TEXT(tbRegistroSaidas[[#This Row],[DATA DO CAIXA PREVISTO]],"mmm")))</f>
        <v>JUN</v>
      </c>
      <c r="N724" s="5">
        <f>IF(tbRegistroSaidas[[#This Row],[DATA DO CAIXA PREVISTO]]="N/A",0,YEAR(tbRegistroSaidas[[#This Row],[DATA DO CAIXA PREVISTO]]))</f>
        <v>2023</v>
      </c>
    </row>
    <row r="725" spans="1:14" s="5" customFormat="1" ht="14.4" x14ac:dyDescent="0.3">
      <c r="A725" s="38">
        <v>45104.772476851853</v>
      </c>
      <c r="B725" s="49">
        <v>45071</v>
      </c>
      <c r="C725" s="49">
        <v>45102.740590277775</v>
      </c>
      <c r="D725" s="49" t="s">
        <v>67</v>
      </c>
      <c r="E725" s="51" t="s">
        <v>26</v>
      </c>
      <c r="F725" s="51" t="s">
        <v>16</v>
      </c>
      <c r="G725" s="52" t="s">
        <v>585</v>
      </c>
      <c r="H725" s="18">
        <v>4518</v>
      </c>
      <c r="I725" s="5">
        <f>IF(tbRegistroSaidas[[#This Row],[DATA DE CAIXA REALIZADO]]="N/A",0,YEAR(tbRegistroSaidas[[#This Row],[DATA DE CAIXA REALIZADO]]))</f>
        <v>2023</v>
      </c>
      <c r="J725" s="5" t="str">
        <f>IF(tbRegistroSaidas[[#This Row],[DATA DE CAIXA REALIZADO]]="N/A","0",UPPER(TEXT(tbRegistroSaidas[[#This Row],[DATA DE CAIXA REALIZADO]],"mmm")))</f>
        <v>JUN</v>
      </c>
      <c r="K725" s="79" t="str">
        <f>IF(tbRegistroSaidas[[#This Row],[DATA DA COMPETÊNCIA]]="N/A","0",UPPER(TEXT(tbRegistroSaidas[[#This Row],[DATA DA COMPETÊNCIA]],"mmm")))</f>
        <v>MAI</v>
      </c>
      <c r="L725" s="79">
        <f>IF(tbRegistroSaidas[[#This Row],[DATA DA COMPETÊNCIA]]="N/A",0,YEAR(tbRegistroSaidas[[#This Row],[DATA DA COMPETÊNCIA]]))</f>
        <v>2023</v>
      </c>
      <c r="M725" s="5" t="str">
        <f>IF(tbRegistroSaidas[[#This Row],[DATA DO CAIXA PREVISTO]]="N/A","0",UPPER(TEXT(tbRegistroSaidas[[#This Row],[DATA DO CAIXA PREVISTO]],"mmm")))</f>
        <v>JUN</v>
      </c>
      <c r="N725" s="5">
        <f>IF(tbRegistroSaidas[[#This Row],[DATA DO CAIXA PREVISTO]]="N/A",0,YEAR(tbRegistroSaidas[[#This Row],[DATA DO CAIXA PREVISTO]]))</f>
        <v>2023</v>
      </c>
    </row>
    <row r="726" spans="1:14" s="5" customFormat="1" ht="14.4" x14ac:dyDescent="0.3">
      <c r="A726" s="38">
        <v>45134.934976851851</v>
      </c>
      <c r="B726" s="49">
        <v>45075</v>
      </c>
      <c r="C726" s="49">
        <v>45106.508159722223</v>
      </c>
      <c r="D726" s="49" t="s">
        <v>66</v>
      </c>
      <c r="E726" s="51" t="s">
        <v>26</v>
      </c>
      <c r="F726" s="51" t="s">
        <v>33</v>
      </c>
      <c r="G726" s="52" t="s">
        <v>429</v>
      </c>
      <c r="H726" s="18">
        <v>3086</v>
      </c>
      <c r="I726" s="5">
        <f>IF(tbRegistroSaidas[[#This Row],[DATA DE CAIXA REALIZADO]]="N/A",0,YEAR(tbRegistroSaidas[[#This Row],[DATA DE CAIXA REALIZADO]]))</f>
        <v>2023</v>
      </c>
      <c r="J726" s="5" t="str">
        <f>IF(tbRegistroSaidas[[#This Row],[DATA DE CAIXA REALIZADO]]="N/A","0",UPPER(TEXT(tbRegistroSaidas[[#This Row],[DATA DE CAIXA REALIZADO]],"mmm")))</f>
        <v>JUL</v>
      </c>
      <c r="K726" s="79" t="str">
        <f>IF(tbRegistroSaidas[[#This Row],[DATA DA COMPETÊNCIA]]="N/A","0",UPPER(TEXT(tbRegistroSaidas[[#This Row],[DATA DA COMPETÊNCIA]],"mmm")))</f>
        <v>MAI</v>
      </c>
      <c r="L726" s="79">
        <f>IF(tbRegistroSaidas[[#This Row],[DATA DA COMPETÊNCIA]]="N/A",0,YEAR(tbRegistroSaidas[[#This Row],[DATA DA COMPETÊNCIA]]))</f>
        <v>2023</v>
      </c>
      <c r="M726" s="5" t="str">
        <f>IF(tbRegistroSaidas[[#This Row],[DATA DO CAIXA PREVISTO]]="N/A","0",UPPER(TEXT(tbRegistroSaidas[[#This Row],[DATA DO CAIXA PREVISTO]],"mmm")))</f>
        <v>JUN</v>
      </c>
      <c r="N726" s="5">
        <f>IF(tbRegistroSaidas[[#This Row],[DATA DO CAIXA PREVISTO]]="N/A",0,YEAR(tbRegistroSaidas[[#This Row],[DATA DO CAIXA PREVISTO]]))</f>
        <v>2023</v>
      </c>
    </row>
    <row r="727" spans="1:14" s="5" customFormat="1" ht="14.4" x14ac:dyDescent="0.3">
      <c r="A727" s="38">
        <v>45089.969363425924</v>
      </c>
      <c r="B727" s="49">
        <v>45080</v>
      </c>
      <c r="C727" s="49">
        <v>45089.969363425924</v>
      </c>
      <c r="D727" s="49" t="s">
        <v>63</v>
      </c>
      <c r="E727" s="51" t="s">
        <v>26</v>
      </c>
      <c r="F727" s="51" t="s">
        <v>17</v>
      </c>
      <c r="G727" s="52" t="s">
        <v>586</v>
      </c>
      <c r="H727" s="18">
        <v>297</v>
      </c>
      <c r="I727" s="5">
        <f>IF(tbRegistroSaidas[[#This Row],[DATA DE CAIXA REALIZADO]]="N/A",0,YEAR(tbRegistroSaidas[[#This Row],[DATA DE CAIXA REALIZADO]]))</f>
        <v>2023</v>
      </c>
      <c r="J727" s="5" t="str">
        <f>IF(tbRegistroSaidas[[#This Row],[DATA DE CAIXA REALIZADO]]="N/A","0",UPPER(TEXT(tbRegistroSaidas[[#This Row],[DATA DE CAIXA REALIZADO]],"mmm")))</f>
        <v>JUN</v>
      </c>
      <c r="K727" s="79" t="str">
        <f>IF(tbRegistroSaidas[[#This Row],[DATA DA COMPETÊNCIA]]="N/A","0",UPPER(TEXT(tbRegistroSaidas[[#This Row],[DATA DA COMPETÊNCIA]],"mmm")))</f>
        <v>JUN</v>
      </c>
      <c r="L727" s="79">
        <f>IF(tbRegistroSaidas[[#This Row],[DATA DA COMPETÊNCIA]]="N/A",0,YEAR(tbRegistroSaidas[[#This Row],[DATA DA COMPETÊNCIA]]))</f>
        <v>2023</v>
      </c>
      <c r="M727" s="5" t="str">
        <f>IF(tbRegistroSaidas[[#This Row],[DATA DO CAIXA PREVISTO]]="N/A","0",UPPER(TEXT(tbRegistroSaidas[[#This Row],[DATA DO CAIXA PREVISTO]],"mmm")))</f>
        <v>JUN</v>
      </c>
      <c r="N727" s="5">
        <f>IF(tbRegistroSaidas[[#This Row],[DATA DO CAIXA PREVISTO]]="N/A",0,YEAR(tbRegistroSaidas[[#This Row],[DATA DO CAIXA PREVISTO]]))</f>
        <v>2023</v>
      </c>
    </row>
    <row r="728" spans="1:14" s="5" customFormat="1" ht="14.4" x14ac:dyDescent="0.3">
      <c r="A728" s="38">
        <v>45100.192650462966</v>
      </c>
      <c r="B728" s="49">
        <v>45084</v>
      </c>
      <c r="C728" s="49">
        <v>45100.192650462966</v>
      </c>
      <c r="D728" s="49" t="s">
        <v>137</v>
      </c>
      <c r="E728" s="51" t="s">
        <v>26</v>
      </c>
      <c r="F728" s="51" t="s">
        <v>32</v>
      </c>
      <c r="G728" s="52" t="s">
        <v>587</v>
      </c>
      <c r="H728" s="18">
        <v>3226</v>
      </c>
      <c r="I728" s="5">
        <f>IF(tbRegistroSaidas[[#This Row],[DATA DE CAIXA REALIZADO]]="N/A",0,YEAR(tbRegistroSaidas[[#This Row],[DATA DE CAIXA REALIZADO]]))</f>
        <v>2023</v>
      </c>
      <c r="J728" s="5" t="str">
        <f>IF(tbRegistroSaidas[[#This Row],[DATA DE CAIXA REALIZADO]]="N/A","0",UPPER(TEXT(tbRegistroSaidas[[#This Row],[DATA DE CAIXA REALIZADO]],"mmm")))</f>
        <v>JUN</v>
      </c>
      <c r="K728" s="79" t="str">
        <f>IF(tbRegistroSaidas[[#This Row],[DATA DA COMPETÊNCIA]]="N/A","0",UPPER(TEXT(tbRegistroSaidas[[#This Row],[DATA DA COMPETÊNCIA]],"mmm")))</f>
        <v>JUN</v>
      </c>
      <c r="L728" s="79">
        <f>IF(tbRegistroSaidas[[#This Row],[DATA DA COMPETÊNCIA]]="N/A",0,YEAR(tbRegistroSaidas[[#This Row],[DATA DA COMPETÊNCIA]]))</f>
        <v>2023</v>
      </c>
      <c r="M728" s="5" t="str">
        <f>IF(tbRegistroSaidas[[#This Row],[DATA DO CAIXA PREVISTO]]="N/A","0",UPPER(TEXT(tbRegistroSaidas[[#This Row],[DATA DO CAIXA PREVISTO]],"mmm")))</f>
        <v>JUN</v>
      </c>
      <c r="N728" s="5">
        <f>IF(tbRegistroSaidas[[#This Row],[DATA DO CAIXA PREVISTO]]="N/A",0,YEAR(tbRegistroSaidas[[#This Row],[DATA DO CAIXA PREVISTO]]))</f>
        <v>2023</v>
      </c>
    </row>
    <row r="729" spans="1:14" s="5" customFormat="1" ht="14.4" x14ac:dyDescent="0.3">
      <c r="A729" s="38" t="s">
        <v>141</v>
      </c>
      <c r="B729" s="49">
        <v>45086</v>
      </c>
      <c r="C729" s="49">
        <v>45133.67087962963</v>
      </c>
      <c r="D729" s="49" t="s">
        <v>137</v>
      </c>
      <c r="E729" s="51" t="s">
        <v>26</v>
      </c>
      <c r="F729" s="51" t="s">
        <v>33</v>
      </c>
      <c r="G729" s="52" t="s">
        <v>588</v>
      </c>
      <c r="H729" s="18">
        <v>2338</v>
      </c>
      <c r="I729" s="5">
        <f>IF(tbRegistroSaidas[[#This Row],[DATA DE CAIXA REALIZADO]]="N/A",0,YEAR(tbRegistroSaidas[[#This Row],[DATA DE CAIXA REALIZADO]]))</f>
        <v>0</v>
      </c>
      <c r="J729" s="5" t="str">
        <f>IF(tbRegistroSaidas[[#This Row],[DATA DE CAIXA REALIZADO]]="N/A","0",UPPER(TEXT(tbRegistroSaidas[[#This Row],[DATA DE CAIXA REALIZADO]],"mmm")))</f>
        <v>0</v>
      </c>
      <c r="K729" s="79" t="str">
        <f>IF(tbRegistroSaidas[[#This Row],[DATA DA COMPETÊNCIA]]="N/A","0",UPPER(TEXT(tbRegistroSaidas[[#This Row],[DATA DA COMPETÊNCIA]],"mmm")))</f>
        <v>JUN</v>
      </c>
      <c r="L729" s="79">
        <f>IF(tbRegistroSaidas[[#This Row],[DATA DA COMPETÊNCIA]]="N/A",0,YEAR(tbRegistroSaidas[[#This Row],[DATA DA COMPETÊNCIA]]))</f>
        <v>2023</v>
      </c>
      <c r="M729" s="5" t="str">
        <f>IF(tbRegistroSaidas[[#This Row],[DATA DO CAIXA PREVISTO]]="N/A","0",UPPER(TEXT(tbRegistroSaidas[[#This Row],[DATA DO CAIXA PREVISTO]],"mmm")))</f>
        <v>JUL</v>
      </c>
      <c r="N729" s="5">
        <f>IF(tbRegistroSaidas[[#This Row],[DATA DO CAIXA PREVISTO]]="N/A",0,YEAR(tbRegistroSaidas[[#This Row],[DATA DO CAIXA PREVISTO]]))</f>
        <v>2023</v>
      </c>
    </row>
    <row r="730" spans="1:14" s="5" customFormat="1" ht="14.4" x14ac:dyDescent="0.3">
      <c r="A730" s="38">
        <v>45202.508206018516</v>
      </c>
      <c r="B730" s="49">
        <v>45093</v>
      </c>
      <c r="C730" s="49">
        <v>45125.662453703706</v>
      </c>
      <c r="D730" s="49" t="s">
        <v>62</v>
      </c>
      <c r="E730" s="51" t="s">
        <v>26</v>
      </c>
      <c r="F730" s="51" t="s">
        <v>32</v>
      </c>
      <c r="G730" s="52" t="s">
        <v>589</v>
      </c>
      <c r="H730" s="18">
        <v>3773</v>
      </c>
      <c r="I730" s="5">
        <f>IF(tbRegistroSaidas[[#This Row],[DATA DE CAIXA REALIZADO]]="N/A",0,YEAR(tbRegistroSaidas[[#This Row],[DATA DE CAIXA REALIZADO]]))</f>
        <v>2023</v>
      </c>
      <c r="J730" s="5" t="str">
        <f>IF(tbRegistroSaidas[[#This Row],[DATA DE CAIXA REALIZADO]]="N/A","0",UPPER(TEXT(tbRegistroSaidas[[#This Row],[DATA DE CAIXA REALIZADO]],"mmm")))</f>
        <v>OUT</v>
      </c>
      <c r="K730" s="79" t="str">
        <f>IF(tbRegistroSaidas[[#This Row],[DATA DA COMPETÊNCIA]]="N/A","0",UPPER(TEXT(tbRegistroSaidas[[#This Row],[DATA DA COMPETÊNCIA]],"mmm")))</f>
        <v>JUN</v>
      </c>
      <c r="L730" s="79">
        <f>IF(tbRegistroSaidas[[#This Row],[DATA DA COMPETÊNCIA]]="N/A",0,YEAR(tbRegistroSaidas[[#This Row],[DATA DA COMPETÊNCIA]]))</f>
        <v>2023</v>
      </c>
      <c r="M730" s="5" t="str">
        <f>IF(tbRegistroSaidas[[#This Row],[DATA DO CAIXA PREVISTO]]="N/A","0",UPPER(TEXT(tbRegistroSaidas[[#This Row],[DATA DO CAIXA PREVISTO]],"mmm")))</f>
        <v>JUL</v>
      </c>
      <c r="N730" s="5">
        <f>IF(tbRegistroSaidas[[#This Row],[DATA DO CAIXA PREVISTO]]="N/A",0,YEAR(tbRegistroSaidas[[#This Row],[DATA DO CAIXA PREVISTO]]))</f>
        <v>2023</v>
      </c>
    </row>
    <row r="731" spans="1:14" s="5" customFormat="1" ht="14.4" x14ac:dyDescent="0.3">
      <c r="A731" s="38" t="s">
        <v>141</v>
      </c>
      <c r="B731" s="49">
        <v>45096</v>
      </c>
      <c r="C731" s="49">
        <v>45147.085509259261</v>
      </c>
      <c r="D731" s="49" t="s">
        <v>64</v>
      </c>
      <c r="E731" s="51" t="s">
        <v>26</v>
      </c>
      <c r="F731" s="51" t="s">
        <v>32</v>
      </c>
      <c r="G731" s="52" t="s">
        <v>590</v>
      </c>
      <c r="H731" s="18">
        <v>2759</v>
      </c>
      <c r="I731" s="5">
        <f>IF(tbRegistroSaidas[[#This Row],[DATA DE CAIXA REALIZADO]]="N/A",0,YEAR(tbRegistroSaidas[[#This Row],[DATA DE CAIXA REALIZADO]]))</f>
        <v>0</v>
      </c>
      <c r="J731" s="5" t="str">
        <f>IF(tbRegistroSaidas[[#This Row],[DATA DE CAIXA REALIZADO]]="N/A","0",UPPER(TEXT(tbRegistroSaidas[[#This Row],[DATA DE CAIXA REALIZADO]],"mmm")))</f>
        <v>0</v>
      </c>
      <c r="K731" s="79" t="str">
        <f>IF(tbRegistroSaidas[[#This Row],[DATA DA COMPETÊNCIA]]="N/A","0",UPPER(TEXT(tbRegistroSaidas[[#This Row],[DATA DA COMPETÊNCIA]],"mmm")))</f>
        <v>JUN</v>
      </c>
      <c r="L731" s="79">
        <f>IF(tbRegistroSaidas[[#This Row],[DATA DA COMPETÊNCIA]]="N/A",0,YEAR(tbRegistroSaidas[[#This Row],[DATA DA COMPETÊNCIA]]))</f>
        <v>2023</v>
      </c>
      <c r="M731" s="5" t="str">
        <f>IF(tbRegistroSaidas[[#This Row],[DATA DO CAIXA PREVISTO]]="N/A","0",UPPER(TEXT(tbRegistroSaidas[[#This Row],[DATA DO CAIXA PREVISTO]],"mmm")))</f>
        <v>AGO</v>
      </c>
      <c r="N731" s="5">
        <f>IF(tbRegistroSaidas[[#This Row],[DATA DO CAIXA PREVISTO]]="N/A",0,YEAR(tbRegistroSaidas[[#This Row],[DATA DO CAIXA PREVISTO]]))</f>
        <v>2023</v>
      </c>
    </row>
    <row r="732" spans="1:14" s="5" customFormat="1" ht="14.4" x14ac:dyDescent="0.3">
      <c r="A732" s="38">
        <v>45143.52002314815</v>
      </c>
      <c r="B732" s="49">
        <v>45098</v>
      </c>
      <c r="C732" s="49">
        <v>45143.52002314815</v>
      </c>
      <c r="D732" s="49" t="s">
        <v>64</v>
      </c>
      <c r="E732" s="51" t="s">
        <v>26</v>
      </c>
      <c r="F732" s="51" t="s">
        <v>32</v>
      </c>
      <c r="G732" s="52" t="s">
        <v>591</v>
      </c>
      <c r="H732" s="18">
        <v>1425</v>
      </c>
      <c r="I732" s="5">
        <f>IF(tbRegistroSaidas[[#This Row],[DATA DE CAIXA REALIZADO]]="N/A",0,YEAR(tbRegistroSaidas[[#This Row],[DATA DE CAIXA REALIZADO]]))</f>
        <v>2023</v>
      </c>
      <c r="J732" s="5" t="str">
        <f>IF(tbRegistroSaidas[[#This Row],[DATA DE CAIXA REALIZADO]]="N/A","0",UPPER(TEXT(tbRegistroSaidas[[#This Row],[DATA DE CAIXA REALIZADO]],"mmm")))</f>
        <v>AGO</v>
      </c>
      <c r="K732" s="79" t="str">
        <f>IF(tbRegistroSaidas[[#This Row],[DATA DA COMPETÊNCIA]]="N/A","0",UPPER(TEXT(tbRegistroSaidas[[#This Row],[DATA DA COMPETÊNCIA]],"mmm")))</f>
        <v>JUN</v>
      </c>
      <c r="L732" s="79">
        <f>IF(tbRegistroSaidas[[#This Row],[DATA DA COMPETÊNCIA]]="N/A",0,YEAR(tbRegistroSaidas[[#This Row],[DATA DA COMPETÊNCIA]]))</f>
        <v>2023</v>
      </c>
      <c r="M732" s="5" t="str">
        <f>IF(tbRegistroSaidas[[#This Row],[DATA DO CAIXA PREVISTO]]="N/A","0",UPPER(TEXT(tbRegistroSaidas[[#This Row],[DATA DO CAIXA PREVISTO]],"mmm")))</f>
        <v>AGO</v>
      </c>
      <c r="N732" s="5">
        <f>IF(tbRegistroSaidas[[#This Row],[DATA DO CAIXA PREVISTO]]="N/A",0,YEAR(tbRegistroSaidas[[#This Row],[DATA DO CAIXA PREVISTO]]))</f>
        <v>2023</v>
      </c>
    </row>
    <row r="733" spans="1:14" s="5" customFormat="1" ht="14.4" x14ac:dyDescent="0.3">
      <c r="A733" s="38">
        <v>45158.929039351853</v>
      </c>
      <c r="B733" s="49">
        <v>45100</v>
      </c>
      <c r="C733" s="49">
        <v>45158.929039351853</v>
      </c>
      <c r="D733" s="49" t="s">
        <v>64</v>
      </c>
      <c r="E733" s="51" t="s">
        <v>26</v>
      </c>
      <c r="F733" s="51" t="s">
        <v>32</v>
      </c>
      <c r="G733" s="52" t="s">
        <v>592</v>
      </c>
      <c r="H733" s="18">
        <v>332</v>
      </c>
      <c r="I733" s="5">
        <f>IF(tbRegistroSaidas[[#This Row],[DATA DE CAIXA REALIZADO]]="N/A",0,YEAR(tbRegistroSaidas[[#This Row],[DATA DE CAIXA REALIZADO]]))</f>
        <v>2023</v>
      </c>
      <c r="J733" s="5" t="str">
        <f>IF(tbRegistroSaidas[[#This Row],[DATA DE CAIXA REALIZADO]]="N/A","0",UPPER(TEXT(tbRegistroSaidas[[#This Row],[DATA DE CAIXA REALIZADO]],"mmm")))</f>
        <v>AGO</v>
      </c>
      <c r="K733" s="79" t="str">
        <f>IF(tbRegistroSaidas[[#This Row],[DATA DA COMPETÊNCIA]]="N/A","0",UPPER(TEXT(tbRegistroSaidas[[#This Row],[DATA DA COMPETÊNCIA]],"mmm")))</f>
        <v>JUN</v>
      </c>
      <c r="L733" s="79">
        <f>IF(tbRegistroSaidas[[#This Row],[DATA DA COMPETÊNCIA]]="N/A",0,YEAR(tbRegistroSaidas[[#This Row],[DATA DA COMPETÊNCIA]]))</f>
        <v>2023</v>
      </c>
      <c r="M733" s="5" t="str">
        <f>IF(tbRegistroSaidas[[#This Row],[DATA DO CAIXA PREVISTO]]="N/A","0",UPPER(TEXT(tbRegistroSaidas[[#This Row],[DATA DO CAIXA PREVISTO]],"mmm")))</f>
        <v>AGO</v>
      </c>
      <c r="N733" s="5">
        <f>IF(tbRegistroSaidas[[#This Row],[DATA DO CAIXA PREVISTO]]="N/A",0,YEAR(tbRegistroSaidas[[#This Row],[DATA DO CAIXA PREVISTO]]))</f>
        <v>2023</v>
      </c>
    </row>
    <row r="734" spans="1:14" s="5" customFormat="1" ht="14.4" x14ac:dyDescent="0.3">
      <c r="A734" s="38">
        <v>45114.195659722223</v>
      </c>
      <c r="B734" s="49">
        <v>45107</v>
      </c>
      <c r="C734" s="49">
        <v>45114.195659722223</v>
      </c>
      <c r="D734" s="49" t="s">
        <v>61</v>
      </c>
      <c r="E734" s="51" t="s">
        <v>26</v>
      </c>
      <c r="F734" s="51" t="s">
        <v>33</v>
      </c>
      <c r="G734" s="52" t="s">
        <v>593</v>
      </c>
      <c r="H734" s="18">
        <v>2819</v>
      </c>
      <c r="I734" s="5">
        <f>IF(tbRegistroSaidas[[#This Row],[DATA DE CAIXA REALIZADO]]="N/A",0,YEAR(tbRegistroSaidas[[#This Row],[DATA DE CAIXA REALIZADO]]))</f>
        <v>2023</v>
      </c>
      <c r="J734" s="5" t="str">
        <f>IF(tbRegistroSaidas[[#This Row],[DATA DE CAIXA REALIZADO]]="N/A","0",UPPER(TEXT(tbRegistroSaidas[[#This Row],[DATA DE CAIXA REALIZADO]],"mmm")))</f>
        <v>JUL</v>
      </c>
      <c r="K734" s="79" t="str">
        <f>IF(tbRegistroSaidas[[#This Row],[DATA DA COMPETÊNCIA]]="N/A","0",UPPER(TEXT(tbRegistroSaidas[[#This Row],[DATA DA COMPETÊNCIA]],"mmm")))</f>
        <v>JUN</v>
      </c>
      <c r="L734" s="79">
        <f>IF(tbRegistroSaidas[[#This Row],[DATA DA COMPETÊNCIA]]="N/A",0,YEAR(tbRegistroSaidas[[#This Row],[DATA DA COMPETÊNCIA]]))</f>
        <v>2023</v>
      </c>
      <c r="M734" s="5" t="str">
        <f>IF(tbRegistroSaidas[[#This Row],[DATA DO CAIXA PREVISTO]]="N/A","0",UPPER(TEXT(tbRegistroSaidas[[#This Row],[DATA DO CAIXA PREVISTO]],"mmm")))</f>
        <v>JUL</v>
      </c>
      <c r="N734" s="5">
        <f>IF(tbRegistroSaidas[[#This Row],[DATA DO CAIXA PREVISTO]]="N/A",0,YEAR(tbRegistroSaidas[[#This Row],[DATA DO CAIXA PREVISTO]]))</f>
        <v>2023</v>
      </c>
    </row>
    <row r="735" spans="1:14" s="5" customFormat="1" ht="14.4" x14ac:dyDescent="0.3">
      <c r="A735" s="38">
        <v>45215</v>
      </c>
      <c r="B735" s="49">
        <v>45215</v>
      </c>
      <c r="C735" s="49">
        <v>45215</v>
      </c>
      <c r="D735" s="49" t="s">
        <v>63</v>
      </c>
      <c r="E735" s="52" t="s">
        <v>26</v>
      </c>
      <c r="F735" s="52" t="s">
        <v>18</v>
      </c>
      <c r="G735" s="52" t="s">
        <v>1560</v>
      </c>
      <c r="H735" s="18">
        <v>500</v>
      </c>
      <c r="I735" s="128"/>
      <c r="J735" s="128" t="str">
        <f>IF(tbRegistroSaidas[[#This Row],[DATA DE CAIXA REALIZADO]]="N/A","0",UPPER(TEXT(tbRegistroSaidas[[#This Row],[DATA DE CAIXA REALIZADO]],"mmm")))</f>
        <v>OUT</v>
      </c>
      <c r="K735" s="129" t="str">
        <f>IF(tbRegistroSaidas[[#This Row],[DATA DA COMPETÊNCIA]]="N/A","0",UPPER(TEXT(tbRegistroSaidas[[#This Row],[DATA DA COMPETÊNCIA]],"mmm")))</f>
        <v>OUT</v>
      </c>
      <c r="L735" s="79">
        <f>IF(tbRegistroSaidas[[#This Row],[DATA DA COMPETÊNCIA]]="N/A",0,YEAR(tbRegistroSaidas[[#This Row],[DATA DA COMPETÊNCIA]]))</f>
        <v>2023</v>
      </c>
      <c r="M735" s="128" t="str">
        <f>IF(tbRegistroSaidas[[#This Row],[DATA DO CAIXA PREVISTO]]="N/A","0",UPPER(TEXT(tbRegistroSaidas[[#This Row],[DATA DO CAIXA PREVISTO]],"mmm")))</f>
        <v>OUT</v>
      </c>
      <c r="N735" s="128">
        <f>IF(tbRegistroSaidas[[#This Row],[DATA DO CAIXA PREVISTO]]="N/A",0,YEAR(tbRegistroSaidas[[#This Row],[DATA DO CAIXA PREVISTO]]))</f>
        <v>2023</v>
      </c>
    </row>
    <row r="736" spans="1:14" s="5" customFormat="1" ht="14.4" x14ac:dyDescent="0.3">
      <c r="A736" s="38"/>
      <c r="B736" s="49"/>
      <c r="C736" s="49"/>
      <c r="D736" s="49"/>
      <c r="E736" s="52"/>
      <c r="F736" s="52"/>
      <c r="G736" s="52"/>
      <c r="H736" s="18"/>
      <c r="K736" s="79"/>
      <c r="L736" s="79"/>
    </row>
    <row r="737" spans="1:14" s="5" customFormat="1" ht="14.4" x14ac:dyDescent="0.3">
      <c r="A737" s="38"/>
      <c r="B737" s="49"/>
      <c r="C737" s="49"/>
      <c r="D737" s="49"/>
      <c r="E737" s="52"/>
      <c r="F737" s="52"/>
      <c r="G737" s="52"/>
      <c r="H737" s="18"/>
      <c r="K737" s="79"/>
      <c r="L737" s="79"/>
    </row>
    <row r="738" spans="1:14" s="5" customFormat="1" ht="14.4" x14ac:dyDescent="0.3">
      <c r="A738" s="38"/>
      <c r="B738" s="49"/>
      <c r="C738" s="49"/>
      <c r="D738" s="49"/>
      <c r="E738" s="52"/>
      <c r="F738" s="52"/>
      <c r="G738" s="52"/>
      <c r="H738" s="18"/>
      <c r="K738" s="79"/>
      <c r="L738" s="79"/>
    </row>
    <row r="739" spans="1:14" s="5" customFormat="1" ht="14.4" x14ac:dyDescent="0.3">
      <c r="A739" s="38"/>
      <c r="B739" s="49"/>
      <c r="C739" s="49"/>
      <c r="D739" s="49"/>
      <c r="E739" s="52"/>
      <c r="F739" s="52"/>
      <c r="G739" s="52"/>
      <c r="H739" s="18"/>
      <c r="K739" s="79"/>
      <c r="L739" s="79"/>
    </row>
    <row r="740" spans="1:14" s="5" customFormat="1" ht="14.4" x14ac:dyDescent="0.3">
      <c r="A740" s="38"/>
      <c r="B740" s="49"/>
      <c r="C740" s="49"/>
      <c r="D740" s="49"/>
      <c r="E740" s="52"/>
      <c r="F740" s="52"/>
      <c r="G740" s="52"/>
      <c r="H740" s="18"/>
      <c r="K740" s="79"/>
      <c r="L740" s="79"/>
    </row>
    <row r="741" spans="1:14" s="5" customFormat="1" ht="14.4" x14ac:dyDescent="0.3">
      <c r="A741" s="38"/>
      <c r="B741" s="49"/>
      <c r="C741" s="49"/>
      <c r="D741" s="49"/>
      <c r="E741" s="52"/>
      <c r="F741" s="52"/>
      <c r="G741" s="52"/>
      <c r="H741" s="18"/>
      <c r="K741" s="79"/>
      <c r="L741" s="79"/>
    </row>
    <row r="742" spans="1:14" s="5" customFormat="1" ht="14.4" x14ac:dyDescent="0.3">
      <c r="A742" s="38"/>
      <c r="B742" s="49"/>
      <c r="C742" s="49"/>
      <c r="D742" s="49"/>
      <c r="E742" s="52"/>
      <c r="F742" s="52"/>
      <c r="G742" s="52"/>
      <c r="H742" s="18"/>
      <c r="K742" s="79"/>
      <c r="L742" s="79"/>
    </row>
    <row r="743" spans="1:14" s="5" customFormat="1" ht="14.4" x14ac:dyDescent="0.3">
      <c r="A743" s="38"/>
      <c r="B743" s="49"/>
      <c r="C743" s="49"/>
      <c r="D743" s="49"/>
      <c r="E743" s="52"/>
      <c r="F743" s="52"/>
      <c r="G743" s="52"/>
      <c r="H743" s="18"/>
      <c r="K743" s="79"/>
      <c r="L743" s="79"/>
    </row>
    <row r="744" spans="1:14" s="5" customFormat="1" ht="14.4" x14ac:dyDescent="0.3">
      <c r="A744" s="38"/>
      <c r="B744" s="49"/>
      <c r="C744" s="49"/>
      <c r="D744" s="49"/>
      <c r="E744" s="52"/>
      <c r="F744" s="52"/>
      <c r="G744" s="52"/>
      <c r="H744" s="18"/>
      <c r="K744" s="79"/>
      <c r="L744" s="79"/>
    </row>
    <row r="745" spans="1:14" s="5" customFormat="1" ht="14.4" x14ac:dyDescent="0.3">
      <c r="A745" s="38"/>
      <c r="B745" s="49"/>
      <c r="C745" s="49"/>
      <c r="D745" s="49"/>
      <c r="E745" s="52"/>
      <c r="F745" s="52"/>
      <c r="G745" s="52"/>
      <c r="H745" s="18"/>
      <c r="K745" s="79"/>
      <c r="L745" s="79"/>
    </row>
    <row r="746" spans="1:14" s="5" customFormat="1" ht="14.4" x14ac:dyDescent="0.3">
      <c r="A746" s="38"/>
      <c r="B746" s="49"/>
      <c r="C746" s="49"/>
      <c r="D746" s="49"/>
      <c r="E746" s="52"/>
      <c r="F746" s="52"/>
      <c r="G746" s="52"/>
      <c r="H746" s="18"/>
      <c r="K746" s="79"/>
      <c r="L746" s="79"/>
    </row>
    <row r="747" spans="1:14" s="5" customFormat="1" ht="14.4" x14ac:dyDescent="0.3">
      <c r="A747" s="38"/>
      <c r="B747" s="49"/>
      <c r="C747" s="49"/>
      <c r="D747" s="49"/>
      <c r="E747" s="52"/>
      <c r="F747" s="52"/>
      <c r="G747" s="52"/>
      <c r="H747" s="18"/>
      <c r="K747" s="79"/>
      <c r="L747" s="79"/>
    </row>
    <row r="748" spans="1:14" s="5" customFormat="1" ht="14.4" x14ac:dyDescent="0.3">
      <c r="A748" s="38"/>
      <c r="B748" s="49"/>
      <c r="C748" s="49"/>
      <c r="D748" s="49"/>
      <c r="E748" s="52"/>
      <c r="F748" s="52"/>
      <c r="G748" s="52"/>
      <c r="H748" s="18"/>
      <c r="K748" s="79"/>
      <c r="L748" s="79"/>
    </row>
    <row r="749" spans="1:14" s="5" customFormat="1" ht="14.4" x14ac:dyDescent="0.3">
      <c r="A749" s="38"/>
      <c r="B749" s="49"/>
      <c r="C749" s="49"/>
      <c r="D749" s="49"/>
      <c r="E749" s="52"/>
      <c r="F749" s="52"/>
      <c r="G749" s="52"/>
      <c r="H749" s="18"/>
      <c r="K749" s="79"/>
      <c r="L749" s="79"/>
    </row>
    <row r="750" spans="1:14" s="5" customFormat="1" ht="14.4" x14ac:dyDescent="0.3">
      <c r="A750" s="53"/>
      <c r="B750" s="47"/>
      <c r="H750" s="48"/>
      <c r="I750" s="26"/>
    </row>
    <row r="751" spans="1:14" ht="14.4" customHeight="1" x14ac:dyDescent="0.3">
      <c r="A751" s="36"/>
      <c r="B751" s="19"/>
      <c r="C751" s="19"/>
      <c r="D751" s="1"/>
      <c r="E751" s="1"/>
      <c r="F751" s="1"/>
      <c r="G751" s="1"/>
      <c r="H751" s="16"/>
      <c r="I751" s="22"/>
      <c r="J751" s="1"/>
      <c r="K751" s="1"/>
      <c r="L751" s="1"/>
      <c r="M751" s="1"/>
      <c r="N751" s="1"/>
    </row>
    <row r="752" spans="1:14" ht="14.4" customHeight="1" x14ac:dyDescent="0.3">
      <c r="A752" s="36"/>
      <c r="B752" s="19"/>
      <c r="C752" s="19"/>
      <c r="D752" s="1"/>
      <c r="E752" s="1"/>
      <c r="F752" s="1"/>
      <c r="G752" s="1"/>
      <c r="H752" s="16"/>
      <c r="I752" s="22"/>
      <c r="J752" s="1"/>
      <c r="K752" s="1"/>
      <c r="L752" s="1"/>
      <c r="M752" s="1"/>
      <c r="N752" s="1"/>
    </row>
  </sheetData>
  <mergeCells count="1">
    <mergeCell ref="A1:H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5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RBV!$A$5:$I$5</xm:f>
          </x14:formula1>
          <xm:sqref>D3:D1048576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XFC45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14.6640625" customWidth="1"/>
    <col min="2" max="2" width="18.5546875" customWidth="1"/>
    <col min="3" max="3" width="15.77734375" customWidth="1"/>
    <col min="4" max="4" width="20" customWidth="1"/>
    <col min="5" max="5" width="14.5546875" customWidth="1"/>
    <col min="6" max="6" width="17" customWidth="1"/>
    <col min="7" max="7" width="17.33203125" customWidth="1"/>
    <col min="8" max="8" width="17.44140625" customWidth="1"/>
    <col min="9" max="9" width="15.33203125" customWidth="1"/>
    <col min="10" max="10" width="2.21875" customWidth="1"/>
    <col min="11" max="11" width="10.88671875" customWidth="1"/>
    <col min="12" max="12" width="7" customWidth="1"/>
    <col min="13" max="13" width="34.44140625" customWidth="1"/>
    <col min="14" max="16383" width="15.77734375" hidden="1"/>
    <col min="16384" max="16384" width="1.5546875" hidden="1" customWidth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65" t="s">
        <v>60</v>
      </c>
      <c r="L1" s="165"/>
      <c r="M1" s="165"/>
    </row>
    <row r="2" spans="1:13" ht="23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65"/>
      <c r="L2" s="165"/>
      <c r="M2" s="165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>
      <c r="A5" s="25" t="s">
        <v>138</v>
      </c>
      <c r="B5" s="25" t="s">
        <v>61</v>
      </c>
      <c r="C5" s="25" t="s">
        <v>62</v>
      </c>
      <c r="D5" s="25" t="s">
        <v>63</v>
      </c>
      <c r="E5" s="25" t="s">
        <v>137</v>
      </c>
      <c r="F5" s="25" t="s">
        <v>64</v>
      </c>
      <c r="G5" s="25" t="s">
        <v>65</v>
      </c>
      <c r="H5" s="25" t="s">
        <v>66</v>
      </c>
      <c r="I5" s="25" t="s">
        <v>67</v>
      </c>
    </row>
    <row r="6" spans="1:13" ht="14.4" customHeight="1" x14ac:dyDescent="0.3">
      <c r="A6" t="s">
        <v>68</v>
      </c>
      <c r="B6" t="s">
        <v>71</v>
      </c>
      <c r="C6" t="s">
        <v>72</v>
      </c>
      <c r="D6" t="s">
        <v>69</v>
      </c>
      <c r="E6" t="s">
        <v>73</v>
      </c>
      <c r="F6" t="s">
        <v>74</v>
      </c>
      <c r="G6" t="s">
        <v>117</v>
      </c>
      <c r="H6" t="s">
        <v>123</v>
      </c>
      <c r="I6" t="s">
        <v>70</v>
      </c>
    </row>
    <row r="7" spans="1:13" ht="14.4" customHeight="1" x14ac:dyDescent="0.3">
      <c r="A7" t="s">
        <v>75</v>
      </c>
      <c r="B7" t="s">
        <v>79</v>
      </c>
      <c r="C7" t="s">
        <v>91</v>
      </c>
      <c r="D7" t="s">
        <v>99</v>
      </c>
      <c r="E7" t="s">
        <v>105</v>
      </c>
      <c r="F7" t="s">
        <v>108</v>
      </c>
      <c r="G7" t="s">
        <v>116</v>
      </c>
      <c r="H7" t="s">
        <v>124</v>
      </c>
      <c r="I7" t="s">
        <v>129</v>
      </c>
    </row>
    <row r="8" spans="1:13" ht="14.4" customHeight="1" x14ac:dyDescent="0.3">
      <c r="A8" t="s">
        <v>76</v>
      </c>
      <c r="B8" t="s">
        <v>80</v>
      </c>
      <c r="C8" t="s">
        <v>92</v>
      </c>
      <c r="D8" t="s">
        <v>100</v>
      </c>
      <c r="E8" t="s">
        <v>104</v>
      </c>
      <c r="F8" t="s">
        <v>109</v>
      </c>
      <c r="G8" t="s">
        <v>118</v>
      </c>
      <c r="H8" t="s">
        <v>126</v>
      </c>
      <c r="I8" t="s">
        <v>130</v>
      </c>
    </row>
    <row r="9" spans="1:13" ht="14.4" customHeight="1" x14ac:dyDescent="0.3">
      <c r="A9" t="s">
        <v>77</v>
      </c>
      <c r="B9" t="s">
        <v>81</v>
      </c>
      <c r="C9" t="s">
        <v>93</v>
      </c>
      <c r="D9" s="5" t="s">
        <v>101</v>
      </c>
      <c r="E9" t="s">
        <v>106</v>
      </c>
      <c r="F9" t="s">
        <v>110</v>
      </c>
      <c r="G9" t="s">
        <v>89</v>
      </c>
      <c r="H9" s="5" t="s">
        <v>127</v>
      </c>
      <c r="I9" s="5" t="s">
        <v>132</v>
      </c>
    </row>
    <row r="10" spans="1:13" ht="14.4" customHeight="1" x14ac:dyDescent="0.3">
      <c r="A10" s="27" t="s">
        <v>78</v>
      </c>
      <c r="B10" t="s">
        <v>82</v>
      </c>
      <c r="C10" s="27" t="s">
        <v>94</v>
      </c>
      <c r="D10" t="s">
        <v>98</v>
      </c>
      <c r="E10" t="s">
        <v>107</v>
      </c>
      <c r="F10" t="s">
        <v>111</v>
      </c>
      <c r="G10" s="27" t="s">
        <v>119</v>
      </c>
      <c r="H10" t="s">
        <v>128</v>
      </c>
      <c r="I10" t="s">
        <v>133</v>
      </c>
    </row>
    <row r="11" spans="1:13" ht="14.4" customHeight="1" x14ac:dyDescent="0.3">
      <c r="A11" t="s">
        <v>135</v>
      </c>
      <c r="B11" t="s">
        <v>83</v>
      </c>
      <c r="C11" t="s">
        <v>95</v>
      </c>
      <c r="D11" t="s">
        <v>102</v>
      </c>
      <c r="F11" t="s">
        <v>112</v>
      </c>
      <c r="G11" t="s">
        <v>120</v>
      </c>
      <c r="H11" t="s">
        <v>90</v>
      </c>
      <c r="I11" t="s">
        <v>131</v>
      </c>
    </row>
    <row r="12" spans="1:13" ht="14.4" customHeight="1" x14ac:dyDescent="0.3">
      <c r="A12" t="s">
        <v>136</v>
      </c>
      <c r="B12" t="s">
        <v>84</v>
      </c>
      <c r="C12" t="s">
        <v>96</v>
      </c>
      <c r="D12" t="s">
        <v>103</v>
      </c>
      <c r="F12" t="s">
        <v>113</v>
      </c>
      <c r="G12" t="s">
        <v>121</v>
      </c>
      <c r="H12" t="s">
        <v>125</v>
      </c>
      <c r="I12" t="s">
        <v>134</v>
      </c>
    </row>
    <row r="13" spans="1:13" ht="14.4" customHeight="1" x14ac:dyDescent="0.3">
      <c r="B13" s="5" t="s">
        <v>85</v>
      </c>
      <c r="C13" t="s">
        <v>97</v>
      </c>
      <c r="E13" s="5"/>
      <c r="F13" t="s">
        <v>114</v>
      </c>
      <c r="G13" t="s">
        <v>122</v>
      </c>
    </row>
    <row r="14" spans="1:13" ht="14.4" customHeight="1" x14ac:dyDescent="0.3">
      <c r="B14" t="s">
        <v>86</v>
      </c>
      <c r="F14" t="s">
        <v>115</v>
      </c>
    </row>
    <row r="15" spans="1:13" ht="14.4" customHeight="1" x14ac:dyDescent="0.3">
      <c r="B15" t="s">
        <v>87</v>
      </c>
    </row>
    <row r="16" spans="1:13" ht="14.4" customHeight="1" x14ac:dyDescent="0.3">
      <c r="B16" t="s">
        <v>88</v>
      </c>
    </row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>
      <c r="C20" s="5"/>
      <c r="D20" s="5"/>
      <c r="E20" s="5"/>
      <c r="F20" s="5"/>
      <c r="G20" s="5"/>
      <c r="H20" s="5"/>
      <c r="I20" s="5"/>
    </row>
    <row r="21" spans="1:13" ht="14.4" customHeight="1" x14ac:dyDescent="0.3">
      <c r="C21" s="5"/>
      <c r="D21" s="5"/>
      <c r="E21" s="5"/>
      <c r="F21" s="5"/>
      <c r="G21" s="5"/>
      <c r="H21" s="5"/>
      <c r="I21" s="5"/>
    </row>
    <row r="22" spans="1:13" ht="14.4" customHeight="1" x14ac:dyDescent="0.3">
      <c r="C22" s="5"/>
      <c r="D22" s="5"/>
      <c r="E22" s="5"/>
      <c r="F22" s="5"/>
      <c r="G22" s="5"/>
      <c r="H22" s="5"/>
      <c r="I22" s="5"/>
    </row>
    <row r="23" spans="1:13" ht="14.4" customHeight="1" x14ac:dyDescent="0.3"/>
    <row r="24" spans="1:13" ht="14.4" customHeight="1" x14ac:dyDescent="0.3"/>
    <row r="25" spans="1:13" ht="14.4" customHeight="1" x14ac:dyDescent="0.3">
      <c r="J25" s="5"/>
    </row>
    <row r="26" spans="1:13" ht="14.4" customHeight="1" x14ac:dyDescent="0.3">
      <c r="J26" s="5"/>
    </row>
    <row r="27" spans="1:13" ht="14.4" customHeight="1" x14ac:dyDescent="0.3">
      <c r="J27" s="5"/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14.4" hidden="1" customHeight="1" x14ac:dyDescent="0.3"/>
    <row r="31" spans="1:13" ht="14.4" hidden="1" customHeight="1" x14ac:dyDescent="0.3"/>
    <row r="32" spans="1:13" ht="14.4" hidden="1" customHeight="1" x14ac:dyDescent="0.3"/>
    <row r="33" ht="14.4" hidden="1" customHeight="1" x14ac:dyDescent="0.3"/>
    <row r="34" ht="14.4" hidden="1" customHeight="1" x14ac:dyDescent="0.3"/>
    <row r="35" ht="14.4" hidden="1" customHeight="1" x14ac:dyDescent="0.3"/>
    <row r="36" ht="14.4" hidden="1" customHeight="1" x14ac:dyDescent="0.3"/>
    <row r="37" ht="14.4" hidden="1" customHeight="1" x14ac:dyDescent="0.3"/>
    <row r="38" ht="14.4" hidden="1" customHeight="1" x14ac:dyDescent="0.3"/>
    <row r="39" ht="14.4" hidden="1" customHeight="1" x14ac:dyDescent="0.3"/>
    <row r="40" ht="14.4" hidden="1" customHeight="1" x14ac:dyDescent="0.3"/>
    <row r="41" ht="14.4" hidden="1" customHeight="1" x14ac:dyDescent="0.3"/>
    <row r="42" ht="14.4" hidden="1" customHeight="1" x14ac:dyDescent="0.3"/>
    <row r="43" ht="14.4" hidden="1" customHeight="1" x14ac:dyDescent="0.3"/>
    <row r="44" ht="14.4" hidden="1" customHeight="1" x14ac:dyDescent="0.3"/>
    <row r="45" ht="14.4" hidden="1" customHeight="1" x14ac:dyDescent="0.3"/>
  </sheetData>
  <mergeCells count="1">
    <mergeCell ref="K1:M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XFD29"/>
  <sheetViews>
    <sheetView showGridLines="0" workbookViewId="0">
      <selection activeCell="A3" sqref="A3"/>
    </sheetView>
  </sheetViews>
  <sheetFormatPr defaultColWidth="0" defaultRowHeight="0" customHeight="1" zeroHeight="1" x14ac:dyDescent="0.3"/>
  <cols>
    <col min="1" max="1" width="17.88671875" style="74" customWidth="1"/>
    <col min="2" max="12" width="15.77734375" customWidth="1"/>
    <col min="13" max="13" width="15.109375" customWidth="1"/>
    <col min="14" max="16384" width="15.77734375" hidden="1"/>
  </cols>
  <sheetData>
    <row r="1" spans="1:16384" ht="14.4" x14ac:dyDescent="0.3">
      <c r="A1" s="66"/>
      <c r="B1" s="1"/>
      <c r="C1" s="1"/>
      <c r="D1" s="1"/>
      <c r="E1" s="1"/>
      <c r="F1" s="1"/>
      <c r="G1" s="1"/>
      <c r="H1" s="1"/>
      <c r="I1" s="1"/>
      <c r="J1" s="1"/>
      <c r="K1" s="165" t="s">
        <v>596</v>
      </c>
      <c r="L1" s="165"/>
      <c r="M1" s="165"/>
    </row>
    <row r="2" spans="1:16384" ht="23.4" customHeight="1" x14ac:dyDescent="0.3">
      <c r="A2" s="66"/>
      <c r="B2" s="1"/>
      <c r="C2" s="1"/>
      <c r="D2" s="1"/>
      <c r="E2" s="1"/>
      <c r="F2" s="1"/>
      <c r="G2" s="1"/>
      <c r="H2" s="1"/>
      <c r="I2" s="1"/>
      <c r="J2" s="1"/>
      <c r="K2" s="165"/>
      <c r="L2" s="165"/>
      <c r="M2" s="165"/>
    </row>
    <row r="3" spans="1:16384" ht="14.4" x14ac:dyDescent="0.3">
      <c r="A3" s="67"/>
      <c r="B3" s="4"/>
      <c r="C3" s="4"/>
      <c r="D3" s="4"/>
      <c r="E3" s="4"/>
      <c r="F3" s="4"/>
      <c r="G3" s="4"/>
      <c r="H3" s="4"/>
      <c r="I3" s="4"/>
      <c r="J3" s="4"/>
      <c r="K3" s="4"/>
      <c r="L3" s="177">
        <v>2022</v>
      </c>
      <c r="M3" s="177"/>
    </row>
    <row r="4" spans="1:16384" ht="14.4" x14ac:dyDescent="0.3">
      <c r="A4" s="67"/>
      <c r="B4" s="4"/>
      <c r="C4" s="4"/>
      <c r="D4" s="4"/>
      <c r="E4" s="4"/>
      <c r="F4" s="4"/>
      <c r="G4" s="4"/>
      <c r="H4" s="4"/>
      <c r="I4" s="4"/>
      <c r="J4" s="4"/>
      <c r="K4" s="4"/>
      <c r="L4" s="177"/>
      <c r="M4" s="177"/>
    </row>
    <row r="5" spans="1:16384" s="5" customFormat="1" ht="14.4" x14ac:dyDescent="0.3">
      <c r="A5" s="68"/>
    </row>
    <row r="6" spans="1:16384" s="5" customFormat="1" ht="15" customHeight="1" x14ac:dyDescent="0.3">
      <c r="A6" s="69" t="s">
        <v>1563</v>
      </c>
      <c r="B6" s="60"/>
      <c r="C6" s="60"/>
    </row>
    <row r="7" spans="1:16384" ht="15" customHeight="1" x14ac:dyDescent="0.3">
      <c r="A7" s="70" t="s">
        <v>597</v>
      </c>
      <c r="B7" s="61" t="s">
        <v>598</v>
      </c>
      <c r="C7" s="61" t="s">
        <v>599</v>
      </c>
      <c r="D7" s="61" t="s">
        <v>600</v>
      </c>
      <c r="E7" s="61" t="s">
        <v>601</v>
      </c>
      <c r="F7" s="61" t="s">
        <v>602</v>
      </c>
      <c r="G7" s="61" t="s">
        <v>603</v>
      </c>
      <c r="H7" s="61" t="s">
        <v>604</v>
      </c>
      <c r="I7" s="61" t="s">
        <v>605</v>
      </c>
      <c r="J7" s="61" t="s">
        <v>606</v>
      </c>
      <c r="K7" s="61" t="s">
        <v>607</v>
      </c>
      <c r="L7" s="61" t="s">
        <v>608</v>
      </c>
      <c r="M7" s="62" t="s">
        <v>609</v>
      </c>
    </row>
    <row r="8" spans="1:16384" s="52" customFormat="1" ht="15" customHeight="1" x14ac:dyDescent="0.3">
      <c r="A8" s="71" t="s">
        <v>613</v>
      </c>
      <c r="B8" s="63">
        <f>SUMIFS(tbRegistroEntradas[VALOR],tbRegistroEntradas[ANO CAIXA],"&lt;"&amp;$L$3,tbRegistroEntradas[ANO CAIXA],"&lt;&gt;0")-SUMIFS(tbRegistroSaidas[VALOR],tbRegistroSaidas[ANO CAIXA],"&lt;"&amp;$L$3,tbRegistroSaidas[ANO CAIXA],"&lt;&gt;0")</f>
        <v>324196</v>
      </c>
      <c r="C8" s="63">
        <f>B11</f>
        <v>349937</v>
      </c>
      <c r="D8" s="63">
        <f t="shared" ref="D8:M8" si="0">C11</f>
        <v>371829</v>
      </c>
      <c r="E8" s="63">
        <f t="shared" si="0"/>
        <v>354022</v>
      </c>
      <c r="F8" s="63">
        <f t="shared" si="0"/>
        <v>361415</v>
      </c>
      <c r="G8" s="63">
        <f t="shared" si="0"/>
        <v>380787</v>
      </c>
      <c r="H8" s="63">
        <f t="shared" si="0"/>
        <v>403474</v>
      </c>
      <c r="I8" s="63">
        <f t="shared" si="0"/>
        <v>464063</v>
      </c>
      <c r="J8" s="63">
        <f t="shared" si="0"/>
        <v>504118</v>
      </c>
      <c r="K8" s="63">
        <f t="shared" si="0"/>
        <v>547366</v>
      </c>
      <c r="L8" s="63">
        <f t="shared" si="0"/>
        <v>566189</v>
      </c>
      <c r="M8" s="63">
        <f t="shared" si="0"/>
        <v>566174</v>
      </c>
    </row>
    <row r="9" spans="1:16384" ht="15" customHeight="1" x14ac:dyDescent="0.3">
      <c r="A9" s="72" t="s">
        <v>610</v>
      </c>
      <c r="B9" s="64">
        <f>SUMIFS(tbRegistroEntradas[VALOR],tbRegistroEntradas[ANO CAIXA],"="&amp;$L$3,tbRegistroEntradas[MÊS CAIXA],"="&amp;B7)</f>
        <v>78869</v>
      </c>
      <c r="C9" s="64">
        <f>SUMIFS(tbRegistroEntradas[VALOR],tbRegistroEntradas[ANO CAIXA],"="&amp;$L$3,tbRegistroEntradas[MÊS CAIXA],"="&amp;C7)</f>
        <v>68653</v>
      </c>
      <c r="D9" s="64">
        <f>SUMIFS(tbRegistroEntradas[VALOR],tbRegistroEntradas[ANO CAIXA],"="&amp;$L$3,tbRegistroEntradas[MÊS CAIXA],"="&amp;D7)</f>
        <v>59403</v>
      </c>
      <c r="E9" s="64">
        <f>SUMIFS(tbRegistroEntradas[VALOR],tbRegistroEntradas[ANO CAIXA],"="&amp;$L$3,tbRegistroEntradas[MÊS CAIXA],"="&amp;E7)</f>
        <v>67259</v>
      </c>
      <c r="F9" s="64">
        <f>SUMIFS(tbRegistroEntradas[VALOR],tbRegistroEntradas[ANO CAIXA],"="&amp;$L$3,tbRegistroEntradas[MÊS CAIXA],"="&amp;F7)</f>
        <v>69603</v>
      </c>
      <c r="G9" s="64">
        <f>SUMIFS(tbRegistroEntradas[VALOR],tbRegistroEntradas[ANO CAIXA],"="&amp;$L$3,tbRegistroEntradas[MÊS CAIXA],"="&amp;G7)</f>
        <v>94210</v>
      </c>
      <c r="H9" s="64">
        <f>SUMIFS(tbRegistroEntradas[VALOR],tbRegistroEntradas[ANO CAIXA],"="&amp;$L$3,tbRegistroEntradas[MÊS CAIXA],"="&amp;H7)</f>
        <v>106398</v>
      </c>
      <c r="I9" s="64">
        <f>SUMIFS(tbRegistroEntradas[VALOR],tbRegistroEntradas[ANO CAIXA],"="&amp;$L$3,tbRegistroEntradas[MÊS CAIXA],"="&amp;I7)</f>
        <v>80949</v>
      </c>
      <c r="J9" s="64">
        <f>SUMIFS(tbRegistroEntradas[VALOR],tbRegistroEntradas[ANO CAIXA],"="&amp;$L$3,tbRegistroEntradas[MÊS CAIXA],"="&amp;J7)</f>
        <v>104724</v>
      </c>
      <c r="K9" s="64">
        <f>SUMIFS(tbRegistroEntradas[VALOR],tbRegistroEntradas[ANO CAIXA],"="&amp;$L$3,tbRegistroEntradas[MÊS CAIXA],"="&amp;K7)</f>
        <v>91218</v>
      </c>
      <c r="L9" s="64">
        <f>SUMIFS(tbRegistroEntradas[VALOR],tbRegistroEntradas[ANO CAIXA],"="&amp;$L$3,tbRegistroEntradas[MÊS CAIXA],"="&amp;L7)</f>
        <v>53707</v>
      </c>
      <c r="M9" s="64">
        <f>SUMIFS(tbRegistroEntradas[VALOR],tbRegistroEntradas[ANO CAIXA],"="&amp;$L$3,tbRegistroEntradas[MÊS CAIXA],"="&amp;M7)</f>
        <v>71517</v>
      </c>
    </row>
    <row r="10" spans="1:16384" ht="15" customHeight="1" x14ac:dyDescent="0.3">
      <c r="A10" s="72" t="s">
        <v>611</v>
      </c>
      <c r="B10" s="123">
        <f>SUMIFS(tbRegistroSaidas[VALOR],tbRegistroSaidas[MÊS CAIXA],"="&amp;B7,tbRegistroSaidas[ANO CAIXA],"="&amp;$L$3)</f>
        <v>53128</v>
      </c>
      <c r="C10" s="123">
        <f>SUMIFS(tbRegistroSaidas[VALOR],tbRegistroSaidas[MÊS CAIXA],"="&amp;C7,tbRegistroSaidas[ANO CAIXA],"="&amp;$L$3)</f>
        <v>46761</v>
      </c>
      <c r="D10" s="123">
        <f>SUMIFS(tbRegistroSaidas[VALOR],tbRegistroSaidas[MÊS CAIXA],"="&amp;D7,tbRegistroSaidas[ANO CAIXA],"="&amp;$L$3)</f>
        <v>77210</v>
      </c>
      <c r="E10" s="123">
        <f>SUMIFS(tbRegistroSaidas[VALOR],tbRegistroSaidas[MÊS CAIXA],"="&amp;E7,tbRegistroSaidas[ANO CAIXA],"="&amp;$L$3)</f>
        <v>59866</v>
      </c>
      <c r="F10" s="123">
        <f>SUMIFS(tbRegistroSaidas[VALOR],tbRegistroSaidas[MÊS CAIXA],"="&amp;F7,tbRegistroSaidas[ANO CAIXA],"="&amp;$L$3)</f>
        <v>50231</v>
      </c>
      <c r="G10" s="123">
        <f>SUMIFS(tbRegistroSaidas[VALOR],tbRegistroSaidas[MÊS CAIXA],"="&amp;G7,tbRegistroSaidas[ANO CAIXA],"="&amp;$L$3)</f>
        <v>71523</v>
      </c>
      <c r="H10" s="123">
        <f>SUMIFS(tbRegistroSaidas[VALOR],tbRegistroSaidas[MÊS CAIXA],"="&amp;H7,tbRegistroSaidas[ANO CAIXA],"="&amp;$L$3)</f>
        <v>45809</v>
      </c>
      <c r="I10" s="123">
        <f>SUMIFS(tbRegistroSaidas[VALOR],tbRegistroSaidas[MÊS CAIXA],"="&amp;I7,tbRegistroSaidas[ANO CAIXA],"="&amp;$L$3)</f>
        <v>40894</v>
      </c>
      <c r="J10" s="123">
        <f>SUMIFS(tbRegistroSaidas[VALOR],tbRegistroSaidas[MÊS CAIXA],"="&amp;J7,tbRegistroSaidas[ANO CAIXA],"="&amp;$L$3)</f>
        <v>61476</v>
      </c>
      <c r="K10" s="123">
        <f>SUMIFS(tbRegistroSaidas[VALOR],tbRegistroSaidas[MÊS CAIXA],"="&amp;K7,tbRegistroSaidas[ANO CAIXA],"="&amp;$L$3)</f>
        <v>72395</v>
      </c>
      <c r="L10" s="123">
        <f>SUMIFS(tbRegistroSaidas[VALOR],tbRegistroSaidas[MÊS CAIXA],"="&amp;L7,tbRegistroSaidas[ANO CAIXA],"="&amp;$L$3)</f>
        <v>53722</v>
      </c>
      <c r="M10" s="123">
        <f>SUMIFS(tbRegistroSaidas[VALOR],tbRegistroSaidas[MÊS CAIXA],"="&amp;M7,tbRegistroSaidas[ANO CAIXA],"="&amp;$L$3)</f>
        <v>42037</v>
      </c>
    </row>
    <row r="11" spans="1:16384" ht="15" customHeight="1" x14ac:dyDescent="0.3">
      <c r="A11" s="73" t="s">
        <v>612</v>
      </c>
      <c r="B11" s="65">
        <f>B8+B9-B10</f>
        <v>349937</v>
      </c>
      <c r="C11" s="65">
        <f t="shared" ref="C11:M11" si="1">C8+C9-C10</f>
        <v>371829</v>
      </c>
      <c r="D11" s="65">
        <f t="shared" si="1"/>
        <v>354022</v>
      </c>
      <c r="E11" s="65">
        <f t="shared" si="1"/>
        <v>361415</v>
      </c>
      <c r="F11" s="65">
        <f t="shared" si="1"/>
        <v>380787</v>
      </c>
      <c r="G11" s="65">
        <f t="shared" si="1"/>
        <v>403474</v>
      </c>
      <c r="H11" s="65">
        <f t="shared" si="1"/>
        <v>464063</v>
      </c>
      <c r="I11" s="65">
        <f t="shared" si="1"/>
        <v>504118</v>
      </c>
      <c r="J11" s="65">
        <f t="shared" si="1"/>
        <v>547366</v>
      </c>
      <c r="K11" s="65">
        <f t="shared" si="1"/>
        <v>566189</v>
      </c>
      <c r="L11" s="65">
        <f t="shared" si="1"/>
        <v>566174</v>
      </c>
      <c r="M11" s="65">
        <f t="shared" si="1"/>
        <v>595654</v>
      </c>
    </row>
    <row r="12" spans="1:16384" ht="15" customHeight="1" x14ac:dyDescent="0.3"/>
    <row r="13" spans="1:16384" ht="15" customHeight="1" x14ac:dyDescent="0.3">
      <c r="A13" s="69" t="s">
        <v>614</v>
      </c>
      <c r="B13" s="60"/>
      <c r="C13" s="60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6384" ht="15" customHeight="1" x14ac:dyDescent="0.3">
      <c r="A14" s="70" t="s">
        <v>597</v>
      </c>
      <c r="B14" s="61" t="s">
        <v>598</v>
      </c>
      <c r="C14" s="61" t="s">
        <v>599</v>
      </c>
      <c r="D14" s="61" t="s">
        <v>600</v>
      </c>
      <c r="E14" s="61" t="s">
        <v>601</v>
      </c>
      <c r="F14" s="61" t="s">
        <v>602</v>
      </c>
      <c r="G14" s="61" t="s">
        <v>603</v>
      </c>
      <c r="H14" s="61" t="s">
        <v>604</v>
      </c>
      <c r="I14" s="61" t="s">
        <v>605</v>
      </c>
      <c r="J14" s="61" t="s">
        <v>606</v>
      </c>
      <c r="K14" s="61" t="s">
        <v>607</v>
      </c>
      <c r="L14" s="61" t="s">
        <v>608</v>
      </c>
      <c r="M14" s="62" t="s">
        <v>609</v>
      </c>
    </row>
    <row r="15" spans="1:16384" ht="15" customHeight="1" x14ac:dyDescent="0.3">
      <c r="A15" s="71" t="s">
        <v>613</v>
      </c>
      <c r="B15" s="63">
        <f>SUMIFS(tbRegistroEntradas[VALOR],tbRegistroEntradas[ANO COMPETÊNCIA],"&lt;"&amp;$L$3,tbRegistroEntradas[ANO COMPETÊNCIA],"&lt;&gt;0")-SUMIFS(tbRegistroSaidas[VALOR],tbRegistroSaidas[ANO COMPETÊNCIA],"&lt;"&amp;$L$3,tbRegistroSaidas[ANO COMPETÊNCIA],"&lt;&gt;0")</f>
        <v>361030</v>
      </c>
      <c r="C15" s="63">
        <f>B18</f>
        <v>367471</v>
      </c>
      <c r="D15" s="63">
        <f t="shared" ref="D15:BO15" si="2">C18</f>
        <v>360320</v>
      </c>
      <c r="E15" s="63">
        <f t="shared" si="2"/>
        <v>385227</v>
      </c>
      <c r="F15" s="63">
        <f t="shared" si="2"/>
        <v>413224</v>
      </c>
      <c r="G15" s="63">
        <f t="shared" si="2"/>
        <v>414512</v>
      </c>
      <c r="H15" s="63">
        <f t="shared" si="2"/>
        <v>468346</v>
      </c>
      <c r="I15" s="63">
        <f t="shared" si="2"/>
        <v>497191</v>
      </c>
      <c r="J15" s="63">
        <f t="shared" si="2"/>
        <v>539741</v>
      </c>
      <c r="K15" s="63">
        <f t="shared" si="2"/>
        <v>577359</v>
      </c>
      <c r="L15" s="63">
        <f t="shared" si="2"/>
        <v>584067</v>
      </c>
      <c r="M15" s="63">
        <f t="shared" si="2"/>
        <v>624596</v>
      </c>
      <c r="N15" s="63">
        <f t="shared" si="2"/>
        <v>665287</v>
      </c>
      <c r="O15" s="63">
        <f t="shared" si="2"/>
        <v>0</v>
      </c>
      <c r="P15" s="63">
        <f t="shared" si="2"/>
        <v>0</v>
      </c>
      <c r="Q15" s="63">
        <f t="shared" si="2"/>
        <v>0</v>
      </c>
      <c r="R15" s="63">
        <f t="shared" si="2"/>
        <v>0</v>
      </c>
      <c r="S15" s="63">
        <f t="shared" si="2"/>
        <v>0</v>
      </c>
      <c r="T15" s="63">
        <f t="shared" si="2"/>
        <v>0</v>
      </c>
      <c r="U15" s="63">
        <f t="shared" si="2"/>
        <v>0</v>
      </c>
      <c r="V15" s="63">
        <f t="shared" si="2"/>
        <v>0</v>
      </c>
      <c r="W15" s="63">
        <f t="shared" si="2"/>
        <v>0</v>
      </c>
      <c r="X15" s="63">
        <f t="shared" si="2"/>
        <v>0</v>
      </c>
      <c r="Y15" s="63">
        <f t="shared" si="2"/>
        <v>0</v>
      </c>
      <c r="Z15" s="63">
        <f t="shared" si="2"/>
        <v>0</v>
      </c>
      <c r="AA15" s="63">
        <f t="shared" si="2"/>
        <v>0</v>
      </c>
      <c r="AB15" s="63">
        <f t="shared" si="2"/>
        <v>0</v>
      </c>
      <c r="AC15" s="63">
        <f t="shared" si="2"/>
        <v>0</v>
      </c>
      <c r="AD15" s="63">
        <f t="shared" si="2"/>
        <v>0</v>
      </c>
      <c r="AE15" s="63">
        <f t="shared" si="2"/>
        <v>0</v>
      </c>
      <c r="AF15" s="63">
        <f t="shared" si="2"/>
        <v>0</v>
      </c>
      <c r="AG15" s="63">
        <f t="shared" si="2"/>
        <v>0</v>
      </c>
      <c r="AH15" s="63">
        <f t="shared" si="2"/>
        <v>0</v>
      </c>
      <c r="AI15" s="63">
        <f t="shared" si="2"/>
        <v>0</v>
      </c>
      <c r="AJ15" s="63">
        <f t="shared" si="2"/>
        <v>0</v>
      </c>
      <c r="AK15" s="63">
        <f t="shared" si="2"/>
        <v>0</v>
      </c>
      <c r="AL15" s="63">
        <f t="shared" si="2"/>
        <v>0</v>
      </c>
      <c r="AM15" s="63">
        <f t="shared" si="2"/>
        <v>0</v>
      </c>
      <c r="AN15" s="63">
        <f t="shared" si="2"/>
        <v>0</v>
      </c>
      <c r="AO15" s="63">
        <f t="shared" si="2"/>
        <v>0</v>
      </c>
      <c r="AP15" s="63">
        <f t="shared" si="2"/>
        <v>0</v>
      </c>
      <c r="AQ15" s="63">
        <f t="shared" si="2"/>
        <v>0</v>
      </c>
      <c r="AR15" s="63">
        <f t="shared" si="2"/>
        <v>0</v>
      </c>
      <c r="AS15" s="63">
        <f t="shared" si="2"/>
        <v>0</v>
      </c>
      <c r="AT15" s="63">
        <f t="shared" si="2"/>
        <v>0</v>
      </c>
      <c r="AU15" s="63">
        <f t="shared" si="2"/>
        <v>0</v>
      </c>
      <c r="AV15" s="63">
        <f t="shared" si="2"/>
        <v>0</v>
      </c>
      <c r="AW15" s="63">
        <f t="shared" si="2"/>
        <v>0</v>
      </c>
      <c r="AX15" s="63">
        <f t="shared" si="2"/>
        <v>0</v>
      </c>
      <c r="AY15" s="63">
        <f t="shared" si="2"/>
        <v>0</v>
      </c>
      <c r="AZ15" s="63">
        <f t="shared" si="2"/>
        <v>0</v>
      </c>
      <c r="BA15" s="63">
        <f t="shared" si="2"/>
        <v>0</v>
      </c>
      <c r="BB15" s="63">
        <f t="shared" si="2"/>
        <v>0</v>
      </c>
      <c r="BC15" s="63">
        <f t="shared" si="2"/>
        <v>0</v>
      </c>
      <c r="BD15" s="63">
        <f t="shared" si="2"/>
        <v>0</v>
      </c>
      <c r="BE15" s="63">
        <f t="shared" si="2"/>
        <v>0</v>
      </c>
      <c r="BF15" s="63">
        <f t="shared" si="2"/>
        <v>0</v>
      </c>
      <c r="BG15" s="63">
        <f t="shared" si="2"/>
        <v>0</v>
      </c>
      <c r="BH15" s="63">
        <f t="shared" si="2"/>
        <v>0</v>
      </c>
      <c r="BI15" s="63">
        <f t="shared" si="2"/>
        <v>0</v>
      </c>
      <c r="BJ15" s="63">
        <f t="shared" si="2"/>
        <v>0</v>
      </c>
      <c r="BK15" s="63">
        <f t="shared" si="2"/>
        <v>0</v>
      </c>
      <c r="BL15" s="63">
        <f t="shared" si="2"/>
        <v>0</v>
      </c>
      <c r="BM15" s="63">
        <f t="shared" si="2"/>
        <v>0</v>
      </c>
      <c r="BN15" s="63">
        <f t="shared" si="2"/>
        <v>0</v>
      </c>
      <c r="BO15" s="63">
        <f t="shared" si="2"/>
        <v>0</v>
      </c>
      <c r="BP15" s="63">
        <f t="shared" ref="BP15:EA15" si="3">BO18</f>
        <v>0</v>
      </c>
      <c r="BQ15" s="63">
        <f t="shared" si="3"/>
        <v>0</v>
      </c>
      <c r="BR15" s="63">
        <f t="shared" si="3"/>
        <v>0</v>
      </c>
      <c r="BS15" s="63">
        <f t="shared" si="3"/>
        <v>0</v>
      </c>
      <c r="BT15" s="63">
        <f t="shared" si="3"/>
        <v>0</v>
      </c>
      <c r="BU15" s="63">
        <f t="shared" si="3"/>
        <v>0</v>
      </c>
      <c r="BV15" s="63">
        <f t="shared" si="3"/>
        <v>0</v>
      </c>
      <c r="BW15" s="63">
        <f t="shared" si="3"/>
        <v>0</v>
      </c>
      <c r="BX15" s="63">
        <f t="shared" si="3"/>
        <v>0</v>
      </c>
      <c r="BY15" s="63">
        <f t="shared" si="3"/>
        <v>0</v>
      </c>
      <c r="BZ15" s="63">
        <f t="shared" si="3"/>
        <v>0</v>
      </c>
      <c r="CA15" s="63">
        <f t="shared" si="3"/>
        <v>0</v>
      </c>
      <c r="CB15" s="63">
        <f t="shared" si="3"/>
        <v>0</v>
      </c>
      <c r="CC15" s="63">
        <f t="shared" si="3"/>
        <v>0</v>
      </c>
      <c r="CD15" s="63">
        <f t="shared" si="3"/>
        <v>0</v>
      </c>
      <c r="CE15" s="63">
        <f t="shared" si="3"/>
        <v>0</v>
      </c>
      <c r="CF15" s="63">
        <f t="shared" si="3"/>
        <v>0</v>
      </c>
      <c r="CG15" s="63">
        <f t="shared" si="3"/>
        <v>0</v>
      </c>
      <c r="CH15" s="63">
        <f t="shared" si="3"/>
        <v>0</v>
      </c>
      <c r="CI15" s="63">
        <f t="shared" si="3"/>
        <v>0</v>
      </c>
      <c r="CJ15" s="63">
        <f t="shared" si="3"/>
        <v>0</v>
      </c>
      <c r="CK15" s="63">
        <f t="shared" si="3"/>
        <v>0</v>
      </c>
      <c r="CL15" s="63">
        <f t="shared" si="3"/>
        <v>0</v>
      </c>
      <c r="CM15" s="63">
        <f t="shared" si="3"/>
        <v>0</v>
      </c>
      <c r="CN15" s="63">
        <f t="shared" si="3"/>
        <v>0</v>
      </c>
      <c r="CO15" s="63">
        <f t="shared" si="3"/>
        <v>0</v>
      </c>
      <c r="CP15" s="63">
        <f t="shared" si="3"/>
        <v>0</v>
      </c>
      <c r="CQ15" s="63">
        <f t="shared" si="3"/>
        <v>0</v>
      </c>
      <c r="CR15" s="63">
        <f t="shared" si="3"/>
        <v>0</v>
      </c>
      <c r="CS15" s="63">
        <f t="shared" si="3"/>
        <v>0</v>
      </c>
      <c r="CT15" s="63">
        <f t="shared" si="3"/>
        <v>0</v>
      </c>
      <c r="CU15" s="63">
        <f t="shared" si="3"/>
        <v>0</v>
      </c>
      <c r="CV15" s="63">
        <f t="shared" si="3"/>
        <v>0</v>
      </c>
      <c r="CW15" s="63">
        <f t="shared" si="3"/>
        <v>0</v>
      </c>
      <c r="CX15" s="63">
        <f t="shared" si="3"/>
        <v>0</v>
      </c>
      <c r="CY15" s="63">
        <f t="shared" si="3"/>
        <v>0</v>
      </c>
      <c r="CZ15" s="63">
        <f t="shared" si="3"/>
        <v>0</v>
      </c>
      <c r="DA15" s="63">
        <f t="shared" si="3"/>
        <v>0</v>
      </c>
      <c r="DB15" s="63">
        <f t="shared" si="3"/>
        <v>0</v>
      </c>
      <c r="DC15" s="63">
        <f t="shared" si="3"/>
        <v>0</v>
      </c>
      <c r="DD15" s="63">
        <f t="shared" si="3"/>
        <v>0</v>
      </c>
      <c r="DE15" s="63">
        <f t="shared" si="3"/>
        <v>0</v>
      </c>
      <c r="DF15" s="63">
        <f t="shared" si="3"/>
        <v>0</v>
      </c>
      <c r="DG15" s="63">
        <f t="shared" si="3"/>
        <v>0</v>
      </c>
      <c r="DH15" s="63">
        <f t="shared" si="3"/>
        <v>0</v>
      </c>
      <c r="DI15" s="63">
        <f t="shared" si="3"/>
        <v>0</v>
      </c>
      <c r="DJ15" s="63">
        <f t="shared" si="3"/>
        <v>0</v>
      </c>
      <c r="DK15" s="63">
        <f t="shared" si="3"/>
        <v>0</v>
      </c>
      <c r="DL15" s="63">
        <f t="shared" si="3"/>
        <v>0</v>
      </c>
      <c r="DM15" s="63">
        <f t="shared" si="3"/>
        <v>0</v>
      </c>
      <c r="DN15" s="63">
        <f t="shared" si="3"/>
        <v>0</v>
      </c>
      <c r="DO15" s="63">
        <f t="shared" si="3"/>
        <v>0</v>
      </c>
      <c r="DP15" s="63">
        <f t="shared" si="3"/>
        <v>0</v>
      </c>
      <c r="DQ15" s="63">
        <f t="shared" si="3"/>
        <v>0</v>
      </c>
      <c r="DR15" s="63">
        <f t="shared" si="3"/>
        <v>0</v>
      </c>
      <c r="DS15" s="63">
        <f t="shared" si="3"/>
        <v>0</v>
      </c>
      <c r="DT15" s="63">
        <f t="shared" si="3"/>
        <v>0</v>
      </c>
      <c r="DU15" s="63">
        <f t="shared" si="3"/>
        <v>0</v>
      </c>
      <c r="DV15" s="63">
        <f t="shared" si="3"/>
        <v>0</v>
      </c>
      <c r="DW15" s="63">
        <f t="shared" si="3"/>
        <v>0</v>
      </c>
      <c r="DX15" s="63">
        <f t="shared" si="3"/>
        <v>0</v>
      </c>
      <c r="DY15" s="63">
        <f t="shared" si="3"/>
        <v>0</v>
      </c>
      <c r="DZ15" s="63">
        <f t="shared" si="3"/>
        <v>0</v>
      </c>
      <c r="EA15" s="63">
        <f t="shared" si="3"/>
        <v>0</v>
      </c>
      <c r="EB15" s="63">
        <f t="shared" ref="EB15:GM15" si="4">EA18</f>
        <v>0</v>
      </c>
      <c r="EC15" s="63">
        <f t="shared" si="4"/>
        <v>0</v>
      </c>
      <c r="ED15" s="63">
        <f t="shared" si="4"/>
        <v>0</v>
      </c>
      <c r="EE15" s="63">
        <f t="shared" si="4"/>
        <v>0</v>
      </c>
      <c r="EF15" s="63">
        <f t="shared" si="4"/>
        <v>0</v>
      </c>
      <c r="EG15" s="63">
        <f t="shared" si="4"/>
        <v>0</v>
      </c>
      <c r="EH15" s="63">
        <f t="shared" si="4"/>
        <v>0</v>
      </c>
      <c r="EI15" s="63">
        <f t="shared" si="4"/>
        <v>0</v>
      </c>
      <c r="EJ15" s="63">
        <f t="shared" si="4"/>
        <v>0</v>
      </c>
      <c r="EK15" s="63">
        <f t="shared" si="4"/>
        <v>0</v>
      </c>
      <c r="EL15" s="63">
        <f t="shared" si="4"/>
        <v>0</v>
      </c>
      <c r="EM15" s="63">
        <f t="shared" si="4"/>
        <v>0</v>
      </c>
      <c r="EN15" s="63">
        <f t="shared" si="4"/>
        <v>0</v>
      </c>
      <c r="EO15" s="63">
        <f t="shared" si="4"/>
        <v>0</v>
      </c>
      <c r="EP15" s="63">
        <f t="shared" si="4"/>
        <v>0</v>
      </c>
      <c r="EQ15" s="63">
        <f t="shared" si="4"/>
        <v>0</v>
      </c>
      <c r="ER15" s="63">
        <f t="shared" si="4"/>
        <v>0</v>
      </c>
      <c r="ES15" s="63">
        <f t="shared" si="4"/>
        <v>0</v>
      </c>
      <c r="ET15" s="63">
        <f t="shared" si="4"/>
        <v>0</v>
      </c>
      <c r="EU15" s="63">
        <f t="shared" si="4"/>
        <v>0</v>
      </c>
      <c r="EV15" s="63">
        <f t="shared" si="4"/>
        <v>0</v>
      </c>
      <c r="EW15" s="63">
        <f t="shared" si="4"/>
        <v>0</v>
      </c>
      <c r="EX15" s="63">
        <f t="shared" si="4"/>
        <v>0</v>
      </c>
      <c r="EY15" s="63">
        <f t="shared" si="4"/>
        <v>0</v>
      </c>
      <c r="EZ15" s="63">
        <f t="shared" si="4"/>
        <v>0</v>
      </c>
      <c r="FA15" s="63">
        <f t="shared" si="4"/>
        <v>0</v>
      </c>
      <c r="FB15" s="63">
        <f t="shared" si="4"/>
        <v>0</v>
      </c>
      <c r="FC15" s="63">
        <f t="shared" si="4"/>
        <v>0</v>
      </c>
      <c r="FD15" s="63">
        <f t="shared" si="4"/>
        <v>0</v>
      </c>
      <c r="FE15" s="63">
        <f t="shared" si="4"/>
        <v>0</v>
      </c>
      <c r="FF15" s="63">
        <f t="shared" si="4"/>
        <v>0</v>
      </c>
      <c r="FG15" s="63">
        <f t="shared" si="4"/>
        <v>0</v>
      </c>
      <c r="FH15" s="63">
        <f t="shared" si="4"/>
        <v>0</v>
      </c>
      <c r="FI15" s="63">
        <f t="shared" si="4"/>
        <v>0</v>
      </c>
      <c r="FJ15" s="63">
        <f t="shared" si="4"/>
        <v>0</v>
      </c>
      <c r="FK15" s="63">
        <f t="shared" si="4"/>
        <v>0</v>
      </c>
      <c r="FL15" s="63">
        <f t="shared" si="4"/>
        <v>0</v>
      </c>
      <c r="FM15" s="63">
        <f t="shared" si="4"/>
        <v>0</v>
      </c>
      <c r="FN15" s="63">
        <f t="shared" si="4"/>
        <v>0</v>
      </c>
      <c r="FO15" s="63">
        <f t="shared" si="4"/>
        <v>0</v>
      </c>
      <c r="FP15" s="63">
        <f t="shared" si="4"/>
        <v>0</v>
      </c>
      <c r="FQ15" s="63">
        <f t="shared" si="4"/>
        <v>0</v>
      </c>
      <c r="FR15" s="63">
        <f t="shared" si="4"/>
        <v>0</v>
      </c>
      <c r="FS15" s="63">
        <f t="shared" si="4"/>
        <v>0</v>
      </c>
      <c r="FT15" s="63">
        <f t="shared" si="4"/>
        <v>0</v>
      </c>
      <c r="FU15" s="63">
        <f t="shared" si="4"/>
        <v>0</v>
      </c>
      <c r="FV15" s="63">
        <f t="shared" si="4"/>
        <v>0</v>
      </c>
      <c r="FW15" s="63">
        <f t="shared" si="4"/>
        <v>0</v>
      </c>
      <c r="FX15" s="63">
        <f t="shared" si="4"/>
        <v>0</v>
      </c>
      <c r="FY15" s="63">
        <f t="shared" si="4"/>
        <v>0</v>
      </c>
      <c r="FZ15" s="63">
        <f t="shared" si="4"/>
        <v>0</v>
      </c>
      <c r="GA15" s="63">
        <f t="shared" si="4"/>
        <v>0</v>
      </c>
      <c r="GB15" s="63">
        <f t="shared" si="4"/>
        <v>0</v>
      </c>
      <c r="GC15" s="63">
        <f t="shared" si="4"/>
        <v>0</v>
      </c>
      <c r="GD15" s="63">
        <f t="shared" si="4"/>
        <v>0</v>
      </c>
      <c r="GE15" s="63">
        <f t="shared" si="4"/>
        <v>0</v>
      </c>
      <c r="GF15" s="63">
        <f t="shared" si="4"/>
        <v>0</v>
      </c>
      <c r="GG15" s="63">
        <f t="shared" si="4"/>
        <v>0</v>
      </c>
      <c r="GH15" s="63">
        <f t="shared" si="4"/>
        <v>0</v>
      </c>
      <c r="GI15" s="63">
        <f t="shared" si="4"/>
        <v>0</v>
      </c>
      <c r="GJ15" s="63">
        <f t="shared" si="4"/>
        <v>0</v>
      </c>
      <c r="GK15" s="63">
        <f t="shared" si="4"/>
        <v>0</v>
      </c>
      <c r="GL15" s="63">
        <f t="shared" si="4"/>
        <v>0</v>
      </c>
      <c r="GM15" s="63">
        <f t="shared" si="4"/>
        <v>0</v>
      </c>
      <c r="GN15" s="63">
        <f t="shared" ref="GN15:IY15" si="5">GM18</f>
        <v>0</v>
      </c>
      <c r="GO15" s="63">
        <f t="shared" si="5"/>
        <v>0</v>
      </c>
      <c r="GP15" s="63">
        <f t="shared" si="5"/>
        <v>0</v>
      </c>
      <c r="GQ15" s="63">
        <f t="shared" si="5"/>
        <v>0</v>
      </c>
      <c r="GR15" s="63">
        <f t="shared" si="5"/>
        <v>0</v>
      </c>
      <c r="GS15" s="63">
        <f t="shared" si="5"/>
        <v>0</v>
      </c>
      <c r="GT15" s="63">
        <f t="shared" si="5"/>
        <v>0</v>
      </c>
      <c r="GU15" s="63">
        <f t="shared" si="5"/>
        <v>0</v>
      </c>
      <c r="GV15" s="63">
        <f t="shared" si="5"/>
        <v>0</v>
      </c>
      <c r="GW15" s="63">
        <f t="shared" si="5"/>
        <v>0</v>
      </c>
      <c r="GX15" s="63">
        <f t="shared" si="5"/>
        <v>0</v>
      </c>
      <c r="GY15" s="63">
        <f t="shared" si="5"/>
        <v>0</v>
      </c>
      <c r="GZ15" s="63">
        <f t="shared" si="5"/>
        <v>0</v>
      </c>
      <c r="HA15" s="63">
        <f t="shared" si="5"/>
        <v>0</v>
      </c>
      <c r="HB15" s="63">
        <f t="shared" si="5"/>
        <v>0</v>
      </c>
      <c r="HC15" s="63">
        <f t="shared" si="5"/>
        <v>0</v>
      </c>
      <c r="HD15" s="63">
        <f t="shared" si="5"/>
        <v>0</v>
      </c>
      <c r="HE15" s="63">
        <f t="shared" si="5"/>
        <v>0</v>
      </c>
      <c r="HF15" s="63">
        <f t="shared" si="5"/>
        <v>0</v>
      </c>
      <c r="HG15" s="63">
        <f t="shared" si="5"/>
        <v>0</v>
      </c>
      <c r="HH15" s="63">
        <f t="shared" si="5"/>
        <v>0</v>
      </c>
      <c r="HI15" s="63">
        <f t="shared" si="5"/>
        <v>0</v>
      </c>
      <c r="HJ15" s="63">
        <f t="shared" si="5"/>
        <v>0</v>
      </c>
      <c r="HK15" s="63">
        <f t="shared" si="5"/>
        <v>0</v>
      </c>
      <c r="HL15" s="63">
        <f t="shared" si="5"/>
        <v>0</v>
      </c>
      <c r="HM15" s="63">
        <f t="shared" si="5"/>
        <v>0</v>
      </c>
      <c r="HN15" s="63">
        <f t="shared" si="5"/>
        <v>0</v>
      </c>
      <c r="HO15" s="63">
        <f t="shared" si="5"/>
        <v>0</v>
      </c>
      <c r="HP15" s="63">
        <f t="shared" si="5"/>
        <v>0</v>
      </c>
      <c r="HQ15" s="63">
        <f t="shared" si="5"/>
        <v>0</v>
      </c>
      <c r="HR15" s="63">
        <f t="shared" si="5"/>
        <v>0</v>
      </c>
      <c r="HS15" s="63">
        <f t="shared" si="5"/>
        <v>0</v>
      </c>
      <c r="HT15" s="63">
        <f t="shared" si="5"/>
        <v>0</v>
      </c>
      <c r="HU15" s="63">
        <f t="shared" si="5"/>
        <v>0</v>
      </c>
      <c r="HV15" s="63">
        <f t="shared" si="5"/>
        <v>0</v>
      </c>
      <c r="HW15" s="63">
        <f t="shared" si="5"/>
        <v>0</v>
      </c>
      <c r="HX15" s="63">
        <f t="shared" si="5"/>
        <v>0</v>
      </c>
      <c r="HY15" s="63">
        <f t="shared" si="5"/>
        <v>0</v>
      </c>
      <c r="HZ15" s="63">
        <f t="shared" si="5"/>
        <v>0</v>
      </c>
      <c r="IA15" s="63">
        <f t="shared" si="5"/>
        <v>0</v>
      </c>
      <c r="IB15" s="63">
        <f t="shared" si="5"/>
        <v>0</v>
      </c>
      <c r="IC15" s="63">
        <f t="shared" si="5"/>
        <v>0</v>
      </c>
      <c r="ID15" s="63">
        <f t="shared" si="5"/>
        <v>0</v>
      </c>
      <c r="IE15" s="63">
        <f t="shared" si="5"/>
        <v>0</v>
      </c>
      <c r="IF15" s="63">
        <f t="shared" si="5"/>
        <v>0</v>
      </c>
      <c r="IG15" s="63">
        <f t="shared" si="5"/>
        <v>0</v>
      </c>
      <c r="IH15" s="63">
        <f t="shared" si="5"/>
        <v>0</v>
      </c>
      <c r="II15" s="63">
        <f t="shared" si="5"/>
        <v>0</v>
      </c>
      <c r="IJ15" s="63">
        <f t="shared" si="5"/>
        <v>0</v>
      </c>
      <c r="IK15" s="63">
        <f t="shared" si="5"/>
        <v>0</v>
      </c>
      <c r="IL15" s="63">
        <f t="shared" si="5"/>
        <v>0</v>
      </c>
      <c r="IM15" s="63">
        <f t="shared" si="5"/>
        <v>0</v>
      </c>
      <c r="IN15" s="63">
        <f t="shared" si="5"/>
        <v>0</v>
      </c>
      <c r="IO15" s="63">
        <f t="shared" si="5"/>
        <v>0</v>
      </c>
      <c r="IP15" s="63">
        <f t="shared" si="5"/>
        <v>0</v>
      </c>
      <c r="IQ15" s="63">
        <f t="shared" si="5"/>
        <v>0</v>
      </c>
      <c r="IR15" s="63">
        <f t="shared" si="5"/>
        <v>0</v>
      </c>
      <c r="IS15" s="63">
        <f t="shared" si="5"/>
        <v>0</v>
      </c>
      <c r="IT15" s="63">
        <f t="shared" si="5"/>
        <v>0</v>
      </c>
      <c r="IU15" s="63">
        <f t="shared" si="5"/>
        <v>0</v>
      </c>
      <c r="IV15" s="63">
        <f t="shared" si="5"/>
        <v>0</v>
      </c>
      <c r="IW15" s="63">
        <f t="shared" si="5"/>
        <v>0</v>
      </c>
      <c r="IX15" s="63">
        <f t="shared" si="5"/>
        <v>0</v>
      </c>
      <c r="IY15" s="63">
        <f t="shared" si="5"/>
        <v>0</v>
      </c>
      <c r="IZ15" s="63">
        <f t="shared" ref="IZ15:LK15" si="6">IY18</f>
        <v>0</v>
      </c>
      <c r="JA15" s="63">
        <f t="shared" si="6"/>
        <v>0</v>
      </c>
      <c r="JB15" s="63">
        <f t="shared" si="6"/>
        <v>0</v>
      </c>
      <c r="JC15" s="63">
        <f t="shared" si="6"/>
        <v>0</v>
      </c>
      <c r="JD15" s="63">
        <f t="shared" si="6"/>
        <v>0</v>
      </c>
      <c r="JE15" s="63">
        <f t="shared" si="6"/>
        <v>0</v>
      </c>
      <c r="JF15" s="63">
        <f t="shared" si="6"/>
        <v>0</v>
      </c>
      <c r="JG15" s="63">
        <f t="shared" si="6"/>
        <v>0</v>
      </c>
      <c r="JH15" s="63">
        <f t="shared" si="6"/>
        <v>0</v>
      </c>
      <c r="JI15" s="63">
        <f t="shared" si="6"/>
        <v>0</v>
      </c>
      <c r="JJ15" s="63">
        <f t="shared" si="6"/>
        <v>0</v>
      </c>
      <c r="JK15" s="63">
        <f t="shared" si="6"/>
        <v>0</v>
      </c>
      <c r="JL15" s="63">
        <f t="shared" si="6"/>
        <v>0</v>
      </c>
      <c r="JM15" s="63">
        <f t="shared" si="6"/>
        <v>0</v>
      </c>
      <c r="JN15" s="63">
        <f t="shared" si="6"/>
        <v>0</v>
      </c>
      <c r="JO15" s="63">
        <f t="shared" si="6"/>
        <v>0</v>
      </c>
      <c r="JP15" s="63">
        <f t="shared" si="6"/>
        <v>0</v>
      </c>
      <c r="JQ15" s="63">
        <f t="shared" si="6"/>
        <v>0</v>
      </c>
      <c r="JR15" s="63">
        <f t="shared" si="6"/>
        <v>0</v>
      </c>
      <c r="JS15" s="63">
        <f t="shared" si="6"/>
        <v>0</v>
      </c>
      <c r="JT15" s="63">
        <f t="shared" si="6"/>
        <v>0</v>
      </c>
      <c r="JU15" s="63">
        <f t="shared" si="6"/>
        <v>0</v>
      </c>
      <c r="JV15" s="63">
        <f t="shared" si="6"/>
        <v>0</v>
      </c>
      <c r="JW15" s="63">
        <f t="shared" si="6"/>
        <v>0</v>
      </c>
      <c r="JX15" s="63">
        <f t="shared" si="6"/>
        <v>0</v>
      </c>
      <c r="JY15" s="63">
        <f t="shared" si="6"/>
        <v>0</v>
      </c>
      <c r="JZ15" s="63">
        <f t="shared" si="6"/>
        <v>0</v>
      </c>
      <c r="KA15" s="63">
        <f t="shared" si="6"/>
        <v>0</v>
      </c>
      <c r="KB15" s="63">
        <f t="shared" si="6"/>
        <v>0</v>
      </c>
      <c r="KC15" s="63">
        <f t="shared" si="6"/>
        <v>0</v>
      </c>
      <c r="KD15" s="63">
        <f t="shared" si="6"/>
        <v>0</v>
      </c>
      <c r="KE15" s="63">
        <f t="shared" si="6"/>
        <v>0</v>
      </c>
      <c r="KF15" s="63">
        <f t="shared" si="6"/>
        <v>0</v>
      </c>
      <c r="KG15" s="63">
        <f t="shared" si="6"/>
        <v>0</v>
      </c>
      <c r="KH15" s="63">
        <f t="shared" si="6"/>
        <v>0</v>
      </c>
      <c r="KI15" s="63">
        <f t="shared" si="6"/>
        <v>0</v>
      </c>
      <c r="KJ15" s="63">
        <f t="shared" si="6"/>
        <v>0</v>
      </c>
      <c r="KK15" s="63">
        <f t="shared" si="6"/>
        <v>0</v>
      </c>
      <c r="KL15" s="63">
        <f t="shared" si="6"/>
        <v>0</v>
      </c>
      <c r="KM15" s="63">
        <f t="shared" si="6"/>
        <v>0</v>
      </c>
      <c r="KN15" s="63">
        <f t="shared" si="6"/>
        <v>0</v>
      </c>
      <c r="KO15" s="63">
        <f t="shared" si="6"/>
        <v>0</v>
      </c>
      <c r="KP15" s="63">
        <f t="shared" si="6"/>
        <v>0</v>
      </c>
      <c r="KQ15" s="63">
        <f t="shared" si="6"/>
        <v>0</v>
      </c>
      <c r="KR15" s="63">
        <f t="shared" si="6"/>
        <v>0</v>
      </c>
      <c r="KS15" s="63">
        <f t="shared" si="6"/>
        <v>0</v>
      </c>
      <c r="KT15" s="63">
        <f t="shared" si="6"/>
        <v>0</v>
      </c>
      <c r="KU15" s="63">
        <f t="shared" si="6"/>
        <v>0</v>
      </c>
      <c r="KV15" s="63">
        <f t="shared" si="6"/>
        <v>0</v>
      </c>
      <c r="KW15" s="63">
        <f t="shared" si="6"/>
        <v>0</v>
      </c>
      <c r="KX15" s="63">
        <f t="shared" si="6"/>
        <v>0</v>
      </c>
      <c r="KY15" s="63">
        <f t="shared" si="6"/>
        <v>0</v>
      </c>
      <c r="KZ15" s="63">
        <f t="shared" si="6"/>
        <v>0</v>
      </c>
      <c r="LA15" s="63">
        <f t="shared" si="6"/>
        <v>0</v>
      </c>
      <c r="LB15" s="63">
        <f t="shared" si="6"/>
        <v>0</v>
      </c>
      <c r="LC15" s="63">
        <f t="shared" si="6"/>
        <v>0</v>
      </c>
      <c r="LD15" s="63">
        <f t="shared" si="6"/>
        <v>0</v>
      </c>
      <c r="LE15" s="63">
        <f t="shared" si="6"/>
        <v>0</v>
      </c>
      <c r="LF15" s="63">
        <f t="shared" si="6"/>
        <v>0</v>
      </c>
      <c r="LG15" s="63">
        <f t="shared" si="6"/>
        <v>0</v>
      </c>
      <c r="LH15" s="63">
        <f t="shared" si="6"/>
        <v>0</v>
      </c>
      <c r="LI15" s="63">
        <f t="shared" si="6"/>
        <v>0</v>
      </c>
      <c r="LJ15" s="63">
        <f t="shared" si="6"/>
        <v>0</v>
      </c>
      <c r="LK15" s="63">
        <f t="shared" si="6"/>
        <v>0</v>
      </c>
      <c r="LL15" s="63">
        <f t="shared" ref="LL15:NW15" si="7">LK18</f>
        <v>0</v>
      </c>
      <c r="LM15" s="63">
        <f t="shared" si="7"/>
        <v>0</v>
      </c>
      <c r="LN15" s="63">
        <f t="shared" si="7"/>
        <v>0</v>
      </c>
      <c r="LO15" s="63">
        <f t="shared" si="7"/>
        <v>0</v>
      </c>
      <c r="LP15" s="63">
        <f t="shared" si="7"/>
        <v>0</v>
      </c>
      <c r="LQ15" s="63">
        <f t="shared" si="7"/>
        <v>0</v>
      </c>
      <c r="LR15" s="63">
        <f t="shared" si="7"/>
        <v>0</v>
      </c>
      <c r="LS15" s="63">
        <f t="shared" si="7"/>
        <v>0</v>
      </c>
      <c r="LT15" s="63">
        <f t="shared" si="7"/>
        <v>0</v>
      </c>
      <c r="LU15" s="63">
        <f t="shared" si="7"/>
        <v>0</v>
      </c>
      <c r="LV15" s="63">
        <f t="shared" si="7"/>
        <v>0</v>
      </c>
      <c r="LW15" s="63">
        <f t="shared" si="7"/>
        <v>0</v>
      </c>
      <c r="LX15" s="63">
        <f t="shared" si="7"/>
        <v>0</v>
      </c>
      <c r="LY15" s="63">
        <f t="shared" si="7"/>
        <v>0</v>
      </c>
      <c r="LZ15" s="63">
        <f t="shared" si="7"/>
        <v>0</v>
      </c>
      <c r="MA15" s="63">
        <f t="shared" si="7"/>
        <v>0</v>
      </c>
      <c r="MB15" s="63">
        <f t="shared" si="7"/>
        <v>0</v>
      </c>
      <c r="MC15" s="63">
        <f t="shared" si="7"/>
        <v>0</v>
      </c>
      <c r="MD15" s="63">
        <f t="shared" si="7"/>
        <v>0</v>
      </c>
      <c r="ME15" s="63">
        <f t="shared" si="7"/>
        <v>0</v>
      </c>
      <c r="MF15" s="63">
        <f t="shared" si="7"/>
        <v>0</v>
      </c>
      <c r="MG15" s="63">
        <f t="shared" si="7"/>
        <v>0</v>
      </c>
      <c r="MH15" s="63">
        <f t="shared" si="7"/>
        <v>0</v>
      </c>
      <c r="MI15" s="63">
        <f t="shared" si="7"/>
        <v>0</v>
      </c>
      <c r="MJ15" s="63">
        <f t="shared" si="7"/>
        <v>0</v>
      </c>
      <c r="MK15" s="63">
        <f t="shared" si="7"/>
        <v>0</v>
      </c>
      <c r="ML15" s="63">
        <f t="shared" si="7"/>
        <v>0</v>
      </c>
      <c r="MM15" s="63">
        <f t="shared" si="7"/>
        <v>0</v>
      </c>
      <c r="MN15" s="63">
        <f t="shared" si="7"/>
        <v>0</v>
      </c>
      <c r="MO15" s="63">
        <f t="shared" si="7"/>
        <v>0</v>
      </c>
      <c r="MP15" s="63">
        <f t="shared" si="7"/>
        <v>0</v>
      </c>
      <c r="MQ15" s="63">
        <f t="shared" si="7"/>
        <v>0</v>
      </c>
      <c r="MR15" s="63">
        <f t="shared" si="7"/>
        <v>0</v>
      </c>
      <c r="MS15" s="63">
        <f t="shared" si="7"/>
        <v>0</v>
      </c>
      <c r="MT15" s="63">
        <f t="shared" si="7"/>
        <v>0</v>
      </c>
      <c r="MU15" s="63">
        <f t="shared" si="7"/>
        <v>0</v>
      </c>
      <c r="MV15" s="63">
        <f t="shared" si="7"/>
        <v>0</v>
      </c>
      <c r="MW15" s="63">
        <f t="shared" si="7"/>
        <v>0</v>
      </c>
      <c r="MX15" s="63">
        <f t="shared" si="7"/>
        <v>0</v>
      </c>
      <c r="MY15" s="63">
        <f t="shared" si="7"/>
        <v>0</v>
      </c>
      <c r="MZ15" s="63">
        <f t="shared" si="7"/>
        <v>0</v>
      </c>
      <c r="NA15" s="63">
        <f t="shared" si="7"/>
        <v>0</v>
      </c>
      <c r="NB15" s="63">
        <f t="shared" si="7"/>
        <v>0</v>
      </c>
      <c r="NC15" s="63">
        <f t="shared" si="7"/>
        <v>0</v>
      </c>
      <c r="ND15" s="63">
        <f t="shared" si="7"/>
        <v>0</v>
      </c>
      <c r="NE15" s="63">
        <f t="shared" si="7"/>
        <v>0</v>
      </c>
      <c r="NF15" s="63">
        <f t="shared" si="7"/>
        <v>0</v>
      </c>
      <c r="NG15" s="63">
        <f t="shared" si="7"/>
        <v>0</v>
      </c>
      <c r="NH15" s="63">
        <f t="shared" si="7"/>
        <v>0</v>
      </c>
      <c r="NI15" s="63">
        <f t="shared" si="7"/>
        <v>0</v>
      </c>
      <c r="NJ15" s="63">
        <f t="shared" si="7"/>
        <v>0</v>
      </c>
      <c r="NK15" s="63">
        <f t="shared" si="7"/>
        <v>0</v>
      </c>
      <c r="NL15" s="63">
        <f t="shared" si="7"/>
        <v>0</v>
      </c>
      <c r="NM15" s="63">
        <f t="shared" si="7"/>
        <v>0</v>
      </c>
      <c r="NN15" s="63">
        <f t="shared" si="7"/>
        <v>0</v>
      </c>
      <c r="NO15" s="63">
        <f t="shared" si="7"/>
        <v>0</v>
      </c>
      <c r="NP15" s="63">
        <f t="shared" si="7"/>
        <v>0</v>
      </c>
      <c r="NQ15" s="63">
        <f t="shared" si="7"/>
        <v>0</v>
      </c>
      <c r="NR15" s="63">
        <f t="shared" si="7"/>
        <v>0</v>
      </c>
      <c r="NS15" s="63">
        <f t="shared" si="7"/>
        <v>0</v>
      </c>
      <c r="NT15" s="63">
        <f t="shared" si="7"/>
        <v>0</v>
      </c>
      <c r="NU15" s="63">
        <f t="shared" si="7"/>
        <v>0</v>
      </c>
      <c r="NV15" s="63">
        <f t="shared" si="7"/>
        <v>0</v>
      </c>
      <c r="NW15" s="63">
        <f t="shared" si="7"/>
        <v>0</v>
      </c>
      <c r="NX15" s="63">
        <f t="shared" ref="NX15:QI15" si="8">NW18</f>
        <v>0</v>
      </c>
      <c r="NY15" s="63">
        <f t="shared" si="8"/>
        <v>0</v>
      </c>
      <c r="NZ15" s="63">
        <f t="shared" si="8"/>
        <v>0</v>
      </c>
      <c r="OA15" s="63">
        <f t="shared" si="8"/>
        <v>0</v>
      </c>
      <c r="OB15" s="63">
        <f t="shared" si="8"/>
        <v>0</v>
      </c>
      <c r="OC15" s="63">
        <f t="shared" si="8"/>
        <v>0</v>
      </c>
      <c r="OD15" s="63">
        <f t="shared" si="8"/>
        <v>0</v>
      </c>
      <c r="OE15" s="63">
        <f t="shared" si="8"/>
        <v>0</v>
      </c>
      <c r="OF15" s="63">
        <f t="shared" si="8"/>
        <v>0</v>
      </c>
      <c r="OG15" s="63">
        <f t="shared" si="8"/>
        <v>0</v>
      </c>
      <c r="OH15" s="63">
        <f t="shared" si="8"/>
        <v>0</v>
      </c>
      <c r="OI15" s="63">
        <f t="shared" si="8"/>
        <v>0</v>
      </c>
      <c r="OJ15" s="63">
        <f t="shared" si="8"/>
        <v>0</v>
      </c>
      <c r="OK15" s="63">
        <f t="shared" si="8"/>
        <v>0</v>
      </c>
      <c r="OL15" s="63">
        <f t="shared" si="8"/>
        <v>0</v>
      </c>
      <c r="OM15" s="63">
        <f t="shared" si="8"/>
        <v>0</v>
      </c>
      <c r="ON15" s="63">
        <f t="shared" si="8"/>
        <v>0</v>
      </c>
      <c r="OO15" s="63">
        <f t="shared" si="8"/>
        <v>0</v>
      </c>
      <c r="OP15" s="63">
        <f t="shared" si="8"/>
        <v>0</v>
      </c>
      <c r="OQ15" s="63">
        <f t="shared" si="8"/>
        <v>0</v>
      </c>
      <c r="OR15" s="63">
        <f t="shared" si="8"/>
        <v>0</v>
      </c>
      <c r="OS15" s="63">
        <f t="shared" si="8"/>
        <v>0</v>
      </c>
      <c r="OT15" s="63">
        <f t="shared" si="8"/>
        <v>0</v>
      </c>
      <c r="OU15" s="63">
        <f t="shared" si="8"/>
        <v>0</v>
      </c>
      <c r="OV15" s="63">
        <f t="shared" si="8"/>
        <v>0</v>
      </c>
      <c r="OW15" s="63">
        <f t="shared" si="8"/>
        <v>0</v>
      </c>
      <c r="OX15" s="63">
        <f t="shared" si="8"/>
        <v>0</v>
      </c>
      <c r="OY15" s="63">
        <f t="shared" si="8"/>
        <v>0</v>
      </c>
      <c r="OZ15" s="63">
        <f t="shared" si="8"/>
        <v>0</v>
      </c>
      <c r="PA15" s="63">
        <f t="shared" si="8"/>
        <v>0</v>
      </c>
      <c r="PB15" s="63">
        <f t="shared" si="8"/>
        <v>0</v>
      </c>
      <c r="PC15" s="63">
        <f t="shared" si="8"/>
        <v>0</v>
      </c>
      <c r="PD15" s="63">
        <f t="shared" si="8"/>
        <v>0</v>
      </c>
      <c r="PE15" s="63">
        <f t="shared" si="8"/>
        <v>0</v>
      </c>
      <c r="PF15" s="63">
        <f t="shared" si="8"/>
        <v>0</v>
      </c>
      <c r="PG15" s="63">
        <f t="shared" si="8"/>
        <v>0</v>
      </c>
      <c r="PH15" s="63">
        <f t="shared" si="8"/>
        <v>0</v>
      </c>
      <c r="PI15" s="63">
        <f t="shared" si="8"/>
        <v>0</v>
      </c>
      <c r="PJ15" s="63">
        <f t="shared" si="8"/>
        <v>0</v>
      </c>
      <c r="PK15" s="63">
        <f t="shared" si="8"/>
        <v>0</v>
      </c>
      <c r="PL15" s="63">
        <f t="shared" si="8"/>
        <v>0</v>
      </c>
      <c r="PM15" s="63">
        <f t="shared" si="8"/>
        <v>0</v>
      </c>
      <c r="PN15" s="63">
        <f t="shared" si="8"/>
        <v>0</v>
      </c>
      <c r="PO15" s="63">
        <f t="shared" si="8"/>
        <v>0</v>
      </c>
      <c r="PP15" s="63">
        <f t="shared" si="8"/>
        <v>0</v>
      </c>
      <c r="PQ15" s="63">
        <f t="shared" si="8"/>
        <v>0</v>
      </c>
      <c r="PR15" s="63">
        <f t="shared" si="8"/>
        <v>0</v>
      </c>
      <c r="PS15" s="63">
        <f t="shared" si="8"/>
        <v>0</v>
      </c>
      <c r="PT15" s="63">
        <f t="shared" si="8"/>
        <v>0</v>
      </c>
      <c r="PU15" s="63">
        <f t="shared" si="8"/>
        <v>0</v>
      </c>
      <c r="PV15" s="63">
        <f t="shared" si="8"/>
        <v>0</v>
      </c>
      <c r="PW15" s="63">
        <f t="shared" si="8"/>
        <v>0</v>
      </c>
      <c r="PX15" s="63">
        <f t="shared" si="8"/>
        <v>0</v>
      </c>
      <c r="PY15" s="63">
        <f t="shared" si="8"/>
        <v>0</v>
      </c>
      <c r="PZ15" s="63">
        <f t="shared" si="8"/>
        <v>0</v>
      </c>
      <c r="QA15" s="63">
        <f t="shared" si="8"/>
        <v>0</v>
      </c>
      <c r="QB15" s="63">
        <f t="shared" si="8"/>
        <v>0</v>
      </c>
      <c r="QC15" s="63">
        <f t="shared" si="8"/>
        <v>0</v>
      </c>
      <c r="QD15" s="63">
        <f t="shared" si="8"/>
        <v>0</v>
      </c>
      <c r="QE15" s="63">
        <f t="shared" si="8"/>
        <v>0</v>
      </c>
      <c r="QF15" s="63">
        <f t="shared" si="8"/>
        <v>0</v>
      </c>
      <c r="QG15" s="63">
        <f t="shared" si="8"/>
        <v>0</v>
      </c>
      <c r="QH15" s="63">
        <f t="shared" si="8"/>
        <v>0</v>
      </c>
      <c r="QI15" s="63">
        <f t="shared" si="8"/>
        <v>0</v>
      </c>
      <c r="QJ15" s="63">
        <f t="shared" ref="QJ15:SU15" si="9">QI18</f>
        <v>0</v>
      </c>
      <c r="QK15" s="63">
        <f t="shared" si="9"/>
        <v>0</v>
      </c>
      <c r="QL15" s="63">
        <f t="shared" si="9"/>
        <v>0</v>
      </c>
      <c r="QM15" s="63">
        <f t="shared" si="9"/>
        <v>0</v>
      </c>
      <c r="QN15" s="63">
        <f t="shared" si="9"/>
        <v>0</v>
      </c>
      <c r="QO15" s="63">
        <f t="shared" si="9"/>
        <v>0</v>
      </c>
      <c r="QP15" s="63">
        <f t="shared" si="9"/>
        <v>0</v>
      </c>
      <c r="QQ15" s="63">
        <f t="shared" si="9"/>
        <v>0</v>
      </c>
      <c r="QR15" s="63">
        <f t="shared" si="9"/>
        <v>0</v>
      </c>
      <c r="QS15" s="63">
        <f t="shared" si="9"/>
        <v>0</v>
      </c>
      <c r="QT15" s="63">
        <f t="shared" si="9"/>
        <v>0</v>
      </c>
      <c r="QU15" s="63">
        <f t="shared" si="9"/>
        <v>0</v>
      </c>
      <c r="QV15" s="63">
        <f t="shared" si="9"/>
        <v>0</v>
      </c>
      <c r="QW15" s="63">
        <f t="shared" si="9"/>
        <v>0</v>
      </c>
      <c r="QX15" s="63">
        <f t="shared" si="9"/>
        <v>0</v>
      </c>
      <c r="QY15" s="63">
        <f t="shared" si="9"/>
        <v>0</v>
      </c>
      <c r="QZ15" s="63">
        <f t="shared" si="9"/>
        <v>0</v>
      </c>
      <c r="RA15" s="63">
        <f t="shared" si="9"/>
        <v>0</v>
      </c>
      <c r="RB15" s="63">
        <f t="shared" si="9"/>
        <v>0</v>
      </c>
      <c r="RC15" s="63">
        <f t="shared" si="9"/>
        <v>0</v>
      </c>
      <c r="RD15" s="63">
        <f t="shared" si="9"/>
        <v>0</v>
      </c>
      <c r="RE15" s="63">
        <f t="shared" si="9"/>
        <v>0</v>
      </c>
      <c r="RF15" s="63">
        <f t="shared" si="9"/>
        <v>0</v>
      </c>
      <c r="RG15" s="63">
        <f t="shared" si="9"/>
        <v>0</v>
      </c>
      <c r="RH15" s="63">
        <f t="shared" si="9"/>
        <v>0</v>
      </c>
      <c r="RI15" s="63">
        <f t="shared" si="9"/>
        <v>0</v>
      </c>
      <c r="RJ15" s="63">
        <f t="shared" si="9"/>
        <v>0</v>
      </c>
      <c r="RK15" s="63">
        <f t="shared" si="9"/>
        <v>0</v>
      </c>
      <c r="RL15" s="63">
        <f t="shared" si="9"/>
        <v>0</v>
      </c>
      <c r="RM15" s="63">
        <f t="shared" si="9"/>
        <v>0</v>
      </c>
      <c r="RN15" s="63">
        <f t="shared" si="9"/>
        <v>0</v>
      </c>
      <c r="RO15" s="63">
        <f t="shared" si="9"/>
        <v>0</v>
      </c>
      <c r="RP15" s="63">
        <f t="shared" si="9"/>
        <v>0</v>
      </c>
      <c r="RQ15" s="63">
        <f t="shared" si="9"/>
        <v>0</v>
      </c>
      <c r="RR15" s="63">
        <f t="shared" si="9"/>
        <v>0</v>
      </c>
      <c r="RS15" s="63">
        <f t="shared" si="9"/>
        <v>0</v>
      </c>
      <c r="RT15" s="63">
        <f t="shared" si="9"/>
        <v>0</v>
      </c>
      <c r="RU15" s="63">
        <f t="shared" si="9"/>
        <v>0</v>
      </c>
      <c r="RV15" s="63">
        <f t="shared" si="9"/>
        <v>0</v>
      </c>
      <c r="RW15" s="63">
        <f t="shared" si="9"/>
        <v>0</v>
      </c>
      <c r="RX15" s="63">
        <f t="shared" si="9"/>
        <v>0</v>
      </c>
      <c r="RY15" s="63">
        <f t="shared" si="9"/>
        <v>0</v>
      </c>
      <c r="RZ15" s="63">
        <f t="shared" si="9"/>
        <v>0</v>
      </c>
      <c r="SA15" s="63">
        <f t="shared" si="9"/>
        <v>0</v>
      </c>
      <c r="SB15" s="63">
        <f t="shared" si="9"/>
        <v>0</v>
      </c>
      <c r="SC15" s="63">
        <f t="shared" si="9"/>
        <v>0</v>
      </c>
      <c r="SD15" s="63">
        <f t="shared" si="9"/>
        <v>0</v>
      </c>
      <c r="SE15" s="63">
        <f t="shared" si="9"/>
        <v>0</v>
      </c>
      <c r="SF15" s="63">
        <f t="shared" si="9"/>
        <v>0</v>
      </c>
      <c r="SG15" s="63">
        <f t="shared" si="9"/>
        <v>0</v>
      </c>
      <c r="SH15" s="63">
        <f t="shared" si="9"/>
        <v>0</v>
      </c>
      <c r="SI15" s="63">
        <f t="shared" si="9"/>
        <v>0</v>
      </c>
      <c r="SJ15" s="63">
        <f t="shared" si="9"/>
        <v>0</v>
      </c>
      <c r="SK15" s="63">
        <f t="shared" si="9"/>
        <v>0</v>
      </c>
      <c r="SL15" s="63">
        <f t="shared" si="9"/>
        <v>0</v>
      </c>
      <c r="SM15" s="63">
        <f t="shared" si="9"/>
        <v>0</v>
      </c>
      <c r="SN15" s="63">
        <f t="shared" si="9"/>
        <v>0</v>
      </c>
      <c r="SO15" s="63">
        <f t="shared" si="9"/>
        <v>0</v>
      </c>
      <c r="SP15" s="63">
        <f t="shared" si="9"/>
        <v>0</v>
      </c>
      <c r="SQ15" s="63">
        <f t="shared" si="9"/>
        <v>0</v>
      </c>
      <c r="SR15" s="63">
        <f t="shared" si="9"/>
        <v>0</v>
      </c>
      <c r="SS15" s="63">
        <f t="shared" si="9"/>
        <v>0</v>
      </c>
      <c r="ST15" s="63">
        <f t="shared" si="9"/>
        <v>0</v>
      </c>
      <c r="SU15" s="63">
        <f t="shared" si="9"/>
        <v>0</v>
      </c>
      <c r="SV15" s="63">
        <f t="shared" ref="SV15:VG15" si="10">SU18</f>
        <v>0</v>
      </c>
      <c r="SW15" s="63">
        <f t="shared" si="10"/>
        <v>0</v>
      </c>
      <c r="SX15" s="63">
        <f t="shared" si="10"/>
        <v>0</v>
      </c>
      <c r="SY15" s="63">
        <f t="shared" si="10"/>
        <v>0</v>
      </c>
      <c r="SZ15" s="63">
        <f t="shared" si="10"/>
        <v>0</v>
      </c>
      <c r="TA15" s="63">
        <f t="shared" si="10"/>
        <v>0</v>
      </c>
      <c r="TB15" s="63">
        <f t="shared" si="10"/>
        <v>0</v>
      </c>
      <c r="TC15" s="63">
        <f t="shared" si="10"/>
        <v>0</v>
      </c>
      <c r="TD15" s="63">
        <f t="shared" si="10"/>
        <v>0</v>
      </c>
      <c r="TE15" s="63">
        <f t="shared" si="10"/>
        <v>0</v>
      </c>
      <c r="TF15" s="63">
        <f t="shared" si="10"/>
        <v>0</v>
      </c>
      <c r="TG15" s="63">
        <f t="shared" si="10"/>
        <v>0</v>
      </c>
      <c r="TH15" s="63">
        <f t="shared" si="10"/>
        <v>0</v>
      </c>
      <c r="TI15" s="63">
        <f t="shared" si="10"/>
        <v>0</v>
      </c>
      <c r="TJ15" s="63">
        <f t="shared" si="10"/>
        <v>0</v>
      </c>
      <c r="TK15" s="63">
        <f t="shared" si="10"/>
        <v>0</v>
      </c>
      <c r="TL15" s="63">
        <f t="shared" si="10"/>
        <v>0</v>
      </c>
      <c r="TM15" s="63">
        <f t="shared" si="10"/>
        <v>0</v>
      </c>
      <c r="TN15" s="63">
        <f t="shared" si="10"/>
        <v>0</v>
      </c>
      <c r="TO15" s="63">
        <f t="shared" si="10"/>
        <v>0</v>
      </c>
      <c r="TP15" s="63">
        <f t="shared" si="10"/>
        <v>0</v>
      </c>
      <c r="TQ15" s="63">
        <f t="shared" si="10"/>
        <v>0</v>
      </c>
      <c r="TR15" s="63">
        <f t="shared" si="10"/>
        <v>0</v>
      </c>
      <c r="TS15" s="63">
        <f t="shared" si="10"/>
        <v>0</v>
      </c>
      <c r="TT15" s="63">
        <f t="shared" si="10"/>
        <v>0</v>
      </c>
      <c r="TU15" s="63">
        <f t="shared" si="10"/>
        <v>0</v>
      </c>
      <c r="TV15" s="63">
        <f t="shared" si="10"/>
        <v>0</v>
      </c>
      <c r="TW15" s="63">
        <f t="shared" si="10"/>
        <v>0</v>
      </c>
      <c r="TX15" s="63">
        <f t="shared" si="10"/>
        <v>0</v>
      </c>
      <c r="TY15" s="63">
        <f t="shared" si="10"/>
        <v>0</v>
      </c>
      <c r="TZ15" s="63">
        <f t="shared" si="10"/>
        <v>0</v>
      </c>
      <c r="UA15" s="63">
        <f t="shared" si="10"/>
        <v>0</v>
      </c>
      <c r="UB15" s="63">
        <f t="shared" si="10"/>
        <v>0</v>
      </c>
      <c r="UC15" s="63">
        <f t="shared" si="10"/>
        <v>0</v>
      </c>
      <c r="UD15" s="63">
        <f t="shared" si="10"/>
        <v>0</v>
      </c>
      <c r="UE15" s="63">
        <f t="shared" si="10"/>
        <v>0</v>
      </c>
      <c r="UF15" s="63">
        <f t="shared" si="10"/>
        <v>0</v>
      </c>
      <c r="UG15" s="63">
        <f t="shared" si="10"/>
        <v>0</v>
      </c>
      <c r="UH15" s="63">
        <f t="shared" si="10"/>
        <v>0</v>
      </c>
      <c r="UI15" s="63">
        <f t="shared" si="10"/>
        <v>0</v>
      </c>
      <c r="UJ15" s="63">
        <f t="shared" si="10"/>
        <v>0</v>
      </c>
      <c r="UK15" s="63">
        <f t="shared" si="10"/>
        <v>0</v>
      </c>
      <c r="UL15" s="63">
        <f t="shared" si="10"/>
        <v>0</v>
      </c>
      <c r="UM15" s="63">
        <f t="shared" si="10"/>
        <v>0</v>
      </c>
      <c r="UN15" s="63">
        <f t="shared" si="10"/>
        <v>0</v>
      </c>
      <c r="UO15" s="63">
        <f t="shared" si="10"/>
        <v>0</v>
      </c>
      <c r="UP15" s="63">
        <f t="shared" si="10"/>
        <v>0</v>
      </c>
      <c r="UQ15" s="63">
        <f t="shared" si="10"/>
        <v>0</v>
      </c>
      <c r="UR15" s="63">
        <f t="shared" si="10"/>
        <v>0</v>
      </c>
      <c r="US15" s="63">
        <f t="shared" si="10"/>
        <v>0</v>
      </c>
      <c r="UT15" s="63">
        <f t="shared" si="10"/>
        <v>0</v>
      </c>
      <c r="UU15" s="63">
        <f t="shared" si="10"/>
        <v>0</v>
      </c>
      <c r="UV15" s="63">
        <f t="shared" si="10"/>
        <v>0</v>
      </c>
      <c r="UW15" s="63">
        <f t="shared" si="10"/>
        <v>0</v>
      </c>
      <c r="UX15" s="63">
        <f t="shared" si="10"/>
        <v>0</v>
      </c>
      <c r="UY15" s="63">
        <f t="shared" si="10"/>
        <v>0</v>
      </c>
      <c r="UZ15" s="63">
        <f t="shared" si="10"/>
        <v>0</v>
      </c>
      <c r="VA15" s="63">
        <f t="shared" si="10"/>
        <v>0</v>
      </c>
      <c r="VB15" s="63">
        <f t="shared" si="10"/>
        <v>0</v>
      </c>
      <c r="VC15" s="63">
        <f t="shared" si="10"/>
        <v>0</v>
      </c>
      <c r="VD15" s="63">
        <f t="shared" si="10"/>
        <v>0</v>
      </c>
      <c r="VE15" s="63">
        <f t="shared" si="10"/>
        <v>0</v>
      </c>
      <c r="VF15" s="63">
        <f t="shared" si="10"/>
        <v>0</v>
      </c>
      <c r="VG15" s="63">
        <f t="shared" si="10"/>
        <v>0</v>
      </c>
      <c r="VH15" s="63">
        <f t="shared" ref="VH15:XS15" si="11">VG18</f>
        <v>0</v>
      </c>
      <c r="VI15" s="63">
        <f t="shared" si="11"/>
        <v>0</v>
      </c>
      <c r="VJ15" s="63">
        <f t="shared" si="11"/>
        <v>0</v>
      </c>
      <c r="VK15" s="63">
        <f t="shared" si="11"/>
        <v>0</v>
      </c>
      <c r="VL15" s="63">
        <f t="shared" si="11"/>
        <v>0</v>
      </c>
      <c r="VM15" s="63">
        <f t="shared" si="11"/>
        <v>0</v>
      </c>
      <c r="VN15" s="63">
        <f t="shared" si="11"/>
        <v>0</v>
      </c>
      <c r="VO15" s="63">
        <f t="shared" si="11"/>
        <v>0</v>
      </c>
      <c r="VP15" s="63">
        <f t="shared" si="11"/>
        <v>0</v>
      </c>
      <c r="VQ15" s="63">
        <f t="shared" si="11"/>
        <v>0</v>
      </c>
      <c r="VR15" s="63">
        <f t="shared" si="11"/>
        <v>0</v>
      </c>
      <c r="VS15" s="63">
        <f t="shared" si="11"/>
        <v>0</v>
      </c>
      <c r="VT15" s="63">
        <f t="shared" si="11"/>
        <v>0</v>
      </c>
      <c r="VU15" s="63">
        <f t="shared" si="11"/>
        <v>0</v>
      </c>
      <c r="VV15" s="63">
        <f t="shared" si="11"/>
        <v>0</v>
      </c>
      <c r="VW15" s="63">
        <f t="shared" si="11"/>
        <v>0</v>
      </c>
      <c r="VX15" s="63">
        <f t="shared" si="11"/>
        <v>0</v>
      </c>
      <c r="VY15" s="63">
        <f t="shared" si="11"/>
        <v>0</v>
      </c>
      <c r="VZ15" s="63">
        <f t="shared" si="11"/>
        <v>0</v>
      </c>
      <c r="WA15" s="63">
        <f t="shared" si="11"/>
        <v>0</v>
      </c>
      <c r="WB15" s="63">
        <f t="shared" si="11"/>
        <v>0</v>
      </c>
      <c r="WC15" s="63">
        <f t="shared" si="11"/>
        <v>0</v>
      </c>
      <c r="WD15" s="63">
        <f t="shared" si="11"/>
        <v>0</v>
      </c>
      <c r="WE15" s="63">
        <f t="shared" si="11"/>
        <v>0</v>
      </c>
      <c r="WF15" s="63">
        <f t="shared" si="11"/>
        <v>0</v>
      </c>
      <c r="WG15" s="63">
        <f t="shared" si="11"/>
        <v>0</v>
      </c>
      <c r="WH15" s="63">
        <f t="shared" si="11"/>
        <v>0</v>
      </c>
      <c r="WI15" s="63">
        <f t="shared" si="11"/>
        <v>0</v>
      </c>
      <c r="WJ15" s="63">
        <f t="shared" si="11"/>
        <v>0</v>
      </c>
      <c r="WK15" s="63">
        <f t="shared" si="11"/>
        <v>0</v>
      </c>
      <c r="WL15" s="63">
        <f t="shared" si="11"/>
        <v>0</v>
      </c>
      <c r="WM15" s="63">
        <f t="shared" si="11"/>
        <v>0</v>
      </c>
      <c r="WN15" s="63">
        <f t="shared" si="11"/>
        <v>0</v>
      </c>
      <c r="WO15" s="63">
        <f t="shared" si="11"/>
        <v>0</v>
      </c>
      <c r="WP15" s="63">
        <f t="shared" si="11"/>
        <v>0</v>
      </c>
      <c r="WQ15" s="63">
        <f t="shared" si="11"/>
        <v>0</v>
      </c>
      <c r="WR15" s="63">
        <f t="shared" si="11"/>
        <v>0</v>
      </c>
      <c r="WS15" s="63">
        <f t="shared" si="11"/>
        <v>0</v>
      </c>
      <c r="WT15" s="63">
        <f t="shared" si="11"/>
        <v>0</v>
      </c>
      <c r="WU15" s="63">
        <f t="shared" si="11"/>
        <v>0</v>
      </c>
      <c r="WV15" s="63">
        <f t="shared" si="11"/>
        <v>0</v>
      </c>
      <c r="WW15" s="63">
        <f t="shared" si="11"/>
        <v>0</v>
      </c>
      <c r="WX15" s="63">
        <f t="shared" si="11"/>
        <v>0</v>
      </c>
      <c r="WY15" s="63">
        <f t="shared" si="11"/>
        <v>0</v>
      </c>
      <c r="WZ15" s="63">
        <f t="shared" si="11"/>
        <v>0</v>
      </c>
      <c r="XA15" s="63">
        <f t="shared" si="11"/>
        <v>0</v>
      </c>
      <c r="XB15" s="63">
        <f t="shared" si="11"/>
        <v>0</v>
      </c>
      <c r="XC15" s="63">
        <f t="shared" si="11"/>
        <v>0</v>
      </c>
      <c r="XD15" s="63">
        <f t="shared" si="11"/>
        <v>0</v>
      </c>
      <c r="XE15" s="63">
        <f t="shared" si="11"/>
        <v>0</v>
      </c>
      <c r="XF15" s="63">
        <f t="shared" si="11"/>
        <v>0</v>
      </c>
      <c r="XG15" s="63">
        <f t="shared" si="11"/>
        <v>0</v>
      </c>
      <c r="XH15" s="63">
        <f t="shared" si="11"/>
        <v>0</v>
      </c>
      <c r="XI15" s="63">
        <f t="shared" si="11"/>
        <v>0</v>
      </c>
      <c r="XJ15" s="63">
        <f t="shared" si="11"/>
        <v>0</v>
      </c>
      <c r="XK15" s="63">
        <f t="shared" si="11"/>
        <v>0</v>
      </c>
      <c r="XL15" s="63">
        <f t="shared" si="11"/>
        <v>0</v>
      </c>
      <c r="XM15" s="63">
        <f t="shared" si="11"/>
        <v>0</v>
      </c>
      <c r="XN15" s="63">
        <f t="shared" si="11"/>
        <v>0</v>
      </c>
      <c r="XO15" s="63">
        <f t="shared" si="11"/>
        <v>0</v>
      </c>
      <c r="XP15" s="63">
        <f t="shared" si="11"/>
        <v>0</v>
      </c>
      <c r="XQ15" s="63">
        <f t="shared" si="11"/>
        <v>0</v>
      </c>
      <c r="XR15" s="63">
        <f t="shared" si="11"/>
        <v>0</v>
      </c>
      <c r="XS15" s="63">
        <f t="shared" si="11"/>
        <v>0</v>
      </c>
      <c r="XT15" s="63">
        <f t="shared" ref="XT15:AAE15" si="12">XS18</f>
        <v>0</v>
      </c>
      <c r="XU15" s="63">
        <f t="shared" si="12"/>
        <v>0</v>
      </c>
      <c r="XV15" s="63">
        <f t="shared" si="12"/>
        <v>0</v>
      </c>
      <c r="XW15" s="63">
        <f t="shared" si="12"/>
        <v>0</v>
      </c>
      <c r="XX15" s="63">
        <f t="shared" si="12"/>
        <v>0</v>
      </c>
      <c r="XY15" s="63">
        <f t="shared" si="12"/>
        <v>0</v>
      </c>
      <c r="XZ15" s="63">
        <f t="shared" si="12"/>
        <v>0</v>
      </c>
      <c r="YA15" s="63">
        <f t="shared" si="12"/>
        <v>0</v>
      </c>
      <c r="YB15" s="63">
        <f t="shared" si="12"/>
        <v>0</v>
      </c>
      <c r="YC15" s="63">
        <f t="shared" si="12"/>
        <v>0</v>
      </c>
      <c r="YD15" s="63">
        <f t="shared" si="12"/>
        <v>0</v>
      </c>
      <c r="YE15" s="63">
        <f t="shared" si="12"/>
        <v>0</v>
      </c>
      <c r="YF15" s="63">
        <f t="shared" si="12"/>
        <v>0</v>
      </c>
      <c r="YG15" s="63">
        <f t="shared" si="12"/>
        <v>0</v>
      </c>
      <c r="YH15" s="63">
        <f t="shared" si="12"/>
        <v>0</v>
      </c>
      <c r="YI15" s="63">
        <f t="shared" si="12"/>
        <v>0</v>
      </c>
      <c r="YJ15" s="63">
        <f t="shared" si="12"/>
        <v>0</v>
      </c>
      <c r="YK15" s="63">
        <f t="shared" si="12"/>
        <v>0</v>
      </c>
      <c r="YL15" s="63">
        <f t="shared" si="12"/>
        <v>0</v>
      </c>
      <c r="YM15" s="63">
        <f t="shared" si="12"/>
        <v>0</v>
      </c>
      <c r="YN15" s="63">
        <f t="shared" si="12"/>
        <v>0</v>
      </c>
      <c r="YO15" s="63">
        <f t="shared" si="12"/>
        <v>0</v>
      </c>
      <c r="YP15" s="63">
        <f t="shared" si="12"/>
        <v>0</v>
      </c>
      <c r="YQ15" s="63">
        <f t="shared" si="12"/>
        <v>0</v>
      </c>
      <c r="YR15" s="63">
        <f t="shared" si="12"/>
        <v>0</v>
      </c>
      <c r="YS15" s="63">
        <f t="shared" si="12"/>
        <v>0</v>
      </c>
      <c r="YT15" s="63">
        <f t="shared" si="12"/>
        <v>0</v>
      </c>
      <c r="YU15" s="63">
        <f t="shared" si="12"/>
        <v>0</v>
      </c>
      <c r="YV15" s="63">
        <f t="shared" si="12"/>
        <v>0</v>
      </c>
      <c r="YW15" s="63">
        <f t="shared" si="12"/>
        <v>0</v>
      </c>
      <c r="YX15" s="63">
        <f t="shared" si="12"/>
        <v>0</v>
      </c>
      <c r="YY15" s="63">
        <f t="shared" si="12"/>
        <v>0</v>
      </c>
      <c r="YZ15" s="63">
        <f t="shared" si="12"/>
        <v>0</v>
      </c>
      <c r="ZA15" s="63">
        <f t="shared" si="12"/>
        <v>0</v>
      </c>
      <c r="ZB15" s="63">
        <f t="shared" si="12"/>
        <v>0</v>
      </c>
      <c r="ZC15" s="63">
        <f t="shared" si="12"/>
        <v>0</v>
      </c>
      <c r="ZD15" s="63">
        <f t="shared" si="12"/>
        <v>0</v>
      </c>
      <c r="ZE15" s="63">
        <f t="shared" si="12"/>
        <v>0</v>
      </c>
      <c r="ZF15" s="63">
        <f t="shared" si="12"/>
        <v>0</v>
      </c>
      <c r="ZG15" s="63">
        <f t="shared" si="12"/>
        <v>0</v>
      </c>
      <c r="ZH15" s="63">
        <f t="shared" si="12"/>
        <v>0</v>
      </c>
      <c r="ZI15" s="63">
        <f t="shared" si="12"/>
        <v>0</v>
      </c>
      <c r="ZJ15" s="63">
        <f t="shared" si="12"/>
        <v>0</v>
      </c>
      <c r="ZK15" s="63">
        <f t="shared" si="12"/>
        <v>0</v>
      </c>
      <c r="ZL15" s="63">
        <f t="shared" si="12"/>
        <v>0</v>
      </c>
      <c r="ZM15" s="63">
        <f t="shared" si="12"/>
        <v>0</v>
      </c>
      <c r="ZN15" s="63">
        <f t="shared" si="12"/>
        <v>0</v>
      </c>
      <c r="ZO15" s="63">
        <f t="shared" si="12"/>
        <v>0</v>
      </c>
      <c r="ZP15" s="63">
        <f t="shared" si="12"/>
        <v>0</v>
      </c>
      <c r="ZQ15" s="63">
        <f t="shared" si="12"/>
        <v>0</v>
      </c>
      <c r="ZR15" s="63">
        <f t="shared" si="12"/>
        <v>0</v>
      </c>
      <c r="ZS15" s="63">
        <f t="shared" si="12"/>
        <v>0</v>
      </c>
      <c r="ZT15" s="63">
        <f t="shared" si="12"/>
        <v>0</v>
      </c>
      <c r="ZU15" s="63">
        <f t="shared" si="12"/>
        <v>0</v>
      </c>
      <c r="ZV15" s="63">
        <f t="shared" si="12"/>
        <v>0</v>
      </c>
      <c r="ZW15" s="63">
        <f t="shared" si="12"/>
        <v>0</v>
      </c>
      <c r="ZX15" s="63">
        <f t="shared" si="12"/>
        <v>0</v>
      </c>
      <c r="ZY15" s="63">
        <f t="shared" si="12"/>
        <v>0</v>
      </c>
      <c r="ZZ15" s="63">
        <f t="shared" si="12"/>
        <v>0</v>
      </c>
      <c r="AAA15" s="63">
        <f t="shared" si="12"/>
        <v>0</v>
      </c>
      <c r="AAB15" s="63">
        <f t="shared" si="12"/>
        <v>0</v>
      </c>
      <c r="AAC15" s="63">
        <f t="shared" si="12"/>
        <v>0</v>
      </c>
      <c r="AAD15" s="63">
        <f t="shared" si="12"/>
        <v>0</v>
      </c>
      <c r="AAE15" s="63">
        <f t="shared" si="12"/>
        <v>0</v>
      </c>
      <c r="AAF15" s="63">
        <f t="shared" ref="AAF15:ACQ15" si="13">AAE18</f>
        <v>0</v>
      </c>
      <c r="AAG15" s="63">
        <f t="shared" si="13"/>
        <v>0</v>
      </c>
      <c r="AAH15" s="63">
        <f t="shared" si="13"/>
        <v>0</v>
      </c>
      <c r="AAI15" s="63">
        <f t="shared" si="13"/>
        <v>0</v>
      </c>
      <c r="AAJ15" s="63">
        <f t="shared" si="13"/>
        <v>0</v>
      </c>
      <c r="AAK15" s="63">
        <f t="shared" si="13"/>
        <v>0</v>
      </c>
      <c r="AAL15" s="63">
        <f t="shared" si="13"/>
        <v>0</v>
      </c>
      <c r="AAM15" s="63">
        <f t="shared" si="13"/>
        <v>0</v>
      </c>
      <c r="AAN15" s="63">
        <f t="shared" si="13"/>
        <v>0</v>
      </c>
      <c r="AAO15" s="63">
        <f t="shared" si="13"/>
        <v>0</v>
      </c>
      <c r="AAP15" s="63">
        <f t="shared" si="13"/>
        <v>0</v>
      </c>
      <c r="AAQ15" s="63">
        <f t="shared" si="13"/>
        <v>0</v>
      </c>
      <c r="AAR15" s="63">
        <f t="shared" si="13"/>
        <v>0</v>
      </c>
      <c r="AAS15" s="63">
        <f t="shared" si="13"/>
        <v>0</v>
      </c>
      <c r="AAT15" s="63">
        <f t="shared" si="13"/>
        <v>0</v>
      </c>
      <c r="AAU15" s="63">
        <f t="shared" si="13"/>
        <v>0</v>
      </c>
      <c r="AAV15" s="63">
        <f t="shared" si="13"/>
        <v>0</v>
      </c>
      <c r="AAW15" s="63">
        <f t="shared" si="13"/>
        <v>0</v>
      </c>
      <c r="AAX15" s="63">
        <f t="shared" si="13"/>
        <v>0</v>
      </c>
      <c r="AAY15" s="63">
        <f t="shared" si="13"/>
        <v>0</v>
      </c>
      <c r="AAZ15" s="63">
        <f t="shared" si="13"/>
        <v>0</v>
      </c>
      <c r="ABA15" s="63">
        <f t="shared" si="13"/>
        <v>0</v>
      </c>
      <c r="ABB15" s="63">
        <f t="shared" si="13"/>
        <v>0</v>
      </c>
      <c r="ABC15" s="63">
        <f t="shared" si="13"/>
        <v>0</v>
      </c>
      <c r="ABD15" s="63">
        <f t="shared" si="13"/>
        <v>0</v>
      </c>
      <c r="ABE15" s="63">
        <f t="shared" si="13"/>
        <v>0</v>
      </c>
      <c r="ABF15" s="63">
        <f t="shared" si="13"/>
        <v>0</v>
      </c>
      <c r="ABG15" s="63">
        <f t="shared" si="13"/>
        <v>0</v>
      </c>
      <c r="ABH15" s="63">
        <f t="shared" si="13"/>
        <v>0</v>
      </c>
      <c r="ABI15" s="63">
        <f t="shared" si="13"/>
        <v>0</v>
      </c>
      <c r="ABJ15" s="63">
        <f t="shared" si="13"/>
        <v>0</v>
      </c>
      <c r="ABK15" s="63">
        <f t="shared" si="13"/>
        <v>0</v>
      </c>
      <c r="ABL15" s="63">
        <f t="shared" si="13"/>
        <v>0</v>
      </c>
      <c r="ABM15" s="63">
        <f t="shared" si="13"/>
        <v>0</v>
      </c>
      <c r="ABN15" s="63">
        <f t="shared" si="13"/>
        <v>0</v>
      </c>
      <c r="ABO15" s="63">
        <f t="shared" si="13"/>
        <v>0</v>
      </c>
      <c r="ABP15" s="63">
        <f t="shared" si="13"/>
        <v>0</v>
      </c>
      <c r="ABQ15" s="63">
        <f t="shared" si="13"/>
        <v>0</v>
      </c>
      <c r="ABR15" s="63">
        <f t="shared" si="13"/>
        <v>0</v>
      </c>
      <c r="ABS15" s="63">
        <f t="shared" si="13"/>
        <v>0</v>
      </c>
      <c r="ABT15" s="63">
        <f t="shared" si="13"/>
        <v>0</v>
      </c>
      <c r="ABU15" s="63">
        <f t="shared" si="13"/>
        <v>0</v>
      </c>
      <c r="ABV15" s="63">
        <f t="shared" si="13"/>
        <v>0</v>
      </c>
      <c r="ABW15" s="63">
        <f t="shared" si="13"/>
        <v>0</v>
      </c>
      <c r="ABX15" s="63">
        <f t="shared" si="13"/>
        <v>0</v>
      </c>
      <c r="ABY15" s="63">
        <f t="shared" si="13"/>
        <v>0</v>
      </c>
      <c r="ABZ15" s="63">
        <f t="shared" si="13"/>
        <v>0</v>
      </c>
      <c r="ACA15" s="63">
        <f t="shared" si="13"/>
        <v>0</v>
      </c>
      <c r="ACB15" s="63">
        <f t="shared" si="13"/>
        <v>0</v>
      </c>
      <c r="ACC15" s="63">
        <f t="shared" si="13"/>
        <v>0</v>
      </c>
      <c r="ACD15" s="63">
        <f t="shared" si="13"/>
        <v>0</v>
      </c>
      <c r="ACE15" s="63">
        <f t="shared" si="13"/>
        <v>0</v>
      </c>
      <c r="ACF15" s="63">
        <f t="shared" si="13"/>
        <v>0</v>
      </c>
      <c r="ACG15" s="63">
        <f t="shared" si="13"/>
        <v>0</v>
      </c>
      <c r="ACH15" s="63">
        <f t="shared" si="13"/>
        <v>0</v>
      </c>
      <c r="ACI15" s="63">
        <f t="shared" si="13"/>
        <v>0</v>
      </c>
      <c r="ACJ15" s="63">
        <f t="shared" si="13"/>
        <v>0</v>
      </c>
      <c r="ACK15" s="63">
        <f t="shared" si="13"/>
        <v>0</v>
      </c>
      <c r="ACL15" s="63">
        <f t="shared" si="13"/>
        <v>0</v>
      </c>
      <c r="ACM15" s="63">
        <f t="shared" si="13"/>
        <v>0</v>
      </c>
      <c r="ACN15" s="63">
        <f t="shared" si="13"/>
        <v>0</v>
      </c>
      <c r="ACO15" s="63">
        <f t="shared" si="13"/>
        <v>0</v>
      </c>
      <c r="ACP15" s="63">
        <f t="shared" si="13"/>
        <v>0</v>
      </c>
      <c r="ACQ15" s="63">
        <f t="shared" si="13"/>
        <v>0</v>
      </c>
      <c r="ACR15" s="63">
        <f t="shared" ref="ACR15:AFC15" si="14">ACQ18</f>
        <v>0</v>
      </c>
      <c r="ACS15" s="63">
        <f t="shared" si="14"/>
        <v>0</v>
      </c>
      <c r="ACT15" s="63">
        <f t="shared" si="14"/>
        <v>0</v>
      </c>
      <c r="ACU15" s="63">
        <f t="shared" si="14"/>
        <v>0</v>
      </c>
      <c r="ACV15" s="63">
        <f t="shared" si="14"/>
        <v>0</v>
      </c>
      <c r="ACW15" s="63">
        <f t="shared" si="14"/>
        <v>0</v>
      </c>
      <c r="ACX15" s="63">
        <f t="shared" si="14"/>
        <v>0</v>
      </c>
      <c r="ACY15" s="63">
        <f t="shared" si="14"/>
        <v>0</v>
      </c>
      <c r="ACZ15" s="63">
        <f t="shared" si="14"/>
        <v>0</v>
      </c>
      <c r="ADA15" s="63">
        <f t="shared" si="14"/>
        <v>0</v>
      </c>
      <c r="ADB15" s="63">
        <f t="shared" si="14"/>
        <v>0</v>
      </c>
      <c r="ADC15" s="63">
        <f t="shared" si="14"/>
        <v>0</v>
      </c>
      <c r="ADD15" s="63">
        <f t="shared" si="14"/>
        <v>0</v>
      </c>
      <c r="ADE15" s="63">
        <f t="shared" si="14"/>
        <v>0</v>
      </c>
      <c r="ADF15" s="63">
        <f t="shared" si="14"/>
        <v>0</v>
      </c>
      <c r="ADG15" s="63">
        <f t="shared" si="14"/>
        <v>0</v>
      </c>
      <c r="ADH15" s="63">
        <f t="shared" si="14"/>
        <v>0</v>
      </c>
      <c r="ADI15" s="63">
        <f t="shared" si="14"/>
        <v>0</v>
      </c>
      <c r="ADJ15" s="63">
        <f t="shared" si="14"/>
        <v>0</v>
      </c>
      <c r="ADK15" s="63">
        <f t="shared" si="14"/>
        <v>0</v>
      </c>
      <c r="ADL15" s="63">
        <f t="shared" si="14"/>
        <v>0</v>
      </c>
      <c r="ADM15" s="63">
        <f t="shared" si="14"/>
        <v>0</v>
      </c>
      <c r="ADN15" s="63">
        <f t="shared" si="14"/>
        <v>0</v>
      </c>
      <c r="ADO15" s="63">
        <f t="shared" si="14"/>
        <v>0</v>
      </c>
      <c r="ADP15" s="63">
        <f t="shared" si="14"/>
        <v>0</v>
      </c>
      <c r="ADQ15" s="63">
        <f t="shared" si="14"/>
        <v>0</v>
      </c>
      <c r="ADR15" s="63">
        <f t="shared" si="14"/>
        <v>0</v>
      </c>
      <c r="ADS15" s="63">
        <f t="shared" si="14"/>
        <v>0</v>
      </c>
      <c r="ADT15" s="63">
        <f t="shared" si="14"/>
        <v>0</v>
      </c>
      <c r="ADU15" s="63">
        <f t="shared" si="14"/>
        <v>0</v>
      </c>
      <c r="ADV15" s="63">
        <f t="shared" si="14"/>
        <v>0</v>
      </c>
      <c r="ADW15" s="63">
        <f t="shared" si="14"/>
        <v>0</v>
      </c>
      <c r="ADX15" s="63">
        <f t="shared" si="14"/>
        <v>0</v>
      </c>
      <c r="ADY15" s="63">
        <f t="shared" si="14"/>
        <v>0</v>
      </c>
      <c r="ADZ15" s="63">
        <f t="shared" si="14"/>
        <v>0</v>
      </c>
      <c r="AEA15" s="63">
        <f t="shared" si="14"/>
        <v>0</v>
      </c>
      <c r="AEB15" s="63">
        <f t="shared" si="14"/>
        <v>0</v>
      </c>
      <c r="AEC15" s="63">
        <f t="shared" si="14"/>
        <v>0</v>
      </c>
      <c r="AED15" s="63">
        <f t="shared" si="14"/>
        <v>0</v>
      </c>
      <c r="AEE15" s="63">
        <f t="shared" si="14"/>
        <v>0</v>
      </c>
      <c r="AEF15" s="63">
        <f t="shared" si="14"/>
        <v>0</v>
      </c>
      <c r="AEG15" s="63">
        <f t="shared" si="14"/>
        <v>0</v>
      </c>
      <c r="AEH15" s="63">
        <f t="shared" si="14"/>
        <v>0</v>
      </c>
      <c r="AEI15" s="63">
        <f t="shared" si="14"/>
        <v>0</v>
      </c>
      <c r="AEJ15" s="63">
        <f t="shared" si="14"/>
        <v>0</v>
      </c>
      <c r="AEK15" s="63">
        <f t="shared" si="14"/>
        <v>0</v>
      </c>
      <c r="AEL15" s="63">
        <f t="shared" si="14"/>
        <v>0</v>
      </c>
      <c r="AEM15" s="63">
        <f t="shared" si="14"/>
        <v>0</v>
      </c>
      <c r="AEN15" s="63">
        <f t="shared" si="14"/>
        <v>0</v>
      </c>
      <c r="AEO15" s="63">
        <f t="shared" si="14"/>
        <v>0</v>
      </c>
      <c r="AEP15" s="63">
        <f t="shared" si="14"/>
        <v>0</v>
      </c>
      <c r="AEQ15" s="63">
        <f t="shared" si="14"/>
        <v>0</v>
      </c>
      <c r="AER15" s="63">
        <f t="shared" si="14"/>
        <v>0</v>
      </c>
      <c r="AES15" s="63">
        <f t="shared" si="14"/>
        <v>0</v>
      </c>
      <c r="AET15" s="63">
        <f t="shared" si="14"/>
        <v>0</v>
      </c>
      <c r="AEU15" s="63">
        <f t="shared" si="14"/>
        <v>0</v>
      </c>
      <c r="AEV15" s="63">
        <f t="shared" si="14"/>
        <v>0</v>
      </c>
      <c r="AEW15" s="63">
        <f t="shared" si="14"/>
        <v>0</v>
      </c>
      <c r="AEX15" s="63">
        <f t="shared" si="14"/>
        <v>0</v>
      </c>
      <c r="AEY15" s="63">
        <f t="shared" si="14"/>
        <v>0</v>
      </c>
      <c r="AEZ15" s="63">
        <f t="shared" si="14"/>
        <v>0</v>
      </c>
      <c r="AFA15" s="63">
        <f t="shared" si="14"/>
        <v>0</v>
      </c>
      <c r="AFB15" s="63">
        <f t="shared" si="14"/>
        <v>0</v>
      </c>
      <c r="AFC15" s="63">
        <f t="shared" si="14"/>
        <v>0</v>
      </c>
      <c r="AFD15" s="63">
        <f t="shared" ref="AFD15:AHO15" si="15">AFC18</f>
        <v>0</v>
      </c>
      <c r="AFE15" s="63">
        <f t="shared" si="15"/>
        <v>0</v>
      </c>
      <c r="AFF15" s="63">
        <f t="shared" si="15"/>
        <v>0</v>
      </c>
      <c r="AFG15" s="63">
        <f t="shared" si="15"/>
        <v>0</v>
      </c>
      <c r="AFH15" s="63">
        <f t="shared" si="15"/>
        <v>0</v>
      </c>
      <c r="AFI15" s="63">
        <f t="shared" si="15"/>
        <v>0</v>
      </c>
      <c r="AFJ15" s="63">
        <f t="shared" si="15"/>
        <v>0</v>
      </c>
      <c r="AFK15" s="63">
        <f t="shared" si="15"/>
        <v>0</v>
      </c>
      <c r="AFL15" s="63">
        <f t="shared" si="15"/>
        <v>0</v>
      </c>
      <c r="AFM15" s="63">
        <f t="shared" si="15"/>
        <v>0</v>
      </c>
      <c r="AFN15" s="63">
        <f t="shared" si="15"/>
        <v>0</v>
      </c>
      <c r="AFO15" s="63">
        <f t="shared" si="15"/>
        <v>0</v>
      </c>
      <c r="AFP15" s="63">
        <f t="shared" si="15"/>
        <v>0</v>
      </c>
      <c r="AFQ15" s="63">
        <f t="shared" si="15"/>
        <v>0</v>
      </c>
      <c r="AFR15" s="63">
        <f t="shared" si="15"/>
        <v>0</v>
      </c>
      <c r="AFS15" s="63">
        <f t="shared" si="15"/>
        <v>0</v>
      </c>
      <c r="AFT15" s="63">
        <f t="shared" si="15"/>
        <v>0</v>
      </c>
      <c r="AFU15" s="63">
        <f t="shared" si="15"/>
        <v>0</v>
      </c>
      <c r="AFV15" s="63">
        <f t="shared" si="15"/>
        <v>0</v>
      </c>
      <c r="AFW15" s="63">
        <f t="shared" si="15"/>
        <v>0</v>
      </c>
      <c r="AFX15" s="63">
        <f t="shared" si="15"/>
        <v>0</v>
      </c>
      <c r="AFY15" s="63">
        <f t="shared" si="15"/>
        <v>0</v>
      </c>
      <c r="AFZ15" s="63">
        <f t="shared" si="15"/>
        <v>0</v>
      </c>
      <c r="AGA15" s="63">
        <f t="shared" si="15"/>
        <v>0</v>
      </c>
      <c r="AGB15" s="63">
        <f t="shared" si="15"/>
        <v>0</v>
      </c>
      <c r="AGC15" s="63">
        <f t="shared" si="15"/>
        <v>0</v>
      </c>
      <c r="AGD15" s="63">
        <f t="shared" si="15"/>
        <v>0</v>
      </c>
      <c r="AGE15" s="63">
        <f t="shared" si="15"/>
        <v>0</v>
      </c>
      <c r="AGF15" s="63">
        <f t="shared" si="15"/>
        <v>0</v>
      </c>
      <c r="AGG15" s="63">
        <f t="shared" si="15"/>
        <v>0</v>
      </c>
      <c r="AGH15" s="63">
        <f t="shared" si="15"/>
        <v>0</v>
      </c>
      <c r="AGI15" s="63">
        <f t="shared" si="15"/>
        <v>0</v>
      </c>
      <c r="AGJ15" s="63">
        <f t="shared" si="15"/>
        <v>0</v>
      </c>
      <c r="AGK15" s="63">
        <f t="shared" si="15"/>
        <v>0</v>
      </c>
      <c r="AGL15" s="63">
        <f t="shared" si="15"/>
        <v>0</v>
      </c>
      <c r="AGM15" s="63">
        <f t="shared" si="15"/>
        <v>0</v>
      </c>
      <c r="AGN15" s="63">
        <f t="shared" si="15"/>
        <v>0</v>
      </c>
      <c r="AGO15" s="63">
        <f t="shared" si="15"/>
        <v>0</v>
      </c>
      <c r="AGP15" s="63">
        <f t="shared" si="15"/>
        <v>0</v>
      </c>
      <c r="AGQ15" s="63">
        <f t="shared" si="15"/>
        <v>0</v>
      </c>
      <c r="AGR15" s="63">
        <f t="shared" si="15"/>
        <v>0</v>
      </c>
      <c r="AGS15" s="63">
        <f t="shared" si="15"/>
        <v>0</v>
      </c>
      <c r="AGT15" s="63">
        <f t="shared" si="15"/>
        <v>0</v>
      </c>
      <c r="AGU15" s="63">
        <f t="shared" si="15"/>
        <v>0</v>
      </c>
      <c r="AGV15" s="63">
        <f t="shared" si="15"/>
        <v>0</v>
      </c>
      <c r="AGW15" s="63">
        <f t="shared" si="15"/>
        <v>0</v>
      </c>
      <c r="AGX15" s="63">
        <f t="shared" si="15"/>
        <v>0</v>
      </c>
      <c r="AGY15" s="63">
        <f t="shared" si="15"/>
        <v>0</v>
      </c>
      <c r="AGZ15" s="63">
        <f t="shared" si="15"/>
        <v>0</v>
      </c>
      <c r="AHA15" s="63">
        <f t="shared" si="15"/>
        <v>0</v>
      </c>
      <c r="AHB15" s="63">
        <f t="shared" si="15"/>
        <v>0</v>
      </c>
      <c r="AHC15" s="63">
        <f t="shared" si="15"/>
        <v>0</v>
      </c>
      <c r="AHD15" s="63">
        <f t="shared" si="15"/>
        <v>0</v>
      </c>
      <c r="AHE15" s="63">
        <f t="shared" si="15"/>
        <v>0</v>
      </c>
      <c r="AHF15" s="63">
        <f t="shared" si="15"/>
        <v>0</v>
      </c>
      <c r="AHG15" s="63">
        <f t="shared" si="15"/>
        <v>0</v>
      </c>
      <c r="AHH15" s="63">
        <f t="shared" si="15"/>
        <v>0</v>
      </c>
      <c r="AHI15" s="63">
        <f t="shared" si="15"/>
        <v>0</v>
      </c>
      <c r="AHJ15" s="63">
        <f t="shared" si="15"/>
        <v>0</v>
      </c>
      <c r="AHK15" s="63">
        <f t="shared" si="15"/>
        <v>0</v>
      </c>
      <c r="AHL15" s="63">
        <f t="shared" si="15"/>
        <v>0</v>
      </c>
      <c r="AHM15" s="63">
        <f t="shared" si="15"/>
        <v>0</v>
      </c>
      <c r="AHN15" s="63">
        <f t="shared" si="15"/>
        <v>0</v>
      </c>
      <c r="AHO15" s="63">
        <f t="shared" si="15"/>
        <v>0</v>
      </c>
      <c r="AHP15" s="63">
        <f t="shared" ref="AHP15:AKA15" si="16">AHO18</f>
        <v>0</v>
      </c>
      <c r="AHQ15" s="63">
        <f t="shared" si="16"/>
        <v>0</v>
      </c>
      <c r="AHR15" s="63">
        <f t="shared" si="16"/>
        <v>0</v>
      </c>
      <c r="AHS15" s="63">
        <f t="shared" si="16"/>
        <v>0</v>
      </c>
      <c r="AHT15" s="63">
        <f t="shared" si="16"/>
        <v>0</v>
      </c>
      <c r="AHU15" s="63">
        <f t="shared" si="16"/>
        <v>0</v>
      </c>
      <c r="AHV15" s="63">
        <f t="shared" si="16"/>
        <v>0</v>
      </c>
      <c r="AHW15" s="63">
        <f t="shared" si="16"/>
        <v>0</v>
      </c>
      <c r="AHX15" s="63">
        <f t="shared" si="16"/>
        <v>0</v>
      </c>
      <c r="AHY15" s="63">
        <f t="shared" si="16"/>
        <v>0</v>
      </c>
      <c r="AHZ15" s="63">
        <f t="shared" si="16"/>
        <v>0</v>
      </c>
      <c r="AIA15" s="63">
        <f t="shared" si="16"/>
        <v>0</v>
      </c>
      <c r="AIB15" s="63">
        <f t="shared" si="16"/>
        <v>0</v>
      </c>
      <c r="AIC15" s="63">
        <f t="shared" si="16"/>
        <v>0</v>
      </c>
      <c r="AID15" s="63">
        <f t="shared" si="16"/>
        <v>0</v>
      </c>
      <c r="AIE15" s="63">
        <f t="shared" si="16"/>
        <v>0</v>
      </c>
      <c r="AIF15" s="63">
        <f t="shared" si="16"/>
        <v>0</v>
      </c>
      <c r="AIG15" s="63">
        <f t="shared" si="16"/>
        <v>0</v>
      </c>
      <c r="AIH15" s="63">
        <f t="shared" si="16"/>
        <v>0</v>
      </c>
      <c r="AII15" s="63">
        <f t="shared" si="16"/>
        <v>0</v>
      </c>
      <c r="AIJ15" s="63">
        <f t="shared" si="16"/>
        <v>0</v>
      </c>
      <c r="AIK15" s="63">
        <f t="shared" si="16"/>
        <v>0</v>
      </c>
      <c r="AIL15" s="63">
        <f t="shared" si="16"/>
        <v>0</v>
      </c>
      <c r="AIM15" s="63">
        <f t="shared" si="16"/>
        <v>0</v>
      </c>
      <c r="AIN15" s="63">
        <f t="shared" si="16"/>
        <v>0</v>
      </c>
      <c r="AIO15" s="63">
        <f t="shared" si="16"/>
        <v>0</v>
      </c>
      <c r="AIP15" s="63">
        <f t="shared" si="16"/>
        <v>0</v>
      </c>
      <c r="AIQ15" s="63">
        <f t="shared" si="16"/>
        <v>0</v>
      </c>
      <c r="AIR15" s="63">
        <f t="shared" si="16"/>
        <v>0</v>
      </c>
      <c r="AIS15" s="63">
        <f t="shared" si="16"/>
        <v>0</v>
      </c>
      <c r="AIT15" s="63">
        <f t="shared" si="16"/>
        <v>0</v>
      </c>
      <c r="AIU15" s="63">
        <f t="shared" si="16"/>
        <v>0</v>
      </c>
      <c r="AIV15" s="63">
        <f t="shared" si="16"/>
        <v>0</v>
      </c>
      <c r="AIW15" s="63">
        <f t="shared" si="16"/>
        <v>0</v>
      </c>
      <c r="AIX15" s="63">
        <f t="shared" si="16"/>
        <v>0</v>
      </c>
      <c r="AIY15" s="63">
        <f t="shared" si="16"/>
        <v>0</v>
      </c>
      <c r="AIZ15" s="63">
        <f t="shared" si="16"/>
        <v>0</v>
      </c>
      <c r="AJA15" s="63">
        <f t="shared" si="16"/>
        <v>0</v>
      </c>
      <c r="AJB15" s="63">
        <f t="shared" si="16"/>
        <v>0</v>
      </c>
      <c r="AJC15" s="63">
        <f t="shared" si="16"/>
        <v>0</v>
      </c>
      <c r="AJD15" s="63">
        <f t="shared" si="16"/>
        <v>0</v>
      </c>
      <c r="AJE15" s="63">
        <f t="shared" si="16"/>
        <v>0</v>
      </c>
      <c r="AJF15" s="63">
        <f t="shared" si="16"/>
        <v>0</v>
      </c>
      <c r="AJG15" s="63">
        <f t="shared" si="16"/>
        <v>0</v>
      </c>
      <c r="AJH15" s="63">
        <f t="shared" si="16"/>
        <v>0</v>
      </c>
      <c r="AJI15" s="63">
        <f t="shared" si="16"/>
        <v>0</v>
      </c>
      <c r="AJJ15" s="63">
        <f t="shared" si="16"/>
        <v>0</v>
      </c>
      <c r="AJK15" s="63">
        <f t="shared" si="16"/>
        <v>0</v>
      </c>
      <c r="AJL15" s="63">
        <f t="shared" si="16"/>
        <v>0</v>
      </c>
      <c r="AJM15" s="63">
        <f t="shared" si="16"/>
        <v>0</v>
      </c>
      <c r="AJN15" s="63">
        <f t="shared" si="16"/>
        <v>0</v>
      </c>
      <c r="AJO15" s="63">
        <f t="shared" si="16"/>
        <v>0</v>
      </c>
      <c r="AJP15" s="63">
        <f t="shared" si="16"/>
        <v>0</v>
      </c>
      <c r="AJQ15" s="63">
        <f t="shared" si="16"/>
        <v>0</v>
      </c>
      <c r="AJR15" s="63">
        <f t="shared" si="16"/>
        <v>0</v>
      </c>
      <c r="AJS15" s="63">
        <f t="shared" si="16"/>
        <v>0</v>
      </c>
      <c r="AJT15" s="63">
        <f t="shared" si="16"/>
        <v>0</v>
      </c>
      <c r="AJU15" s="63">
        <f t="shared" si="16"/>
        <v>0</v>
      </c>
      <c r="AJV15" s="63">
        <f t="shared" si="16"/>
        <v>0</v>
      </c>
      <c r="AJW15" s="63">
        <f t="shared" si="16"/>
        <v>0</v>
      </c>
      <c r="AJX15" s="63">
        <f t="shared" si="16"/>
        <v>0</v>
      </c>
      <c r="AJY15" s="63">
        <f t="shared" si="16"/>
        <v>0</v>
      </c>
      <c r="AJZ15" s="63">
        <f t="shared" si="16"/>
        <v>0</v>
      </c>
      <c r="AKA15" s="63">
        <f t="shared" si="16"/>
        <v>0</v>
      </c>
      <c r="AKB15" s="63">
        <f t="shared" ref="AKB15:AMM15" si="17">AKA18</f>
        <v>0</v>
      </c>
      <c r="AKC15" s="63">
        <f t="shared" si="17"/>
        <v>0</v>
      </c>
      <c r="AKD15" s="63">
        <f t="shared" si="17"/>
        <v>0</v>
      </c>
      <c r="AKE15" s="63">
        <f t="shared" si="17"/>
        <v>0</v>
      </c>
      <c r="AKF15" s="63">
        <f t="shared" si="17"/>
        <v>0</v>
      </c>
      <c r="AKG15" s="63">
        <f t="shared" si="17"/>
        <v>0</v>
      </c>
      <c r="AKH15" s="63">
        <f t="shared" si="17"/>
        <v>0</v>
      </c>
      <c r="AKI15" s="63">
        <f t="shared" si="17"/>
        <v>0</v>
      </c>
      <c r="AKJ15" s="63">
        <f t="shared" si="17"/>
        <v>0</v>
      </c>
      <c r="AKK15" s="63">
        <f t="shared" si="17"/>
        <v>0</v>
      </c>
      <c r="AKL15" s="63">
        <f t="shared" si="17"/>
        <v>0</v>
      </c>
      <c r="AKM15" s="63">
        <f t="shared" si="17"/>
        <v>0</v>
      </c>
      <c r="AKN15" s="63">
        <f t="shared" si="17"/>
        <v>0</v>
      </c>
      <c r="AKO15" s="63">
        <f t="shared" si="17"/>
        <v>0</v>
      </c>
      <c r="AKP15" s="63">
        <f t="shared" si="17"/>
        <v>0</v>
      </c>
      <c r="AKQ15" s="63">
        <f t="shared" si="17"/>
        <v>0</v>
      </c>
      <c r="AKR15" s="63">
        <f t="shared" si="17"/>
        <v>0</v>
      </c>
      <c r="AKS15" s="63">
        <f t="shared" si="17"/>
        <v>0</v>
      </c>
      <c r="AKT15" s="63">
        <f t="shared" si="17"/>
        <v>0</v>
      </c>
      <c r="AKU15" s="63">
        <f t="shared" si="17"/>
        <v>0</v>
      </c>
      <c r="AKV15" s="63">
        <f t="shared" si="17"/>
        <v>0</v>
      </c>
      <c r="AKW15" s="63">
        <f t="shared" si="17"/>
        <v>0</v>
      </c>
      <c r="AKX15" s="63">
        <f t="shared" si="17"/>
        <v>0</v>
      </c>
      <c r="AKY15" s="63">
        <f t="shared" si="17"/>
        <v>0</v>
      </c>
      <c r="AKZ15" s="63">
        <f t="shared" si="17"/>
        <v>0</v>
      </c>
      <c r="ALA15" s="63">
        <f t="shared" si="17"/>
        <v>0</v>
      </c>
      <c r="ALB15" s="63">
        <f t="shared" si="17"/>
        <v>0</v>
      </c>
      <c r="ALC15" s="63">
        <f t="shared" si="17"/>
        <v>0</v>
      </c>
      <c r="ALD15" s="63">
        <f t="shared" si="17"/>
        <v>0</v>
      </c>
      <c r="ALE15" s="63">
        <f t="shared" si="17"/>
        <v>0</v>
      </c>
      <c r="ALF15" s="63">
        <f t="shared" si="17"/>
        <v>0</v>
      </c>
      <c r="ALG15" s="63">
        <f t="shared" si="17"/>
        <v>0</v>
      </c>
      <c r="ALH15" s="63">
        <f t="shared" si="17"/>
        <v>0</v>
      </c>
      <c r="ALI15" s="63">
        <f t="shared" si="17"/>
        <v>0</v>
      </c>
      <c r="ALJ15" s="63">
        <f t="shared" si="17"/>
        <v>0</v>
      </c>
      <c r="ALK15" s="63">
        <f t="shared" si="17"/>
        <v>0</v>
      </c>
      <c r="ALL15" s="63">
        <f t="shared" si="17"/>
        <v>0</v>
      </c>
      <c r="ALM15" s="63">
        <f t="shared" si="17"/>
        <v>0</v>
      </c>
      <c r="ALN15" s="63">
        <f t="shared" si="17"/>
        <v>0</v>
      </c>
      <c r="ALO15" s="63">
        <f t="shared" si="17"/>
        <v>0</v>
      </c>
      <c r="ALP15" s="63">
        <f t="shared" si="17"/>
        <v>0</v>
      </c>
      <c r="ALQ15" s="63">
        <f t="shared" si="17"/>
        <v>0</v>
      </c>
      <c r="ALR15" s="63">
        <f t="shared" si="17"/>
        <v>0</v>
      </c>
      <c r="ALS15" s="63">
        <f t="shared" si="17"/>
        <v>0</v>
      </c>
      <c r="ALT15" s="63">
        <f t="shared" si="17"/>
        <v>0</v>
      </c>
      <c r="ALU15" s="63">
        <f t="shared" si="17"/>
        <v>0</v>
      </c>
      <c r="ALV15" s="63">
        <f t="shared" si="17"/>
        <v>0</v>
      </c>
      <c r="ALW15" s="63">
        <f t="shared" si="17"/>
        <v>0</v>
      </c>
      <c r="ALX15" s="63">
        <f t="shared" si="17"/>
        <v>0</v>
      </c>
      <c r="ALY15" s="63">
        <f t="shared" si="17"/>
        <v>0</v>
      </c>
      <c r="ALZ15" s="63">
        <f t="shared" si="17"/>
        <v>0</v>
      </c>
      <c r="AMA15" s="63">
        <f t="shared" si="17"/>
        <v>0</v>
      </c>
      <c r="AMB15" s="63">
        <f t="shared" si="17"/>
        <v>0</v>
      </c>
      <c r="AMC15" s="63">
        <f t="shared" si="17"/>
        <v>0</v>
      </c>
      <c r="AMD15" s="63">
        <f t="shared" si="17"/>
        <v>0</v>
      </c>
      <c r="AME15" s="63">
        <f t="shared" si="17"/>
        <v>0</v>
      </c>
      <c r="AMF15" s="63">
        <f t="shared" si="17"/>
        <v>0</v>
      </c>
      <c r="AMG15" s="63">
        <f t="shared" si="17"/>
        <v>0</v>
      </c>
      <c r="AMH15" s="63">
        <f t="shared" si="17"/>
        <v>0</v>
      </c>
      <c r="AMI15" s="63">
        <f t="shared" si="17"/>
        <v>0</v>
      </c>
      <c r="AMJ15" s="63">
        <f t="shared" si="17"/>
        <v>0</v>
      </c>
      <c r="AMK15" s="63">
        <f t="shared" si="17"/>
        <v>0</v>
      </c>
      <c r="AML15" s="63">
        <f t="shared" si="17"/>
        <v>0</v>
      </c>
      <c r="AMM15" s="63">
        <f t="shared" si="17"/>
        <v>0</v>
      </c>
      <c r="AMN15" s="63">
        <f t="shared" ref="AMN15:AOY15" si="18">AMM18</f>
        <v>0</v>
      </c>
      <c r="AMO15" s="63">
        <f t="shared" si="18"/>
        <v>0</v>
      </c>
      <c r="AMP15" s="63">
        <f t="shared" si="18"/>
        <v>0</v>
      </c>
      <c r="AMQ15" s="63">
        <f t="shared" si="18"/>
        <v>0</v>
      </c>
      <c r="AMR15" s="63">
        <f t="shared" si="18"/>
        <v>0</v>
      </c>
      <c r="AMS15" s="63">
        <f t="shared" si="18"/>
        <v>0</v>
      </c>
      <c r="AMT15" s="63">
        <f t="shared" si="18"/>
        <v>0</v>
      </c>
      <c r="AMU15" s="63">
        <f t="shared" si="18"/>
        <v>0</v>
      </c>
      <c r="AMV15" s="63">
        <f t="shared" si="18"/>
        <v>0</v>
      </c>
      <c r="AMW15" s="63">
        <f t="shared" si="18"/>
        <v>0</v>
      </c>
      <c r="AMX15" s="63">
        <f t="shared" si="18"/>
        <v>0</v>
      </c>
      <c r="AMY15" s="63">
        <f t="shared" si="18"/>
        <v>0</v>
      </c>
      <c r="AMZ15" s="63">
        <f t="shared" si="18"/>
        <v>0</v>
      </c>
      <c r="ANA15" s="63">
        <f t="shared" si="18"/>
        <v>0</v>
      </c>
      <c r="ANB15" s="63">
        <f t="shared" si="18"/>
        <v>0</v>
      </c>
      <c r="ANC15" s="63">
        <f t="shared" si="18"/>
        <v>0</v>
      </c>
      <c r="AND15" s="63">
        <f t="shared" si="18"/>
        <v>0</v>
      </c>
      <c r="ANE15" s="63">
        <f t="shared" si="18"/>
        <v>0</v>
      </c>
      <c r="ANF15" s="63">
        <f t="shared" si="18"/>
        <v>0</v>
      </c>
      <c r="ANG15" s="63">
        <f t="shared" si="18"/>
        <v>0</v>
      </c>
      <c r="ANH15" s="63">
        <f t="shared" si="18"/>
        <v>0</v>
      </c>
      <c r="ANI15" s="63">
        <f t="shared" si="18"/>
        <v>0</v>
      </c>
      <c r="ANJ15" s="63">
        <f t="shared" si="18"/>
        <v>0</v>
      </c>
      <c r="ANK15" s="63">
        <f t="shared" si="18"/>
        <v>0</v>
      </c>
      <c r="ANL15" s="63">
        <f t="shared" si="18"/>
        <v>0</v>
      </c>
      <c r="ANM15" s="63">
        <f t="shared" si="18"/>
        <v>0</v>
      </c>
      <c r="ANN15" s="63">
        <f t="shared" si="18"/>
        <v>0</v>
      </c>
      <c r="ANO15" s="63">
        <f t="shared" si="18"/>
        <v>0</v>
      </c>
      <c r="ANP15" s="63">
        <f t="shared" si="18"/>
        <v>0</v>
      </c>
      <c r="ANQ15" s="63">
        <f t="shared" si="18"/>
        <v>0</v>
      </c>
      <c r="ANR15" s="63">
        <f t="shared" si="18"/>
        <v>0</v>
      </c>
      <c r="ANS15" s="63">
        <f t="shared" si="18"/>
        <v>0</v>
      </c>
      <c r="ANT15" s="63">
        <f t="shared" si="18"/>
        <v>0</v>
      </c>
      <c r="ANU15" s="63">
        <f t="shared" si="18"/>
        <v>0</v>
      </c>
      <c r="ANV15" s="63">
        <f t="shared" si="18"/>
        <v>0</v>
      </c>
      <c r="ANW15" s="63">
        <f t="shared" si="18"/>
        <v>0</v>
      </c>
      <c r="ANX15" s="63">
        <f t="shared" si="18"/>
        <v>0</v>
      </c>
      <c r="ANY15" s="63">
        <f t="shared" si="18"/>
        <v>0</v>
      </c>
      <c r="ANZ15" s="63">
        <f t="shared" si="18"/>
        <v>0</v>
      </c>
      <c r="AOA15" s="63">
        <f t="shared" si="18"/>
        <v>0</v>
      </c>
      <c r="AOB15" s="63">
        <f t="shared" si="18"/>
        <v>0</v>
      </c>
      <c r="AOC15" s="63">
        <f t="shared" si="18"/>
        <v>0</v>
      </c>
      <c r="AOD15" s="63">
        <f t="shared" si="18"/>
        <v>0</v>
      </c>
      <c r="AOE15" s="63">
        <f t="shared" si="18"/>
        <v>0</v>
      </c>
      <c r="AOF15" s="63">
        <f t="shared" si="18"/>
        <v>0</v>
      </c>
      <c r="AOG15" s="63">
        <f t="shared" si="18"/>
        <v>0</v>
      </c>
      <c r="AOH15" s="63">
        <f t="shared" si="18"/>
        <v>0</v>
      </c>
      <c r="AOI15" s="63">
        <f t="shared" si="18"/>
        <v>0</v>
      </c>
      <c r="AOJ15" s="63">
        <f t="shared" si="18"/>
        <v>0</v>
      </c>
      <c r="AOK15" s="63">
        <f t="shared" si="18"/>
        <v>0</v>
      </c>
      <c r="AOL15" s="63">
        <f t="shared" si="18"/>
        <v>0</v>
      </c>
      <c r="AOM15" s="63">
        <f t="shared" si="18"/>
        <v>0</v>
      </c>
      <c r="AON15" s="63">
        <f t="shared" si="18"/>
        <v>0</v>
      </c>
      <c r="AOO15" s="63">
        <f t="shared" si="18"/>
        <v>0</v>
      </c>
      <c r="AOP15" s="63">
        <f t="shared" si="18"/>
        <v>0</v>
      </c>
      <c r="AOQ15" s="63">
        <f t="shared" si="18"/>
        <v>0</v>
      </c>
      <c r="AOR15" s="63">
        <f t="shared" si="18"/>
        <v>0</v>
      </c>
      <c r="AOS15" s="63">
        <f t="shared" si="18"/>
        <v>0</v>
      </c>
      <c r="AOT15" s="63">
        <f t="shared" si="18"/>
        <v>0</v>
      </c>
      <c r="AOU15" s="63">
        <f t="shared" si="18"/>
        <v>0</v>
      </c>
      <c r="AOV15" s="63">
        <f t="shared" si="18"/>
        <v>0</v>
      </c>
      <c r="AOW15" s="63">
        <f t="shared" si="18"/>
        <v>0</v>
      </c>
      <c r="AOX15" s="63">
        <f t="shared" si="18"/>
        <v>0</v>
      </c>
      <c r="AOY15" s="63">
        <f t="shared" si="18"/>
        <v>0</v>
      </c>
      <c r="AOZ15" s="63">
        <f t="shared" ref="AOZ15:ARK15" si="19">AOY18</f>
        <v>0</v>
      </c>
      <c r="APA15" s="63">
        <f t="shared" si="19"/>
        <v>0</v>
      </c>
      <c r="APB15" s="63">
        <f t="shared" si="19"/>
        <v>0</v>
      </c>
      <c r="APC15" s="63">
        <f t="shared" si="19"/>
        <v>0</v>
      </c>
      <c r="APD15" s="63">
        <f t="shared" si="19"/>
        <v>0</v>
      </c>
      <c r="APE15" s="63">
        <f t="shared" si="19"/>
        <v>0</v>
      </c>
      <c r="APF15" s="63">
        <f t="shared" si="19"/>
        <v>0</v>
      </c>
      <c r="APG15" s="63">
        <f t="shared" si="19"/>
        <v>0</v>
      </c>
      <c r="APH15" s="63">
        <f t="shared" si="19"/>
        <v>0</v>
      </c>
      <c r="API15" s="63">
        <f t="shared" si="19"/>
        <v>0</v>
      </c>
      <c r="APJ15" s="63">
        <f t="shared" si="19"/>
        <v>0</v>
      </c>
      <c r="APK15" s="63">
        <f t="shared" si="19"/>
        <v>0</v>
      </c>
      <c r="APL15" s="63">
        <f t="shared" si="19"/>
        <v>0</v>
      </c>
      <c r="APM15" s="63">
        <f t="shared" si="19"/>
        <v>0</v>
      </c>
      <c r="APN15" s="63">
        <f t="shared" si="19"/>
        <v>0</v>
      </c>
      <c r="APO15" s="63">
        <f t="shared" si="19"/>
        <v>0</v>
      </c>
      <c r="APP15" s="63">
        <f t="shared" si="19"/>
        <v>0</v>
      </c>
      <c r="APQ15" s="63">
        <f t="shared" si="19"/>
        <v>0</v>
      </c>
      <c r="APR15" s="63">
        <f t="shared" si="19"/>
        <v>0</v>
      </c>
      <c r="APS15" s="63">
        <f t="shared" si="19"/>
        <v>0</v>
      </c>
      <c r="APT15" s="63">
        <f t="shared" si="19"/>
        <v>0</v>
      </c>
      <c r="APU15" s="63">
        <f t="shared" si="19"/>
        <v>0</v>
      </c>
      <c r="APV15" s="63">
        <f t="shared" si="19"/>
        <v>0</v>
      </c>
      <c r="APW15" s="63">
        <f t="shared" si="19"/>
        <v>0</v>
      </c>
      <c r="APX15" s="63">
        <f t="shared" si="19"/>
        <v>0</v>
      </c>
      <c r="APY15" s="63">
        <f t="shared" si="19"/>
        <v>0</v>
      </c>
      <c r="APZ15" s="63">
        <f t="shared" si="19"/>
        <v>0</v>
      </c>
      <c r="AQA15" s="63">
        <f t="shared" si="19"/>
        <v>0</v>
      </c>
      <c r="AQB15" s="63">
        <f t="shared" si="19"/>
        <v>0</v>
      </c>
      <c r="AQC15" s="63">
        <f t="shared" si="19"/>
        <v>0</v>
      </c>
      <c r="AQD15" s="63">
        <f t="shared" si="19"/>
        <v>0</v>
      </c>
      <c r="AQE15" s="63">
        <f t="shared" si="19"/>
        <v>0</v>
      </c>
      <c r="AQF15" s="63">
        <f t="shared" si="19"/>
        <v>0</v>
      </c>
      <c r="AQG15" s="63">
        <f t="shared" si="19"/>
        <v>0</v>
      </c>
      <c r="AQH15" s="63">
        <f t="shared" si="19"/>
        <v>0</v>
      </c>
      <c r="AQI15" s="63">
        <f t="shared" si="19"/>
        <v>0</v>
      </c>
      <c r="AQJ15" s="63">
        <f t="shared" si="19"/>
        <v>0</v>
      </c>
      <c r="AQK15" s="63">
        <f t="shared" si="19"/>
        <v>0</v>
      </c>
      <c r="AQL15" s="63">
        <f t="shared" si="19"/>
        <v>0</v>
      </c>
      <c r="AQM15" s="63">
        <f t="shared" si="19"/>
        <v>0</v>
      </c>
      <c r="AQN15" s="63">
        <f t="shared" si="19"/>
        <v>0</v>
      </c>
      <c r="AQO15" s="63">
        <f t="shared" si="19"/>
        <v>0</v>
      </c>
      <c r="AQP15" s="63">
        <f t="shared" si="19"/>
        <v>0</v>
      </c>
      <c r="AQQ15" s="63">
        <f t="shared" si="19"/>
        <v>0</v>
      </c>
      <c r="AQR15" s="63">
        <f t="shared" si="19"/>
        <v>0</v>
      </c>
      <c r="AQS15" s="63">
        <f t="shared" si="19"/>
        <v>0</v>
      </c>
      <c r="AQT15" s="63">
        <f t="shared" si="19"/>
        <v>0</v>
      </c>
      <c r="AQU15" s="63">
        <f t="shared" si="19"/>
        <v>0</v>
      </c>
      <c r="AQV15" s="63">
        <f t="shared" si="19"/>
        <v>0</v>
      </c>
      <c r="AQW15" s="63">
        <f t="shared" si="19"/>
        <v>0</v>
      </c>
      <c r="AQX15" s="63">
        <f t="shared" si="19"/>
        <v>0</v>
      </c>
      <c r="AQY15" s="63">
        <f t="shared" si="19"/>
        <v>0</v>
      </c>
      <c r="AQZ15" s="63">
        <f t="shared" si="19"/>
        <v>0</v>
      </c>
      <c r="ARA15" s="63">
        <f t="shared" si="19"/>
        <v>0</v>
      </c>
      <c r="ARB15" s="63">
        <f t="shared" si="19"/>
        <v>0</v>
      </c>
      <c r="ARC15" s="63">
        <f t="shared" si="19"/>
        <v>0</v>
      </c>
      <c r="ARD15" s="63">
        <f t="shared" si="19"/>
        <v>0</v>
      </c>
      <c r="ARE15" s="63">
        <f t="shared" si="19"/>
        <v>0</v>
      </c>
      <c r="ARF15" s="63">
        <f t="shared" si="19"/>
        <v>0</v>
      </c>
      <c r="ARG15" s="63">
        <f t="shared" si="19"/>
        <v>0</v>
      </c>
      <c r="ARH15" s="63">
        <f t="shared" si="19"/>
        <v>0</v>
      </c>
      <c r="ARI15" s="63">
        <f t="shared" si="19"/>
        <v>0</v>
      </c>
      <c r="ARJ15" s="63">
        <f t="shared" si="19"/>
        <v>0</v>
      </c>
      <c r="ARK15" s="63">
        <f t="shared" si="19"/>
        <v>0</v>
      </c>
      <c r="ARL15" s="63">
        <f t="shared" ref="ARL15:ATW15" si="20">ARK18</f>
        <v>0</v>
      </c>
      <c r="ARM15" s="63">
        <f t="shared" si="20"/>
        <v>0</v>
      </c>
      <c r="ARN15" s="63">
        <f t="shared" si="20"/>
        <v>0</v>
      </c>
      <c r="ARO15" s="63">
        <f t="shared" si="20"/>
        <v>0</v>
      </c>
      <c r="ARP15" s="63">
        <f t="shared" si="20"/>
        <v>0</v>
      </c>
      <c r="ARQ15" s="63">
        <f t="shared" si="20"/>
        <v>0</v>
      </c>
      <c r="ARR15" s="63">
        <f t="shared" si="20"/>
        <v>0</v>
      </c>
      <c r="ARS15" s="63">
        <f t="shared" si="20"/>
        <v>0</v>
      </c>
      <c r="ART15" s="63">
        <f t="shared" si="20"/>
        <v>0</v>
      </c>
      <c r="ARU15" s="63">
        <f t="shared" si="20"/>
        <v>0</v>
      </c>
      <c r="ARV15" s="63">
        <f t="shared" si="20"/>
        <v>0</v>
      </c>
      <c r="ARW15" s="63">
        <f t="shared" si="20"/>
        <v>0</v>
      </c>
      <c r="ARX15" s="63">
        <f t="shared" si="20"/>
        <v>0</v>
      </c>
      <c r="ARY15" s="63">
        <f t="shared" si="20"/>
        <v>0</v>
      </c>
      <c r="ARZ15" s="63">
        <f t="shared" si="20"/>
        <v>0</v>
      </c>
      <c r="ASA15" s="63">
        <f t="shared" si="20"/>
        <v>0</v>
      </c>
      <c r="ASB15" s="63">
        <f t="shared" si="20"/>
        <v>0</v>
      </c>
      <c r="ASC15" s="63">
        <f t="shared" si="20"/>
        <v>0</v>
      </c>
      <c r="ASD15" s="63">
        <f t="shared" si="20"/>
        <v>0</v>
      </c>
      <c r="ASE15" s="63">
        <f t="shared" si="20"/>
        <v>0</v>
      </c>
      <c r="ASF15" s="63">
        <f t="shared" si="20"/>
        <v>0</v>
      </c>
      <c r="ASG15" s="63">
        <f t="shared" si="20"/>
        <v>0</v>
      </c>
      <c r="ASH15" s="63">
        <f t="shared" si="20"/>
        <v>0</v>
      </c>
      <c r="ASI15" s="63">
        <f t="shared" si="20"/>
        <v>0</v>
      </c>
      <c r="ASJ15" s="63">
        <f t="shared" si="20"/>
        <v>0</v>
      </c>
      <c r="ASK15" s="63">
        <f t="shared" si="20"/>
        <v>0</v>
      </c>
      <c r="ASL15" s="63">
        <f t="shared" si="20"/>
        <v>0</v>
      </c>
      <c r="ASM15" s="63">
        <f t="shared" si="20"/>
        <v>0</v>
      </c>
      <c r="ASN15" s="63">
        <f t="shared" si="20"/>
        <v>0</v>
      </c>
      <c r="ASO15" s="63">
        <f t="shared" si="20"/>
        <v>0</v>
      </c>
      <c r="ASP15" s="63">
        <f t="shared" si="20"/>
        <v>0</v>
      </c>
      <c r="ASQ15" s="63">
        <f t="shared" si="20"/>
        <v>0</v>
      </c>
      <c r="ASR15" s="63">
        <f t="shared" si="20"/>
        <v>0</v>
      </c>
      <c r="ASS15" s="63">
        <f t="shared" si="20"/>
        <v>0</v>
      </c>
      <c r="AST15" s="63">
        <f t="shared" si="20"/>
        <v>0</v>
      </c>
      <c r="ASU15" s="63">
        <f t="shared" si="20"/>
        <v>0</v>
      </c>
      <c r="ASV15" s="63">
        <f t="shared" si="20"/>
        <v>0</v>
      </c>
      <c r="ASW15" s="63">
        <f t="shared" si="20"/>
        <v>0</v>
      </c>
      <c r="ASX15" s="63">
        <f t="shared" si="20"/>
        <v>0</v>
      </c>
      <c r="ASY15" s="63">
        <f t="shared" si="20"/>
        <v>0</v>
      </c>
      <c r="ASZ15" s="63">
        <f t="shared" si="20"/>
        <v>0</v>
      </c>
      <c r="ATA15" s="63">
        <f t="shared" si="20"/>
        <v>0</v>
      </c>
      <c r="ATB15" s="63">
        <f t="shared" si="20"/>
        <v>0</v>
      </c>
      <c r="ATC15" s="63">
        <f t="shared" si="20"/>
        <v>0</v>
      </c>
      <c r="ATD15" s="63">
        <f t="shared" si="20"/>
        <v>0</v>
      </c>
      <c r="ATE15" s="63">
        <f t="shared" si="20"/>
        <v>0</v>
      </c>
      <c r="ATF15" s="63">
        <f t="shared" si="20"/>
        <v>0</v>
      </c>
      <c r="ATG15" s="63">
        <f t="shared" si="20"/>
        <v>0</v>
      </c>
      <c r="ATH15" s="63">
        <f t="shared" si="20"/>
        <v>0</v>
      </c>
      <c r="ATI15" s="63">
        <f t="shared" si="20"/>
        <v>0</v>
      </c>
      <c r="ATJ15" s="63">
        <f t="shared" si="20"/>
        <v>0</v>
      </c>
      <c r="ATK15" s="63">
        <f t="shared" si="20"/>
        <v>0</v>
      </c>
      <c r="ATL15" s="63">
        <f t="shared" si="20"/>
        <v>0</v>
      </c>
      <c r="ATM15" s="63">
        <f t="shared" si="20"/>
        <v>0</v>
      </c>
      <c r="ATN15" s="63">
        <f t="shared" si="20"/>
        <v>0</v>
      </c>
      <c r="ATO15" s="63">
        <f t="shared" si="20"/>
        <v>0</v>
      </c>
      <c r="ATP15" s="63">
        <f t="shared" si="20"/>
        <v>0</v>
      </c>
      <c r="ATQ15" s="63">
        <f t="shared" si="20"/>
        <v>0</v>
      </c>
      <c r="ATR15" s="63">
        <f t="shared" si="20"/>
        <v>0</v>
      </c>
      <c r="ATS15" s="63">
        <f t="shared" si="20"/>
        <v>0</v>
      </c>
      <c r="ATT15" s="63">
        <f t="shared" si="20"/>
        <v>0</v>
      </c>
      <c r="ATU15" s="63">
        <f t="shared" si="20"/>
        <v>0</v>
      </c>
      <c r="ATV15" s="63">
        <f t="shared" si="20"/>
        <v>0</v>
      </c>
      <c r="ATW15" s="63">
        <f t="shared" si="20"/>
        <v>0</v>
      </c>
      <c r="ATX15" s="63">
        <f t="shared" ref="ATX15:AWI15" si="21">ATW18</f>
        <v>0</v>
      </c>
      <c r="ATY15" s="63">
        <f t="shared" si="21"/>
        <v>0</v>
      </c>
      <c r="ATZ15" s="63">
        <f t="shared" si="21"/>
        <v>0</v>
      </c>
      <c r="AUA15" s="63">
        <f t="shared" si="21"/>
        <v>0</v>
      </c>
      <c r="AUB15" s="63">
        <f t="shared" si="21"/>
        <v>0</v>
      </c>
      <c r="AUC15" s="63">
        <f t="shared" si="21"/>
        <v>0</v>
      </c>
      <c r="AUD15" s="63">
        <f t="shared" si="21"/>
        <v>0</v>
      </c>
      <c r="AUE15" s="63">
        <f t="shared" si="21"/>
        <v>0</v>
      </c>
      <c r="AUF15" s="63">
        <f t="shared" si="21"/>
        <v>0</v>
      </c>
      <c r="AUG15" s="63">
        <f t="shared" si="21"/>
        <v>0</v>
      </c>
      <c r="AUH15" s="63">
        <f t="shared" si="21"/>
        <v>0</v>
      </c>
      <c r="AUI15" s="63">
        <f t="shared" si="21"/>
        <v>0</v>
      </c>
      <c r="AUJ15" s="63">
        <f t="shared" si="21"/>
        <v>0</v>
      </c>
      <c r="AUK15" s="63">
        <f t="shared" si="21"/>
        <v>0</v>
      </c>
      <c r="AUL15" s="63">
        <f t="shared" si="21"/>
        <v>0</v>
      </c>
      <c r="AUM15" s="63">
        <f t="shared" si="21"/>
        <v>0</v>
      </c>
      <c r="AUN15" s="63">
        <f t="shared" si="21"/>
        <v>0</v>
      </c>
      <c r="AUO15" s="63">
        <f t="shared" si="21"/>
        <v>0</v>
      </c>
      <c r="AUP15" s="63">
        <f t="shared" si="21"/>
        <v>0</v>
      </c>
      <c r="AUQ15" s="63">
        <f t="shared" si="21"/>
        <v>0</v>
      </c>
      <c r="AUR15" s="63">
        <f t="shared" si="21"/>
        <v>0</v>
      </c>
      <c r="AUS15" s="63">
        <f t="shared" si="21"/>
        <v>0</v>
      </c>
      <c r="AUT15" s="63">
        <f t="shared" si="21"/>
        <v>0</v>
      </c>
      <c r="AUU15" s="63">
        <f t="shared" si="21"/>
        <v>0</v>
      </c>
      <c r="AUV15" s="63">
        <f t="shared" si="21"/>
        <v>0</v>
      </c>
      <c r="AUW15" s="63">
        <f t="shared" si="21"/>
        <v>0</v>
      </c>
      <c r="AUX15" s="63">
        <f t="shared" si="21"/>
        <v>0</v>
      </c>
      <c r="AUY15" s="63">
        <f t="shared" si="21"/>
        <v>0</v>
      </c>
      <c r="AUZ15" s="63">
        <f t="shared" si="21"/>
        <v>0</v>
      </c>
      <c r="AVA15" s="63">
        <f t="shared" si="21"/>
        <v>0</v>
      </c>
      <c r="AVB15" s="63">
        <f t="shared" si="21"/>
        <v>0</v>
      </c>
      <c r="AVC15" s="63">
        <f t="shared" si="21"/>
        <v>0</v>
      </c>
      <c r="AVD15" s="63">
        <f t="shared" si="21"/>
        <v>0</v>
      </c>
      <c r="AVE15" s="63">
        <f t="shared" si="21"/>
        <v>0</v>
      </c>
      <c r="AVF15" s="63">
        <f t="shared" si="21"/>
        <v>0</v>
      </c>
      <c r="AVG15" s="63">
        <f t="shared" si="21"/>
        <v>0</v>
      </c>
      <c r="AVH15" s="63">
        <f t="shared" si="21"/>
        <v>0</v>
      </c>
      <c r="AVI15" s="63">
        <f t="shared" si="21"/>
        <v>0</v>
      </c>
      <c r="AVJ15" s="63">
        <f t="shared" si="21"/>
        <v>0</v>
      </c>
      <c r="AVK15" s="63">
        <f t="shared" si="21"/>
        <v>0</v>
      </c>
      <c r="AVL15" s="63">
        <f t="shared" si="21"/>
        <v>0</v>
      </c>
      <c r="AVM15" s="63">
        <f t="shared" si="21"/>
        <v>0</v>
      </c>
      <c r="AVN15" s="63">
        <f t="shared" si="21"/>
        <v>0</v>
      </c>
      <c r="AVO15" s="63">
        <f t="shared" si="21"/>
        <v>0</v>
      </c>
      <c r="AVP15" s="63">
        <f t="shared" si="21"/>
        <v>0</v>
      </c>
      <c r="AVQ15" s="63">
        <f t="shared" si="21"/>
        <v>0</v>
      </c>
      <c r="AVR15" s="63">
        <f t="shared" si="21"/>
        <v>0</v>
      </c>
      <c r="AVS15" s="63">
        <f t="shared" si="21"/>
        <v>0</v>
      </c>
      <c r="AVT15" s="63">
        <f t="shared" si="21"/>
        <v>0</v>
      </c>
      <c r="AVU15" s="63">
        <f t="shared" si="21"/>
        <v>0</v>
      </c>
      <c r="AVV15" s="63">
        <f t="shared" si="21"/>
        <v>0</v>
      </c>
      <c r="AVW15" s="63">
        <f t="shared" si="21"/>
        <v>0</v>
      </c>
      <c r="AVX15" s="63">
        <f t="shared" si="21"/>
        <v>0</v>
      </c>
      <c r="AVY15" s="63">
        <f t="shared" si="21"/>
        <v>0</v>
      </c>
      <c r="AVZ15" s="63">
        <f t="shared" si="21"/>
        <v>0</v>
      </c>
      <c r="AWA15" s="63">
        <f t="shared" si="21"/>
        <v>0</v>
      </c>
      <c r="AWB15" s="63">
        <f t="shared" si="21"/>
        <v>0</v>
      </c>
      <c r="AWC15" s="63">
        <f t="shared" si="21"/>
        <v>0</v>
      </c>
      <c r="AWD15" s="63">
        <f t="shared" si="21"/>
        <v>0</v>
      </c>
      <c r="AWE15" s="63">
        <f t="shared" si="21"/>
        <v>0</v>
      </c>
      <c r="AWF15" s="63">
        <f t="shared" si="21"/>
        <v>0</v>
      </c>
      <c r="AWG15" s="63">
        <f t="shared" si="21"/>
        <v>0</v>
      </c>
      <c r="AWH15" s="63">
        <f t="shared" si="21"/>
        <v>0</v>
      </c>
      <c r="AWI15" s="63">
        <f t="shared" si="21"/>
        <v>0</v>
      </c>
      <c r="AWJ15" s="63">
        <f t="shared" ref="AWJ15:AYU15" si="22">AWI18</f>
        <v>0</v>
      </c>
      <c r="AWK15" s="63">
        <f t="shared" si="22"/>
        <v>0</v>
      </c>
      <c r="AWL15" s="63">
        <f t="shared" si="22"/>
        <v>0</v>
      </c>
      <c r="AWM15" s="63">
        <f t="shared" si="22"/>
        <v>0</v>
      </c>
      <c r="AWN15" s="63">
        <f t="shared" si="22"/>
        <v>0</v>
      </c>
      <c r="AWO15" s="63">
        <f t="shared" si="22"/>
        <v>0</v>
      </c>
      <c r="AWP15" s="63">
        <f t="shared" si="22"/>
        <v>0</v>
      </c>
      <c r="AWQ15" s="63">
        <f t="shared" si="22"/>
        <v>0</v>
      </c>
      <c r="AWR15" s="63">
        <f t="shared" si="22"/>
        <v>0</v>
      </c>
      <c r="AWS15" s="63">
        <f t="shared" si="22"/>
        <v>0</v>
      </c>
      <c r="AWT15" s="63">
        <f t="shared" si="22"/>
        <v>0</v>
      </c>
      <c r="AWU15" s="63">
        <f t="shared" si="22"/>
        <v>0</v>
      </c>
      <c r="AWV15" s="63">
        <f t="shared" si="22"/>
        <v>0</v>
      </c>
      <c r="AWW15" s="63">
        <f t="shared" si="22"/>
        <v>0</v>
      </c>
      <c r="AWX15" s="63">
        <f t="shared" si="22"/>
        <v>0</v>
      </c>
      <c r="AWY15" s="63">
        <f t="shared" si="22"/>
        <v>0</v>
      </c>
      <c r="AWZ15" s="63">
        <f t="shared" si="22"/>
        <v>0</v>
      </c>
      <c r="AXA15" s="63">
        <f t="shared" si="22"/>
        <v>0</v>
      </c>
      <c r="AXB15" s="63">
        <f t="shared" si="22"/>
        <v>0</v>
      </c>
      <c r="AXC15" s="63">
        <f t="shared" si="22"/>
        <v>0</v>
      </c>
      <c r="AXD15" s="63">
        <f t="shared" si="22"/>
        <v>0</v>
      </c>
      <c r="AXE15" s="63">
        <f t="shared" si="22"/>
        <v>0</v>
      </c>
      <c r="AXF15" s="63">
        <f t="shared" si="22"/>
        <v>0</v>
      </c>
      <c r="AXG15" s="63">
        <f t="shared" si="22"/>
        <v>0</v>
      </c>
      <c r="AXH15" s="63">
        <f t="shared" si="22"/>
        <v>0</v>
      </c>
      <c r="AXI15" s="63">
        <f t="shared" si="22"/>
        <v>0</v>
      </c>
      <c r="AXJ15" s="63">
        <f t="shared" si="22"/>
        <v>0</v>
      </c>
      <c r="AXK15" s="63">
        <f t="shared" si="22"/>
        <v>0</v>
      </c>
      <c r="AXL15" s="63">
        <f t="shared" si="22"/>
        <v>0</v>
      </c>
      <c r="AXM15" s="63">
        <f t="shared" si="22"/>
        <v>0</v>
      </c>
      <c r="AXN15" s="63">
        <f t="shared" si="22"/>
        <v>0</v>
      </c>
      <c r="AXO15" s="63">
        <f t="shared" si="22"/>
        <v>0</v>
      </c>
      <c r="AXP15" s="63">
        <f t="shared" si="22"/>
        <v>0</v>
      </c>
      <c r="AXQ15" s="63">
        <f t="shared" si="22"/>
        <v>0</v>
      </c>
      <c r="AXR15" s="63">
        <f t="shared" si="22"/>
        <v>0</v>
      </c>
      <c r="AXS15" s="63">
        <f t="shared" si="22"/>
        <v>0</v>
      </c>
      <c r="AXT15" s="63">
        <f t="shared" si="22"/>
        <v>0</v>
      </c>
      <c r="AXU15" s="63">
        <f t="shared" si="22"/>
        <v>0</v>
      </c>
      <c r="AXV15" s="63">
        <f t="shared" si="22"/>
        <v>0</v>
      </c>
      <c r="AXW15" s="63">
        <f t="shared" si="22"/>
        <v>0</v>
      </c>
      <c r="AXX15" s="63">
        <f t="shared" si="22"/>
        <v>0</v>
      </c>
      <c r="AXY15" s="63">
        <f t="shared" si="22"/>
        <v>0</v>
      </c>
      <c r="AXZ15" s="63">
        <f t="shared" si="22"/>
        <v>0</v>
      </c>
      <c r="AYA15" s="63">
        <f t="shared" si="22"/>
        <v>0</v>
      </c>
      <c r="AYB15" s="63">
        <f t="shared" si="22"/>
        <v>0</v>
      </c>
      <c r="AYC15" s="63">
        <f t="shared" si="22"/>
        <v>0</v>
      </c>
      <c r="AYD15" s="63">
        <f t="shared" si="22"/>
        <v>0</v>
      </c>
      <c r="AYE15" s="63">
        <f t="shared" si="22"/>
        <v>0</v>
      </c>
      <c r="AYF15" s="63">
        <f t="shared" si="22"/>
        <v>0</v>
      </c>
      <c r="AYG15" s="63">
        <f t="shared" si="22"/>
        <v>0</v>
      </c>
      <c r="AYH15" s="63">
        <f t="shared" si="22"/>
        <v>0</v>
      </c>
      <c r="AYI15" s="63">
        <f t="shared" si="22"/>
        <v>0</v>
      </c>
      <c r="AYJ15" s="63">
        <f t="shared" si="22"/>
        <v>0</v>
      </c>
      <c r="AYK15" s="63">
        <f t="shared" si="22"/>
        <v>0</v>
      </c>
      <c r="AYL15" s="63">
        <f t="shared" si="22"/>
        <v>0</v>
      </c>
      <c r="AYM15" s="63">
        <f t="shared" si="22"/>
        <v>0</v>
      </c>
      <c r="AYN15" s="63">
        <f t="shared" si="22"/>
        <v>0</v>
      </c>
      <c r="AYO15" s="63">
        <f t="shared" si="22"/>
        <v>0</v>
      </c>
      <c r="AYP15" s="63">
        <f t="shared" si="22"/>
        <v>0</v>
      </c>
      <c r="AYQ15" s="63">
        <f t="shared" si="22"/>
        <v>0</v>
      </c>
      <c r="AYR15" s="63">
        <f t="shared" si="22"/>
        <v>0</v>
      </c>
      <c r="AYS15" s="63">
        <f t="shared" si="22"/>
        <v>0</v>
      </c>
      <c r="AYT15" s="63">
        <f t="shared" si="22"/>
        <v>0</v>
      </c>
      <c r="AYU15" s="63">
        <f t="shared" si="22"/>
        <v>0</v>
      </c>
      <c r="AYV15" s="63">
        <f t="shared" ref="AYV15:BBG15" si="23">AYU18</f>
        <v>0</v>
      </c>
      <c r="AYW15" s="63">
        <f t="shared" si="23"/>
        <v>0</v>
      </c>
      <c r="AYX15" s="63">
        <f t="shared" si="23"/>
        <v>0</v>
      </c>
      <c r="AYY15" s="63">
        <f t="shared" si="23"/>
        <v>0</v>
      </c>
      <c r="AYZ15" s="63">
        <f t="shared" si="23"/>
        <v>0</v>
      </c>
      <c r="AZA15" s="63">
        <f t="shared" si="23"/>
        <v>0</v>
      </c>
      <c r="AZB15" s="63">
        <f t="shared" si="23"/>
        <v>0</v>
      </c>
      <c r="AZC15" s="63">
        <f t="shared" si="23"/>
        <v>0</v>
      </c>
      <c r="AZD15" s="63">
        <f t="shared" si="23"/>
        <v>0</v>
      </c>
      <c r="AZE15" s="63">
        <f t="shared" si="23"/>
        <v>0</v>
      </c>
      <c r="AZF15" s="63">
        <f t="shared" si="23"/>
        <v>0</v>
      </c>
      <c r="AZG15" s="63">
        <f t="shared" si="23"/>
        <v>0</v>
      </c>
      <c r="AZH15" s="63">
        <f t="shared" si="23"/>
        <v>0</v>
      </c>
      <c r="AZI15" s="63">
        <f t="shared" si="23"/>
        <v>0</v>
      </c>
      <c r="AZJ15" s="63">
        <f t="shared" si="23"/>
        <v>0</v>
      </c>
      <c r="AZK15" s="63">
        <f t="shared" si="23"/>
        <v>0</v>
      </c>
      <c r="AZL15" s="63">
        <f t="shared" si="23"/>
        <v>0</v>
      </c>
      <c r="AZM15" s="63">
        <f t="shared" si="23"/>
        <v>0</v>
      </c>
      <c r="AZN15" s="63">
        <f t="shared" si="23"/>
        <v>0</v>
      </c>
      <c r="AZO15" s="63">
        <f t="shared" si="23"/>
        <v>0</v>
      </c>
      <c r="AZP15" s="63">
        <f t="shared" si="23"/>
        <v>0</v>
      </c>
      <c r="AZQ15" s="63">
        <f t="shared" si="23"/>
        <v>0</v>
      </c>
      <c r="AZR15" s="63">
        <f t="shared" si="23"/>
        <v>0</v>
      </c>
      <c r="AZS15" s="63">
        <f t="shared" si="23"/>
        <v>0</v>
      </c>
      <c r="AZT15" s="63">
        <f t="shared" si="23"/>
        <v>0</v>
      </c>
      <c r="AZU15" s="63">
        <f t="shared" si="23"/>
        <v>0</v>
      </c>
      <c r="AZV15" s="63">
        <f t="shared" si="23"/>
        <v>0</v>
      </c>
      <c r="AZW15" s="63">
        <f t="shared" si="23"/>
        <v>0</v>
      </c>
      <c r="AZX15" s="63">
        <f t="shared" si="23"/>
        <v>0</v>
      </c>
      <c r="AZY15" s="63">
        <f t="shared" si="23"/>
        <v>0</v>
      </c>
      <c r="AZZ15" s="63">
        <f t="shared" si="23"/>
        <v>0</v>
      </c>
      <c r="BAA15" s="63">
        <f t="shared" si="23"/>
        <v>0</v>
      </c>
      <c r="BAB15" s="63">
        <f t="shared" si="23"/>
        <v>0</v>
      </c>
      <c r="BAC15" s="63">
        <f t="shared" si="23"/>
        <v>0</v>
      </c>
      <c r="BAD15" s="63">
        <f t="shared" si="23"/>
        <v>0</v>
      </c>
      <c r="BAE15" s="63">
        <f t="shared" si="23"/>
        <v>0</v>
      </c>
      <c r="BAF15" s="63">
        <f t="shared" si="23"/>
        <v>0</v>
      </c>
      <c r="BAG15" s="63">
        <f t="shared" si="23"/>
        <v>0</v>
      </c>
      <c r="BAH15" s="63">
        <f t="shared" si="23"/>
        <v>0</v>
      </c>
      <c r="BAI15" s="63">
        <f t="shared" si="23"/>
        <v>0</v>
      </c>
      <c r="BAJ15" s="63">
        <f t="shared" si="23"/>
        <v>0</v>
      </c>
      <c r="BAK15" s="63">
        <f t="shared" si="23"/>
        <v>0</v>
      </c>
      <c r="BAL15" s="63">
        <f t="shared" si="23"/>
        <v>0</v>
      </c>
      <c r="BAM15" s="63">
        <f t="shared" si="23"/>
        <v>0</v>
      </c>
      <c r="BAN15" s="63">
        <f t="shared" si="23"/>
        <v>0</v>
      </c>
      <c r="BAO15" s="63">
        <f t="shared" si="23"/>
        <v>0</v>
      </c>
      <c r="BAP15" s="63">
        <f t="shared" si="23"/>
        <v>0</v>
      </c>
      <c r="BAQ15" s="63">
        <f t="shared" si="23"/>
        <v>0</v>
      </c>
      <c r="BAR15" s="63">
        <f t="shared" si="23"/>
        <v>0</v>
      </c>
      <c r="BAS15" s="63">
        <f t="shared" si="23"/>
        <v>0</v>
      </c>
      <c r="BAT15" s="63">
        <f t="shared" si="23"/>
        <v>0</v>
      </c>
      <c r="BAU15" s="63">
        <f t="shared" si="23"/>
        <v>0</v>
      </c>
      <c r="BAV15" s="63">
        <f t="shared" si="23"/>
        <v>0</v>
      </c>
      <c r="BAW15" s="63">
        <f t="shared" si="23"/>
        <v>0</v>
      </c>
      <c r="BAX15" s="63">
        <f t="shared" si="23"/>
        <v>0</v>
      </c>
      <c r="BAY15" s="63">
        <f t="shared" si="23"/>
        <v>0</v>
      </c>
      <c r="BAZ15" s="63">
        <f t="shared" si="23"/>
        <v>0</v>
      </c>
      <c r="BBA15" s="63">
        <f t="shared" si="23"/>
        <v>0</v>
      </c>
      <c r="BBB15" s="63">
        <f t="shared" si="23"/>
        <v>0</v>
      </c>
      <c r="BBC15" s="63">
        <f t="shared" si="23"/>
        <v>0</v>
      </c>
      <c r="BBD15" s="63">
        <f t="shared" si="23"/>
        <v>0</v>
      </c>
      <c r="BBE15" s="63">
        <f t="shared" si="23"/>
        <v>0</v>
      </c>
      <c r="BBF15" s="63">
        <f t="shared" si="23"/>
        <v>0</v>
      </c>
      <c r="BBG15" s="63">
        <f t="shared" si="23"/>
        <v>0</v>
      </c>
      <c r="BBH15" s="63">
        <f t="shared" ref="BBH15:BDS15" si="24">BBG18</f>
        <v>0</v>
      </c>
      <c r="BBI15" s="63">
        <f t="shared" si="24"/>
        <v>0</v>
      </c>
      <c r="BBJ15" s="63">
        <f t="shared" si="24"/>
        <v>0</v>
      </c>
      <c r="BBK15" s="63">
        <f t="shared" si="24"/>
        <v>0</v>
      </c>
      <c r="BBL15" s="63">
        <f t="shared" si="24"/>
        <v>0</v>
      </c>
      <c r="BBM15" s="63">
        <f t="shared" si="24"/>
        <v>0</v>
      </c>
      <c r="BBN15" s="63">
        <f t="shared" si="24"/>
        <v>0</v>
      </c>
      <c r="BBO15" s="63">
        <f t="shared" si="24"/>
        <v>0</v>
      </c>
      <c r="BBP15" s="63">
        <f t="shared" si="24"/>
        <v>0</v>
      </c>
      <c r="BBQ15" s="63">
        <f t="shared" si="24"/>
        <v>0</v>
      </c>
      <c r="BBR15" s="63">
        <f t="shared" si="24"/>
        <v>0</v>
      </c>
      <c r="BBS15" s="63">
        <f t="shared" si="24"/>
        <v>0</v>
      </c>
      <c r="BBT15" s="63">
        <f t="shared" si="24"/>
        <v>0</v>
      </c>
      <c r="BBU15" s="63">
        <f t="shared" si="24"/>
        <v>0</v>
      </c>
      <c r="BBV15" s="63">
        <f t="shared" si="24"/>
        <v>0</v>
      </c>
      <c r="BBW15" s="63">
        <f t="shared" si="24"/>
        <v>0</v>
      </c>
      <c r="BBX15" s="63">
        <f t="shared" si="24"/>
        <v>0</v>
      </c>
      <c r="BBY15" s="63">
        <f t="shared" si="24"/>
        <v>0</v>
      </c>
      <c r="BBZ15" s="63">
        <f t="shared" si="24"/>
        <v>0</v>
      </c>
      <c r="BCA15" s="63">
        <f t="shared" si="24"/>
        <v>0</v>
      </c>
      <c r="BCB15" s="63">
        <f t="shared" si="24"/>
        <v>0</v>
      </c>
      <c r="BCC15" s="63">
        <f t="shared" si="24"/>
        <v>0</v>
      </c>
      <c r="BCD15" s="63">
        <f t="shared" si="24"/>
        <v>0</v>
      </c>
      <c r="BCE15" s="63">
        <f t="shared" si="24"/>
        <v>0</v>
      </c>
      <c r="BCF15" s="63">
        <f t="shared" si="24"/>
        <v>0</v>
      </c>
      <c r="BCG15" s="63">
        <f t="shared" si="24"/>
        <v>0</v>
      </c>
      <c r="BCH15" s="63">
        <f t="shared" si="24"/>
        <v>0</v>
      </c>
      <c r="BCI15" s="63">
        <f t="shared" si="24"/>
        <v>0</v>
      </c>
      <c r="BCJ15" s="63">
        <f t="shared" si="24"/>
        <v>0</v>
      </c>
      <c r="BCK15" s="63">
        <f t="shared" si="24"/>
        <v>0</v>
      </c>
      <c r="BCL15" s="63">
        <f t="shared" si="24"/>
        <v>0</v>
      </c>
      <c r="BCM15" s="63">
        <f t="shared" si="24"/>
        <v>0</v>
      </c>
      <c r="BCN15" s="63">
        <f t="shared" si="24"/>
        <v>0</v>
      </c>
      <c r="BCO15" s="63">
        <f t="shared" si="24"/>
        <v>0</v>
      </c>
      <c r="BCP15" s="63">
        <f t="shared" si="24"/>
        <v>0</v>
      </c>
      <c r="BCQ15" s="63">
        <f t="shared" si="24"/>
        <v>0</v>
      </c>
      <c r="BCR15" s="63">
        <f t="shared" si="24"/>
        <v>0</v>
      </c>
      <c r="BCS15" s="63">
        <f t="shared" si="24"/>
        <v>0</v>
      </c>
      <c r="BCT15" s="63">
        <f t="shared" si="24"/>
        <v>0</v>
      </c>
      <c r="BCU15" s="63">
        <f t="shared" si="24"/>
        <v>0</v>
      </c>
      <c r="BCV15" s="63">
        <f t="shared" si="24"/>
        <v>0</v>
      </c>
      <c r="BCW15" s="63">
        <f t="shared" si="24"/>
        <v>0</v>
      </c>
      <c r="BCX15" s="63">
        <f t="shared" si="24"/>
        <v>0</v>
      </c>
      <c r="BCY15" s="63">
        <f t="shared" si="24"/>
        <v>0</v>
      </c>
      <c r="BCZ15" s="63">
        <f t="shared" si="24"/>
        <v>0</v>
      </c>
      <c r="BDA15" s="63">
        <f t="shared" si="24"/>
        <v>0</v>
      </c>
      <c r="BDB15" s="63">
        <f t="shared" si="24"/>
        <v>0</v>
      </c>
      <c r="BDC15" s="63">
        <f t="shared" si="24"/>
        <v>0</v>
      </c>
      <c r="BDD15" s="63">
        <f t="shared" si="24"/>
        <v>0</v>
      </c>
      <c r="BDE15" s="63">
        <f t="shared" si="24"/>
        <v>0</v>
      </c>
      <c r="BDF15" s="63">
        <f t="shared" si="24"/>
        <v>0</v>
      </c>
      <c r="BDG15" s="63">
        <f t="shared" si="24"/>
        <v>0</v>
      </c>
      <c r="BDH15" s="63">
        <f t="shared" si="24"/>
        <v>0</v>
      </c>
      <c r="BDI15" s="63">
        <f t="shared" si="24"/>
        <v>0</v>
      </c>
      <c r="BDJ15" s="63">
        <f t="shared" si="24"/>
        <v>0</v>
      </c>
      <c r="BDK15" s="63">
        <f t="shared" si="24"/>
        <v>0</v>
      </c>
      <c r="BDL15" s="63">
        <f t="shared" si="24"/>
        <v>0</v>
      </c>
      <c r="BDM15" s="63">
        <f t="shared" si="24"/>
        <v>0</v>
      </c>
      <c r="BDN15" s="63">
        <f t="shared" si="24"/>
        <v>0</v>
      </c>
      <c r="BDO15" s="63">
        <f t="shared" si="24"/>
        <v>0</v>
      </c>
      <c r="BDP15" s="63">
        <f t="shared" si="24"/>
        <v>0</v>
      </c>
      <c r="BDQ15" s="63">
        <f t="shared" si="24"/>
        <v>0</v>
      </c>
      <c r="BDR15" s="63">
        <f t="shared" si="24"/>
        <v>0</v>
      </c>
      <c r="BDS15" s="63">
        <f t="shared" si="24"/>
        <v>0</v>
      </c>
      <c r="BDT15" s="63">
        <f t="shared" ref="BDT15:BGE15" si="25">BDS18</f>
        <v>0</v>
      </c>
      <c r="BDU15" s="63">
        <f t="shared" si="25"/>
        <v>0</v>
      </c>
      <c r="BDV15" s="63">
        <f t="shared" si="25"/>
        <v>0</v>
      </c>
      <c r="BDW15" s="63">
        <f t="shared" si="25"/>
        <v>0</v>
      </c>
      <c r="BDX15" s="63">
        <f t="shared" si="25"/>
        <v>0</v>
      </c>
      <c r="BDY15" s="63">
        <f t="shared" si="25"/>
        <v>0</v>
      </c>
      <c r="BDZ15" s="63">
        <f t="shared" si="25"/>
        <v>0</v>
      </c>
      <c r="BEA15" s="63">
        <f t="shared" si="25"/>
        <v>0</v>
      </c>
      <c r="BEB15" s="63">
        <f t="shared" si="25"/>
        <v>0</v>
      </c>
      <c r="BEC15" s="63">
        <f t="shared" si="25"/>
        <v>0</v>
      </c>
      <c r="BED15" s="63">
        <f t="shared" si="25"/>
        <v>0</v>
      </c>
      <c r="BEE15" s="63">
        <f t="shared" si="25"/>
        <v>0</v>
      </c>
      <c r="BEF15" s="63">
        <f t="shared" si="25"/>
        <v>0</v>
      </c>
      <c r="BEG15" s="63">
        <f t="shared" si="25"/>
        <v>0</v>
      </c>
      <c r="BEH15" s="63">
        <f t="shared" si="25"/>
        <v>0</v>
      </c>
      <c r="BEI15" s="63">
        <f t="shared" si="25"/>
        <v>0</v>
      </c>
      <c r="BEJ15" s="63">
        <f t="shared" si="25"/>
        <v>0</v>
      </c>
      <c r="BEK15" s="63">
        <f t="shared" si="25"/>
        <v>0</v>
      </c>
      <c r="BEL15" s="63">
        <f t="shared" si="25"/>
        <v>0</v>
      </c>
      <c r="BEM15" s="63">
        <f t="shared" si="25"/>
        <v>0</v>
      </c>
      <c r="BEN15" s="63">
        <f t="shared" si="25"/>
        <v>0</v>
      </c>
      <c r="BEO15" s="63">
        <f t="shared" si="25"/>
        <v>0</v>
      </c>
      <c r="BEP15" s="63">
        <f t="shared" si="25"/>
        <v>0</v>
      </c>
      <c r="BEQ15" s="63">
        <f t="shared" si="25"/>
        <v>0</v>
      </c>
      <c r="BER15" s="63">
        <f t="shared" si="25"/>
        <v>0</v>
      </c>
      <c r="BES15" s="63">
        <f t="shared" si="25"/>
        <v>0</v>
      </c>
      <c r="BET15" s="63">
        <f t="shared" si="25"/>
        <v>0</v>
      </c>
      <c r="BEU15" s="63">
        <f t="shared" si="25"/>
        <v>0</v>
      </c>
      <c r="BEV15" s="63">
        <f t="shared" si="25"/>
        <v>0</v>
      </c>
      <c r="BEW15" s="63">
        <f t="shared" si="25"/>
        <v>0</v>
      </c>
      <c r="BEX15" s="63">
        <f t="shared" si="25"/>
        <v>0</v>
      </c>
      <c r="BEY15" s="63">
        <f t="shared" si="25"/>
        <v>0</v>
      </c>
      <c r="BEZ15" s="63">
        <f t="shared" si="25"/>
        <v>0</v>
      </c>
      <c r="BFA15" s="63">
        <f t="shared" si="25"/>
        <v>0</v>
      </c>
      <c r="BFB15" s="63">
        <f t="shared" si="25"/>
        <v>0</v>
      </c>
      <c r="BFC15" s="63">
        <f t="shared" si="25"/>
        <v>0</v>
      </c>
      <c r="BFD15" s="63">
        <f t="shared" si="25"/>
        <v>0</v>
      </c>
      <c r="BFE15" s="63">
        <f t="shared" si="25"/>
        <v>0</v>
      </c>
      <c r="BFF15" s="63">
        <f t="shared" si="25"/>
        <v>0</v>
      </c>
      <c r="BFG15" s="63">
        <f t="shared" si="25"/>
        <v>0</v>
      </c>
      <c r="BFH15" s="63">
        <f t="shared" si="25"/>
        <v>0</v>
      </c>
      <c r="BFI15" s="63">
        <f t="shared" si="25"/>
        <v>0</v>
      </c>
      <c r="BFJ15" s="63">
        <f t="shared" si="25"/>
        <v>0</v>
      </c>
      <c r="BFK15" s="63">
        <f t="shared" si="25"/>
        <v>0</v>
      </c>
      <c r="BFL15" s="63">
        <f t="shared" si="25"/>
        <v>0</v>
      </c>
      <c r="BFM15" s="63">
        <f t="shared" si="25"/>
        <v>0</v>
      </c>
      <c r="BFN15" s="63">
        <f t="shared" si="25"/>
        <v>0</v>
      </c>
      <c r="BFO15" s="63">
        <f t="shared" si="25"/>
        <v>0</v>
      </c>
      <c r="BFP15" s="63">
        <f t="shared" si="25"/>
        <v>0</v>
      </c>
      <c r="BFQ15" s="63">
        <f t="shared" si="25"/>
        <v>0</v>
      </c>
      <c r="BFR15" s="63">
        <f t="shared" si="25"/>
        <v>0</v>
      </c>
      <c r="BFS15" s="63">
        <f t="shared" si="25"/>
        <v>0</v>
      </c>
      <c r="BFT15" s="63">
        <f t="shared" si="25"/>
        <v>0</v>
      </c>
      <c r="BFU15" s="63">
        <f t="shared" si="25"/>
        <v>0</v>
      </c>
      <c r="BFV15" s="63">
        <f t="shared" si="25"/>
        <v>0</v>
      </c>
      <c r="BFW15" s="63">
        <f t="shared" si="25"/>
        <v>0</v>
      </c>
      <c r="BFX15" s="63">
        <f t="shared" si="25"/>
        <v>0</v>
      </c>
      <c r="BFY15" s="63">
        <f t="shared" si="25"/>
        <v>0</v>
      </c>
      <c r="BFZ15" s="63">
        <f t="shared" si="25"/>
        <v>0</v>
      </c>
      <c r="BGA15" s="63">
        <f t="shared" si="25"/>
        <v>0</v>
      </c>
      <c r="BGB15" s="63">
        <f t="shared" si="25"/>
        <v>0</v>
      </c>
      <c r="BGC15" s="63">
        <f t="shared" si="25"/>
        <v>0</v>
      </c>
      <c r="BGD15" s="63">
        <f t="shared" si="25"/>
        <v>0</v>
      </c>
      <c r="BGE15" s="63">
        <f t="shared" si="25"/>
        <v>0</v>
      </c>
      <c r="BGF15" s="63">
        <f t="shared" ref="BGF15:BIQ15" si="26">BGE18</f>
        <v>0</v>
      </c>
      <c r="BGG15" s="63">
        <f t="shared" si="26"/>
        <v>0</v>
      </c>
      <c r="BGH15" s="63">
        <f t="shared" si="26"/>
        <v>0</v>
      </c>
      <c r="BGI15" s="63">
        <f t="shared" si="26"/>
        <v>0</v>
      </c>
      <c r="BGJ15" s="63">
        <f t="shared" si="26"/>
        <v>0</v>
      </c>
      <c r="BGK15" s="63">
        <f t="shared" si="26"/>
        <v>0</v>
      </c>
      <c r="BGL15" s="63">
        <f t="shared" si="26"/>
        <v>0</v>
      </c>
      <c r="BGM15" s="63">
        <f t="shared" si="26"/>
        <v>0</v>
      </c>
      <c r="BGN15" s="63">
        <f t="shared" si="26"/>
        <v>0</v>
      </c>
      <c r="BGO15" s="63">
        <f t="shared" si="26"/>
        <v>0</v>
      </c>
      <c r="BGP15" s="63">
        <f t="shared" si="26"/>
        <v>0</v>
      </c>
      <c r="BGQ15" s="63">
        <f t="shared" si="26"/>
        <v>0</v>
      </c>
      <c r="BGR15" s="63">
        <f t="shared" si="26"/>
        <v>0</v>
      </c>
      <c r="BGS15" s="63">
        <f t="shared" si="26"/>
        <v>0</v>
      </c>
      <c r="BGT15" s="63">
        <f t="shared" si="26"/>
        <v>0</v>
      </c>
      <c r="BGU15" s="63">
        <f t="shared" si="26"/>
        <v>0</v>
      </c>
      <c r="BGV15" s="63">
        <f t="shared" si="26"/>
        <v>0</v>
      </c>
      <c r="BGW15" s="63">
        <f t="shared" si="26"/>
        <v>0</v>
      </c>
      <c r="BGX15" s="63">
        <f t="shared" si="26"/>
        <v>0</v>
      </c>
      <c r="BGY15" s="63">
        <f t="shared" si="26"/>
        <v>0</v>
      </c>
      <c r="BGZ15" s="63">
        <f t="shared" si="26"/>
        <v>0</v>
      </c>
      <c r="BHA15" s="63">
        <f t="shared" si="26"/>
        <v>0</v>
      </c>
      <c r="BHB15" s="63">
        <f t="shared" si="26"/>
        <v>0</v>
      </c>
      <c r="BHC15" s="63">
        <f t="shared" si="26"/>
        <v>0</v>
      </c>
      <c r="BHD15" s="63">
        <f t="shared" si="26"/>
        <v>0</v>
      </c>
      <c r="BHE15" s="63">
        <f t="shared" si="26"/>
        <v>0</v>
      </c>
      <c r="BHF15" s="63">
        <f t="shared" si="26"/>
        <v>0</v>
      </c>
      <c r="BHG15" s="63">
        <f t="shared" si="26"/>
        <v>0</v>
      </c>
      <c r="BHH15" s="63">
        <f t="shared" si="26"/>
        <v>0</v>
      </c>
      <c r="BHI15" s="63">
        <f t="shared" si="26"/>
        <v>0</v>
      </c>
      <c r="BHJ15" s="63">
        <f t="shared" si="26"/>
        <v>0</v>
      </c>
      <c r="BHK15" s="63">
        <f t="shared" si="26"/>
        <v>0</v>
      </c>
      <c r="BHL15" s="63">
        <f t="shared" si="26"/>
        <v>0</v>
      </c>
      <c r="BHM15" s="63">
        <f t="shared" si="26"/>
        <v>0</v>
      </c>
      <c r="BHN15" s="63">
        <f t="shared" si="26"/>
        <v>0</v>
      </c>
      <c r="BHO15" s="63">
        <f t="shared" si="26"/>
        <v>0</v>
      </c>
      <c r="BHP15" s="63">
        <f t="shared" si="26"/>
        <v>0</v>
      </c>
      <c r="BHQ15" s="63">
        <f t="shared" si="26"/>
        <v>0</v>
      </c>
      <c r="BHR15" s="63">
        <f t="shared" si="26"/>
        <v>0</v>
      </c>
      <c r="BHS15" s="63">
        <f t="shared" si="26"/>
        <v>0</v>
      </c>
      <c r="BHT15" s="63">
        <f t="shared" si="26"/>
        <v>0</v>
      </c>
      <c r="BHU15" s="63">
        <f t="shared" si="26"/>
        <v>0</v>
      </c>
      <c r="BHV15" s="63">
        <f t="shared" si="26"/>
        <v>0</v>
      </c>
      <c r="BHW15" s="63">
        <f t="shared" si="26"/>
        <v>0</v>
      </c>
      <c r="BHX15" s="63">
        <f t="shared" si="26"/>
        <v>0</v>
      </c>
      <c r="BHY15" s="63">
        <f t="shared" si="26"/>
        <v>0</v>
      </c>
      <c r="BHZ15" s="63">
        <f t="shared" si="26"/>
        <v>0</v>
      </c>
      <c r="BIA15" s="63">
        <f t="shared" si="26"/>
        <v>0</v>
      </c>
      <c r="BIB15" s="63">
        <f t="shared" si="26"/>
        <v>0</v>
      </c>
      <c r="BIC15" s="63">
        <f t="shared" si="26"/>
        <v>0</v>
      </c>
      <c r="BID15" s="63">
        <f t="shared" si="26"/>
        <v>0</v>
      </c>
      <c r="BIE15" s="63">
        <f t="shared" si="26"/>
        <v>0</v>
      </c>
      <c r="BIF15" s="63">
        <f t="shared" si="26"/>
        <v>0</v>
      </c>
      <c r="BIG15" s="63">
        <f t="shared" si="26"/>
        <v>0</v>
      </c>
      <c r="BIH15" s="63">
        <f t="shared" si="26"/>
        <v>0</v>
      </c>
      <c r="BII15" s="63">
        <f t="shared" si="26"/>
        <v>0</v>
      </c>
      <c r="BIJ15" s="63">
        <f t="shared" si="26"/>
        <v>0</v>
      </c>
      <c r="BIK15" s="63">
        <f t="shared" si="26"/>
        <v>0</v>
      </c>
      <c r="BIL15" s="63">
        <f t="shared" si="26"/>
        <v>0</v>
      </c>
      <c r="BIM15" s="63">
        <f t="shared" si="26"/>
        <v>0</v>
      </c>
      <c r="BIN15" s="63">
        <f t="shared" si="26"/>
        <v>0</v>
      </c>
      <c r="BIO15" s="63">
        <f t="shared" si="26"/>
        <v>0</v>
      </c>
      <c r="BIP15" s="63">
        <f t="shared" si="26"/>
        <v>0</v>
      </c>
      <c r="BIQ15" s="63">
        <f t="shared" si="26"/>
        <v>0</v>
      </c>
      <c r="BIR15" s="63">
        <f t="shared" ref="BIR15:BLC15" si="27">BIQ18</f>
        <v>0</v>
      </c>
      <c r="BIS15" s="63">
        <f t="shared" si="27"/>
        <v>0</v>
      </c>
      <c r="BIT15" s="63">
        <f t="shared" si="27"/>
        <v>0</v>
      </c>
      <c r="BIU15" s="63">
        <f t="shared" si="27"/>
        <v>0</v>
      </c>
      <c r="BIV15" s="63">
        <f t="shared" si="27"/>
        <v>0</v>
      </c>
      <c r="BIW15" s="63">
        <f t="shared" si="27"/>
        <v>0</v>
      </c>
      <c r="BIX15" s="63">
        <f t="shared" si="27"/>
        <v>0</v>
      </c>
      <c r="BIY15" s="63">
        <f t="shared" si="27"/>
        <v>0</v>
      </c>
      <c r="BIZ15" s="63">
        <f t="shared" si="27"/>
        <v>0</v>
      </c>
      <c r="BJA15" s="63">
        <f t="shared" si="27"/>
        <v>0</v>
      </c>
      <c r="BJB15" s="63">
        <f t="shared" si="27"/>
        <v>0</v>
      </c>
      <c r="BJC15" s="63">
        <f t="shared" si="27"/>
        <v>0</v>
      </c>
      <c r="BJD15" s="63">
        <f t="shared" si="27"/>
        <v>0</v>
      </c>
      <c r="BJE15" s="63">
        <f t="shared" si="27"/>
        <v>0</v>
      </c>
      <c r="BJF15" s="63">
        <f t="shared" si="27"/>
        <v>0</v>
      </c>
      <c r="BJG15" s="63">
        <f t="shared" si="27"/>
        <v>0</v>
      </c>
      <c r="BJH15" s="63">
        <f t="shared" si="27"/>
        <v>0</v>
      </c>
      <c r="BJI15" s="63">
        <f t="shared" si="27"/>
        <v>0</v>
      </c>
      <c r="BJJ15" s="63">
        <f t="shared" si="27"/>
        <v>0</v>
      </c>
      <c r="BJK15" s="63">
        <f t="shared" si="27"/>
        <v>0</v>
      </c>
      <c r="BJL15" s="63">
        <f t="shared" si="27"/>
        <v>0</v>
      </c>
      <c r="BJM15" s="63">
        <f t="shared" si="27"/>
        <v>0</v>
      </c>
      <c r="BJN15" s="63">
        <f t="shared" si="27"/>
        <v>0</v>
      </c>
      <c r="BJO15" s="63">
        <f t="shared" si="27"/>
        <v>0</v>
      </c>
      <c r="BJP15" s="63">
        <f t="shared" si="27"/>
        <v>0</v>
      </c>
      <c r="BJQ15" s="63">
        <f t="shared" si="27"/>
        <v>0</v>
      </c>
      <c r="BJR15" s="63">
        <f t="shared" si="27"/>
        <v>0</v>
      </c>
      <c r="BJS15" s="63">
        <f t="shared" si="27"/>
        <v>0</v>
      </c>
      <c r="BJT15" s="63">
        <f t="shared" si="27"/>
        <v>0</v>
      </c>
      <c r="BJU15" s="63">
        <f t="shared" si="27"/>
        <v>0</v>
      </c>
      <c r="BJV15" s="63">
        <f t="shared" si="27"/>
        <v>0</v>
      </c>
      <c r="BJW15" s="63">
        <f t="shared" si="27"/>
        <v>0</v>
      </c>
      <c r="BJX15" s="63">
        <f t="shared" si="27"/>
        <v>0</v>
      </c>
      <c r="BJY15" s="63">
        <f t="shared" si="27"/>
        <v>0</v>
      </c>
      <c r="BJZ15" s="63">
        <f t="shared" si="27"/>
        <v>0</v>
      </c>
      <c r="BKA15" s="63">
        <f t="shared" si="27"/>
        <v>0</v>
      </c>
      <c r="BKB15" s="63">
        <f t="shared" si="27"/>
        <v>0</v>
      </c>
      <c r="BKC15" s="63">
        <f t="shared" si="27"/>
        <v>0</v>
      </c>
      <c r="BKD15" s="63">
        <f t="shared" si="27"/>
        <v>0</v>
      </c>
      <c r="BKE15" s="63">
        <f t="shared" si="27"/>
        <v>0</v>
      </c>
      <c r="BKF15" s="63">
        <f t="shared" si="27"/>
        <v>0</v>
      </c>
      <c r="BKG15" s="63">
        <f t="shared" si="27"/>
        <v>0</v>
      </c>
      <c r="BKH15" s="63">
        <f t="shared" si="27"/>
        <v>0</v>
      </c>
      <c r="BKI15" s="63">
        <f t="shared" si="27"/>
        <v>0</v>
      </c>
      <c r="BKJ15" s="63">
        <f t="shared" si="27"/>
        <v>0</v>
      </c>
      <c r="BKK15" s="63">
        <f t="shared" si="27"/>
        <v>0</v>
      </c>
      <c r="BKL15" s="63">
        <f t="shared" si="27"/>
        <v>0</v>
      </c>
      <c r="BKM15" s="63">
        <f t="shared" si="27"/>
        <v>0</v>
      </c>
      <c r="BKN15" s="63">
        <f t="shared" si="27"/>
        <v>0</v>
      </c>
      <c r="BKO15" s="63">
        <f t="shared" si="27"/>
        <v>0</v>
      </c>
      <c r="BKP15" s="63">
        <f t="shared" si="27"/>
        <v>0</v>
      </c>
      <c r="BKQ15" s="63">
        <f t="shared" si="27"/>
        <v>0</v>
      </c>
      <c r="BKR15" s="63">
        <f t="shared" si="27"/>
        <v>0</v>
      </c>
      <c r="BKS15" s="63">
        <f t="shared" si="27"/>
        <v>0</v>
      </c>
      <c r="BKT15" s="63">
        <f t="shared" si="27"/>
        <v>0</v>
      </c>
      <c r="BKU15" s="63">
        <f t="shared" si="27"/>
        <v>0</v>
      </c>
      <c r="BKV15" s="63">
        <f t="shared" si="27"/>
        <v>0</v>
      </c>
      <c r="BKW15" s="63">
        <f t="shared" si="27"/>
        <v>0</v>
      </c>
      <c r="BKX15" s="63">
        <f t="shared" si="27"/>
        <v>0</v>
      </c>
      <c r="BKY15" s="63">
        <f t="shared" si="27"/>
        <v>0</v>
      </c>
      <c r="BKZ15" s="63">
        <f t="shared" si="27"/>
        <v>0</v>
      </c>
      <c r="BLA15" s="63">
        <f t="shared" si="27"/>
        <v>0</v>
      </c>
      <c r="BLB15" s="63">
        <f t="shared" si="27"/>
        <v>0</v>
      </c>
      <c r="BLC15" s="63">
        <f t="shared" si="27"/>
        <v>0</v>
      </c>
      <c r="BLD15" s="63">
        <f t="shared" ref="BLD15:BNO15" si="28">BLC18</f>
        <v>0</v>
      </c>
      <c r="BLE15" s="63">
        <f t="shared" si="28"/>
        <v>0</v>
      </c>
      <c r="BLF15" s="63">
        <f t="shared" si="28"/>
        <v>0</v>
      </c>
      <c r="BLG15" s="63">
        <f t="shared" si="28"/>
        <v>0</v>
      </c>
      <c r="BLH15" s="63">
        <f t="shared" si="28"/>
        <v>0</v>
      </c>
      <c r="BLI15" s="63">
        <f t="shared" si="28"/>
        <v>0</v>
      </c>
      <c r="BLJ15" s="63">
        <f t="shared" si="28"/>
        <v>0</v>
      </c>
      <c r="BLK15" s="63">
        <f t="shared" si="28"/>
        <v>0</v>
      </c>
      <c r="BLL15" s="63">
        <f t="shared" si="28"/>
        <v>0</v>
      </c>
      <c r="BLM15" s="63">
        <f t="shared" si="28"/>
        <v>0</v>
      </c>
      <c r="BLN15" s="63">
        <f t="shared" si="28"/>
        <v>0</v>
      </c>
      <c r="BLO15" s="63">
        <f t="shared" si="28"/>
        <v>0</v>
      </c>
      <c r="BLP15" s="63">
        <f t="shared" si="28"/>
        <v>0</v>
      </c>
      <c r="BLQ15" s="63">
        <f t="shared" si="28"/>
        <v>0</v>
      </c>
      <c r="BLR15" s="63">
        <f t="shared" si="28"/>
        <v>0</v>
      </c>
      <c r="BLS15" s="63">
        <f t="shared" si="28"/>
        <v>0</v>
      </c>
      <c r="BLT15" s="63">
        <f t="shared" si="28"/>
        <v>0</v>
      </c>
      <c r="BLU15" s="63">
        <f t="shared" si="28"/>
        <v>0</v>
      </c>
      <c r="BLV15" s="63">
        <f t="shared" si="28"/>
        <v>0</v>
      </c>
      <c r="BLW15" s="63">
        <f t="shared" si="28"/>
        <v>0</v>
      </c>
      <c r="BLX15" s="63">
        <f t="shared" si="28"/>
        <v>0</v>
      </c>
      <c r="BLY15" s="63">
        <f t="shared" si="28"/>
        <v>0</v>
      </c>
      <c r="BLZ15" s="63">
        <f t="shared" si="28"/>
        <v>0</v>
      </c>
      <c r="BMA15" s="63">
        <f t="shared" si="28"/>
        <v>0</v>
      </c>
      <c r="BMB15" s="63">
        <f t="shared" si="28"/>
        <v>0</v>
      </c>
      <c r="BMC15" s="63">
        <f t="shared" si="28"/>
        <v>0</v>
      </c>
      <c r="BMD15" s="63">
        <f t="shared" si="28"/>
        <v>0</v>
      </c>
      <c r="BME15" s="63">
        <f t="shared" si="28"/>
        <v>0</v>
      </c>
      <c r="BMF15" s="63">
        <f t="shared" si="28"/>
        <v>0</v>
      </c>
      <c r="BMG15" s="63">
        <f t="shared" si="28"/>
        <v>0</v>
      </c>
      <c r="BMH15" s="63">
        <f t="shared" si="28"/>
        <v>0</v>
      </c>
      <c r="BMI15" s="63">
        <f t="shared" si="28"/>
        <v>0</v>
      </c>
      <c r="BMJ15" s="63">
        <f t="shared" si="28"/>
        <v>0</v>
      </c>
      <c r="BMK15" s="63">
        <f t="shared" si="28"/>
        <v>0</v>
      </c>
      <c r="BML15" s="63">
        <f t="shared" si="28"/>
        <v>0</v>
      </c>
      <c r="BMM15" s="63">
        <f t="shared" si="28"/>
        <v>0</v>
      </c>
      <c r="BMN15" s="63">
        <f t="shared" si="28"/>
        <v>0</v>
      </c>
      <c r="BMO15" s="63">
        <f t="shared" si="28"/>
        <v>0</v>
      </c>
      <c r="BMP15" s="63">
        <f t="shared" si="28"/>
        <v>0</v>
      </c>
      <c r="BMQ15" s="63">
        <f t="shared" si="28"/>
        <v>0</v>
      </c>
      <c r="BMR15" s="63">
        <f t="shared" si="28"/>
        <v>0</v>
      </c>
      <c r="BMS15" s="63">
        <f t="shared" si="28"/>
        <v>0</v>
      </c>
      <c r="BMT15" s="63">
        <f t="shared" si="28"/>
        <v>0</v>
      </c>
      <c r="BMU15" s="63">
        <f t="shared" si="28"/>
        <v>0</v>
      </c>
      <c r="BMV15" s="63">
        <f t="shared" si="28"/>
        <v>0</v>
      </c>
      <c r="BMW15" s="63">
        <f t="shared" si="28"/>
        <v>0</v>
      </c>
      <c r="BMX15" s="63">
        <f t="shared" si="28"/>
        <v>0</v>
      </c>
      <c r="BMY15" s="63">
        <f t="shared" si="28"/>
        <v>0</v>
      </c>
      <c r="BMZ15" s="63">
        <f t="shared" si="28"/>
        <v>0</v>
      </c>
      <c r="BNA15" s="63">
        <f t="shared" si="28"/>
        <v>0</v>
      </c>
      <c r="BNB15" s="63">
        <f t="shared" si="28"/>
        <v>0</v>
      </c>
      <c r="BNC15" s="63">
        <f t="shared" si="28"/>
        <v>0</v>
      </c>
      <c r="BND15" s="63">
        <f t="shared" si="28"/>
        <v>0</v>
      </c>
      <c r="BNE15" s="63">
        <f t="shared" si="28"/>
        <v>0</v>
      </c>
      <c r="BNF15" s="63">
        <f t="shared" si="28"/>
        <v>0</v>
      </c>
      <c r="BNG15" s="63">
        <f t="shared" si="28"/>
        <v>0</v>
      </c>
      <c r="BNH15" s="63">
        <f t="shared" si="28"/>
        <v>0</v>
      </c>
      <c r="BNI15" s="63">
        <f t="shared" si="28"/>
        <v>0</v>
      </c>
      <c r="BNJ15" s="63">
        <f t="shared" si="28"/>
        <v>0</v>
      </c>
      <c r="BNK15" s="63">
        <f t="shared" si="28"/>
        <v>0</v>
      </c>
      <c r="BNL15" s="63">
        <f t="shared" si="28"/>
        <v>0</v>
      </c>
      <c r="BNM15" s="63">
        <f t="shared" si="28"/>
        <v>0</v>
      </c>
      <c r="BNN15" s="63">
        <f t="shared" si="28"/>
        <v>0</v>
      </c>
      <c r="BNO15" s="63">
        <f t="shared" si="28"/>
        <v>0</v>
      </c>
      <c r="BNP15" s="63">
        <f t="shared" ref="BNP15:BQA15" si="29">BNO18</f>
        <v>0</v>
      </c>
      <c r="BNQ15" s="63">
        <f t="shared" si="29"/>
        <v>0</v>
      </c>
      <c r="BNR15" s="63">
        <f t="shared" si="29"/>
        <v>0</v>
      </c>
      <c r="BNS15" s="63">
        <f t="shared" si="29"/>
        <v>0</v>
      </c>
      <c r="BNT15" s="63">
        <f t="shared" si="29"/>
        <v>0</v>
      </c>
      <c r="BNU15" s="63">
        <f t="shared" si="29"/>
        <v>0</v>
      </c>
      <c r="BNV15" s="63">
        <f t="shared" si="29"/>
        <v>0</v>
      </c>
      <c r="BNW15" s="63">
        <f t="shared" si="29"/>
        <v>0</v>
      </c>
      <c r="BNX15" s="63">
        <f t="shared" si="29"/>
        <v>0</v>
      </c>
      <c r="BNY15" s="63">
        <f t="shared" si="29"/>
        <v>0</v>
      </c>
      <c r="BNZ15" s="63">
        <f t="shared" si="29"/>
        <v>0</v>
      </c>
      <c r="BOA15" s="63">
        <f t="shared" si="29"/>
        <v>0</v>
      </c>
      <c r="BOB15" s="63">
        <f t="shared" si="29"/>
        <v>0</v>
      </c>
      <c r="BOC15" s="63">
        <f t="shared" si="29"/>
        <v>0</v>
      </c>
      <c r="BOD15" s="63">
        <f t="shared" si="29"/>
        <v>0</v>
      </c>
      <c r="BOE15" s="63">
        <f t="shared" si="29"/>
        <v>0</v>
      </c>
      <c r="BOF15" s="63">
        <f t="shared" si="29"/>
        <v>0</v>
      </c>
      <c r="BOG15" s="63">
        <f t="shared" si="29"/>
        <v>0</v>
      </c>
      <c r="BOH15" s="63">
        <f t="shared" si="29"/>
        <v>0</v>
      </c>
      <c r="BOI15" s="63">
        <f t="shared" si="29"/>
        <v>0</v>
      </c>
      <c r="BOJ15" s="63">
        <f t="shared" si="29"/>
        <v>0</v>
      </c>
      <c r="BOK15" s="63">
        <f t="shared" si="29"/>
        <v>0</v>
      </c>
      <c r="BOL15" s="63">
        <f t="shared" si="29"/>
        <v>0</v>
      </c>
      <c r="BOM15" s="63">
        <f t="shared" si="29"/>
        <v>0</v>
      </c>
      <c r="BON15" s="63">
        <f t="shared" si="29"/>
        <v>0</v>
      </c>
      <c r="BOO15" s="63">
        <f t="shared" si="29"/>
        <v>0</v>
      </c>
      <c r="BOP15" s="63">
        <f t="shared" si="29"/>
        <v>0</v>
      </c>
      <c r="BOQ15" s="63">
        <f t="shared" si="29"/>
        <v>0</v>
      </c>
      <c r="BOR15" s="63">
        <f t="shared" si="29"/>
        <v>0</v>
      </c>
      <c r="BOS15" s="63">
        <f t="shared" si="29"/>
        <v>0</v>
      </c>
      <c r="BOT15" s="63">
        <f t="shared" si="29"/>
        <v>0</v>
      </c>
      <c r="BOU15" s="63">
        <f t="shared" si="29"/>
        <v>0</v>
      </c>
      <c r="BOV15" s="63">
        <f t="shared" si="29"/>
        <v>0</v>
      </c>
      <c r="BOW15" s="63">
        <f t="shared" si="29"/>
        <v>0</v>
      </c>
      <c r="BOX15" s="63">
        <f t="shared" si="29"/>
        <v>0</v>
      </c>
      <c r="BOY15" s="63">
        <f t="shared" si="29"/>
        <v>0</v>
      </c>
      <c r="BOZ15" s="63">
        <f t="shared" si="29"/>
        <v>0</v>
      </c>
      <c r="BPA15" s="63">
        <f t="shared" si="29"/>
        <v>0</v>
      </c>
      <c r="BPB15" s="63">
        <f t="shared" si="29"/>
        <v>0</v>
      </c>
      <c r="BPC15" s="63">
        <f t="shared" si="29"/>
        <v>0</v>
      </c>
      <c r="BPD15" s="63">
        <f t="shared" si="29"/>
        <v>0</v>
      </c>
      <c r="BPE15" s="63">
        <f t="shared" si="29"/>
        <v>0</v>
      </c>
      <c r="BPF15" s="63">
        <f t="shared" si="29"/>
        <v>0</v>
      </c>
      <c r="BPG15" s="63">
        <f t="shared" si="29"/>
        <v>0</v>
      </c>
      <c r="BPH15" s="63">
        <f t="shared" si="29"/>
        <v>0</v>
      </c>
      <c r="BPI15" s="63">
        <f t="shared" si="29"/>
        <v>0</v>
      </c>
      <c r="BPJ15" s="63">
        <f t="shared" si="29"/>
        <v>0</v>
      </c>
      <c r="BPK15" s="63">
        <f t="shared" si="29"/>
        <v>0</v>
      </c>
      <c r="BPL15" s="63">
        <f t="shared" si="29"/>
        <v>0</v>
      </c>
      <c r="BPM15" s="63">
        <f t="shared" si="29"/>
        <v>0</v>
      </c>
      <c r="BPN15" s="63">
        <f t="shared" si="29"/>
        <v>0</v>
      </c>
      <c r="BPO15" s="63">
        <f t="shared" si="29"/>
        <v>0</v>
      </c>
      <c r="BPP15" s="63">
        <f t="shared" si="29"/>
        <v>0</v>
      </c>
      <c r="BPQ15" s="63">
        <f t="shared" si="29"/>
        <v>0</v>
      </c>
      <c r="BPR15" s="63">
        <f t="shared" si="29"/>
        <v>0</v>
      </c>
      <c r="BPS15" s="63">
        <f t="shared" si="29"/>
        <v>0</v>
      </c>
      <c r="BPT15" s="63">
        <f t="shared" si="29"/>
        <v>0</v>
      </c>
      <c r="BPU15" s="63">
        <f t="shared" si="29"/>
        <v>0</v>
      </c>
      <c r="BPV15" s="63">
        <f t="shared" si="29"/>
        <v>0</v>
      </c>
      <c r="BPW15" s="63">
        <f t="shared" si="29"/>
        <v>0</v>
      </c>
      <c r="BPX15" s="63">
        <f t="shared" si="29"/>
        <v>0</v>
      </c>
      <c r="BPY15" s="63">
        <f t="shared" si="29"/>
        <v>0</v>
      </c>
      <c r="BPZ15" s="63">
        <f t="shared" si="29"/>
        <v>0</v>
      </c>
      <c r="BQA15" s="63">
        <f t="shared" si="29"/>
        <v>0</v>
      </c>
      <c r="BQB15" s="63">
        <f t="shared" ref="BQB15:BSM15" si="30">BQA18</f>
        <v>0</v>
      </c>
      <c r="BQC15" s="63">
        <f t="shared" si="30"/>
        <v>0</v>
      </c>
      <c r="BQD15" s="63">
        <f t="shared" si="30"/>
        <v>0</v>
      </c>
      <c r="BQE15" s="63">
        <f t="shared" si="30"/>
        <v>0</v>
      </c>
      <c r="BQF15" s="63">
        <f t="shared" si="30"/>
        <v>0</v>
      </c>
      <c r="BQG15" s="63">
        <f t="shared" si="30"/>
        <v>0</v>
      </c>
      <c r="BQH15" s="63">
        <f t="shared" si="30"/>
        <v>0</v>
      </c>
      <c r="BQI15" s="63">
        <f t="shared" si="30"/>
        <v>0</v>
      </c>
      <c r="BQJ15" s="63">
        <f t="shared" si="30"/>
        <v>0</v>
      </c>
      <c r="BQK15" s="63">
        <f t="shared" si="30"/>
        <v>0</v>
      </c>
      <c r="BQL15" s="63">
        <f t="shared" si="30"/>
        <v>0</v>
      </c>
      <c r="BQM15" s="63">
        <f t="shared" si="30"/>
        <v>0</v>
      </c>
      <c r="BQN15" s="63">
        <f t="shared" si="30"/>
        <v>0</v>
      </c>
      <c r="BQO15" s="63">
        <f t="shared" si="30"/>
        <v>0</v>
      </c>
      <c r="BQP15" s="63">
        <f t="shared" si="30"/>
        <v>0</v>
      </c>
      <c r="BQQ15" s="63">
        <f t="shared" si="30"/>
        <v>0</v>
      </c>
      <c r="BQR15" s="63">
        <f t="shared" si="30"/>
        <v>0</v>
      </c>
      <c r="BQS15" s="63">
        <f t="shared" si="30"/>
        <v>0</v>
      </c>
      <c r="BQT15" s="63">
        <f t="shared" si="30"/>
        <v>0</v>
      </c>
      <c r="BQU15" s="63">
        <f t="shared" si="30"/>
        <v>0</v>
      </c>
      <c r="BQV15" s="63">
        <f t="shared" si="30"/>
        <v>0</v>
      </c>
      <c r="BQW15" s="63">
        <f t="shared" si="30"/>
        <v>0</v>
      </c>
      <c r="BQX15" s="63">
        <f t="shared" si="30"/>
        <v>0</v>
      </c>
      <c r="BQY15" s="63">
        <f t="shared" si="30"/>
        <v>0</v>
      </c>
      <c r="BQZ15" s="63">
        <f t="shared" si="30"/>
        <v>0</v>
      </c>
      <c r="BRA15" s="63">
        <f t="shared" si="30"/>
        <v>0</v>
      </c>
      <c r="BRB15" s="63">
        <f t="shared" si="30"/>
        <v>0</v>
      </c>
      <c r="BRC15" s="63">
        <f t="shared" si="30"/>
        <v>0</v>
      </c>
      <c r="BRD15" s="63">
        <f t="shared" si="30"/>
        <v>0</v>
      </c>
      <c r="BRE15" s="63">
        <f t="shared" si="30"/>
        <v>0</v>
      </c>
      <c r="BRF15" s="63">
        <f t="shared" si="30"/>
        <v>0</v>
      </c>
      <c r="BRG15" s="63">
        <f t="shared" si="30"/>
        <v>0</v>
      </c>
      <c r="BRH15" s="63">
        <f t="shared" si="30"/>
        <v>0</v>
      </c>
      <c r="BRI15" s="63">
        <f t="shared" si="30"/>
        <v>0</v>
      </c>
      <c r="BRJ15" s="63">
        <f t="shared" si="30"/>
        <v>0</v>
      </c>
      <c r="BRK15" s="63">
        <f t="shared" si="30"/>
        <v>0</v>
      </c>
      <c r="BRL15" s="63">
        <f t="shared" si="30"/>
        <v>0</v>
      </c>
      <c r="BRM15" s="63">
        <f t="shared" si="30"/>
        <v>0</v>
      </c>
      <c r="BRN15" s="63">
        <f t="shared" si="30"/>
        <v>0</v>
      </c>
      <c r="BRO15" s="63">
        <f t="shared" si="30"/>
        <v>0</v>
      </c>
      <c r="BRP15" s="63">
        <f t="shared" si="30"/>
        <v>0</v>
      </c>
      <c r="BRQ15" s="63">
        <f t="shared" si="30"/>
        <v>0</v>
      </c>
      <c r="BRR15" s="63">
        <f t="shared" si="30"/>
        <v>0</v>
      </c>
      <c r="BRS15" s="63">
        <f t="shared" si="30"/>
        <v>0</v>
      </c>
      <c r="BRT15" s="63">
        <f t="shared" si="30"/>
        <v>0</v>
      </c>
      <c r="BRU15" s="63">
        <f t="shared" si="30"/>
        <v>0</v>
      </c>
      <c r="BRV15" s="63">
        <f t="shared" si="30"/>
        <v>0</v>
      </c>
      <c r="BRW15" s="63">
        <f t="shared" si="30"/>
        <v>0</v>
      </c>
      <c r="BRX15" s="63">
        <f t="shared" si="30"/>
        <v>0</v>
      </c>
      <c r="BRY15" s="63">
        <f t="shared" si="30"/>
        <v>0</v>
      </c>
      <c r="BRZ15" s="63">
        <f t="shared" si="30"/>
        <v>0</v>
      </c>
      <c r="BSA15" s="63">
        <f t="shared" si="30"/>
        <v>0</v>
      </c>
      <c r="BSB15" s="63">
        <f t="shared" si="30"/>
        <v>0</v>
      </c>
      <c r="BSC15" s="63">
        <f t="shared" si="30"/>
        <v>0</v>
      </c>
      <c r="BSD15" s="63">
        <f t="shared" si="30"/>
        <v>0</v>
      </c>
      <c r="BSE15" s="63">
        <f t="shared" si="30"/>
        <v>0</v>
      </c>
      <c r="BSF15" s="63">
        <f t="shared" si="30"/>
        <v>0</v>
      </c>
      <c r="BSG15" s="63">
        <f t="shared" si="30"/>
        <v>0</v>
      </c>
      <c r="BSH15" s="63">
        <f t="shared" si="30"/>
        <v>0</v>
      </c>
      <c r="BSI15" s="63">
        <f t="shared" si="30"/>
        <v>0</v>
      </c>
      <c r="BSJ15" s="63">
        <f t="shared" si="30"/>
        <v>0</v>
      </c>
      <c r="BSK15" s="63">
        <f t="shared" si="30"/>
        <v>0</v>
      </c>
      <c r="BSL15" s="63">
        <f t="shared" si="30"/>
        <v>0</v>
      </c>
      <c r="BSM15" s="63">
        <f t="shared" si="30"/>
        <v>0</v>
      </c>
      <c r="BSN15" s="63">
        <f t="shared" ref="BSN15:BUY15" si="31">BSM18</f>
        <v>0</v>
      </c>
      <c r="BSO15" s="63">
        <f t="shared" si="31"/>
        <v>0</v>
      </c>
      <c r="BSP15" s="63">
        <f t="shared" si="31"/>
        <v>0</v>
      </c>
      <c r="BSQ15" s="63">
        <f t="shared" si="31"/>
        <v>0</v>
      </c>
      <c r="BSR15" s="63">
        <f t="shared" si="31"/>
        <v>0</v>
      </c>
      <c r="BSS15" s="63">
        <f t="shared" si="31"/>
        <v>0</v>
      </c>
      <c r="BST15" s="63">
        <f t="shared" si="31"/>
        <v>0</v>
      </c>
      <c r="BSU15" s="63">
        <f t="shared" si="31"/>
        <v>0</v>
      </c>
      <c r="BSV15" s="63">
        <f t="shared" si="31"/>
        <v>0</v>
      </c>
      <c r="BSW15" s="63">
        <f t="shared" si="31"/>
        <v>0</v>
      </c>
      <c r="BSX15" s="63">
        <f t="shared" si="31"/>
        <v>0</v>
      </c>
      <c r="BSY15" s="63">
        <f t="shared" si="31"/>
        <v>0</v>
      </c>
      <c r="BSZ15" s="63">
        <f t="shared" si="31"/>
        <v>0</v>
      </c>
      <c r="BTA15" s="63">
        <f t="shared" si="31"/>
        <v>0</v>
      </c>
      <c r="BTB15" s="63">
        <f t="shared" si="31"/>
        <v>0</v>
      </c>
      <c r="BTC15" s="63">
        <f t="shared" si="31"/>
        <v>0</v>
      </c>
      <c r="BTD15" s="63">
        <f t="shared" si="31"/>
        <v>0</v>
      </c>
      <c r="BTE15" s="63">
        <f t="shared" si="31"/>
        <v>0</v>
      </c>
      <c r="BTF15" s="63">
        <f t="shared" si="31"/>
        <v>0</v>
      </c>
      <c r="BTG15" s="63">
        <f t="shared" si="31"/>
        <v>0</v>
      </c>
      <c r="BTH15" s="63">
        <f t="shared" si="31"/>
        <v>0</v>
      </c>
      <c r="BTI15" s="63">
        <f t="shared" si="31"/>
        <v>0</v>
      </c>
      <c r="BTJ15" s="63">
        <f t="shared" si="31"/>
        <v>0</v>
      </c>
      <c r="BTK15" s="63">
        <f t="shared" si="31"/>
        <v>0</v>
      </c>
      <c r="BTL15" s="63">
        <f t="shared" si="31"/>
        <v>0</v>
      </c>
      <c r="BTM15" s="63">
        <f t="shared" si="31"/>
        <v>0</v>
      </c>
      <c r="BTN15" s="63">
        <f t="shared" si="31"/>
        <v>0</v>
      </c>
      <c r="BTO15" s="63">
        <f t="shared" si="31"/>
        <v>0</v>
      </c>
      <c r="BTP15" s="63">
        <f t="shared" si="31"/>
        <v>0</v>
      </c>
      <c r="BTQ15" s="63">
        <f t="shared" si="31"/>
        <v>0</v>
      </c>
      <c r="BTR15" s="63">
        <f t="shared" si="31"/>
        <v>0</v>
      </c>
      <c r="BTS15" s="63">
        <f t="shared" si="31"/>
        <v>0</v>
      </c>
      <c r="BTT15" s="63">
        <f t="shared" si="31"/>
        <v>0</v>
      </c>
      <c r="BTU15" s="63">
        <f t="shared" si="31"/>
        <v>0</v>
      </c>
      <c r="BTV15" s="63">
        <f t="shared" si="31"/>
        <v>0</v>
      </c>
      <c r="BTW15" s="63">
        <f t="shared" si="31"/>
        <v>0</v>
      </c>
      <c r="BTX15" s="63">
        <f t="shared" si="31"/>
        <v>0</v>
      </c>
      <c r="BTY15" s="63">
        <f t="shared" si="31"/>
        <v>0</v>
      </c>
      <c r="BTZ15" s="63">
        <f t="shared" si="31"/>
        <v>0</v>
      </c>
      <c r="BUA15" s="63">
        <f t="shared" si="31"/>
        <v>0</v>
      </c>
      <c r="BUB15" s="63">
        <f t="shared" si="31"/>
        <v>0</v>
      </c>
      <c r="BUC15" s="63">
        <f t="shared" si="31"/>
        <v>0</v>
      </c>
      <c r="BUD15" s="63">
        <f t="shared" si="31"/>
        <v>0</v>
      </c>
      <c r="BUE15" s="63">
        <f t="shared" si="31"/>
        <v>0</v>
      </c>
      <c r="BUF15" s="63">
        <f t="shared" si="31"/>
        <v>0</v>
      </c>
      <c r="BUG15" s="63">
        <f t="shared" si="31"/>
        <v>0</v>
      </c>
      <c r="BUH15" s="63">
        <f t="shared" si="31"/>
        <v>0</v>
      </c>
      <c r="BUI15" s="63">
        <f t="shared" si="31"/>
        <v>0</v>
      </c>
      <c r="BUJ15" s="63">
        <f t="shared" si="31"/>
        <v>0</v>
      </c>
      <c r="BUK15" s="63">
        <f t="shared" si="31"/>
        <v>0</v>
      </c>
      <c r="BUL15" s="63">
        <f t="shared" si="31"/>
        <v>0</v>
      </c>
      <c r="BUM15" s="63">
        <f t="shared" si="31"/>
        <v>0</v>
      </c>
      <c r="BUN15" s="63">
        <f t="shared" si="31"/>
        <v>0</v>
      </c>
      <c r="BUO15" s="63">
        <f t="shared" si="31"/>
        <v>0</v>
      </c>
      <c r="BUP15" s="63">
        <f t="shared" si="31"/>
        <v>0</v>
      </c>
      <c r="BUQ15" s="63">
        <f t="shared" si="31"/>
        <v>0</v>
      </c>
      <c r="BUR15" s="63">
        <f t="shared" si="31"/>
        <v>0</v>
      </c>
      <c r="BUS15" s="63">
        <f t="shared" si="31"/>
        <v>0</v>
      </c>
      <c r="BUT15" s="63">
        <f t="shared" si="31"/>
        <v>0</v>
      </c>
      <c r="BUU15" s="63">
        <f t="shared" si="31"/>
        <v>0</v>
      </c>
      <c r="BUV15" s="63">
        <f t="shared" si="31"/>
        <v>0</v>
      </c>
      <c r="BUW15" s="63">
        <f t="shared" si="31"/>
        <v>0</v>
      </c>
      <c r="BUX15" s="63">
        <f t="shared" si="31"/>
        <v>0</v>
      </c>
      <c r="BUY15" s="63">
        <f t="shared" si="31"/>
        <v>0</v>
      </c>
      <c r="BUZ15" s="63">
        <f t="shared" ref="BUZ15:BXK15" si="32">BUY18</f>
        <v>0</v>
      </c>
      <c r="BVA15" s="63">
        <f t="shared" si="32"/>
        <v>0</v>
      </c>
      <c r="BVB15" s="63">
        <f t="shared" si="32"/>
        <v>0</v>
      </c>
      <c r="BVC15" s="63">
        <f t="shared" si="32"/>
        <v>0</v>
      </c>
      <c r="BVD15" s="63">
        <f t="shared" si="32"/>
        <v>0</v>
      </c>
      <c r="BVE15" s="63">
        <f t="shared" si="32"/>
        <v>0</v>
      </c>
      <c r="BVF15" s="63">
        <f t="shared" si="32"/>
        <v>0</v>
      </c>
      <c r="BVG15" s="63">
        <f t="shared" si="32"/>
        <v>0</v>
      </c>
      <c r="BVH15" s="63">
        <f t="shared" si="32"/>
        <v>0</v>
      </c>
      <c r="BVI15" s="63">
        <f t="shared" si="32"/>
        <v>0</v>
      </c>
      <c r="BVJ15" s="63">
        <f t="shared" si="32"/>
        <v>0</v>
      </c>
      <c r="BVK15" s="63">
        <f t="shared" si="32"/>
        <v>0</v>
      </c>
      <c r="BVL15" s="63">
        <f t="shared" si="32"/>
        <v>0</v>
      </c>
      <c r="BVM15" s="63">
        <f t="shared" si="32"/>
        <v>0</v>
      </c>
      <c r="BVN15" s="63">
        <f t="shared" si="32"/>
        <v>0</v>
      </c>
      <c r="BVO15" s="63">
        <f t="shared" si="32"/>
        <v>0</v>
      </c>
      <c r="BVP15" s="63">
        <f t="shared" si="32"/>
        <v>0</v>
      </c>
      <c r="BVQ15" s="63">
        <f t="shared" si="32"/>
        <v>0</v>
      </c>
      <c r="BVR15" s="63">
        <f t="shared" si="32"/>
        <v>0</v>
      </c>
      <c r="BVS15" s="63">
        <f t="shared" si="32"/>
        <v>0</v>
      </c>
      <c r="BVT15" s="63">
        <f t="shared" si="32"/>
        <v>0</v>
      </c>
      <c r="BVU15" s="63">
        <f t="shared" si="32"/>
        <v>0</v>
      </c>
      <c r="BVV15" s="63">
        <f t="shared" si="32"/>
        <v>0</v>
      </c>
      <c r="BVW15" s="63">
        <f t="shared" si="32"/>
        <v>0</v>
      </c>
      <c r="BVX15" s="63">
        <f t="shared" si="32"/>
        <v>0</v>
      </c>
      <c r="BVY15" s="63">
        <f t="shared" si="32"/>
        <v>0</v>
      </c>
      <c r="BVZ15" s="63">
        <f t="shared" si="32"/>
        <v>0</v>
      </c>
      <c r="BWA15" s="63">
        <f t="shared" si="32"/>
        <v>0</v>
      </c>
      <c r="BWB15" s="63">
        <f t="shared" si="32"/>
        <v>0</v>
      </c>
      <c r="BWC15" s="63">
        <f t="shared" si="32"/>
        <v>0</v>
      </c>
      <c r="BWD15" s="63">
        <f t="shared" si="32"/>
        <v>0</v>
      </c>
      <c r="BWE15" s="63">
        <f t="shared" si="32"/>
        <v>0</v>
      </c>
      <c r="BWF15" s="63">
        <f t="shared" si="32"/>
        <v>0</v>
      </c>
      <c r="BWG15" s="63">
        <f t="shared" si="32"/>
        <v>0</v>
      </c>
      <c r="BWH15" s="63">
        <f t="shared" si="32"/>
        <v>0</v>
      </c>
      <c r="BWI15" s="63">
        <f t="shared" si="32"/>
        <v>0</v>
      </c>
      <c r="BWJ15" s="63">
        <f t="shared" si="32"/>
        <v>0</v>
      </c>
      <c r="BWK15" s="63">
        <f t="shared" si="32"/>
        <v>0</v>
      </c>
      <c r="BWL15" s="63">
        <f t="shared" si="32"/>
        <v>0</v>
      </c>
      <c r="BWM15" s="63">
        <f t="shared" si="32"/>
        <v>0</v>
      </c>
      <c r="BWN15" s="63">
        <f t="shared" si="32"/>
        <v>0</v>
      </c>
      <c r="BWO15" s="63">
        <f t="shared" si="32"/>
        <v>0</v>
      </c>
      <c r="BWP15" s="63">
        <f t="shared" si="32"/>
        <v>0</v>
      </c>
      <c r="BWQ15" s="63">
        <f t="shared" si="32"/>
        <v>0</v>
      </c>
      <c r="BWR15" s="63">
        <f t="shared" si="32"/>
        <v>0</v>
      </c>
      <c r="BWS15" s="63">
        <f t="shared" si="32"/>
        <v>0</v>
      </c>
      <c r="BWT15" s="63">
        <f t="shared" si="32"/>
        <v>0</v>
      </c>
      <c r="BWU15" s="63">
        <f t="shared" si="32"/>
        <v>0</v>
      </c>
      <c r="BWV15" s="63">
        <f t="shared" si="32"/>
        <v>0</v>
      </c>
      <c r="BWW15" s="63">
        <f t="shared" si="32"/>
        <v>0</v>
      </c>
      <c r="BWX15" s="63">
        <f t="shared" si="32"/>
        <v>0</v>
      </c>
      <c r="BWY15" s="63">
        <f t="shared" si="32"/>
        <v>0</v>
      </c>
      <c r="BWZ15" s="63">
        <f t="shared" si="32"/>
        <v>0</v>
      </c>
      <c r="BXA15" s="63">
        <f t="shared" si="32"/>
        <v>0</v>
      </c>
      <c r="BXB15" s="63">
        <f t="shared" si="32"/>
        <v>0</v>
      </c>
      <c r="BXC15" s="63">
        <f t="shared" si="32"/>
        <v>0</v>
      </c>
      <c r="BXD15" s="63">
        <f t="shared" si="32"/>
        <v>0</v>
      </c>
      <c r="BXE15" s="63">
        <f t="shared" si="32"/>
        <v>0</v>
      </c>
      <c r="BXF15" s="63">
        <f t="shared" si="32"/>
        <v>0</v>
      </c>
      <c r="BXG15" s="63">
        <f t="shared" si="32"/>
        <v>0</v>
      </c>
      <c r="BXH15" s="63">
        <f t="shared" si="32"/>
        <v>0</v>
      </c>
      <c r="BXI15" s="63">
        <f t="shared" si="32"/>
        <v>0</v>
      </c>
      <c r="BXJ15" s="63">
        <f t="shared" si="32"/>
        <v>0</v>
      </c>
      <c r="BXK15" s="63">
        <f t="shared" si="32"/>
        <v>0</v>
      </c>
      <c r="BXL15" s="63">
        <f t="shared" ref="BXL15:BZW15" si="33">BXK18</f>
        <v>0</v>
      </c>
      <c r="BXM15" s="63">
        <f t="shared" si="33"/>
        <v>0</v>
      </c>
      <c r="BXN15" s="63">
        <f t="shared" si="33"/>
        <v>0</v>
      </c>
      <c r="BXO15" s="63">
        <f t="shared" si="33"/>
        <v>0</v>
      </c>
      <c r="BXP15" s="63">
        <f t="shared" si="33"/>
        <v>0</v>
      </c>
      <c r="BXQ15" s="63">
        <f t="shared" si="33"/>
        <v>0</v>
      </c>
      <c r="BXR15" s="63">
        <f t="shared" si="33"/>
        <v>0</v>
      </c>
      <c r="BXS15" s="63">
        <f t="shared" si="33"/>
        <v>0</v>
      </c>
      <c r="BXT15" s="63">
        <f t="shared" si="33"/>
        <v>0</v>
      </c>
      <c r="BXU15" s="63">
        <f t="shared" si="33"/>
        <v>0</v>
      </c>
      <c r="BXV15" s="63">
        <f t="shared" si="33"/>
        <v>0</v>
      </c>
      <c r="BXW15" s="63">
        <f t="shared" si="33"/>
        <v>0</v>
      </c>
      <c r="BXX15" s="63">
        <f t="shared" si="33"/>
        <v>0</v>
      </c>
      <c r="BXY15" s="63">
        <f t="shared" si="33"/>
        <v>0</v>
      </c>
      <c r="BXZ15" s="63">
        <f t="shared" si="33"/>
        <v>0</v>
      </c>
      <c r="BYA15" s="63">
        <f t="shared" si="33"/>
        <v>0</v>
      </c>
      <c r="BYB15" s="63">
        <f t="shared" si="33"/>
        <v>0</v>
      </c>
      <c r="BYC15" s="63">
        <f t="shared" si="33"/>
        <v>0</v>
      </c>
      <c r="BYD15" s="63">
        <f t="shared" si="33"/>
        <v>0</v>
      </c>
      <c r="BYE15" s="63">
        <f t="shared" si="33"/>
        <v>0</v>
      </c>
      <c r="BYF15" s="63">
        <f t="shared" si="33"/>
        <v>0</v>
      </c>
      <c r="BYG15" s="63">
        <f t="shared" si="33"/>
        <v>0</v>
      </c>
      <c r="BYH15" s="63">
        <f t="shared" si="33"/>
        <v>0</v>
      </c>
      <c r="BYI15" s="63">
        <f t="shared" si="33"/>
        <v>0</v>
      </c>
      <c r="BYJ15" s="63">
        <f t="shared" si="33"/>
        <v>0</v>
      </c>
      <c r="BYK15" s="63">
        <f t="shared" si="33"/>
        <v>0</v>
      </c>
      <c r="BYL15" s="63">
        <f t="shared" si="33"/>
        <v>0</v>
      </c>
      <c r="BYM15" s="63">
        <f t="shared" si="33"/>
        <v>0</v>
      </c>
      <c r="BYN15" s="63">
        <f t="shared" si="33"/>
        <v>0</v>
      </c>
      <c r="BYO15" s="63">
        <f t="shared" si="33"/>
        <v>0</v>
      </c>
      <c r="BYP15" s="63">
        <f t="shared" si="33"/>
        <v>0</v>
      </c>
      <c r="BYQ15" s="63">
        <f t="shared" si="33"/>
        <v>0</v>
      </c>
      <c r="BYR15" s="63">
        <f t="shared" si="33"/>
        <v>0</v>
      </c>
      <c r="BYS15" s="63">
        <f t="shared" si="33"/>
        <v>0</v>
      </c>
      <c r="BYT15" s="63">
        <f t="shared" si="33"/>
        <v>0</v>
      </c>
      <c r="BYU15" s="63">
        <f t="shared" si="33"/>
        <v>0</v>
      </c>
      <c r="BYV15" s="63">
        <f t="shared" si="33"/>
        <v>0</v>
      </c>
      <c r="BYW15" s="63">
        <f t="shared" si="33"/>
        <v>0</v>
      </c>
      <c r="BYX15" s="63">
        <f t="shared" si="33"/>
        <v>0</v>
      </c>
      <c r="BYY15" s="63">
        <f t="shared" si="33"/>
        <v>0</v>
      </c>
      <c r="BYZ15" s="63">
        <f t="shared" si="33"/>
        <v>0</v>
      </c>
      <c r="BZA15" s="63">
        <f t="shared" si="33"/>
        <v>0</v>
      </c>
      <c r="BZB15" s="63">
        <f t="shared" si="33"/>
        <v>0</v>
      </c>
      <c r="BZC15" s="63">
        <f t="shared" si="33"/>
        <v>0</v>
      </c>
      <c r="BZD15" s="63">
        <f t="shared" si="33"/>
        <v>0</v>
      </c>
      <c r="BZE15" s="63">
        <f t="shared" si="33"/>
        <v>0</v>
      </c>
      <c r="BZF15" s="63">
        <f t="shared" si="33"/>
        <v>0</v>
      </c>
      <c r="BZG15" s="63">
        <f t="shared" si="33"/>
        <v>0</v>
      </c>
      <c r="BZH15" s="63">
        <f t="shared" si="33"/>
        <v>0</v>
      </c>
      <c r="BZI15" s="63">
        <f t="shared" si="33"/>
        <v>0</v>
      </c>
      <c r="BZJ15" s="63">
        <f t="shared" si="33"/>
        <v>0</v>
      </c>
      <c r="BZK15" s="63">
        <f t="shared" si="33"/>
        <v>0</v>
      </c>
      <c r="BZL15" s="63">
        <f t="shared" si="33"/>
        <v>0</v>
      </c>
      <c r="BZM15" s="63">
        <f t="shared" si="33"/>
        <v>0</v>
      </c>
      <c r="BZN15" s="63">
        <f t="shared" si="33"/>
        <v>0</v>
      </c>
      <c r="BZO15" s="63">
        <f t="shared" si="33"/>
        <v>0</v>
      </c>
      <c r="BZP15" s="63">
        <f t="shared" si="33"/>
        <v>0</v>
      </c>
      <c r="BZQ15" s="63">
        <f t="shared" si="33"/>
        <v>0</v>
      </c>
      <c r="BZR15" s="63">
        <f t="shared" si="33"/>
        <v>0</v>
      </c>
      <c r="BZS15" s="63">
        <f t="shared" si="33"/>
        <v>0</v>
      </c>
      <c r="BZT15" s="63">
        <f t="shared" si="33"/>
        <v>0</v>
      </c>
      <c r="BZU15" s="63">
        <f t="shared" si="33"/>
        <v>0</v>
      </c>
      <c r="BZV15" s="63">
        <f t="shared" si="33"/>
        <v>0</v>
      </c>
      <c r="BZW15" s="63">
        <f t="shared" si="33"/>
        <v>0</v>
      </c>
      <c r="BZX15" s="63">
        <f t="shared" ref="BZX15:CCI15" si="34">BZW18</f>
        <v>0</v>
      </c>
      <c r="BZY15" s="63">
        <f t="shared" si="34"/>
        <v>0</v>
      </c>
      <c r="BZZ15" s="63">
        <f t="shared" si="34"/>
        <v>0</v>
      </c>
      <c r="CAA15" s="63">
        <f t="shared" si="34"/>
        <v>0</v>
      </c>
      <c r="CAB15" s="63">
        <f t="shared" si="34"/>
        <v>0</v>
      </c>
      <c r="CAC15" s="63">
        <f t="shared" si="34"/>
        <v>0</v>
      </c>
      <c r="CAD15" s="63">
        <f t="shared" si="34"/>
        <v>0</v>
      </c>
      <c r="CAE15" s="63">
        <f t="shared" si="34"/>
        <v>0</v>
      </c>
      <c r="CAF15" s="63">
        <f t="shared" si="34"/>
        <v>0</v>
      </c>
      <c r="CAG15" s="63">
        <f t="shared" si="34"/>
        <v>0</v>
      </c>
      <c r="CAH15" s="63">
        <f t="shared" si="34"/>
        <v>0</v>
      </c>
      <c r="CAI15" s="63">
        <f t="shared" si="34"/>
        <v>0</v>
      </c>
      <c r="CAJ15" s="63">
        <f t="shared" si="34"/>
        <v>0</v>
      </c>
      <c r="CAK15" s="63">
        <f t="shared" si="34"/>
        <v>0</v>
      </c>
      <c r="CAL15" s="63">
        <f t="shared" si="34"/>
        <v>0</v>
      </c>
      <c r="CAM15" s="63">
        <f t="shared" si="34"/>
        <v>0</v>
      </c>
      <c r="CAN15" s="63">
        <f t="shared" si="34"/>
        <v>0</v>
      </c>
      <c r="CAO15" s="63">
        <f t="shared" si="34"/>
        <v>0</v>
      </c>
      <c r="CAP15" s="63">
        <f t="shared" si="34"/>
        <v>0</v>
      </c>
      <c r="CAQ15" s="63">
        <f t="shared" si="34"/>
        <v>0</v>
      </c>
      <c r="CAR15" s="63">
        <f t="shared" si="34"/>
        <v>0</v>
      </c>
      <c r="CAS15" s="63">
        <f t="shared" si="34"/>
        <v>0</v>
      </c>
      <c r="CAT15" s="63">
        <f t="shared" si="34"/>
        <v>0</v>
      </c>
      <c r="CAU15" s="63">
        <f t="shared" si="34"/>
        <v>0</v>
      </c>
      <c r="CAV15" s="63">
        <f t="shared" si="34"/>
        <v>0</v>
      </c>
      <c r="CAW15" s="63">
        <f t="shared" si="34"/>
        <v>0</v>
      </c>
      <c r="CAX15" s="63">
        <f t="shared" si="34"/>
        <v>0</v>
      </c>
      <c r="CAY15" s="63">
        <f t="shared" si="34"/>
        <v>0</v>
      </c>
      <c r="CAZ15" s="63">
        <f t="shared" si="34"/>
        <v>0</v>
      </c>
      <c r="CBA15" s="63">
        <f t="shared" si="34"/>
        <v>0</v>
      </c>
      <c r="CBB15" s="63">
        <f t="shared" si="34"/>
        <v>0</v>
      </c>
      <c r="CBC15" s="63">
        <f t="shared" si="34"/>
        <v>0</v>
      </c>
      <c r="CBD15" s="63">
        <f t="shared" si="34"/>
        <v>0</v>
      </c>
      <c r="CBE15" s="63">
        <f t="shared" si="34"/>
        <v>0</v>
      </c>
      <c r="CBF15" s="63">
        <f t="shared" si="34"/>
        <v>0</v>
      </c>
      <c r="CBG15" s="63">
        <f t="shared" si="34"/>
        <v>0</v>
      </c>
      <c r="CBH15" s="63">
        <f t="shared" si="34"/>
        <v>0</v>
      </c>
      <c r="CBI15" s="63">
        <f t="shared" si="34"/>
        <v>0</v>
      </c>
      <c r="CBJ15" s="63">
        <f t="shared" si="34"/>
        <v>0</v>
      </c>
      <c r="CBK15" s="63">
        <f t="shared" si="34"/>
        <v>0</v>
      </c>
      <c r="CBL15" s="63">
        <f t="shared" si="34"/>
        <v>0</v>
      </c>
      <c r="CBM15" s="63">
        <f t="shared" si="34"/>
        <v>0</v>
      </c>
      <c r="CBN15" s="63">
        <f t="shared" si="34"/>
        <v>0</v>
      </c>
      <c r="CBO15" s="63">
        <f t="shared" si="34"/>
        <v>0</v>
      </c>
      <c r="CBP15" s="63">
        <f t="shared" si="34"/>
        <v>0</v>
      </c>
      <c r="CBQ15" s="63">
        <f t="shared" si="34"/>
        <v>0</v>
      </c>
      <c r="CBR15" s="63">
        <f t="shared" si="34"/>
        <v>0</v>
      </c>
      <c r="CBS15" s="63">
        <f t="shared" si="34"/>
        <v>0</v>
      </c>
      <c r="CBT15" s="63">
        <f t="shared" si="34"/>
        <v>0</v>
      </c>
      <c r="CBU15" s="63">
        <f t="shared" si="34"/>
        <v>0</v>
      </c>
      <c r="CBV15" s="63">
        <f t="shared" si="34"/>
        <v>0</v>
      </c>
      <c r="CBW15" s="63">
        <f t="shared" si="34"/>
        <v>0</v>
      </c>
      <c r="CBX15" s="63">
        <f t="shared" si="34"/>
        <v>0</v>
      </c>
      <c r="CBY15" s="63">
        <f t="shared" si="34"/>
        <v>0</v>
      </c>
      <c r="CBZ15" s="63">
        <f t="shared" si="34"/>
        <v>0</v>
      </c>
      <c r="CCA15" s="63">
        <f t="shared" si="34"/>
        <v>0</v>
      </c>
      <c r="CCB15" s="63">
        <f t="shared" si="34"/>
        <v>0</v>
      </c>
      <c r="CCC15" s="63">
        <f t="shared" si="34"/>
        <v>0</v>
      </c>
      <c r="CCD15" s="63">
        <f t="shared" si="34"/>
        <v>0</v>
      </c>
      <c r="CCE15" s="63">
        <f t="shared" si="34"/>
        <v>0</v>
      </c>
      <c r="CCF15" s="63">
        <f t="shared" si="34"/>
        <v>0</v>
      </c>
      <c r="CCG15" s="63">
        <f t="shared" si="34"/>
        <v>0</v>
      </c>
      <c r="CCH15" s="63">
        <f t="shared" si="34"/>
        <v>0</v>
      </c>
      <c r="CCI15" s="63">
        <f t="shared" si="34"/>
        <v>0</v>
      </c>
      <c r="CCJ15" s="63">
        <f t="shared" ref="CCJ15:CEU15" si="35">CCI18</f>
        <v>0</v>
      </c>
      <c r="CCK15" s="63">
        <f t="shared" si="35"/>
        <v>0</v>
      </c>
      <c r="CCL15" s="63">
        <f t="shared" si="35"/>
        <v>0</v>
      </c>
      <c r="CCM15" s="63">
        <f t="shared" si="35"/>
        <v>0</v>
      </c>
      <c r="CCN15" s="63">
        <f t="shared" si="35"/>
        <v>0</v>
      </c>
      <c r="CCO15" s="63">
        <f t="shared" si="35"/>
        <v>0</v>
      </c>
      <c r="CCP15" s="63">
        <f t="shared" si="35"/>
        <v>0</v>
      </c>
      <c r="CCQ15" s="63">
        <f t="shared" si="35"/>
        <v>0</v>
      </c>
      <c r="CCR15" s="63">
        <f t="shared" si="35"/>
        <v>0</v>
      </c>
      <c r="CCS15" s="63">
        <f t="shared" si="35"/>
        <v>0</v>
      </c>
      <c r="CCT15" s="63">
        <f t="shared" si="35"/>
        <v>0</v>
      </c>
      <c r="CCU15" s="63">
        <f t="shared" si="35"/>
        <v>0</v>
      </c>
      <c r="CCV15" s="63">
        <f t="shared" si="35"/>
        <v>0</v>
      </c>
      <c r="CCW15" s="63">
        <f t="shared" si="35"/>
        <v>0</v>
      </c>
      <c r="CCX15" s="63">
        <f t="shared" si="35"/>
        <v>0</v>
      </c>
      <c r="CCY15" s="63">
        <f t="shared" si="35"/>
        <v>0</v>
      </c>
      <c r="CCZ15" s="63">
        <f t="shared" si="35"/>
        <v>0</v>
      </c>
      <c r="CDA15" s="63">
        <f t="shared" si="35"/>
        <v>0</v>
      </c>
      <c r="CDB15" s="63">
        <f t="shared" si="35"/>
        <v>0</v>
      </c>
      <c r="CDC15" s="63">
        <f t="shared" si="35"/>
        <v>0</v>
      </c>
      <c r="CDD15" s="63">
        <f t="shared" si="35"/>
        <v>0</v>
      </c>
      <c r="CDE15" s="63">
        <f t="shared" si="35"/>
        <v>0</v>
      </c>
      <c r="CDF15" s="63">
        <f t="shared" si="35"/>
        <v>0</v>
      </c>
      <c r="CDG15" s="63">
        <f t="shared" si="35"/>
        <v>0</v>
      </c>
      <c r="CDH15" s="63">
        <f t="shared" si="35"/>
        <v>0</v>
      </c>
      <c r="CDI15" s="63">
        <f t="shared" si="35"/>
        <v>0</v>
      </c>
      <c r="CDJ15" s="63">
        <f t="shared" si="35"/>
        <v>0</v>
      </c>
      <c r="CDK15" s="63">
        <f t="shared" si="35"/>
        <v>0</v>
      </c>
      <c r="CDL15" s="63">
        <f t="shared" si="35"/>
        <v>0</v>
      </c>
      <c r="CDM15" s="63">
        <f t="shared" si="35"/>
        <v>0</v>
      </c>
      <c r="CDN15" s="63">
        <f t="shared" si="35"/>
        <v>0</v>
      </c>
      <c r="CDO15" s="63">
        <f t="shared" si="35"/>
        <v>0</v>
      </c>
      <c r="CDP15" s="63">
        <f t="shared" si="35"/>
        <v>0</v>
      </c>
      <c r="CDQ15" s="63">
        <f t="shared" si="35"/>
        <v>0</v>
      </c>
      <c r="CDR15" s="63">
        <f t="shared" si="35"/>
        <v>0</v>
      </c>
      <c r="CDS15" s="63">
        <f t="shared" si="35"/>
        <v>0</v>
      </c>
      <c r="CDT15" s="63">
        <f t="shared" si="35"/>
        <v>0</v>
      </c>
      <c r="CDU15" s="63">
        <f t="shared" si="35"/>
        <v>0</v>
      </c>
      <c r="CDV15" s="63">
        <f t="shared" si="35"/>
        <v>0</v>
      </c>
      <c r="CDW15" s="63">
        <f t="shared" si="35"/>
        <v>0</v>
      </c>
      <c r="CDX15" s="63">
        <f t="shared" si="35"/>
        <v>0</v>
      </c>
      <c r="CDY15" s="63">
        <f t="shared" si="35"/>
        <v>0</v>
      </c>
      <c r="CDZ15" s="63">
        <f t="shared" si="35"/>
        <v>0</v>
      </c>
      <c r="CEA15" s="63">
        <f t="shared" si="35"/>
        <v>0</v>
      </c>
      <c r="CEB15" s="63">
        <f t="shared" si="35"/>
        <v>0</v>
      </c>
      <c r="CEC15" s="63">
        <f t="shared" si="35"/>
        <v>0</v>
      </c>
      <c r="CED15" s="63">
        <f t="shared" si="35"/>
        <v>0</v>
      </c>
      <c r="CEE15" s="63">
        <f t="shared" si="35"/>
        <v>0</v>
      </c>
      <c r="CEF15" s="63">
        <f t="shared" si="35"/>
        <v>0</v>
      </c>
      <c r="CEG15" s="63">
        <f t="shared" si="35"/>
        <v>0</v>
      </c>
      <c r="CEH15" s="63">
        <f t="shared" si="35"/>
        <v>0</v>
      </c>
      <c r="CEI15" s="63">
        <f t="shared" si="35"/>
        <v>0</v>
      </c>
      <c r="CEJ15" s="63">
        <f t="shared" si="35"/>
        <v>0</v>
      </c>
      <c r="CEK15" s="63">
        <f t="shared" si="35"/>
        <v>0</v>
      </c>
      <c r="CEL15" s="63">
        <f t="shared" si="35"/>
        <v>0</v>
      </c>
      <c r="CEM15" s="63">
        <f t="shared" si="35"/>
        <v>0</v>
      </c>
      <c r="CEN15" s="63">
        <f t="shared" si="35"/>
        <v>0</v>
      </c>
      <c r="CEO15" s="63">
        <f t="shared" si="35"/>
        <v>0</v>
      </c>
      <c r="CEP15" s="63">
        <f t="shared" si="35"/>
        <v>0</v>
      </c>
      <c r="CEQ15" s="63">
        <f t="shared" si="35"/>
        <v>0</v>
      </c>
      <c r="CER15" s="63">
        <f t="shared" si="35"/>
        <v>0</v>
      </c>
      <c r="CES15" s="63">
        <f t="shared" si="35"/>
        <v>0</v>
      </c>
      <c r="CET15" s="63">
        <f t="shared" si="35"/>
        <v>0</v>
      </c>
      <c r="CEU15" s="63">
        <f t="shared" si="35"/>
        <v>0</v>
      </c>
      <c r="CEV15" s="63">
        <f t="shared" ref="CEV15:CHG15" si="36">CEU18</f>
        <v>0</v>
      </c>
      <c r="CEW15" s="63">
        <f t="shared" si="36"/>
        <v>0</v>
      </c>
      <c r="CEX15" s="63">
        <f t="shared" si="36"/>
        <v>0</v>
      </c>
      <c r="CEY15" s="63">
        <f t="shared" si="36"/>
        <v>0</v>
      </c>
      <c r="CEZ15" s="63">
        <f t="shared" si="36"/>
        <v>0</v>
      </c>
      <c r="CFA15" s="63">
        <f t="shared" si="36"/>
        <v>0</v>
      </c>
      <c r="CFB15" s="63">
        <f t="shared" si="36"/>
        <v>0</v>
      </c>
      <c r="CFC15" s="63">
        <f t="shared" si="36"/>
        <v>0</v>
      </c>
      <c r="CFD15" s="63">
        <f t="shared" si="36"/>
        <v>0</v>
      </c>
      <c r="CFE15" s="63">
        <f t="shared" si="36"/>
        <v>0</v>
      </c>
      <c r="CFF15" s="63">
        <f t="shared" si="36"/>
        <v>0</v>
      </c>
      <c r="CFG15" s="63">
        <f t="shared" si="36"/>
        <v>0</v>
      </c>
      <c r="CFH15" s="63">
        <f t="shared" si="36"/>
        <v>0</v>
      </c>
      <c r="CFI15" s="63">
        <f t="shared" si="36"/>
        <v>0</v>
      </c>
      <c r="CFJ15" s="63">
        <f t="shared" si="36"/>
        <v>0</v>
      </c>
      <c r="CFK15" s="63">
        <f t="shared" si="36"/>
        <v>0</v>
      </c>
      <c r="CFL15" s="63">
        <f t="shared" si="36"/>
        <v>0</v>
      </c>
      <c r="CFM15" s="63">
        <f t="shared" si="36"/>
        <v>0</v>
      </c>
      <c r="CFN15" s="63">
        <f t="shared" si="36"/>
        <v>0</v>
      </c>
      <c r="CFO15" s="63">
        <f t="shared" si="36"/>
        <v>0</v>
      </c>
      <c r="CFP15" s="63">
        <f t="shared" si="36"/>
        <v>0</v>
      </c>
      <c r="CFQ15" s="63">
        <f t="shared" si="36"/>
        <v>0</v>
      </c>
      <c r="CFR15" s="63">
        <f t="shared" si="36"/>
        <v>0</v>
      </c>
      <c r="CFS15" s="63">
        <f t="shared" si="36"/>
        <v>0</v>
      </c>
      <c r="CFT15" s="63">
        <f t="shared" si="36"/>
        <v>0</v>
      </c>
      <c r="CFU15" s="63">
        <f t="shared" si="36"/>
        <v>0</v>
      </c>
      <c r="CFV15" s="63">
        <f t="shared" si="36"/>
        <v>0</v>
      </c>
      <c r="CFW15" s="63">
        <f t="shared" si="36"/>
        <v>0</v>
      </c>
      <c r="CFX15" s="63">
        <f t="shared" si="36"/>
        <v>0</v>
      </c>
      <c r="CFY15" s="63">
        <f t="shared" si="36"/>
        <v>0</v>
      </c>
      <c r="CFZ15" s="63">
        <f t="shared" si="36"/>
        <v>0</v>
      </c>
      <c r="CGA15" s="63">
        <f t="shared" si="36"/>
        <v>0</v>
      </c>
      <c r="CGB15" s="63">
        <f t="shared" si="36"/>
        <v>0</v>
      </c>
      <c r="CGC15" s="63">
        <f t="shared" si="36"/>
        <v>0</v>
      </c>
      <c r="CGD15" s="63">
        <f t="shared" si="36"/>
        <v>0</v>
      </c>
      <c r="CGE15" s="63">
        <f t="shared" si="36"/>
        <v>0</v>
      </c>
      <c r="CGF15" s="63">
        <f t="shared" si="36"/>
        <v>0</v>
      </c>
      <c r="CGG15" s="63">
        <f t="shared" si="36"/>
        <v>0</v>
      </c>
      <c r="CGH15" s="63">
        <f t="shared" si="36"/>
        <v>0</v>
      </c>
      <c r="CGI15" s="63">
        <f t="shared" si="36"/>
        <v>0</v>
      </c>
      <c r="CGJ15" s="63">
        <f t="shared" si="36"/>
        <v>0</v>
      </c>
      <c r="CGK15" s="63">
        <f t="shared" si="36"/>
        <v>0</v>
      </c>
      <c r="CGL15" s="63">
        <f t="shared" si="36"/>
        <v>0</v>
      </c>
      <c r="CGM15" s="63">
        <f t="shared" si="36"/>
        <v>0</v>
      </c>
      <c r="CGN15" s="63">
        <f t="shared" si="36"/>
        <v>0</v>
      </c>
      <c r="CGO15" s="63">
        <f t="shared" si="36"/>
        <v>0</v>
      </c>
      <c r="CGP15" s="63">
        <f t="shared" si="36"/>
        <v>0</v>
      </c>
      <c r="CGQ15" s="63">
        <f t="shared" si="36"/>
        <v>0</v>
      </c>
      <c r="CGR15" s="63">
        <f t="shared" si="36"/>
        <v>0</v>
      </c>
      <c r="CGS15" s="63">
        <f t="shared" si="36"/>
        <v>0</v>
      </c>
      <c r="CGT15" s="63">
        <f t="shared" si="36"/>
        <v>0</v>
      </c>
      <c r="CGU15" s="63">
        <f t="shared" si="36"/>
        <v>0</v>
      </c>
      <c r="CGV15" s="63">
        <f t="shared" si="36"/>
        <v>0</v>
      </c>
      <c r="CGW15" s="63">
        <f t="shared" si="36"/>
        <v>0</v>
      </c>
      <c r="CGX15" s="63">
        <f t="shared" si="36"/>
        <v>0</v>
      </c>
      <c r="CGY15" s="63">
        <f t="shared" si="36"/>
        <v>0</v>
      </c>
      <c r="CGZ15" s="63">
        <f t="shared" si="36"/>
        <v>0</v>
      </c>
      <c r="CHA15" s="63">
        <f t="shared" si="36"/>
        <v>0</v>
      </c>
      <c r="CHB15" s="63">
        <f t="shared" si="36"/>
        <v>0</v>
      </c>
      <c r="CHC15" s="63">
        <f t="shared" si="36"/>
        <v>0</v>
      </c>
      <c r="CHD15" s="63">
        <f t="shared" si="36"/>
        <v>0</v>
      </c>
      <c r="CHE15" s="63">
        <f t="shared" si="36"/>
        <v>0</v>
      </c>
      <c r="CHF15" s="63">
        <f t="shared" si="36"/>
        <v>0</v>
      </c>
      <c r="CHG15" s="63">
        <f t="shared" si="36"/>
        <v>0</v>
      </c>
      <c r="CHH15" s="63">
        <f t="shared" ref="CHH15:CJS15" si="37">CHG18</f>
        <v>0</v>
      </c>
      <c r="CHI15" s="63">
        <f t="shared" si="37"/>
        <v>0</v>
      </c>
      <c r="CHJ15" s="63">
        <f t="shared" si="37"/>
        <v>0</v>
      </c>
      <c r="CHK15" s="63">
        <f t="shared" si="37"/>
        <v>0</v>
      </c>
      <c r="CHL15" s="63">
        <f t="shared" si="37"/>
        <v>0</v>
      </c>
      <c r="CHM15" s="63">
        <f t="shared" si="37"/>
        <v>0</v>
      </c>
      <c r="CHN15" s="63">
        <f t="shared" si="37"/>
        <v>0</v>
      </c>
      <c r="CHO15" s="63">
        <f t="shared" si="37"/>
        <v>0</v>
      </c>
      <c r="CHP15" s="63">
        <f t="shared" si="37"/>
        <v>0</v>
      </c>
      <c r="CHQ15" s="63">
        <f t="shared" si="37"/>
        <v>0</v>
      </c>
      <c r="CHR15" s="63">
        <f t="shared" si="37"/>
        <v>0</v>
      </c>
      <c r="CHS15" s="63">
        <f t="shared" si="37"/>
        <v>0</v>
      </c>
      <c r="CHT15" s="63">
        <f t="shared" si="37"/>
        <v>0</v>
      </c>
      <c r="CHU15" s="63">
        <f t="shared" si="37"/>
        <v>0</v>
      </c>
      <c r="CHV15" s="63">
        <f t="shared" si="37"/>
        <v>0</v>
      </c>
      <c r="CHW15" s="63">
        <f t="shared" si="37"/>
        <v>0</v>
      </c>
      <c r="CHX15" s="63">
        <f t="shared" si="37"/>
        <v>0</v>
      </c>
      <c r="CHY15" s="63">
        <f t="shared" si="37"/>
        <v>0</v>
      </c>
      <c r="CHZ15" s="63">
        <f t="shared" si="37"/>
        <v>0</v>
      </c>
      <c r="CIA15" s="63">
        <f t="shared" si="37"/>
        <v>0</v>
      </c>
      <c r="CIB15" s="63">
        <f t="shared" si="37"/>
        <v>0</v>
      </c>
      <c r="CIC15" s="63">
        <f t="shared" si="37"/>
        <v>0</v>
      </c>
      <c r="CID15" s="63">
        <f t="shared" si="37"/>
        <v>0</v>
      </c>
      <c r="CIE15" s="63">
        <f t="shared" si="37"/>
        <v>0</v>
      </c>
      <c r="CIF15" s="63">
        <f t="shared" si="37"/>
        <v>0</v>
      </c>
      <c r="CIG15" s="63">
        <f t="shared" si="37"/>
        <v>0</v>
      </c>
      <c r="CIH15" s="63">
        <f t="shared" si="37"/>
        <v>0</v>
      </c>
      <c r="CII15" s="63">
        <f t="shared" si="37"/>
        <v>0</v>
      </c>
      <c r="CIJ15" s="63">
        <f t="shared" si="37"/>
        <v>0</v>
      </c>
      <c r="CIK15" s="63">
        <f t="shared" si="37"/>
        <v>0</v>
      </c>
      <c r="CIL15" s="63">
        <f t="shared" si="37"/>
        <v>0</v>
      </c>
      <c r="CIM15" s="63">
        <f t="shared" si="37"/>
        <v>0</v>
      </c>
      <c r="CIN15" s="63">
        <f t="shared" si="37"/>
        <v>0</v>
      </c>
      <c r="CIO15" s="63">
        <f t="shared" si="37"/>
        <v>0</v>
      </c>
      <c r="CIP15" s="63">
        <f t="shared" si="37"/>
        <v>0</v>
      </c>
      <c r="CIQ15" s="63">
        <f t="shared" si="37"/>
        <v>0</v>
      </c>
      <c r="CIR15" s="63">
        <f t="shared" si="37"/>
        <v>0</v>
      </c>
      <c r="CIS15" s="63">
        <f t="shared" si="37"/>
        <v>0</v>
      </c>
      <c r="CIT15" s="63">
        <f t="shared" si="37"/>
        <v>0</v>
      </c>
      <c r="CIU15" s="63">
        <f t="shared" si="37"/>
        <v>0</v>
      </c>
      <c r="CIV15" s="63">
        <f t="shared" si="37"/>
        <v>0</v>
      </c>
      <c r="CIW15" s="63">
        <f t="shared" si="37"/>
        <v>0</v>
      </c>
      <c r="CIX15" s="63">
        <f t="shared" si="37"/>
        <v>0</v>
      </c>
      <c r="CIY15" s="63">
        <f t="shared" si="37"/>
        <v>0</v>
      </c>
      <c r="CIZ15" s="63">
        <f t="shared" si="37"/>
        <v>0</v>
      </c>
      <c r="CJA15" s="63">
        <f t="shared" si="37"/>
        <v>0</v>
      </c>
      <c r="CJB15" s="63">
        <f t="shared" si="37"/>
        <v>0</v>
      </c>
      <c r="CJC15" s="63">
        <f t="shared" si="37"/>
        <v>0</v>
      </c>
      <c r="CJD15" s="63">
        <f t="shared" si="37"/>
        <v>0</v>
      </c>
      <c r="CJE15" s="63">
        <f t="shared" si="37"/>
        <v>0</v>
      </c>
      <c r="CJF15" s="63">
        <f t="shared" si="37"/>
        <v>0</v>
      </c>
      <c r="CJG15" s="63">
        <f t="shared" si="37"/>
        <v>0</v>
      </c>
      <c r="CJH15" s="63">
        <f t="shared" si="37"/>
        <v>0</v>
      </c>
      <c r="CJI15" s="63">
        <f t="shared" si="37"/>
        <v>0</v>
      </c>
      <c r="CJJ15" s="63">
        <f t="shared" si="37"/>
        <v>0</v>
      </c>
      <c r="CJK15" s="63">
        <f t="shared" si="37"/>
        <v>0</v>
      </c>
      <c r="CJL15" s="63">
        <f t="shared" si="37"/>
        <v>0</v>
      </c>
      <c r="CJM15" s="63">
        <f t="shared" si="37"/>
        <v>0</v>
      </c>
      <c r="CJN15" s="63">
        <f t="shared" si="37"/>
        <v>0</v>
      </c>
      <c r="CJO15" s="63">
        <f t="shared" si="37"/>
        <v>0</v>
      </c>
      <c r="CJP15" s="63">
        <f t="shared" si="37"/>
        <v>0</v>
      </c>
      <c r="CJQ15" s="63">
        <f t="shared" si="37"/>
        <v>0</v>
      </c>
      <c r="CJR15" s="63">
        <f t="shared" si="37"/>
        <v>0</v>
      </c>
      <c r="CJS15" s="63">
        <f t="shared" si="37"/>
        <v>0</v>
      </c>
      <c r="CJT15" s="63">
        <f t="shared" ref="CJT15:CME15" si="38">CJS18</f>
        <v>0</v>
      </c>
      <c r="CJU15" s="63">
        <f t="shared" si="38"/>
        <v>0</v>
      </c>
      <c r="CJV15" s="63">
        <f t="shared" si="38"/>
        <v>0</v>
      </c>
      <c r="CJW15" s="63">
        <f t="shared" si="38"/>
        <v>0</v>
      </c>
      <c r="CJX15" s="63">
        <f t="shared" si="38"/>
        <v>0</v>
      </c>
      <c r="CJY15" s="63">
        <f t="shared" si="38"/>
        <v>0</v>
      </c>
      <c r="CJZ15" s="63">
        <f t="shared" si="38"/>
        <v>0</v>
      </c>
      <c r="CKA15" s="63">
        <f t="shared" si="38"/>
        <v>0</v>
      </c>
      <c r="CKB15" s="63">
        <f t="shared" si="38"/>
        <v>0</v>
      </c>
      <c r="CKC15" s="63">
        <f t="shared" si="38"/>
        <v>0</v>
      </c>
      <c r="CKD15" s="63">
        <f t="shared" si="38"/>
        <v>0</v>
      </c>
      <c r="CKE15" s="63">
        <f t="shared" si="38"/>
        <v>0</v>
      </c>
      <c r="CKF15" s="63">
        <f t="shared" si="38"/>
        <v>0</v>
      </c>
      <c r="CKG15" s="63">
        <f t="shared" si="38"/>
        <v>0</v>
      </c>
      <c r="CKH15" s="63">
        <f t="shared" si="38"/>
        <v>0</v>
      </c>
      <c r="CKI15" s="63">
        <f t="shared" si="38"/>
        <v>0</v>
      </c>
      <c r="CKJ15" s="63">
        <f t="shared" si="38"/>
        <v>0</v>
      </c>
      <c r="CKK15" s="63">
        <f t="shared" si="38"/>
        <v>0</v>
      </c>
      <c r="CKL15" s="63">
        <f t="shared" si="38"/>
        <v>0</v>
      </c>
      <c r="CKM15" s="63">
        <f t="shared" si="38"/>
        <v>0</v>
      </c>
      <c r="CKN15" s="63">
        <f t="shared" si="38"/>
        <v>0</v>
      </c>
      <c r="CKO15" s="63">
        <f t="shared" si="38"/>
        <v>0</v>
      </c>
      <c r="CKP15" s="63">
        <f t="shared" si="38"/>
        <v>0</v>
      </c>
      <c r="CKQ15" s="63">
        <f t="shared" si="38"/>
        <v>0</v>
      </c>
      <c r="CKR15" s="63">
        <f t="shared" si="38"/>
        <v>0</v>
      </c>
      <c r="CKS15" s="63">
        <f t="shared" si="38"/>
        <v>0</v>
      </c>
      <c r="CKT15" s="63">
        <f t="shared" si="38"/>
        <v>0</v>
      </c>
      <c r="CKU15" s="63">
        <f t="shared" si="38"/>
        <v>0</v>
      </c>
      <c r="CKV15" s="63">
        <f t="shared" si="38"/>
        <v>0</v>
      </c>
      <c r="CKW15" s="63">
        <f t="shared" si="38"/>
        <v>0</v>
      </c>
      <c r="CKX15" s="63">
        <f t="shared" si="38"/>
        <v>0</v>
      </c>
      <c r="CKY15" s="63">
        <f t="shared" si="38"/>
        <v>0</v>
      </c>
      <c r="CKZ15" s="63">
        <f t="shared" si="38"/>
        <v>0</v>
      </c>
      <c r="CLA15" s="63">
        <f t="shared" si="38"/>
        <v>0</v>
      </c>
      <c r="CLB15" s="63">
        <f t="shared" si="38"/>
        <v>0</v>
      </c>
      <c r="CLC15" s="63">
        <f t="shared" si="38"/>
        <v>0</v>
      </c>
      <c r="CLD15" s="63">
        <f t="shared" si="38"/>
        <v>0</v>
      </c>
      <c r="CLE15" s="63">
        <f t="shared" si="38"/>
        <v>0</v>
      </c>
      <c r="CLF15" s="63">
        <f t="shared" si="38"/>
        <v>0</v>
      </c>
      <c r="CLG15" s="63">
        <f t="shared" si="38"/>
        <v>0</v>
      </c>
      <c r="CLH15" s="63">
        <f t="shared" si="38"/>
        <v>0</v>
      </c>
      <c r="CLI15" s="63">
        <f t="shared" si="38"/>
        <v>0</v>
      </c>
      <c r="CLJ15" s="63">
        <f t="shared" si="38"/>
        <v>0</v>
      </c>
      <c r="CLK15" s="63">
        <f t="shared" si="38"/>
        <v>0</v>
      </c>
      <c r="CLL15" s="63">
        <f t="shared" si="38"/>
        <v>0</v>
      </c>
      <c r="CLM15" s="63">
        <f t="shared" si="38"/>
        <v>0</v>
      </c>
      <c r="CLN15" s="63">
        <f t="shared" si="38"/>
        <v>0</v>
      </c>
      <c r="CLO15" s="63">
        <f t="shared" si="38"/>
        <v>0</v>
      </c>
      <c r="CLP15" s="63">
        <f t="shared" si="38"/>
        <v>0</v>
      </c>
      <c r="CLQ15" s="63">
        <f t="shared" si="38"/>
        <v>0</v>
      </c>
      <c r="CLR15" s="63">
        <f t="shared" si="38"/>
        <v>0</v>
      </c>
      <c r="CLS15" s="63">
        <f t="shared" si="38"/>
        <v>0</v>
      </c>
      <c r="CLT15" s="63">
        <f t="shared" si="38"/>
        <v>0</v>
      </c>
      <c r="CLU15" s="63">
        <f t="shared" si="38"/>
        <v>0</v>
      </c>
      <c r="CLV15" s="63">
        <f t="shared" si="38"/>
        <v>0</v>
      </c>
      <c r="CLW15" s="63">
        <f t="shared" si="38"/>
        <v>0</v>
      </c>
      <c r="CLX15" s="63">
        <f t="shared" si="38"/>
        <v>0</v>
      </c>
      <c r="CLY15" s="63">
        <f t="shared" si="38"/>
        <v>0</v>
      </c>
      <c r="CLZ15" s="63">
        <f t="shared" si="38"/>
        <v>0</v>
      </c>
      <c r="CMA15" s="63">
        <f t="shared" si="38"/>
        <v>0</v>
      </c>
      <c r="CMB15" s="63">
        <f t="shared" si="38"/>
        <v>0</v>
      </c>
      <c r="CMC15" s="63">
        <f t="shared" si="38"/>
        <v>0</v>
      </c>
      <c r="CMD15" s="63">
        <f t="shared" si="38"/>
        <v>0</v>
      </c>
      <c r="CME15" s="63">
        <f t="shared" si="38"/>
        <v>0</v>
      </c>
      <c r="CMF15" s="63">
        <f t="shared" ref="CMF15:COQ15" si="39">CME18</f>
        <v>0</v>
      </c>
      <c r="CMG15" s="63">
        <f t="shared" si="39"/>
        <v>0</v>
      </c>
      <c r="CMH15" s="63">
        <f t="shared" si="39"/>
        <v>0</v>
      </c>
      <c r="CMI15" s="63">
        <f t="shared" si="39"/>
        <v>0</v>
      </c>
      <c r="CMJ15" s="63">
        <f t="shared" si="39"/>
        <v>0</v>
      </c>
      <c r="CMK15" s="63">
        <f t="shared" si="39"/>
        <v>0</v>
      </c>
      <c r="CML15" s="63">
        <f t="shared" si="39"/>
        <v>0</v>
      </c>
      <c r="CMM15" s="63">
        <f t="shared" si="39"/>
        <v>0</v>
      </c>
      <c r="CMN15" s="63">
        <f t="shared" si="39"/>
        <v>0</v>
      </c>
      <c r="CMO15" s="63">
        <f t="shared" si="39"/>
        <v>0</v>
      </c>
      <c r="CMP15" s="63">
        <f t="shared" si="39"/>
        <v>0</v>
      </c>
      <c r="CMQ15" s="63">
        <f t="shared" si="39"/>
        <v>0</v>
      </c>
      <c r="CMR15" s="63">
        <f t="shared" si="39"/>
        <v>0</v>
      </c>
      <c r="CMS15" s="63">
        <f t="shared" si="39"/>
        <v>0</v>
      </c>
      <c r="CMT15" s="63">
        <f t="shared" si="39"/>
        <v>0</v>
      </c>
      <c r="CMU15" s="63">
        <f t="shared" si="39"/>
        <v>0</v>
      </c>
      <c r="CMV15" s="63">
        <f t="shared" si="39"/>
        <v>0</v>
      </c>
      <c r="CMW15" s="63">
        <f t="shared" si="39"/>
        <v>0</v>
      </c>
      <c r="CMX15" s="63">
        <f t="shared" si="39"/>
        <v>0</v>
      </c>
      <c r="CMY15" s="63">
        <f t="shared" si="39"/>
        <v>0</v>
      </c>
      <c r="CMZ15" s="63">
        <f t="shared" si="39"/>
        <v>0</v>
      </c>
      <c r="CNA15" s="63">
        <f t="shared" si="39"/>
        <v>0</v>
      </c>
      <c r="CNB15" s="63">
        <f t="shared" si="39"/>
        <v>0</v>
      </c>
      <c r="CNC15" s="63">
        <f t="shared" si="39"/>
        <v>0</v>
      </c>
      <c r="CND15" s="63">
        <f t="shared" si="39"/>
        <v>0</v>
      </c>
      <c r="CNE15" s="63">
        <f t="shared" si="39"/>
        <v>0</v>
      </c>
      <c r="CNF15" s="63">
        <f t="shared" si="39"/>
        <v>0</v>
      </c>
      <c r="CNG15" s="63">
        <f t="shared" si="39"/>
        <v>0</v>
      </c>
      <c r="CNH15" s="63">
        <f t="shared" si="39"/>
        <v>0</v>
      </c>
      <c r="CNI15" s="63">
        <f t="shared" si="39"/>
        <v>0</v>
      </c>
      <c r="CNJ15" s="63">
        <f t="shared" si="39"/>
        <v>0</v>
      </c>
      <c r="CNK15" s="63">
        <f t="shared" si="39"/>
        <v>0</v>
      </c>
      <c r="CNL15" s="63">
        <f t="shared" si="39"/>
        <v>0</v>
      </c>
      <c r="CNM15" s="63">
        <f t="shared" si="39"/>
        <v>0</v>
      </c>
      <c r="CNN15" s="63">
        <f t="shared" si="39"/>
        <v>0</v>
      </c>
      <c r="CNO15" s="63">
        <f t="shared" si="39"/>
        <v>0</v>
      </c>
      <c r="CNP15" s="63">
        <f t="shared" si="39"/>
        <v>0</v>
      </c>
      <c r="CNQ15" s="63">
        <f t="shared" si="39"/>
        <v>0</v>
      </c>
      <c r="CNR15" s="63">
        <f t="shared" si="39"/>
        <v>0</v>
      </c>
      <c r="CNS15" s="63">
        <f t="shared" si="39"/>
        <v>0</v>
      </c>
      <c r="CNT15" s="63">
        <f t="shared" si="39"/>
        <v>0</v>
      </c>
      <c r="CNU15" s="63">
        <f t="shared" si="39"/>
        <v>0</v>
      </c>
      <c r="CNV15" s="63">
        <f t="shared" si="39"/>
        <v>0</v>
      </c>
      <c r="CNW15" s="63">
        <f t="shared" si="39"/>
        <v>0</v>
      </c>
      <c r="CNX15" s="63">
        <f t="shared" si="39"/>
        <v>0</v>
      </c>
      <c r="CNY15" s="63">
        <f t="shared" si="39"/>
        <v>0</v>
      </c>
      <c r="CNZ15" s="63">
        <f t="shared" si="39"/>
        <v>0</v>
      </c>
      <c r="COA15" s="63">
        <f t="shared" si="39"/>
        <v>0</v>
      </c>
      <c r="COB15" s="63">
        <f t="shared" si="39"/>
        <v>0</v>
      </c>
      <c r="COC15" s="63">
        <f t="shared" si="39"/>
        <v>0</v>
      </c>
      <c r="COD15" s="63">
        <f t="shared" si="39"/>
        <v>0</v>
      </c>
      <c r="COE15" s="63">
        <f t="shared" si="39"/>
        <v>0</v>
      </c>
      <c r="COF15" s="63">
        <f t="shared" si="39"/>
        <v>0</v>
      </c>
      <c r="COG15" s="63">
        <f t="shared" si="39"/>
        <v>0</v>
      </c>
      <c r="COH15" s="63">
        <f t="shared" si="39"/>
        <v>0</v>
      </c>
      <c r="COI15" s="63">
        <f t="shared" si="39"/>
        <v>0</v>
      </c>
      <c r="COJ15" s="63">
        <f t="shared" si="39"/>
        <v>0</v>
      </c>
      <c r="COK15" s="63">
        <f t="shared" si="39"/>
        <v>0</v>
      </c>
      <c r="COL15" s="63">
        <f t="shared" si="39"/>
        <v>0</v>
      </c>
      <c r="COM15" s="63">
        <f t="shared" si="39"/>
        <v>0</v>
      </c>
      <c r="CON15" s="63">
        <f t="shared" si="39"/>
        <v>0</v>
      </c>
      <c r="COO15" s="63">
        <f t="shared" si="39"/>
        <v>0</v>
      </c>
      <c r="COP15" s="63">
        <f t="shared" si="39"/>
        <v>0</v>
      </c>
      <c r="COQ15" s="63">
        <f t="shared" si="39"/>
        <v>0</v>
      </c>
      <c r="COR15" s="63">
        <f t="shared" ref="COR15:CRC15" si="40">COQ18</f>
        <v>0</v>
      </c>
      <c r="COS15" s="63">
        <f t="shared" si="40"/>
        <v>0</v>
      </c>
      <c r="COT15" s="63">
        <f t="shared" si="40"/>
        <v>0</v>
      </c>
      <c r="COU15" s="63">
        <f t="shared" si="40"/>
        <v>0</v>
      </c>
      <c r="COV15" s="63">
        <f t="shared" si="40"/>
        <v>0</v>
      </c>
      <c r="COW15" s="63">
        <f t="shared" si="40"/>
        <v>0</v>
      </c>
      <c r="COX15" s="63">
        <f t="shared" si="40"/>
        <v>0</v>
      </c>
      <c r="COY15" s="63">
        <f t="shared" si="40"/>
        <v>0</v>
      </c>
      <c r="COZ15" s="63">
        <f t="shared" si="40"/>
        <v>0</v>
      </c>
      <c r="CPA15" s="63">
        <f t="shared" si="40"/>
        <v>0</v>
      </c>
      <c r="CPB15" s="63">
        <f t="shared" si="40"/>
        <v>0</v>
      </c>
      <c r="CPC15" s="63">
        <f t="shared" si="40"/>
        <v>0</v>
      </c>
      <c r="CPD15" s="63">
        <f t="shared" si="40"/>
        <v>0</v>
      </c>
      <c r="CPE15" s="63">
        <f t="shared" si="40"/>
        <v>0</v>
      </c>
      <c r="CPF15" s="63">
        <f t="shared" si="40"/>
        <v>0</v>
      </c>
      <c r="CPG15" s="63">
        <f t="shared" si="40"/>
        <v>0</v>
      </c>
      <c r="CPH15" s="63">
        <f t="shared" si="40"/>
        <v>0</v>
      </c>
      <c r="CPI15" s="63">
        <f t="shared" si="40"/>
        <v>0</v>
      </c>
      <c r="CPJ15" s="63">
        <f t="shared" si="40"/>
        <v>0</v>
      </c>
      <c r="CPK15" s="63">
        <f t="shared" si="40"/>
        <v>0</v>
      </c>
      <c r="CPL15" s="63">
        <f t="shared" si="40"/>
        <v>0</v>
      </c>
      <c r="CPM15" s="63">
        <f t="shared" si="40"/>
        <v>0</v>
      </c>
      <c r="CPN15" s="63">
        <f t="shared" si="40"/>
        <v>0</v>
      </c>
      <c r="CPO15" s="63">
        <f t="shared" si="40"/>
        <v>0</v>
      </c>
      <c r="CPP15" s="63">
        <f t="shared" si="40"/>
        <v>0</v>
      </c>
      <c r="CPQ15" s="63">
        <f t="shared" si="40"/>
        <v>0</v>
      </c>
      <c r="CPR15" s="63">
        <f t="shared" si="40"/>
        <v>0</v>
      </c>
      <c r="CPS15" s="63">
        <f t="shared" si="40"/>
        <v>0</v>
      </c>
      <c r="CPT15" s="63">
        <f t="shared" si="40"/>
        <v>0</v>
      </c>
      <c r="CPU15" s="63">
        <f t="shared" si="40"/>
        <v>0</v>
      </c>
      <c r="CPV15" s="63">
        <f t="shared" si="40"/>
        <v>0</v>
      </c>
      <c r="CPW15" s="63">
        <f t="shared" si="40"/>
        <v>0</v>
      </c>
      <c r="CPX15" s="63">
        <f t="shared" si="40"/>
        <v>0</v>
      </c>
      <c r="CPY15" s="63">
        <f t="shared" si="40"/>
        <v>0</v>
      </c>
      <c r="CPZ15" s="63">
        <f t="shared" si="40"/>
        <v>0</v>
      </c>
      <c r="CQA15" s="63">
        <f t="shared" si="40"/>
        <v>0</v>
      </c>
      <c r="CQB15" s="63">
        <f t="shared" si="40"/>
        <v>0</v>
      </c>
      <c r="CQC15" s="63">
        <f t="shared" si="40"/>
        <v>0</v>
      </c>
      <c r="CQD15" s="63">
        <f t="shared" si="40"/>
        <v>0</v>
      </c>
      <c r="CQE15" s="63">
        <f t="shared" si="40"/>
        <v>0</v>
      </c>
      <c r="CQF15" s="63">
        <f t="shared" si="40"/>
        <v>0</v>
      </c>
      <c r="CQG15" s="63">
        <f t="shared" si="40"/>
        <v>0</v>
      </c>
      <c r="CQH15" s="63">
        <f t="shared" si="40"/>
        <v>0</v>
      </c>
      <c r="CQI15" s="63">
        <f t="shared" si="40"/>
        <v>0</v>
      </c>
      <c r="CQJ15" s="63">
        <f t="shared" si="40"/>
        <v>0</v>
      </c>
      <c r="CQK15" s="63">
        <f t="shared" si="40"/>
        <v>0</v>
      </c>
      <c r="CQL15" s="63">
        <f t="shared" si="40"/>
        <v>0</v>
      </c>
      <c r="CQM15" s="63">
        <f t="shared" si="40"/>
        <v>0</v>
      </c>
      <c r="CQN15" s="63">
        <f t="shared" si="40"/>
        <v>0</v>
      </c>
      <c r="CQO15" s="63">
        <f t="shared" si="40"/>
        <v>0</v>
      </c>
      <c r="CQP15" s="63">
        <f t="shared" si="40"/>
        <v>0</v>
      </c>
      <c r="CQQ15" s="63">
        <f t="shared" si="40"/>
        <v>0</v>
      </c>
      <c r="CQR15" s="63">
        <f t="shared" si="40"/>
        <v>0</v>
      </c>
      <c r="CQS15" s="63">
        <f t="shared" si="40"/>
        <v>0</v>
      </c>
      <c r="CQT15" s="63">
        <f t="shared" si="40"/>
        <v>0</v>
      </c>
      <c r="CQU15" s="63">
        <f t="shared" si="40"/>
        <v>0</v>
      </c>
      <c r="CQV15" s="63">
        <f t="shared" si="40"/>
        <v>0</v>
      </c>
      <c r="CQW15" s="63">
        <f t="shared" si="40"/>
        <v>0</v>
      </c>
      <c r="CQX15" s="63">
        <f t="shared" si="40"/>
        <v>0</v>
      </c>
      <c r="CQY15" s="63">
        <f t="shared" si="40"/>
        <v>0</v>
      </c>
      <c r="CQZ15" s="63">
        <f t="shared" si="40"/>
        <v>0</v>
      </c>
      <c r="CRA15" s="63">
        <f t="shared" si="40"/>
        <v>0</v>
      </c>
      <c r="CRB15" s="63">
        <f t="shared" si="40"/>
        <v>0</v>
      </c>
      <c r="CRC15" s="63">
        <f t="shared" si="40"/>
        <v>0</v>
      </c>
      <c r="CRD15" s="63">
        <f t="shared" ref="CRD15:CTO15" si="41">CRC18</f>
        <v>0</v>
      </c>
      <c r="CRE15" s="63">
        <f t="shared" si="41"/>
        <v>0</v>
      </c>
      <c r="CRF15" s="63">
        <f t="shared" si="41"/>
        <v>0</v>
      </c>
      <c r="CRG15" s="63">
        <f t="shared" si="41"/>
        <v>0</v>
      </c>
      <c r="CRH15" s="63">
        <f t="shared" si="41"/>
        <v>0</v>
      </c>
      <c r="CRI15" s="63">
        <f t="shared" si="41"/>
        <v>0</v>
      </c>
      <c r="CRJ15" s="63">
        <f t="shared" si="41"/>
        <v>0</v>
      </c>
      <c r="CRK15" s="63">
        <f t="shared" si="41"/>
        <v>0</v>
      </c>
      <c r="CRL15" s="63">
        <f t="shared" si="41"/>
        <v>0</v>
      </c>
      <c r="CRM15" s="63">
        <f t="shared" si="41"/>
        <v>0</v>
      </c>
      <c r="CRN15" s="63">
        <f t="shared" si="41"/>
        <v>0</v>
      </c>
      <c r="CRO15" s="63">
        <f t="shared" si="41"/>
        <v>0</v>
      </c>
      <c r="CRP15" s="63">
        <f t="shared" si="41"/>
        <v>0</v>
      </c>
      <c r="CRQ15" s="63">
        <f t="shared" si="41"/>
        <v>0</v>
      </c>
      <c r="CRR15" s="63">
        <f t="shared" si="41"/>
        <v>0</v>
      </c>
      <c r="CRS15" s="63">
        <f t="shared" si="41"/>
        <v>0</v>
      </c>
      <c r="CRT15" s="63">
        <f t="shared" si="41"/>
        <v>0</v>
      </c>
      <c r="CRU15" s="63">
        <f t="shared" si="41"/>
        <v>0</v>
      </c>
      <c r="CRV15" s="63">
        <f t="shared" si="41"/>
        <v>0</v>
      </c>
      <c r="CRW15" s="63">
        <f t="shared" si="41"/>
        <v>0</v>
      </c>
      <c r="CRX15" s="63">
        <f t="shared" si="41"/>
        <v>0</v>
      </c>
      <c r="CRY15" s="63">
        <f t="shared" si="41"/>
        <v>0</v>
      </c>
      <c r="CRZ15" s="63">
        <f t="shared" si="41"/>
        <v>0</v>
      </c>
      <c r="CSA15" s="63">
        <f t="shared" si="41"/>
        <v>0</v>
      </c>
      <c r="CSB15" s="63">
        <f t="shared" si="41"/>
        <v>0</v>
      </c>
      <c r="CSC15" s="63">
        <f t="shared" si="41"/>
        <v>0</v>
      </c>
      <c r="CSD15" s="63">
        <f t="shared" si="41"/>
        <v>0</v>
      </c>
      <c r="CSE15" s="63">
        <f t="shared" si="41"/>
        <v>0</v>
      </c>
      <c r="CSF15" s="63">
        <f t="shared" si="41"/>
        <v>0</v>
      </c>
      <c r="CSG15" s="63">
        <f t="shared" si="41"/>
        <v>0</v>
      </c>
      <c r="CSH15" s="63">
        <f t="shared" si="41"/>
        <v>0</v>
      </c>
      <c r="CSI15" s="63">
        <f t="shared" si="41"/>
        <v>0</v>
      </c>
      <c r="CSJ15" s="63">
        <f t="shared" si="41"/>
        <v>0</v>
      </c>
      <c r="CSK15" s="63">
        <f t="shared" si="41"/>
        <v>0</v>
      </c>
      <c r="CSL15" s="63">
        <f t="shared" si="41"/>
        <v>0</v>
      </c>
      <c r="CSM15" s="63">
        <f t="shared" si="41"/>
        <v>0</v>
      </c>
      <c r="CSN15" s="63">
        <f t="shared" si="41"/>
        <v>0</v>
      </c>
      <c r="CSO15" s="63">
        <f t="shared" si="41"/>
        <v>0</v>
      </c>
      <c r="CSP15" s="63">
        <f t="shared" si="41"/>
        <v>0</v>
      </c>
      <c r="CSQ15" s="63">
        <f t="shared" si="41"/>
        <v>0</v>
      </c>
      <c r="CSR15" s="63">
        <f t="shared" si="41"/>
        <v>0</v>
      </c>
      <c r="CSS15" s="63">
        <f t="shared" si="41"/>
        <v>0</v>
      </c>
      <c r="CST15" s="63">
        <f t="shared" si="41"/>
        <v>0</v>
      </c>
      <c r="CSU15" s="63">
        <f t="shared" si="41"/>
        <v>0</v>
      </c>
      <c r="CSV15" s="63">
        <f t="shared" si="41"/>
        <v>0</v>
      </c>
      <c r="CSW15" s="63">
        <f t="shared" si="41"/>
        <v>0</v>
      </c>
      <c r="CSX15" s="63">
        <f t="shared" si="41"/>
        <v>0</v>
      </c>
      <c r="CSY15" s="63">
        <f t="shared" si="41"/>
        <v>0</v>
      </c>
      <c r="CSZ15" s="63">
        <f t="shared" si="41"/>
        <v>0</v>
      </c>
      <c r="CTA15" s="63">
        <f t="shared" si="41"/>
        <v>0</v>
      </c>
      <c r="CTB15" s="63">
        <f t="shared" si="41"/>
        <v>0</v>
      </c>
      <c r="CTC15" s="63">
        <f t="shared" si="41"/>
        <v>0</v>
      </c>
      <c r="CTD15" s="63">
        <f t="shared" si="41"/>
        <v>0</v>
      </c>
      <c r="CTE15" s="63">
        <f t="shared" si="41"/>
        <v>0</v>
      </c>
      <c r="CTF15" s="63">
        <f t="shared" si="41"/>
        <v>0</v>
      </c>
      <c r="CTG15" s="63">
        <f t="shared" si="41"/>
        <v>0</v>
      </c>
      <c r="CTH15" s="63">
        <f t="shared" si="41"/>
        <v>0</v>
      </c>
      <c r="CTI15" s="63">
        <f t="shared" si="41"/>
        <v>0</v>
      </c>
      <c r="CTJ15" s="63">
        <f t="shared" si="41"/>
        <v>0</v>
      </c>
      <c r="CTK15" s="63">
        <f t="shared" si="41"/>
        <v>0</v>
      </c>
      <c r="CTL15" s="63">
        <f t="shared" si="41"/>
        <v>0</v>
      </c>
      <c r="CTM15" s="63">
        <f t="shared" si="41"/>
        <v>0</v>
      </c>
      <c r="CTN15" s="63">
        <f t="shared" si="41"/>
        <v>0</v>
      </c>
      <c r="CTO15" s="63">
        <f t="shared" si="41"/>
        <v>0</v>
      </c>
      <c r="CTP15" s="63">
        <f t="shared" ref="CTP15:CWA15" si="42">CTO18</f>
        <v>0</v>
      </c>
      <c r="CTQ15" s="63">
        <f t="shared" si="42"/>
        <v>0</v>
      </c>
      <c r="CTR15" s="63">
        <f t="shared" si="42"/>
        <v>0</v>
      </c>
      <c r="CTS15" s="63">
        <f t="shared" si="42"/>
        <v>0</v>
      </c>
      <c r="CTT15" s="63">
        <f t="shared" si="42"/>
        <v>0</v>
      </c>
      <c r="CTU15" s="63">
        <f t="shared" si="42"/>
        <v>0</v>
      </c>
      <c r="CTV15" s="63">
        <f t="shared" si="42"/>
        <v>0</v>
      </c>
      <c r="CTW15" s="63">
        <f t="shared" si="42"/>
        <v>0</v>
      </c>
      <c r="CTX15" s="63">
        <f t="shared" si="42"/>
        <v>0</v>
      </c>
      <c r="CTY15" s="63">
        <f t="shared" si="42"/>
        <v>0</v>
      </c>
      <c r="CTZ15" s="63">
        <f t="shared" si="42"/>
        <v>0</v>
      </c>
      <c r="CUA15" s="63">
        <f t="shared" si="42"/>
        <v>0</v>
      </c>
      <c r="CUB15" s="63">
        <f t="shared" si="42"/>
        <v>0</v>
      </c>
      <c r="CUC15" s="63">
        <f t="shared" si="42"/>
        <v>0</v>
      </c>
      <c r="CUD15" s="63">
        <f t="shared" si="42"/>
        <v>0</v>
      </c>
      <c r="CUE15" s="63">
        <f t="shared" si="42"/>
        <v>0</v>
      </c>
      <c r="CUF15" s="63">
        <f t="shared" si="42"/>
        <v>0</v>
      </c>
      <c r="CUG15" s="63">
        <f t="shared" si="42"/>
        <v>0</v>
      </c>
      <c r="CUH15" s="63">
        <f t="shared" si="42"/>
        <v>0</v>
      </c>
      <c r="CUI15" s="63">
        <f t="shared" si="42"/>
        <v>0</v>
      </c>
      <c r="CUJ15" s="63">
        <f t="shared" si="42"/>
        <v>0</v>
      </c>
      <c r="CUK15" s="63">
        <f t="shared" si="42"/>
        <v>0</v>
      </c>
      <c r="CUL15" s="63">
        <f t="shared" si="42"/>
        <v>0</v>
      </c>
      <c r="CUM15" s="63">
        <f t="shared" si="42"/>
        <v>0</v>
      </c>
      <c r="CUN15" s="63">
        <f t="shared" si="42"/>
        <v>0</v>
      </c>
      <c r="CUO15" s="63">
        <f t="shared" si="42"/>
        <v>0</v>
      </c>
      <c r="CUP15" s="63">
        <f t="shared" si="42"/>
        <v>0</v>
      </c>
      <c r="CUQ15" s="63">
        <f t="shared" si="42"/>
        <v>0</v>
      </c>
      <c r="CUR15" s="63">
        <f t="shared" si="42"/>
        <v>0</v>
      </c>
      <c r="CUS15" s="63">
        <f t="shared" si="42"/>
        <v>0</v>
      </c>
      <c r="CUT15" s="63">
        <f t="shared" si="42"/>
        <v>0</v>
      </c>
      <c r="CUU15" s="63">
        <f t="shared" si="42"/>
        <v>0</v>
      </c>
      <c r="CUV15" s="63">
        <f t="shared" si="42"/>
        <v>0</v>
      </c>
      <c r="CUW15" s="63">
        <f t="shared" si="42"/>
        <v>0</v>
      </c>
      <c r="CUX15" s="63">
        <f t="shared" si="42"/>
        <v>0</v>
      </c>
      <c r="CUY15" s="63">
        <f t="shared" si="42"/>
        <v>0</v>
      </c>
      <c r="CUZ15" s="63">
        <f t="shared" si="42"/>
        <v>0</v>
      </c>
      <c r="CVA15" s="63">
        <f t="shared" si="42"/>
        <v>0</v>
      </c>
      <c r="CVB15" s="63">
        <f t="shared" si="42"/>
        <v>0</v>
      </c>
      <c r="CVC15" s="63">
        <f t="shared" si="42"/>
        <v>0</v>
      </c>
      <c r="CVD15" s="63">
        <f t="shared" si="42"/>
        <v>0</v>
      </c>
      <c r="CVE15" s="63">
        <f t="shared" si="42"/>
        <v>0</v>
      </c>
      <c r="CVF15" s="63">
        <f t="shared" si="42"/>
        <v>0</v>
      </c>
      <c r="CVG15" s="63">
        <f t="shared" si="42"/>
        <v>0</v>
      </c>
      <c r="CVH15" s="63">
        <f t="shared" si="42"/>
        <v>0</v>
      </c>
      <c r="CVI15" s="63">
        <f t="shared" si="42"/>
        <v>0</v>
      </c>
      <c r="CVJ15" s="63">
        <f t="shared" si="42"/>
        <v>0</v>
      </c>
      <c r="CVK15" s="63">
        <f t="shared" si="42"/>
        <v>0</v>
      </c>
      <c r="CVL15" s="63">
        <f t="shared" si="42"/>
        <v>0</v>
      </c>
      <c r="CVM15" s="63">
        <f t="shared" si="42"/>
        <v>0</v>
      </c>
      <c r="CVN15" s="63">
        <f t="shared" si="42"/>
        <v>0</v>
      </c>
      <c r="CVO15" s="63">
        <f t="shared" si="42"/>
        <v>0</v>
      </c>
      <c r="CVP15" s="63">
        <f t="shared" si="42"/>
        <v>0</v>
      </c>
      <c r="CVQ15" s="63">
        <f t="shared" si="42"/>
        <v>0</v>
      </c>
      <c r="CVR15" s="63">
        <f t="shared" si="42"/>
        <v>0</v>
      </c>
      <c r="CVS15" s="63">
        <f t="shared" si="42"/>
        <v>0</v>
      </c>
      <c r="CVT15" s="63">
        <f t="shared" si="42"/>
        <v>0</v>
      </c>
      <c r="CVU15" s="63">
        <f t="shared" si="42"/>
        <v>0</v>
      </c>
      <c r="CVV15" s="63">
        <f t="shared" si="42"/>
        <v>0</v>
      </c>
      <c r="CVW15" s="63">
        <f t="shared" si="42"/>
        <v>0</v>
      </c>
      <c r="CVX15" s="63">
        <f t="shared" si="42"/>
        <v>0</v>
      </c>
      <c r="CVY15" s="63">
        <f t="shared" si="42"/>
        <v>0</v>
      </c>
      <c r="CVZ15" s="63">
        <f t="shared" si="42"/>
        <v>0</v>
      </c>
      <c r="CWA15" s="63">
        <f t="shared" si="42"/>
        <v>0</v>
      </c>
      <c r="CWB15" s="63">
        <f t="shared" ref="CWB15:CYM15" si="43">CWA18</f>
        <v>0</v>
      </c>
      <c r="CWC15" s="63">
        <f t="shared" si="43"/>
        <v>0</v>
      </c>
      <c r="CWD15" s="63">
        <f t="shared" si="43"/>
        <v>0</v>
      </c>
      <c r="CWE15" s="63">
        <f t="shared" si="43"/>
        <v>0</v>
      </c>
      <c r="CWF15" s="63">
        <f t="shared" si="43"/>
        <v>0</v>
      </c>
      <c r="CWG15" s="63">
        <f t="shared" si="43"/>
        <v>0</v>
      </c>
      <c r="CWH15" s="63">
        <f t="shared" si="43"/>
        <v>0</v>
      </c>
      <c r="CWI15" s="63">
        <f t="shared" si="43"/>
        <v>0</v>
      </c>
      <c r="CWJ15" s="63">
        <f t="shared" si="43"/>
        <v>0</v>
      </c>
      <c r="CWK15" s="63">
        <f t="shared" si="43"/>
        <v>0</v>
      </c>
      <c r="CWL15" s="63">
        <f t="shared" si="43"/>
        <v>0</v>
      </c>
      <c r="CWM15" s="63">
        <f t="shared" si="43"/>
        <v>0</v>
      </c>
      <c r="CWN15" s="63">
        <f t="shared" si="43"/>
        <v>0</v>
      </c>
      <c r="CWO15" s="63">
        <f t="shared" si="43"/>
        <v>0</v>
      </c>
      <c r="CWP15" s="63">
        <f t="shared" si="43"/>
        <v>0</v>
      </c>
      <c r="CWQ15" s="63">
        <f t="shared" si="43"/>
        <v>0</v>
      </c>
      <c r="CWR15" s="63">
        <f t="shared" si="43"/>
        <v>0</v>
      </c>
      <c r="CWS15" s="63">
        <f t="shared" si="43"/>
        <v>0</v>
      </c>
      <c r="CWT15" s="63">
        <f t="shared" si="43"/>
        <v>0</v>
      </c>
      <c r="CWU15" s="63">
        <f t="shared" si="43"/>
        <v>0</v>
      </c>
      <c r="CWV15" s="63">
        <f t="shared" si="43"/>
        <v>0</v>
      </c>
      <c r="CWW15" s="63">
        <f t="shared" si="43"/>
        <v>0</v>
      </c>
      <c r="CWX15" s="63">
        <f t="shared" si="43"/>
        <v>0</v>
      </c>
      <c r="CWY15" s="63">
        <f t="shared" si="43"/>
        <v>0</v>
      </c>
      <c r="CWZ15" s="63">
        <f t="shared" si="43"/>
        <v>0</v>
      </c>
      <c r="CXA15" s="63">
        <f t="shared" si="43"/>
        <v>0</v>
      </c>
      <c r="CXB15" s="63">
        <f t="shared" si="43"/>
        <v>0</v>
      </c>
      <c r="CXC15" s="63">
        <f t="shared" si="43"/>
        <v>0</v>
      </c>
      <c r="CXD15" s="63">
        <f t="shared" si="43"/>
        <v>0</v>
      </c>
      <c r="CXE15" s="63">
        <f t="shared" si="43"/>
        <v>0</v>
      </c>
      <c r="CXF15" s="63">
        <f t="shared" si="43"/>
        <v>0</v>
      </c>
      <c r="CXG15" s="63">
        <f t="shared" si="43"/>
        <v>0</v>
      </c>
      <c r="CXH15" s="63">
        <f t="shared" si="43"/>
        <v>0</v>
      </c>
      <c r="CXI15" s="63">
        <f t="shared" si="43"/>
        <v>0</v>
      </c>
      <c r="CXJ15" s="63">
        <f t="shared" si="43"/>
        <v>0</v>
      </c>
      <c r="CXK15" s="63">
        <f t="shared" si="43"/>
        <v>0</v>
      </c>
      <c r="CXL15" s="63">
        <f t="shared" si="43"/>
        <v>0</v>
      </c>
      <c r="CXM15" s="63">
        <f t="shared" si="43"/>
        <v>0</v>
      </c>
      <c r="CXN15" s="63">
        <f t="shared" si="43"/>
        <v>0</v>
      </c>
      <c r="CXO15" s="63">
        <f t="shared" si="43"/>
        <v>0</v>
      </c>
      <c r="CXP15" s="63">
        <f t="shared" si="43"/>
        <v>0</v>
      </c>
      <c r="CXQ15" s="63">
        <f t="shared" si="43"/>
        <v>0</v>
      </c>
      <c r="CXR15" s="63">
        <f t="shared" si="43"/>
        <v>0</v>
      </c>
      <c r="CXS15" s="63">
        <f t="shared" si="43"/>
        <v>0</v>
      </c>
      <c r="CXT15" s="63">
        <f t="shared" si="43"/>
        <v>0</v>
      </c>
      <c r="CXU15" s="63">
        <f t="shared" si="43"/>
        <v>0</v>
      </c>
      <c r="CXV15" s="63">
        <f t="shared" si="43"/>
        <v>0</v>
      </c>
      <c r="CXW15" s="63">
        <f t="shared" si="43"/>
        <v>0</v>
      </c>
      <c r="CXX15" s="63">
        <f t="shared" si="43"/>
        <v>0</v>
      </c>
      <c r="CXY15" s="63">
        <f t="shared" si="43"/>
        <v>0</v>
      </c>
      <c r="CXZ15" s="63">
        <f t="shared" si="43"/>
        <v>0</v>
      </c>
      <c r="CYA15" s="63">
        <f t="shared" si="43"/>
        <v>0</v>
      </c>
      <c r="CYB15" s="63">
        <f t="shared" si="43"/>
        <v>0</v>
      </c>
      <c r="CYC15" s="63">
        <f t="shared" si="43"/>
        <v>0</v>
      </c>
      <c r="CYD15" s="63">
        <f t="shared" si="43"/>
        <v>0</v>
      </c>
      <c r="CYE15" s="63">
        <f t="shared" si="43"/>
        <v>0</v>
      </c>
      <c r="CYF15" s="63">
        <f t="shared" si="43"/>
        <v>0</v>
      </c>
      <c r="CYG15" s="63">
        <f t="shared" si="43"/>
        <v>0</v>
      </c>
      <c r="CYH15" s="63">
        <f t="shared" si="43"/>
        <v>0</v>
      </c>
      <c r="CYI15" s="63">
        <f t="shared" si="43"/>
        <v>0</v>
      </c>
      <c r="CYJ15" s="63">
        <f t="shared" si="43"/>
        <v>0</v>
      </c>
      <c r="CYK15" s="63">
        <f t="shared" si="43"/>
        <v>0</v>
      </c>
      <c r="CYL15" s="63">
        <f t="shared" si="43"/>
        <v>0</v>
      </c>
      <c r="CYM15" s="63">
        <f t="shared" si="43"/>
        <v>0</v>
      </c>
      <c r="CYN15" s="63">
        <f t="shared" ref="CYN15:DAY15" si="44">CYM18</f>
        <v>0</v>
      </c>
      <c r="CYO15" s="63">
        <f t="shared" si="44"/>
        <v>0</v>
      </c>
      <c r="CYP15" s="63">
        <f t="shared" si="44"/>
        <v>0</v>
      </c>
      <c r="CYQ15" s="63">
        <f t="shared" si="44"/>
        <v>0</v>
      </c>
      <c r="CYR15" s="63">
        <f t="shared" si="44"/>
        <v>0</v>
      </c>
      <c r="CYS15" s="63">
        <f t="shared" si="44"/>
        <v>0</v>
      </c>
      <c r="CYT15" s="63">
        <f t="shared" si="44"/>
        <v>0</v>
      </c>
      <c r="CYU15" s="63">
        <f t="shared" si="44"/>
        <v>0</v>
      </c>
      <c r="CYV15" s="63">
        <f t="shared" si="44"/>
        <v>0</v>
      </c>
      <c r="CYW15" s="63">
        <f t="shared" si="44"/>
        <v>0</v>
      </c>
      <c r="CYX15" s="63">
        <f t="shared" si="44"/>
        <v>0</v>
      </c>
      <c r="CYY15" s="63">
        <f t="shared" si="44"/>
        <v>0</v>
      </c>
      <c r="CYZ15" s="63">
        <f t="shared" si="44"/>
        <v>0</v>
      </c>
      <c r="CZA15" s="63">
        <f t="shared" si="44"/>
        <v>0</v>
      </c>
      <c r="CZB15" s="63">
        <f t="shared" si="44"/>
        <v>0</v>
      </c>
      <c r="CZC15" s="63">
        <f t="shared" si="44"/>
        <v>0</v>
      </c>
      <c r="CZD15" s="63">
        <f t="shared" si="44"/>
        <v>0</v>
      </c>
      <c r="CZE15" s="63">
        <f t="shared" si="44"/>
        <v>0</v>
      </c>
      <c r="CZF15" s="63">
        <f t="shared" si="44"/>
        <v>0</v>
      </c>
      <c r="CZG15" s="63">
        <f t="shared" si="44"/>
        <v>0</v>
      </c>
      <c r="CZH15" s="63">
        <f t="shared" si="44"/>
        <v>0</v>
      </c>
      <c r="CZI15" s="63">
        <f t="shared" si="44"/>
        <v>0</v>
      </c>
      <c r="CZJ15" s="63">
        <f t="shared" si="44"/>
        <v>0</v>
      </c>
      <c r="CZK15" s="63">
        <f t="shared" si="44"/>
        <v>0</v>
      </c>
      <c r="CZL15" s="63">
        <f t="shared" si="44"/>
        <v>0</v>
      </c>
      <c r="CZM15" s="63">
        <f t="shared" si="44"/>
        <v>0</v>
      </c>
      <c r="CZN15" s="63">
        <f t="shared" si="44"/>
        <v>0</v>
      </c>
      <c r="CZO15" s="63">
        <f t="shared" si="44"/>
        <v>0</v>
      </c>
      <c r="CZP15" s="63">
        <f t="shared" si="44"/>
        <v>0</v>
      </c>
      <c r="CZQ15" s="63">
        <f t="shared" si="44"/>
        <v>0</v>
      </c>
      <c r="CZR15" s="63">
        <f t="shared" si="44"/>
        <v>0</v>
      </c>
      <c r="CZS15" s="63">
        <f t="shared" si="44"/>
        <v>0</v>
      </c>
      <c r="CZT15" s="63">
        <f t="shared" si="44"/>
        <v>0</v>
      </c>
      <c r="CZU15" s="63">
        <f t="shared" si="44"/>
        <v>0</v>
      </c>
      <c r="CZV15" s="63">
        <f t="shared" si="44"/>
        <v>0</v>
      </c>
      <c r="CZW15" s="63">
        <f t="shared" si="44"/>
        <v>0</v>
      </c>
      <c r="CZX15" s="63">
        <f t="shared" si="44"/>
        <v>0</v>
      </c>
      <c r="CZY15" s="63">
        <f t="shared" si="44"/>
        <v>0</v>
      </c>
      <c r="CZZ15" s="63">
        <f t="shared" si="44"/>
        <v>0</v>
      </c>
      <c r="DAA15" s="63">
        <f t="shared" si="44"/>
        <v>0</v>
      </c>
      <c r="DAB15" s="63">
        <f t="shared" si="44"/>
        <v>0</v>
      </c>
      <c r="DAC15" s="63">
        <f t="shared" si="44"/>
        <v>0</v>
      </c>
      <c r="DAD15" s="63">
        <f t="shared" si="44"/>
        <v>0</v>
      </c>
      <c r="DAE15" s="63">
        <f t="shared" si="44"/>
        <v>0</v>
      </c>
      <c r="DAF15" s="63">
        <f t="shared" si="44"/>
        <v>0</v>
      </c>
      <c r="DAG15" s="63">
        <f t="shared" si="44"/>
        <v>0</v>
      </c>
      <c r="DAH15" s="63">
        <f t="shared" si="44"/>
        <v>0</v>
      </c>
      <c r="DAI15" s="63">
        <f t="shared" si="44"/>
        <v>0</v>
      </c>
      <c r="DAJ15" s="63">
        <f t="shared" si="44"/>
        <v>0</v>
      </c>
      <c r="DAK15" s="63">
        <f t="shared" si="44"/>
        <v>0</v>
      </c>
      <c r="DAL15" s="63">
        <f t="shared" si="44"/>
        <v>0</v>
      </c>
      <c r="DAM15" s="63">
        <f t="shared" si="44"/>
        <v>0</v>
      </c>
      <c r="DAN15" s="63">
        <f t="shared" si="44"/>
        <v>0</v>
      </c>
      <c r="DAO15" s="63">
        <f t="shared" si="44"/>
        <v>0</v>
      </c>
      <c r="DAP15" s="63">
        <f t="shared" si="44"/>
        <v>0</v>
      </c>
      <c r="DAQ15" s="63">
        <f t="shared" si="44"/>
        <v>0</v>
      </c>
      <c r="DAR15" s="63">
        <f t="shared" si="44"/>
        <v>0</v>
      </c>
      <c r="DAS15" s="63">
        <f t="shared" si="44"/>
        <v>0</v>
      </c>
      <c r="DAT15" s="63">
        <f t="shared" si="44"/>
        <v>0</v>
      </c>
      <c r="DAU15" s="63">
        <f t="shared" si="44"/>
        <v>0</v>
      </c>
      <c r="DAV15" s="63">
        <f t="shared" si="44"/>
        <v>0</v>
      </c>
      <c r="DAW15" s="63">
        <f t="shared" si="44"/>
        <v>0</v>
      </c>
      <c r="DAX15" s="63">
        <f t="shared" si="44"/>
        <v>0</v>
      </c>
      <c r="DAY15" s="63">
        <f t="shared" si="44"/>
        <v>0</v>
      </c>
      <c r="DAZ15" s="63">
        <f t="shared" ref="DAZ15:DDK15" si="45">DAY18</f>
        <v>0</v>
      </c>
      <c r="DBA15" s="63">
        <f t="shared" si="45"/>
        <v>0</v>
      </c>
      <c r="DBB15" s="63">
        <f t="shared" si="45"/>
        <v>0</v>
      </c>
      <c r="DBC15" s="63">
        <f t="shared" si="45"/>
        <v>0</v>
      </c>
      <c r="DBD15" s="63">
        <f t="shared" si="45"/>
        <v>0</v>
      </c>
      <c r="DBE15" s="63">
        <f t="shared" si="45"/>
        <v>0</v>
      </c>
      <c r="DBF15" s="63">
        <f t="shared" si="45"/>
        <v>0</v>
      </c>
      <c r="DBG15" s="63">
        <f t="shared" si="45"/>
        <v>0</v>
      </c>
      <c r="DBH15" s="63">
        <f t="shared" si="45"/>
        <v>0</v>
      </c>
      <c r="DBI15" s="63">
        <f t="shared" si="45"/>
        <v>0</v>
      </c>
      <c r="DBJ15" s="63">
        <f t="shared" si="45"/>
        <v>0</v>
      </c>
      <c r="DBK15" s="63">
        <f t="shared" si="45"/>
        <v>0</v>
      </c>
      <c r="DBL15" s="63">
        <f t="shared" si="45"/>
        <v>0</v>
      </c>
      <c r="DBM15" s="63">
        <f t="shared" si="45"/>
        <v>0</v>
      </c>
      <c r="DBN15" s="63">
        <f t="shared" si="45"/>
        <v>0</v>
      </c>
      <c r="DBO15" s="63">
        <f t="shared" si="45"/>
        <v>0</v>
      </c>
      <c r="DBP15" s="63">
        <f t="shared" si="45"/>
        <v>0</v>
      </c>
      <c r="DBQ15" s="63">
        <f t="shared" si="45"/>
        <v>0</v>
      </c>
      <c r="DBR15" s="63">
        <f t="shared" si="45"/>
        <v>0</v>
      </c>
      <c r="DBS15" s="63">
        <f t="shared" si="45"/>
        <v>0</v>
      </c>
      <c r="DBT15" s="63">
        <f t="shared" si="45"/>
        <v>0</v>
      </c>
      <c r="DBU15" s="63">
        <f t="shared" si="45"/>
        <v>0</v>
      </c>
      <c r="DBV15" s="63">
        <f t="shared" si="45"/>
        <v>0</v>
      </c>
      <c r="DBW15" s="63">
        <f t="shared" si="45"/>
        <v>0</v>
      </c>
      <c r="DBX15" s="63">
        <f t="shared" si="45"/>
        <v>0</v>
      </c>
      <c r="DBY15" s="63">
        <f t="shared" si="45"/>
        <v>0</v>
      </c>
      <c r="DBZ15" s="63">
        <f t="shared" si="45"/>
        <v>0</v>
      </c>
      <c r="DCA15" s="63">
        <f t="shared" si="45"/>
        <v>0</v>
      </c>
      <c r="DCB15" s="63">
        <f t="shared" si="45"/>
        <v>0</v>
      </c>
      <c r="DCC15" s="63">
        <f t="shared" si="45"/>
        <v>0</v>
      </c>
      <c r="DCD15" s="63">
        <f t="shared" si="45"/>
        <v>0</v>
      </c>
      <c r="DCE15" s="63">
        <f t="shared" si="45"/>
        <v>0</v>
      </c>
      <c r="DCF15" s="63">
        <f t="shared" si="45"/>
        <v>0</v>
      </c>
      <c r="DCG15" s="63">
        <f t="shared" si="45"/>
        <v>0</v>
      </c>
      <c r="DCH15" s="63">
        <f t="shared" si="45"/>
        <v>0</v>
      </c>
      <c r="DCI15" s="63">
        <f t="shared" si="45"/>
        <v>0</v>
      </c>
      <c r="DCJ15" s="63">
        <f t="shared" si="45"/>
        <v>0</v>
      </c>
      <c r="DCK15" s="63">
        <f t="shared" si="45"/>
        <v>0</v>
      </c>
      <c r="DCL15" s="63">
        <f t="shared" si="45"/>
        <v>0</v>
      </c>
      <c r="DCM15" s="63">
        <f t="shared" si="45"/>
        <v>0</v>
      </c>
      <c r="DCN15" s="63">
        <f t="shared" si="45"/>
        <v>0</v>
      </c>
      <c r="DCO15" s="63">
        <f t="shared" si="45"/>
        <v>0</v>
      </c>
      <c r="DCP15" s="63">
        <f t="shared" si="45"/>
        <v>0</v>
      </c>
      <c r="DCQ15" s="63">
        <f t="shared" si="45"/>
        <v>0</v>
      </c>
      <c r="DCR15" s="63">
        <f t="shared" si="45"/>
        <v>0</v>
      </c>
      <c r="DCS15" s="63">
        <f t="shared" si="45"/>
        <v>0</v>
      </c>
      <c r="DCT15" s="63">
        <f t="shared" si="45"/>
        <v>0</v>
      </c>
      <c r="DCU15" s="63">
        <f t="shared" si="45"/>
        <v>0</v>
      </c>
      <c r="DCV15" s="63">
        <f t="shared" si="45"/>
        <v>0</v>
      </c>
      <c r="DCW15" s="63">
        <f t="shared" si="45"/>
        <v>0</v>
      </c>
      <c r="DCX15" s="63">
        <f t="shared" si="45"/>
        <v>0</v>
      </c>
      <c r="DCY15" s="63">
        <f t="shared" si="45"/>
        <v>0</v>
      </c>
      <c r="DCZ15" s="63">
        <f t="shared" si="45"/>
        <v>0</v>
      </c>
      <c r="DDA15" s="63">
        <f t="shared" si="45"/>
        <v>0</v>
      </c>
      <c r="DDB15" s="63">
        <f t="shared" si="45"/>
        <v>0</v>
      </c>
      <c r="DDC15" s="63">
        <f t="shared" si="45"/>
        <v>0</v>
      </c>
      <c r="DDD15" s="63">
        <f t="shared" si="45"/>
        <v>0</v>
      </c>
      <c r="DDE15" s="63">
        <f t="shared" si="45"/>
        <v>0</v>
      </c>
      <c r="DDF15" s="63">
        <f t="shared" si="45"/>
        <v>0</v>
      </c>
      <c r="DDG15" s="63">
        <f t="shared" si="45"/>
        <v>0</v>
      </c>
      <c r="DDH15" s="63">
        <f t="shared" si="45"/>
        <v>0</v>
      </c>
      <c r="DDI15" s="63">
        <f t="shared" si="45"/>
        <v>0</v>
      </c>
      <c r="DDJ15" s="63">
        <f t="shared" si="45"/>
        <v>0</v>
      </c>
      <c r="DDK15" s="63">
        <f t="shared" si="45"/>
        <v>0</v>
      </c>
      <c r="DDL15" s="63">
        <f t="shared" ref="DDL15:DFW15" si="46">DDK18</f>
        <v>0</v>
      </c>
      <c r="DDM15" s="63">
        <f t="shared" si="46"/>
        <v>0</v>
      </c>
      <c r="DDN15" s="63">
        <f t="shared" si="46"/>
        <v>0</v>
      </c>
      <c r="DDO15" s="63">
        <f t="shared" si="46"/>
        <v>0</v>
      </c>
      <c r="DDP15" s="63">
        <f t="shared" si="46"/>
        <v>0</v>
      </c>
      <c r="DDQ15" s="63">
        <f t="shared" si="46"/>
        <v>0</v>
      </c>
      <c r="DDR15" s="63">
        <f t="shared" si="46"/>
        <v>0</v>
      </c>
      <c r="DDS15" s="63">
        <f t="shared" si="46"/>
        <v>0</v>
      </c>
      <c r="DDT15" s="63">
        <f t="shared" si="46"/>
        <v>0</v>
      </c>
      <c r="DDU15" s="63">
        <f t="shared" si="46"/>
        <v>0</v>
      </c>
      <c r="DDV15" s="63">
        <f t="shared" si="46"/>
        <v>0</v>
      </c>
      <c r="DDW15" s="63">
        <f t="shared" si="46"/>
        <v>0</v>
      </c>
      <c r="DDX15" s="63">
        <f t="shared" si="46"/>
        <v>0</v>
      </c>
      <c r="DDY15" s="63">
        <f t="shared" si="46"/>
        <v>0</v>
      </c>
      <c r="DDZ15" s="63">
        <f t="shared" si="46"/>
        <v>0</v>
      </c>
      <c r="DEA15" s="63">
        <f t="shared" si="46"/>
        <v>0</v>
      </c>
      <c r="DEB15" s="63">
        <f t="shared" si="46"/>
        <v>0</v>
      </c>
      <c r="DEC15" s="63">
        <f t="shared" si="46"/>
        <v>0</v>
      </c>
      <c r="DED15" s="63">
        <f t="shared" si="46"/>
        <v>0</v>
      </c>
      <c r="DEE15" s="63">
        <f t="shared" si="46"/>
        <v>0</v>
      </c>
      <c r="DEF15" s="63">
        <f t="shared" si="46"/>
        <v>0</v>
      </c>
      <c r="DEG15" s="63">
        <f t="shared" si="46"/>
        <v>0</v>
      </c>
      <c r="DEH15" s="63">
        <f t="shared" si="46"/>
        <v>0</v>
      </c>
      <c r="DEI15" s="63">
        <f t="shared" si="46"/>
        <v>0</v>
      </c>
      <c r="DEJ15" s="63">
        <f t="shared" si="46"/>
        <v>0</v>
      </c>
      <c r="DEK15" s="63">
        <f t="shared" si="46"/>
        <v>0</v>
      </c>
      <c r="DEL15" s="63">
        <f t="shared" si="46"/>
        <v>0</v>
      </c>
      <c r="DEM15" s="63">
        <f t="shared" si="46"/>
        <v>0</v>
      </c>
      <c r="DEN15" s="63">
        <f t="shared" si="46"/>
        <v>0</v>
      </c>
      <c r="DEO15" s="63">
        <f t="shared" si="46"/>
        <v>0</v>
      </c>
      <c r="DEP15" s="63">
        <f t="shared" si="46"/>
        <v>0</v>
      </c>
      <c r="DEQ15" s="63">
        <f t="shared" si="46"/>
        <v>0</v>
      </c>
      <c r="DER15" s="63">
        <f t="shared" si="46"/>
        <v>0</v>
      </c>
      <c r="DES15" s="63">
        <f t="shared" si="46"/>
        <v>0</v>
      </c>
      <c r="DET15" s="63">
        <f t="shared" si="46"/>
        <v>0</v>
      </c>
      <c r="DEU15" s="63">
        <f t="shared" si="46"/>
        <v>0</v>
      </c>
      <c r="DEV15" s="63">
        <f t="shared" si="46"/>
        <v>0</v>
      </c>
      <c r="DEW15" s="63">
        <f t="shared" si="46"/>
        <v>0</v>
      </c>
      <c r="DEX15" s="63">
        <f t="shared" si="46"/>
        <v>0</v>
      </c>
      <c r="DEY15" s="63">
        <f t="shared" si="46"/>
        <v>0</v>
      </c>
      <c r="DEZ15" s="63">
        <f t="shared" si="46"/>
        <v>0</v>
      </c>
      <c r="DFA15" s="63">
        <f t="shared" si="46"/>
        <v>0</v>
      </c>
      <c r="DFB15" s="63">
        <f t="shared" si="46"/>
        <v>0</v>
      </c>
      <c r="DFC15" s="63">
        <f t="shared" si="46"/>
        <v>0</v>
      </c>
      <c r="DFD15" s="63">
        <f t="shared" si="46"/>
        <v>0</v>
      </c>
      <c r="DFE15" s="63">
        <f t="shared" si="46"/>
        <v>0</v>
      </c>
      <c r="DFF15" s="63">
        <f t="shared" si="46"/>
        <v>0</v>
      </c>
      <c r="DFG15" s="63">
        <f t="shared" si="46"/>
        <v>0</v>
      </c>
      <c r="DFH15" s="63">
        <f t="shared" si="46"/>
        <v>0</v>
      </c>
      <c r="DFI15" s="63">
        <f t="shared" si="46"/>
        <v>0</v>
      </c>
      <c r="DFJ15" s="63">
        <f t="shared" si="46"/>
        <v>0</v>
      </c>
      <c r="DFK15" s="63">
        <f t="shared" si="46"/>
        <v>0</v>
      </c>
      <c r="DFL15" s="63">
        <f t="shared" si="46"/>
        <v>0</v>
      </c>
      <c r="DFM15" s="63">
        <f t="shared" si="46"/>
        <v>0</v>
      </c>
      <c r="DFN15" s="63">
        <f t="shared" si="46"/>
        <v>0</v>
      </c>
      <c r="DFO15" s="63">
        <f t="shared" si="46"/>
        <v>0</v>
      </c>
      <c r="DFP15" s="63">
        <f t="shared" si="46"/>
        <v>0</v>
      </c>
      <c r="DFQ15" s="63">
        <f t="shared" si="46"/>
        <v>0</v>
      </c>
      <c r="DFR15" s="63">
        <f t="shared" si="46"/>
        <v>0</v>
      </c>
      <c r="DFS15" s="63">
        <f t="shared" si="46"/>
        <v>0</v>
      </c>
      <c r="DFT15" s="63">
        <f t="shared" si="46"/>
        <v>0</v>
      </c>
      <c r="DFU15" s="63">
        <f t="shared" si="46"/>
        <v>0</v>
      </c>
      <c r="DFV15" s="63">
        <f t="shared" si="46"/>
        <v>0</v>
      </c>
      <c r="DFW15" s="63">
        <f t="shared" si="46"/>
        <v>0</v>
      </c>
      <c r="DFX15" s="63">
        <f t="shared" ref="DFX15:DII15" si="47">DFW18</f>
        <v>0</v>
      </c>
      <c r="DFY15" s="63">
        <f t="shared" si="47"/>
        <v>0</v>
      </c>
      <c r="DFZ15" s="63">
        <f t="shared" si="47"/>
        <v>0</v>
      </c>
      <c r="DGA15" s="63">
        <f t="shared" si="47"/>
        <v>0</v>
      </c>
      <c r="DGB15" s="63">
        <f t="shared" si="47"/>
        <v>0</v>
      </c>
      <c r="DGC15" s="63">
        <f t="shared" si="47"/>
        <v>0</v>
      </c>
      <c r="DGD15" s="63">
        <f t="shared" si="47"/>
        <v>0</v>
      </c>
      <c r="DGE15" s="63">
        <f t="shared" si="47"/>
        <v>0</v>
      </c>
      <c r="DGF15" s="63">
        <f t="shared" si="47"/>
        <v>0</v>
      </c>
      <c r="DGG15" s="63">
        <f t="shared" si="47"/>
        <v>0</v>
      </c>
      <c r="DGH15" s="63">
        <f t="shared" si="47"/>
        <v>0</v>
      </c>
      <c r="DGI15" s="63">
        <f t="shared" si="47"/>
        <v>0</v>
      </c>
      <c r="DGJ15" s="63">
        <f t="shared" si="47"/>
        <v>0</v>
      </c>
      <c r="DGK15" s="63">
        <f t="shared" si="47"/>
        <v>0</v>
      </c>
      <c r="DGL15" s="63">
        <f t="shared" si="47"/>
        <v>0</v>
      </c>
      <c r="DGM15" s="63">
        <f t="shared" si="47"/>
        <v>0</v>
      </c>
      <c r="DGN15" s="63">
        <f t="shared" si="47"/>
        <v>0</v>
      </c>
      <c r="DGO15" s="63">
        <f t="shared" si="47"/>
        <v>0</v>
      </c>
      <c r="DGP15" s="63">
        <f t="shared" si="47"/>
        <v>0</v>
      </c>
      <c r="DGQ15" s="63">
        <f t="shared" si="47"/>
        <v>0</v>
      </c>
      <c r="DGR15" s="63">
        <f t="shared" si="47"/>
        <v>0</v>
      </c>
      <c r="DGS15" s="63">
        <f t="shared" si="47"/>
        <v>0</v>
      </c>
      <c r="DGT15" s="63">
        <f t="shared" si="47"/>
        <v>0</v>
      </c>
      <c r="DGU15" s="63">
        <f t="shared" si="47"/>
        <v>0</v>
      </c>
      <c r="DGV15" s="63">
        <f t="shared" si="47"/>
        <v>0</v>
      </c>
      <c r="DGW15" s="63">
        <f t="shared" si="47"/>
        <v>0</v>
      </c>
      <c r="DGX15" s="63">
        <f t="shared" si="47"/>
        <v>0</v>
      </c>
      <c r="DGY15" s="63">
        <f t="shared" si="47"/>
        <v>0</v>
      </c>
      <c r="DGZ15" s="63">
        <f t="shared" si="47"/>
        <v>0</v>
      </c>
      <c r="DHA15" s="63">
        <f t="shared" si="47"/>
        <v>0</v>
      </c>
      <c r="DHB15" s="63">
        <f t="shared" si="47"/>
        <v>0</v>
      </c>
      <c r="DHC15" s="63">
        <f t="shared" si="47"/>
        <v>0</v>
      </c>
      <c r="DHD15" s="63">
        <f t="shared" si="47"/>
        <v>0</v>
      </c>
      <c r="DHE15" s="63">
        <f t="shared" si="47"/>
        <v>0</v>
      </c>
      <c r="DHF15" s="63">
        <f t="shared" si="47"/>
        <v>0</v>
      </c>
      <c r="DHG15" s="63">
        <f t="shared" si="47"/>
        <v>0</v>
      </c>
      <c r="DHH15" s="63">
        <f t="shared" si="47"/>
        <v>0</v>
      </c>
      <c r="DHI15" s="63">
        <f t="shared" si="47"/>
        <v>0</v>
      </c>
      <c r="DHJ15" s="63">
        <f t="shared" si="47"/>
        <v>0</v>
      </c>
      <c r="DHK15" s="63">
        <f t="shared" si="47"/>
        <v>0</v>
      </c>
      <c r="DHL15" s="63">
        <f t="shared" si="47"/>
        <v>0</v>
      </c>
      <c r="DHM15" s="63">
        <f t="shared" si="47"/>
        <v>0</v>
      </c>
      <c r="DHN15" s="63">
        <f t="shared" si="47"/>
        <v>0</v>
      </c>
      <c r="DHO15" s="63">
        <f t="shared" si="47"/>
        <v>0</v>
      </c>
      <c r="DHP15" s="63">
        <f t="shared" si="47"/>
        <v>0</v>
      </c>
      <c r="DHQ15" s="63">
        <f t="shared" si="47"/>
        <v>0</v>
      </c>
      <c r="DHR15" s="63">
        <f t="shared" si="47"/>
        <v>0</v>
      </c>
      <c r="DHS15" s="63">
        <f t="shared" si="47"/>
        <v>0</v>
      </c>
      <c r="DHT15" s="63">
        <f t="shared" si="47"/>
        <v>0</v>
      </c>
      <c r="DHU15" s="63">
        <f t="shared" si="47"/>
        <v>0</v>
      </c>
      <c r="DHV15" s="63">
        <f t="shared" si="47"/>
        <v>0</v>
      </c>
      <c r="DHW15" s="63">
        <f t="shared" si="47"/>
        <v>0</v>
      </c>
      <c r="DHX15" s="63">
        <f t="shared" si="47"/>
        <v>0</v>
      </c>
      <c r="DHY15" s="63">
        <f t="shared" si="47"/>
        <v>0</v>
      </c>
      <c r="DHZ15" s="63">
        <f t="shared" si="47"/>
        <v>0</v>
      </c>
      <c r="DIA15" s="63">
        <f t="shared" si="47"/>
        <v>0</v>
      </c>
      <c r="DIB15" s="63">
        <f t="shared" si="47"/>
        <v>0</v>
      </c>
      <c r="DIC15" s="63">
        <f t="shared" si="47"/>
        <v>0</v>
      </c>
      <c r="DID15" s="63">
        <f t="shared" si="47"/>
        <v>0</v>
      </c>
      <c r="DIE15" s="63">
        <f t="shared" si="47"/>
        <v>0</v>
      </c>
      <c r="DIF15" s="63">
        <f t="shared" si="47"/>
        <v>0</v>
      </c>
      <c r="DIG15" s="63">
        <f t="shared" si="47"/>
        <v>0</v>
      </c>
      <c r="DIH15" s="63">
        <f t="shared" si="47"/>
        <v>0</v>
      </c>
      <c r="DII15" s="63">
        <f t="shared" si="47"/>
        <v>0</v>
      </c>
      <c r="DIJ15" s="63">
        <f t="shared" ref="DIJ15:DKU15" si="48">DII18</f>
        <v>0</v>
      </c>
      <c r="DIK15" s="63">
        <f t="shared" si="48"/>
        <v>0</v>
      </c>
      <c r="DIL15" s="63">
        <f t="shared" si="48"/>
        <v>0</v>
      </c>
      <c r="DIM15" s="63">
        <f t="shared" si="48"/>
        <v>0</v>
      </c>
      <c r="DIN15" s="63">
        <f t="shared" si="48"/>
        <v>0</v>
      </c>
      <c r="DIO15" s="63">
        <f t="shared" si="48"/>
        <v>0</v>
      </c>
      <c r="DIP15" s="63">
        <f t="shared" si="48"/>
        <v>0</v>
      </c>
      <c r="DIQ15" s="63">
        <f t="shared" si="48"/>
        <v>0</v>
      </c>
      <c r="DIR15" s="63">
        <f t="shared" si="48"/>
        <v>0</v>
      </c>
      <c r="DIS15" s="63">
        <f t="shared" si="48"/>
        <v>0</v>
      </c>
      <c r="DIT15" s="63">
        <f t="shared" si="48"/>
        <v>0</v>
      </c>
      <c r="DIU15" s="63">
        <f t="shared" si="48"/>
        <v>0</v>
      </c>
      <c r="DIV15" s="63">
        <f t="shared" si="48"/>
        <v>0</v>
      </c>
      <c r="DIW15" s="63">
        <f t="shared" si="48"/>
        <v>0</v>
      </c>
      <c r="DIX15" s="63">
        <f t="shared" si="48"/>
        <v>0</v>
      </c>
      <c r="DIY15" s="63">
        <f t="shared" si="48"/>
        <v>0</v>
      </c>
      <c r="DIZ15" s="63">
        <f t="shared" si="48"/>
        <v>0</v>
      </c>
      <c r="DJA15" s="63">
        <f t="shared" si="48"/>
        <v>0</v>
      </c>
      <c r="DJB15" s="63">
        <f t="shared" si="48"/>
        <v>0</v>
      </c>
      <c r="DJC15" s="63">
        <f t="shared" si="48"/>
        <v>0</v>
      </c>
      <c r="DJD15" s="63">
        <f t="shared" si="48"/>
        <v>0</v>
      </c>
      <c r="DJE15" s="63">
        <f t="shared" si="48"/>
        <v>0</v>
      </c>
      <c r="DJF15" s="63">
        <f t="shared" si="48"/>
        <v>0</v>
      </c>
      <c r="DJG15" s="63">
        <f t="shared" si="48"/>
        <v>0</v>
      </c>
      <c r="DJH15" s="63">
        <f t="shared" si="48"/>
        <v>0</v>
      </c>
      <c r="DJI15" s="63">
        <f t="shared" si="48"/>
        <v>0</v>
      </c>
      <c r="DJJ15" s="63">
        <f t="shared" si="48"/>
        <v>0</v>
      </c>
      <c r="DJK15" s="63">
        <f t="shared" si="48"/>
        <v>0</v>
      </c>
      <c r="DJL15" s="63">
        <f t="shared" si="48"/>
        <v>0</v>
      </c>
      <c r="DJM15" s="63">
        <f t="shared" si="48"/>
        <v>0</v>
      </c>
      <c r="DJN15" s="63">
        <f t="shared" si="48"/>
        <v>0</v>
      </c>
      <c r="DJO15" s="63">
        <f t="shared" si="48"/>
        <v>0</v>
      </c>
      <c r="DJP15" s="63">
        <f t="shared" si="48"/>
        <v>0</v>
      </c>
      <c r="DJQ15" s="63">
        <f t="shared" si="48"/>
        <v>0</v>
      </c>
      <c r="DJR15" s="63">
        <f t="shared" si="48"/>
        <v>0</v>
      </c>
      <c r="DJS15" s="63">
        <f t="shared" si="48"/>
        <v>0</v>
      </c>
      <c r="DJT15" s="63">
        <f t="shared" si="48"/>
        <v>0</v>
      </c>
      <c r="DJU15" s="63">
        <f t="shared" si="48"/>
        <v>0</v>
      </c>
      <c r="DJV15" s="63">
        <f t="shared" si="48"/>
        <v>0</v>
      </c>
      <c r="DJW15" s="63">
        <f t="shared" si="48"/>
        <v>0</v>
      </c>
      <c r="DJX15" s="63">
        <f t="shared" si="48"/>
        <v>0</v>
      </c>
      <c r="DJY15" s="63">
        <f t="shared" si="48"/>
        <v>0</v>
      </c>
      <c r="DJZ15" s="63">
        <f t="shared" si="48"/>
        <v>0</v>
      </c>
      <c r="DKA15" s="63">
        <f t="shared" si="48"/>
        <v>0</v>
      </c>
      <c r="DKB15" s="63">
        <f t="shared" si="48"/>
        <v>0</v>
      </c>
      <c r="DKC15" s="63">
        <f t="shared" si="48"/>
        <v>0</v>
      </c>
      <c r="DKD15" s="63">
        <f t="shared" si="48"/>
        <v>0</v>
      </c>
      <c r="DKE15" s="63">
        <f t="shared" si="48"/>
        <v>0</v>
      </c>
      <c r="DKF15" s="63">
        <f t="shared" si="48"/>
        <v>0</v>
      </c>
      <c r="DKG15" s="63">
        <f t="shared" si="48"/>
        <v>0</v>
      </c>
      <c r="DKH15" s="63">
        <f t="shared" si="48"/>
        <v>0</v>
      </c>
      <c r="DKI15" s="63">
        <f t="shared" si="48"/>
        <v>0</v>
      </c>
      <c r="DKJ15" s="63">
        <f t="shared" si="48"/>
        <v>0</v>
      </c>
      <c r="DKK15" s="63">
        <f t="shared" si="48"/>
        <v>0</v>
      </c>
      <c r="DKL15" s="63">
        <f t="shared" si="48"/>
        <v>0</v>
      </c>
      <c r="DKM15" s="63">
        <f t="shared" si="48"/>
        <v>0</v>
      </c>
      <c r="DKN15" s="63">
        <f t="shared" si="48"/>
        <v>0</v>
      </c>
      <c r="DKO15" s="63">
        <f t="shared" si="48"/>
        <v>0</v>
      </c>
      <c r="DKP15" s="63">
        <f t="shared" si="48"/>
        <v>0</v>
      </c>
      <c r="DKQ15" s="63">
        <f t="shared" si="48"/>
        <v>0</v>
      </c>
      <c r="DKR15" s="63">
        <f t="shared" si="48"/>
        <v>0</v>
      </c>
      <c r="DKS15" s="63">
        <f t="shared" si="48"/>
        <v>0</v>
      </c>
      <c r="DKT15" s="63">
        <f t="shared" si="48"/>
        <v>0</v>
      </c>
      <c r="DKU15" s="63">
        <f t="shared" si="48"/>
        <v>0</v>
      </c>
      <c r="DKV15" s="63">
        <f t="shared" ref="DKV15:DNG15" si="49">DKU18</f>
        <v>0</v>
      </c>
      <c r="DKW15" s="63">
        <f t="shared" si="49"/>
        <v>0</v>
      </c>
      <c r="DKX15" s="63">
        <f t="shared" si="49"/>
        <v>0</v>
      </c>
      <c r="DKY15" s="63">
        <f t="shared" si="49"/>
        <v>0</v>
      </c>
      <c r="DKZ15" s="63">
        <f t="shared" si="49"/>
        <v>0</v>
      </c>
      <c r="DLA15" s="63">
        <f t="shared" si="49"/>
        <v>0</v>
      </c>
      <c r="DLB15" s="63">
        <f t="shared" si="49"/>
        <v>0</v>
      </c>
      <c r="DLC15" s="63">
        <f t="shared" si="49"/>
        <v>0</v>
      </c>
      <c r="DLD15" s="63">
        <f t="shared" si="49"/>
        <v>0</v>
      </c>
      <c r="DLE15" s="63">
        <f t="shared" si="49"/>
        <v>0</v>
      </c>
      <c r="DLF15" s="63">
        <f t="shared" si="49"/>
        <v>0</v>
      </c>
      <c r="DLG15" s="63">
        <f t="shared" si="49"/>
        <v>0</v>
      </c>
      <c r="DLH15" s="63">
        <f t="shared" si="49"/>
        <v>0</v>
      </c>
      <c r="DLI15" s="63">
        <f t="shared" si="49"/>
        <v>0</v>
      </c>
      <c r="DLJ15" s="63">
        <f t="shared" si="49"/>
        <v>0</v>
      </c>
      <c r="DLK15" s="63">
        <f t="shared" si="49"/>
        <v>0</v>
      </c>
      <c r="DLL15" s="63">
        <f t="shared" si="49"/>
        <v>0</v>
      </c>
      <c r="DLM15" s="63">
        <f t="shared" si="49"/>
        <v>0</v>
      </c>
      <c r="DLN15" s="63">
        <f t="shared" si="49"/>
        <v>0</v>
      </c>
      <c r="DLO15" s="63">
        <f t="shared" si="49"/>
        <v>0</v>
      </c>
      <c r="DLP15" s="63">
        <f t="shared" si="49"/>
        <v>0</v>
      </c>
      <c r="DLQ15" s="63">
        <f t="shared" si="49"/>
        <v>0</v>
      </c>
      <c r="DLR15" s="63">
        <f t="shared" si="49"/>
        <v>0</v>
      </c>
      <c r="DLS15" s="63">
        <f t="shared" si="49"/>
        <v>0</v>
      </c>
      <c r="DLT15" s="63">
        <f t="shared" si="49"/>
        <v>0</v>
      </c>
      <c r="DLU15" s="63">
        <f t="shared" si="49"/>
        <v>0</v>
      </c>
      <c r="DLV15" s="63">
        <f t="shared" si="49"/>
        <v>0</v>
      </c>
      <c r="DLW15" s="63">
        <f t="shared" si="49"/>
        <v>0</v>
      </c>
      <c r="DLX15" s="63">
        <f t="shared" si="49"/>
        <v>0</v>
      </c>
      <c r="DLY15" s="63">
        <f t="shared" si="49"/>
        <v>0</v>
      </c>
      <c r="DLZ15" s="63">
        <f t="shared" si="49"/>
        <v>0</v>
      </c>
      <c r="DMA15" s="63">
        <f t="shared" si="49"/>
        <v>0</v>
      </c>
      <c r="DMB15" s="63">
        <f t="shared" si="49"/>
        <v>0</v>
      </c>
      <c r="DMC15" s="63">
        <f t="shared" si="49"/>
        <v>0</v>
      </c>
      <c r="DMD15" s="63">
        <f t="shared" si="49"/>
        <v>0</v>
      </c>
      <c r="DME15" s="63">
        <f t="shared" si="49"/>
        <v>0</v>
      </c>
      <c r="DMF15" s="63">
        <f t="shared" si="49"/>
        <v>0</v>
      </c>
      <c r="DMG15" s="63">
        <f t="shared" si="49"/>
        <v>0</v>
      </c>
      <c r="DMH15" s="63">
        <f t="shared" si="49"/>
        <v>0</v>
      </c>
      <c r="DMI15" s="63">
        <f t="shared" si="49"/>
        <v>0</v>
      </c>
      <c r="DMJ15" s="63">
        <f t="shared" si="49"/>
        <v>0</v>
      </c>
      <c r="DMK15" s="63">
        <f t="shared" si="49"/>
        <v>0</v>
      </c>
      <c r="DML15" s="63">
        <f t="shared" si="49"/>
        <v>0</v>
      </c>
      <c r="DMM15" s="63">
        <f t="shared" si="49"/>
        <v>0</v>
      </c>
      <c r="DMN15" s="63">
        <f t="shared" si="49"/>
        <v>0</v>
      </c>
      <c r="DMO15" s="63">
        <f t="shared" si="49"/>
        <v>0</v>
      </c>
      <c r="DMP15" s="63">
        <f t="shared" si="49"/>
        <v>0</v>
      </c>
      <c r="DMQ15" s="63">
        <f t="shared" si="49"/>
        <v>0</v>
      </c>
      <c r="DMR15" s="63">
        <f t="shared" si="49"/>
        <v>0</v>
      </c>
      <c r="DMS15" s="63">
        <f t="shared" si="49"/>
        <v>0</v>
      </c>
      <c r="DMT15" s="63">
        <f t="shared" si="49"/>
        <v>0</v>
      </c>
      <c r="DMU15" s="63">
        <f t="shared" si="49"/>
        <v>0</v>
      </c>
      <c r="DMV15" s="63">
        <f t="shared" si="49"/>
        <v>0</v>
      </c>
      <c r="DMW15" s="63">
        <f t="shared" si="49"/>
        <v>0</v>
      </c>
      <c r="DMX15" s="63">
        <f t="shared" si="49"/>
        <v>0</v>
      </c>
      <c r="DMY15" s="63">
        <f t="shared" si="49"/>
        <v>0</v>
      </c>
      <c r="DMZ15" s="63">
        <f t="shared" si="49"/>
        <v>0</v>
      </c>
      <c r="DNA15" s="63">
        <f t="shared" si="49"/>
        <v>0</v>
      </c>
      <c r="DNB15" s="63">
        <f t="shared" si="49"/>
        <v>0</v>
      </c>
      <c r="DNC15" s="63">
        <f t="shared" si="49"/>
        <v>0</v>
      </c>
      <c r="DND15" s="63">
        <f t="shared" si="49"/>
        <v>0</v>
      </c>
      <c r="DNE15" s="63">
        <f t="shared" si="49"/>
        <v>0</v>
      </c>
      <c r="DNF15" s="63">
        <f t="shared" si="49"/>
        <v>0</v>
      </c>
      <c r="DNG15" s="63">
        <f t="shared" si="49"/>
        <v>0</v>
      </c>
      <c r="DNH15" s="63">
        <f t="shared" ref="DNH15:DPS15" si="50">DNG18</f>
        <v>0</v>
      </c>
      <c r="DNI15" s="63">
        <f t="shared" si="50"/>
        <v>0</v>
      </c>
      <c r="DNJ15" s="63">
        <f t="shared" si="50"/>
        <v>0</v>
      </c>
      <c r="DNK15" s="63">
        <f t="shared" si="50"/>
        <v>0</v>
      </c>
      <c r="DNL15" s="63">
        <f t="shared" si="50"/>
        <v>0</v>
      </c>
      <c r="DNM15" s="63">
        <f t="shared" si="50"/>
        <v>0</v>
      </c>
      <c r="DNN15" s="63">
        <f t="shared" si="50"/>
        <v>0</v>
      </c>
      <c r="DNO15" s="63">
        <f t="shared" si="50"/>
        <v>0</v>
      </c>
      <c r="DNP15" s="63">
        <f t="shared" si="50"/>
        <v>0</v>
      </c>
      <c r="DNQ15" s="63">
        <f t="shared" si="50"/>
        <v>0</v>
      </c>
      <c r="DNR15" s="63">
        <f t="shared" si="50"/>
        <v>0</v>
      </c>
      <c r="DNS15" s="63">
        <f t="shared" si="50"/>
        <v>0</v>
      </c>
      <c r="DNT15" s="63">
        <f t="shared" si="50"/>
        <v>0</v>
      </c>
      <c r="DNU15" s="63">
        <f t="shared" si="50"/>
        <v>0</v>
      </c>
      <c r="DNV15" s="63">
        <f t="shared" si="50"/>
        <v>0</v>
      </c>
      <c r="DNW15" s="63">
        <f t="shared" si="50"/>
        <v>0</v>
      </c>
      <c r="DNX15" s="63">
        <f t="shared" si="50"/>
        <v>0</v>
      </c>
      <c r="DNY15" s="63">
        <f t="shared" si="50"/>
        <v>0</v>
      </c>
      <c r="DNZ15" s="63">
        <f t="shared" si="50"/>
        <v>0</v>
      </c>
      <c r="DOA15" s="63">
        <f t="shared" si="50"/>
        <v>0</v>
      </c>
      <c r="DOB15" s="63">
        <f t="shared" si="50"/>
        <v>0</v>
      </c>
      <c r="DOC15" s="63">
        <f t="shared" si="50"/>
        <v>0</v>
      </c>
      <c r="DOD15" s="63">
        <f t="shared" si="50"/>
        <v>0</v>
      </c>
      <c r="DOE15" s="63">
        <f t="shared" si="50"/>
        <v>0</v>
      </c>
      <c r="DOF15" s="63">
        <f t="shared" si="50"/>
        <v>0</v>
      </c>
      <c r="DOG15" s="63">
        <f t="shared" si="50"/>
        <v>0</v>
      </c>
      <c r="DOH15" s="63">
        <f t="shared" si="50"/>
        <v>0</v>
      </c>
      <c r="DOI15" s="63">
        <f t="shared" si="50"/>
        <v>0</v>
      </c>
      <c r="DOJ15" s="63">
        <f t="shared" si="50"/>
        <v>0</v>
      </c>
      <c r="DOK15" s="63">
        <f t="shared" si="50"/>
        <v>0</v>
      </c>
      <c r="DOL15" s="63">
        <f t="shared" si="50"/>
        <v>0</v>
      </c>
      <c r="DOM15" s="63">
        <f t="shared" si="50"/>
        <v>0</v>
      </c>
      <c r="DON15" s="63">
        <f t="shared" si="50"/>
        <v>0</v>
      </c>
      <c r="DOO15" s="63">
        <f t="shared" si="50"/>
        <v>0</v>
      </c>
      <c r="DOP15" s="63">
        <f t="shared" si="50"/>
        <v>0</v>
      </c>
      <c r="DOQ15" s="63">
        <f t="shared" si="50"/>
        <v>0</v>
      </c>
      <c r="DOR15" s="63">
        <f t="shared" si="50"/>
        <v>0</v>
      </c>
      <c r="DOS15" s="63">
        <f t="shared" si="50"/>
        <v>0</v>
      </c>
      <c r="DOT15" s="63">
        <f t="shared" si="50"/>
        <v>0</v>
      </c>
      <c r="DOU15" s="63">
        <f t="shared" si="50"/>
        <v>0</v>
      </c>
      <c r="DOV15" s="63">
        <f t="shared" si="50"/>
        <v>0</v>
      </c>
      <c r="DOW15" s="63">
        <f t="shared" si="50"/>
        <v>0</v>
      </c>
      <c r="DOX15" s="63">
        <f t="shared" si="50"/>
        <v>0</v>
      </c>
      <c r="DOY15" s="63">
        <f t="shared" si="50"/>
        <v>0</v>
      </c>
      <c r="DOZ15" s="63">
        <f t="shared" si="50"/>
        <v>0</v>
      </c>
      <c r="DPA15" s="63">
        <f t="shared" si="50"/>
        <v>0</v>
      </c>
      <c r="DPB15" s="63">
        <f t="shared" si="50"/>
        <v>0</v>
      </c>
      <c r="DPC15" s="63">
        <f t="shared" si="50"/>
        <v>0</v>
      </c>
      <c r="DPD15" s="63">
        <f t="shared" si="50"/>
        <v>0</v>
      </c>
      <c r="DPE15" s="63">
        <f t="shared" si="50"/>
        <v>0</v>
      </c>
      <c r="DPF15" s="63">
        <f t="shared" si="50"/>
        <v>0</v>
      </c>
      <c r="DPG15" s="63">
        <f t="shared" si="50"/>
        <v>0</v>
      </c>
      <c r="DPH15" s="63">
        <f t="shared" si="50"/>
        <v>0</v>
      </c>
      <c r="DPI15" s="63">
        <f t="shared" si="50"/>
        <v>0</v>
      </c>
      <c r="DPJ15" s="63">
        <f t="shared" si="50"/>
        <v>0</v>
      </c>
      <c r="DPK15" s="63">
        <f t="shared" si="50"/>
        <v>0</v>
      </c>
      <c r="DPL15" s="63">
        <f t="shared" si="50"/>
        <v>0</v>
      </c>
      <c r="DPM15" s="63">
        <f t="shared" si="50"/>
        <v>0</v>
      </c>
      <c r="DPN15" s="63">
        <f t="shared" si="50"/>
        <v>0</v>
      </c>
      <c r="DPO15" s="63">
        <f t="shared" si="50"/>
        <v>0</v>
      </c>
      <c r="DPP15" s="63">
        <f t="shared" si="50"/>
        <v>0</v>
      </c>
      <c r="DPQ15" s="63">
        <f t="shared" si="50"/>
        <v>0</v>
      </c>
      <c r="DPR15" s="63">
        <f t="shared" si="50"/>
        <v>0</v>
      </c>
      <c r="DPS15" s="63">
        <f t="shared" si="50"/>
        <v>0</v>
      </c>
      <c r="DPT15" s="63">
        <f t="shared" ref="DPT15:DSE15" si="51">DPS18</f>
        <v>0</v>
      </c>
      <c r="DPU15" s="63">
        <f t="shared" si="51"/>
        <v>0</v>
      </c>
      <c r="DPV15" s="63">
        <f t="shared" si="51"/>
        <v>0</v>
      </c>
      <c r="DPW15" s="63">
        <f t="shared" si="51"/>
        <v>0</v>
      </c>
      <c r="DPX15" s="63">
        <f t="shared" si="51"/>
        <v>0</v>
      </c>
      <c r="DPY15" s="63">
        <f t="shared" si="51"/>
        <v>0</v>
      </c>
      <c r="DPZ15" s="63">
        <f t="shared" si="51"/>
        <v>0</v>
      </c>
      <c r="DQA15" s="63">
        <f t="shared" si="51"/>
        <v>0</v>
      </c>
      <c r="DQB15" s="63">
        <f t="shared" si="51"/>
        <v>0</v>
      </c>
      <c r="DQC15" s="63">
        <f t="shared" si="51"/>
        <v>0</v>
      </c>
      <c r="DQD15" s="63">
        <f t="shared" si="51"/>
        <v>0</v>
      </c>
      <c r="DQE15" s="63">
        <f t="shared" si="51"/>
        <v>0</v>
      </c>
      <c r="DQF15" s="63">
        <f t="shared" si="51"/>
        <v>0</v>
      </c>
      <c r="DQG15" s="63">
        <f t="shared" si="51"/>
        <v>0</v>
      </c>
      <c r="DQH15" s="63">
        <f t="shared" si="51"/>
        <v>0</v>
      </c>
      <c r="DQI15" s="63">
        <f t="shared" si="51"/>
        <v>0</v>
      </c>
      <c r="DQJ15" s="63">
        <f t="shared" si="51"/>
        <v>0</v>
      </c>
      <c r="DQK15" s="63">
        <f t="shared" si="51"/>
        <v>0</v>
      </c>
      <c r="DQL15" s="63">
        <f t="shared" si="51"/>
        <v>0</v>
      </c>
      <c r="DQM15" s="63">
        <f t="shared" si="51"/>
        <v>0</v>
      </c>
      <c r="DQN15" s="63">
        <f t="shared" si="51"/>
        <v>0</v>
      </c>
      <c r="DQO15" s="63">
        <f t="shared" si="51"/>
        <v>0</v>
      </c>
      <c r="DQP15" s="63">
        <f t="shared" si="51"/>
        <v>0</v>
      </c>
      <c r="DQQ15" s="63">
        <f t="shared" si="51"/>
        <v>0</v>
      </c>
      <c r="DQR15" s="63">
        <f t="shared" si="51"/>
        <v>0</v>
      </c>
      <c r="DQS15" s="63">
        <f t="shared" si="51"/>
        <v>0</v>
      </c>
      <c r="DQT15" s="63">
        <f t="shared" si="51"/>
        <v>0</v>
      </c>
      <c r="DQU15" s="63">
        <f t="shared" si="51"/>
        <v>0</v>
      </c>
      <c r="DQV15" s="63">
        <f t="shared" si="51"/>
        <v>0</v>
      </c>
      <c r="DQW15" s="63">
        <f t="shared" si="51"/>
        <v>0</v>
      </c>
      <c r="DQX15" s="63">
        <f t="shared" si="51"/>
        <v>0</v>
      </c>
      <c r="DQY15" s="63">
        <f t="shared" si="51"/>
        <v>0</v>
      </c>
      <c r="DQZ15" s="63">
        <f t="shared" si="51"/>
        <v>0</v>
      </c>
      <c r="DRA15" s="63">
        <f t="shared" si="51"/>
        <v>0</v>
      </c>
      <c r="DRB15" s="63">
        <f t="shared" si="51"/>
        <v>0</v>
      </c>
      <c r="DRC15" s="63">
        <f t="shared" si="51"/>
        <v>0</v>
      </c>
      <c r="DRD15" s="63">
        <f t="shared" si="51"/>
        <v>0</v>
      </c>
      <c r="DRE15" s="63">
        <f t="shared" si="51"/>
        <v>0</v>
      </c>
      <c r="DRF15" s="63">
        <f t="shared" si="51"/>
        <v>0</v>
      </c>
      <c r="DRG15" s="63">
        <f t="shared" si="51"/>
        <v>0</v>
      </c>
      <c r="DRH15" s="63">
        <f t="shared" si="51"/>
        <v>0</v>
      </c>
      <c r="DRI15" s="63">
        <f t="shared" si="51"/>
        <v>0</v>
      </c>
      <c r="DRJ15" s="63">
        <f t="shared" si="51"/>
        <v>0</v>
      </c>
      <c r="DRK15" s="63">
        <f t="shared" si="51"/>
        <v>0</v>
      </c>
      <c r="DRL15" s="63">
        <f t="shared" si="51"/>
        <v>0</v>
      </c>
      <c r="DRM15" s="63">
        <f t="shared" si="51"/>
        <v>0</v>
      </c>
      <c r="DRN15" s="63">
        <f t="shared" si="51"/>
        <v>0</v>
      </c>
      <c r="DRO15" s="63">
        <f t="shared" si="51"/>
        <v>0</v>
      </c>
      <c r="DRP15" s="63">
        <f t="shared" si="51"/>
        <v>0</v>
      </c>
      <c r="DRQ15" s="63">
        <f t="shared" si="51"/>
        <v>0</v>
      </c>
      <c r="DRR15" s="63">
        <f t="shared" si="51"/>
        <v>0</v>
      </c>
      <c r="DRS15" s="63">
        <f t="shared" si="51"/>
        <v>0</v>
      </c>
      <c r="DRT15" s="63">
        <f t="shared" si="51"/>
        <v>0</v>
      </c>
      <c r="DRU15" s="63">
        <f t="shared" si="51"/>
        <v>0</v>
      </c>
      <c r="DRV15" s="63">
        <f t="shared" si="51"/>
        <v>0</v>
      </c>
      <c r="DRW15" s="63">
        <f t="shared" si="51"/>
        <v>0</v>
      </c>
      <c r="DRX15" s="63">
        <f t="shared" si="51"/>
        <v>0</v>
      </c>
      <c r="DRY15" s="63">
        <f t="shared" si="51"/>
        <v>0</v>
      </c>
      <c r="DRZ15" s="63">
        <f t="shared" si="51"/>
        <v>0</v>
      </c>
      <c r="DSA15" s="63">
        <f t="shared" si="51"/>
        <v>0</v>
      </c>
      <c r="DSB15" s="63">
        <f t="shared" si="51"/>
        <v>0</v>
      </c>
      <c r="DSC15" s="63">
        <f t="shared" si="51"/>
        <v>0</v>
      </c>
      <c r="DSD15" s="63">
        <f t="shared" si="51"/>
        <v>0</v>
      </c>
      <c r="DSE15" s="63">
        <f t="shared" si="51"/>
        <v>0</v>
      </c>
      <c r="DSF15" s="63">
        <f t="shared" ref="DSF15:DUQ15" si="52">DSE18</f>
        <v>0</v>
      </c>
      <c r="DSG15" s="63">
        <f t="shared" si="52"/>
        <v>0</v>
      </c>
      <c r="DSH15" s="63">
        <f t="shared" si="52"/>
        <v>0</v>
      </c>
      <c r="DSI15" s="63">
        <f t="shared" si="52"/>
        <v>0</v>
      </c>
      <c r="DSJ15" s="63">
        <f t="shared" si="52"/>
        <v>0</v>
      </c>
      <c r="DSK15" s="63">
        <f t="shared" si="52"/>
        <v>0</v>
      </c>
      <c r="DSL15" s="63">
        <f t="shared" si="52"/>
        <v>0</v>
      </c>
      <c r="DSM15" s="63">
        <f t="shared" si="52"/>
        <v>0</v>
      </c>
      <c r="DSN15" s="63">
        <f t="shared" si="52"/>
        <v>0</v>
      </c>
      <c r="DSO15" s="63">
        <f t="shared" si="52"/>
        <v>0</v>
      </c>
      <c r="DSP15" s="63">
        <f t="shared" si="52"/>
        <v>0</v>
      </c>
      <c r="DSQ15" s="63">
        <f t="shared" si="52"/>
        <v>0</v>
      </c>
      <c r="DSR15" s="63">
        <f t="shared" si="52"/>
        <v>0</v>
      </c>
      <c r="DSS15" s="63">
        <f t="shared" si="52"/>
        <v>0</v>
      </c>
      <c r="DST15" s="63">
        <f t="shared" si="52"/>
        <v>0</v>
      </c>
      <c r="DSU15" s="63">
        <f t="shared" si="52"/>
        <v>0</v>
      </c>
      <c r="DSV15" s="63">
        <f t="shared" si="52"/>
        <v>0</v>
      </c>
      <c r="DSW15" s="63">
        <f t="shared" si="52"/>
        <v>0</v>
      </c>
      <c r="DSX15" s="63">
        <f t="shared" si="52"/>
        <v>0</v>
      </c>
      <c r="DSY15" s="63">
        <f t="shared" si="52"/>
        <v>0</v>
      </c>
      <c r="DSZ15" s="63">
        <f t="shared" si="52"/>
        <v>0</v>
      </c>
      <c r="DTA15" s="63">
        <f t="shared" si="52"/>
        <v>0</v>
      </c>
      <c r="DTB15" s="63">
        <f t="shared" si="52"/>
        <v>0</v>
      </c>
      <c r="DTC15" s="63">
        <f t="shared" si="52"/>
        <v>0</v>
      </c>
      <c r="DTD15" s="63">
        <f t="shared" si="52"/>
        <v>0</v>
      </c>
      <c r="DTE15" s="63">
        <f t="shared" si="52"/>
        <v>0</v>
      </c>
      <c r="DTF15" s="63">
        <f t="shared" si="52"/>
        <v>0</v>
      </c>
      <c r="DTG15" s="63">
        <f t="shared" si="52"/>
        <v>0</v>
      </c>
      <c r="DTH15" s="63">
        <f t="shared" si="52"/>
        <v>0</v>
      </c>
      <c r="DTI15" s="63">
        <f t="shared" si="52"/>
        <v>0</v>
      </c>
      <c r="DTJ15" s="63">
        <f t="shared" si="52"/>
        <v>0</v>
      </c>
      <c r="DTK15" s="63">
        <f t="shared" si="52"/>
        <v>0</v>
      </c>
      <c r="DTL15" s="63">
        <f t="shared" si="52"/>
        <v>0</v>
      </c>
      <c r="DTM15" s="63">
        <f t="shared" si="52"/>
        <v>0</v>
      </c>
      <c r="DTN15" s="63">
        <f t="shared" si="52"/>
        <v>0</v>
      </c>
      <c r="DTO15" s="63">
        <f t="shared" si="52"/>
        <v>0</v>
      </c>
      <c r="DTP15" s="63">
        <f t="shared" si="52"/>
        <v>0</v>
      </c>
      <c r="DTQ15" s="63">
        <f t="shared" si="52"/>
        <v>0</v>
      </c>
      <c r="DTR15" s="63">
        <f t="shared" si="52"/>
        <v>0</v>
      </c>
      <c r="DTS15" s="63">
        <f t="shared" si="52"/>
        <v>0</v>
      </c>
      <c r="DTT15" s="63">
        <f t="shared" si="52"/>
        <v>0</v>
      </c>
      <c r="DTU15" s="63">
        <f t="shared" si="52"/>
        <v>0</v>
      </c>
      <c r="DTV15" s="63">
        <f t="shared" si="52"/>
        <v>0</v>
      </c>
      <c r="DTW15" s="63">
        <f t="shared" si="52"/>
        <v>0</v>
      </c>
      <c r="DTX15" s="63">
        <f t="shared" si="52"/>
        <v>0</v>
      </c>
      <c r="DTY15" s="63">
        <f t="shared" si="52"/>
        <v>0</v>
      </c>
      <c r="DTZ15" s="63">
        <f t="shared" si="52"/>
        <v>0</v>
      </c>
      <c r="DUA15" s="63">
        <f t="shared" si="52"/>
        <v>0</v>
      </c>
      <c r="DUB15" s="63">
        <f t="shared" si="52"/>
        <v>0</v>
      </c>
      <c r="DUC15" s="63">
        <f t="shared" si="52"/>
        <v>0</v>
      </c>
      <c r="DUD15" s="63">
        <f t="shared" si="52"/>
        <v>0</v>
      </c>
      <c r="DUE15" s="63">
        <f t="shared" si="52"/>
        <v>0</v>
      </c>
      <c r="DUF15" s="63">
        <f t="shared" si="52"/>
        <v>0</v>
      </c>
      <c r="DUG15" s="63">
        <f t="shared" si="52"/>
        <v>0</v>
      </c>
      <c r="DUH15" s="63">
        <f t="shared" si="52"/>
        <v>0</v>
      </c>
      <c r="DUI15" s="63">
        <f t="shared" si="52"/>
        <v>0</v>
      </c>
      <c r="DUJ15" s="63">
        <f t="shared" si="52"/>
        <v>0</v>
      </c>
      <c r="DUK15" s="63">
        <f t="shared" si="52"/>
        <v>0</v>
      </c>
      <c r="DUL15" s="63">
        <f t="shared" si="52"/>
        <v>0</v>
      </c>
      <c r="DUM15" s="63">
        <f t="shared" si="52"/>
        <v>0</v>
      </c>
      <c r="DUN15" s="63">
        <f t="shared" si="52"/>
        <v>0</v>
      </c>
      <c r="DUO15" s="63">
        <f t="shared" si="52"/>
        <v>0</v>
      </c>
      <c r="DUP15" s="63">
        <f t="shared" si="52"/>
        <v>0</v>
      </c>
      <c r="DUQ15" s="63">
        <f t="shared" si="52"/>
        <v>0</v>
      </c>
      <c r="DUR15" s="63">
        <f t="shared" ref="DUR15:DXC15" si="53">DUQ18</f>
        <v>0</v>
      </c>
      <c r="DUS15" s="63">
        <f t="shared" si="53"/>
        <v>0</v>
      </c>
      <c r="DUT15" s="63">
        <f t="shared" si="53"/>
        <v>0</v>
      </c>
      <c r="DUU15" s="63">
        <f t="shared" si="53"/>
        <v>0</v>
      </c>
      <c r="DUV15" s="63">
        <f t="shared" si="53"/>
        <v>0</v>
      </c>
      <c r="DUW15" s="63">
        <f t="shared" si="53"/>
        <v>0</v>
      </c>
      <c r="DUX15" s="63">
        <f t="shared" si="53"/>
        <v>0</v>
      </c>
      <c r="DUY15" s="63">
        <f t="shared" si="53"/>
        <v>0</v>
      </c>
      <c r="DUZ15" s="63">
        <f t="shared" si="53"/>
        <v>0</v>
      </c>
      <c r="DVA15" s="63">
        <f t="shared" si="53"/>
        <v>0</v>
      </c>
      <c r="DVB15" s="63">
        <f t="shared" si="53"/>
        <v>0</v>
      </c>
      <c r="DVC15" s="63">
        <f t="shared" si="53"/>
        <v>0</v>
      </c>
      <c r="DVD15" s="63">
        <f t="shared" si="53"/>
        <v>0</v>
      </c>
      <c r="DVE15" s="63">
        <f t="shared" si="53"/>
        <v>0</v>
      </c>
      <c r="DVF15" s="63">
        <f t="shared" si="53"/>
        <v>0</v>
      </c>
      <c r="DVG15" s="63">
        <f t="shared" si="53"/>
        <v>0</v>
      </c>
      <c r="DVH15" s="63">
        <f t="shared" si="53"/>
        <v>0</v>
      </c>
      <c r="DVI15" s="63">
        <f t="shared" si="53"/>
        <v>0</v>
      </c>
      <c r="DVJ15" s="63">
        <f t="shared" si="53"/>
        <v>0</v>
      </c>
      <c r="DVK15" s="63">
        <f t="shared" si="53"/>
        <v>0</v>
      </c>
      <c r="DVL15" s="63">
        <f t="shared" si="53"/>
        <v>0</v>
      </c>
      <c r="DVM15" s="63">
        <f t="shared" si="53"/>
        <v>0</v>
      </c>
      <c r="DVN15" s="63">
        <f t="shared" si="53"/>
        <v>0</v>
      </c>
      <c r="DVO15" s="63">
        <f t="shared" si="53"/>
        <v>0</v>
      </c>
      <c r="DVP15" s="63">
        <f t="shared" si="53"/>
        <v>0</v>
      </c>
      <c r="DVQ15" s="63">
        <f t="shared" si="53"/>
        <v>0</v>
      </c>
      <c r="DVR15" s="63">
        <f t="shared" si="53"/>
        <v>0</v>
      </c>
      <c r="DVS15" s="63">
        <f t="shared" si="53"/>
        <v>0</v>
      </c>
      <c r="DVT15" s="63">
        <f t="shared" si="53"/>
        <v>0</v>
      </c>
      <c r="DVU15" s="63">
        <f t="shared" si="53"/>
        <v>0</v>
      </c>
      <c r="DVV15" s="63">
        <f t="shared" si="53"/>
        <v>0</v>
      </c>
      <c r="DVW15" s="63">
        <f t="shared" si="53"/>
        <v>0</v>
      </c>
      <c r="DVX15" s="63">
        <f t="shared" si="53"/>
        <v>0</v>
      </c>
      <c r="DVY15" s="63">
        <f t="shared" si="53"/>
        <v>0</v>
      </c>
      <c r="DVZ15" s="63">
        <f t="shared" si="53"/>
        <v>0</v>
      </c>
      <c r="DWA15" s="63">
        <f t="shared" si="53"/>
        <v>0</v>
      </c>
      <c r="DWB15" s="63">
        <f t="shared" si="53"/>
        <v>0</v>
      </c>
      <c r="DWC15" s="63">
        <f t="shared" si="53"/>
        <v>0</v>
      </c>
      <c r="DWD15" s="63">
        <f t="shared" si="53"/>
        <v>0</v>
      </c>
      <c r="DWE15" s="63">
        <f t="shared" si="53"/>
        <v>0</v>
      </c>
      <c r="DWF15" s="63">
        <f t="shared" si="53"/>
        <v>0</v>
      </c>
      <c r="DWG15" s="63">
        <f t="shared" si="53"/>
        <v>0</v>
      </c>
      <c r="DWH15" s="63">
        <f t="shared" si="53"/>
        <v>0</v>
      </c>
      <c r="DWI15" s="63">
        <f t="shared" si="53"/>
        <v>0</v>
      </c>
      <c r="DWJ15" s="63">
        <f t="shared" si="53"/>
        <v>0</v>
      </c>
      <c r="DWK15" s="63">
        <f t="shared" si="53"/>
        <v>0</v>
      </c>
      <c r="DWL15" s="63">
        <f t="shared" si="53"/>
        <v>0</v>
      </c>
      <c r="DWM15" s="63">
        <f t="shared" si="53"/>
        <v>0</v>
      </c>
      <c r="DWN15" s="63">
        <f t="shared" si="53"/>
        <v>0</v>
      </c>
      <c r="DWO15" s="63">
        <f t="shared" si="53"/>
        <v>0</v>
      </c>
      <c r="DWP15" s="63">
        <f t="shared" si="53"/>
        <v>0</v>
      </c>
      <c r="DWQ15" s="63">
        <f t="shared" si="53"/>
        <v>0</v>
      </c>
      <c r="DWR15" s="63">
        <f t="shared" si="53"/>
        <v>0</v>
      </c>
      <c r="DWS15" s="63">
        <f t="shared" si="53"/>
        <v>0</v>
      </c>
      <c r="DWT15" s="63">
        <f t="shared" si="53"/>
        <v>0</v>
      </c>
      <c r="DWU15" s="63">
        <f t="shared" si="53"/>
        <v>0</v>
      </c>
      <c r="DWV15" s="63">
        <f t="shared" si="53"/>
        <v>0</v>
      </c>
      <c r="DWW15" s="63">
        <f t="shared" si="53"/>
        <v>0</v>
      </c>
      <c r="DWX15" s="63">
        <f t="shared" si="53"/>
        <v>0</v>
      </c>
      <c r="DWY15" s="63">
        <f t="shared" si="53"/>
        <v>0</v>
      </c>
      <c r="DWZ15" s="63">
        <f t="shared" si="53"/>
        <v>0</v>
      </c>
      <c r="DXA15" s="63">
        <f t="shared" si="53"/>
        <v>0</v>
      </c>
      <c r="DXB15" s="63">
        <f t="shared" si="53"/>
        <v>0</v>
      </c>
      <c r="DXC15" s="63">
        <f t="shared" si="53"/>
        <v>0</v>
      </c>
      <c r="DXD15" s="63">
        <f t="shared" ref="DXD15:DZO15" si="54">DXC18</f>
        <v>0</v>
      </c>
      <c r="DXE15" s="63">
        <f t="shared" si="54"/>
        <v>0</v>
      </c>
      <c r="DXF15" s="63">
        <f t="shared" si="54"/>
        <v>0</v>
      </c>
      <c r="DXG15" s="63">
        <f t="shared" si="54"/>
        <v>0</v>
      </c>
      <c r="DXH15" s="63">
        <f t="shared" si="54"/>
        <v>0</v>
      </c>
      <c r="DXI15" s="63">
        <f t="shared" si="54"/>
        <v>0</v>
      </c>
      <c r="DXJ15" s="63">
        <f t="shared" si="54"/>
        <v>0</v>
      </c>
      <c r="DXK15" s="63">
        <f t="shared" si="54"/>
        <v>0</v>
      </c>
      <c r="DXL15" s="63">
        <f t="shared" si="54"/>
        <v>0</v>
      </c>
      <c r="DXM15" s="63">
        <f t="shared" si="54"/>
        <v>0</v>
      </c>
      <c r="DXN15" s="63">
        <f t="shared" si="54"/>
        <v>0</v>
      </c>
      <c r="DXO15" s="63">
        <f t="shared" si="54"/>
        <v>0</v>
      </c>
      <c r="DXP15" s="63">
        <f t="shared" si="54"/>
        <v>0</v>
      </c>
      <c r="DXQ15" s="63">
        <f t="shared" si="54"/>
        <v>0</v>
      </c>
      <c r="DXR15" s="63">
        <f t="shared" si="54"/>
        <v>0</v>
      </c>
      <c r="DXS15" s="63">
        <f t="shared" si="54"/>
        <v>0</v>
      </c>
      <c r="DXT15" s="63">
        <f t="shared" si="54"/>
        <v>0</v>
      </c>
      <c r="DXU15" s="63">
        <f t="shared" si="54"/>
        <v>0</v>
      </c>
      <c r="DXV15" s="63">
        <f t="shared" si="54"/>
        <v>0</v>
      </c>
      <c r="DXW15" s="63">
        <f t="shared" si="54"/>
        <v>0</v>
      </c>
      <c r="DXX15" s="63">
        <f t="shared" si="54"/>
        <v>0</v>
      </c>
      <c r="DXY15" s="63">
        <f t="shared" si="54"/>
        <v>0</v>
      </c>
      <c r="DXZ15" s="63">
        <f t="shared" si="54"/>
        <v>0</v>
      </c>
      <c r="DYA15" s="63">
        <f t="shared" si="54"/>
        <v>0</v>
      </c>
      <c r="DYB15" s="63">
        <f t="shared" si="54"/>
        <v>0</v>
      </c>
      <c r="DYC15" s="63">
        <f t="shared" si="54"/>
        <v>0</v>
      </c>
      <c r="DYD15" s="63">
        <f t="shared" si="54"/>
        <v>0</v>
      </c>
      <c r="DYE15" s="63">
        <f t="shared" si="54"/>
        <v>0</v>
      </c>
      <c r="DYF15" s="63">
        <f t="shared" si="54"/>
        <v>0</v>
      </c>
      <c r="DYG15" s="63">
        <f t="shared" si="54"/>
        <v>0</v>
      </c>
      <c r="DYH15" s="63">
        <f t="shared" si="54"/>
        <v>0</v>
      </c>
      <c r="DYI15" s="63">
        <f t="shared" si="54"/>
        <v>0</v>
      </c>
      <c r="DYJ15" s="63">
        <f t="shared" si="54"/>
        <v>0</v>
      </c>
      <c r="DYK15" s="63">
        <f t="shared" si="54"/>
        <v>0</v>
      </c>
      <c r="DYL15" s="63">
        <f t="shared" si="54"/>
        <v>0</v>
      </c>
      <c r="DYM15" s="63">
        <f t="shared" si="54"/>
        <v>0</v>
      </c>
      <c r="DYN15" s="63">
        <f t="shared" si="54"/>
        <v>0</v>
      </c>
      <c r="DYO15" s="63">
        <f t="shared" si="54"/>
        <v>0</v>
      </c>
      <c r="DYP15" s="63">
        <f t="shared" si="54"/>
        <v>0</v>
      </c>
      <c r="DYQ15" s="63">
        <f t="shared" si="54"/>
        <v>0</v>
      </c>
      <c r="DYR15" s="63">
        <f t="shared" si="54"/>
        <v>0</v>
      </c>
      <c r="DYS15" s="63">
        <f t="shared" si="54"/>
        <v>0</v>
      </c>
      <c r="DYT15" s="63">
        <f t="shared" si="54"/>
        <v>0</v>
      </c>
      <c r="DYU15" s="63">
        <f t="shared" si="54"/>
        <v>0</v>
      </c>
      <c r="DYV15" s="63">
        <f t="shared" si="54"/>
        <v>0</v>
      </c>
      <c r="DYW15" s="63">
        <f t="shared" si="54"/>
        <v>0</v>
      </c>
      <c r="DYX15" s="63">
        <f t="shared" si="54"/>
        <v>0</v>
      </c>
      <c r="DYY15" s="63">
        <f t="shared" si="54"/>
        <v>0</v>
      </c>
      <c r="DYZ15" s="63">
        <f t="shared" si="54"/>
        <v>0</v>
      </c>
      <c r="DZA15" s="63">
        <f t="shared" si="54"/>
        <v>0</v>
      </c>
      <c r="DZB15" s="63">
        <f t="shared" si="54"/>
        <v>0</v>
      </c>
      <c r="DZC15" s="63">
        <f t="shared" si="54"/>
        <v>0</v>
      </c>
      <c r="DZD15" s="63">
        <f t="shared" si="54"/>
        <v>0</v>
      </c>
      <c r="DZE15" s="63">
        <f t="shared" si="54"/>
        <v>0</v>
      </c>
      <c r="DZF15" s="63">
        <f t="shared" si="54"/>
        <v>0</v>
      </c>
      <c r="DZG15" s="63">
        <f t="shared" si="54"/>
        <v>0</v>
      </c>
      <c r="DZH15" s="63">
        <f t="shared" si="54"/>
        <v>0</v>
      </c>
      <c r="DZI15" s="63">
        <f t="shared" si="54"/>
        <v>0</v>
      </c>
      <c r="DZJ15" s="63">
        <f t="shared" si="54"/>
        <v>0</v>
      </c>
      <c r="DZK15" s="63">
        <f t="shared" si="54"/>
        <v>0</v>
      </c>
      <c r="DZL15" s="63">
        <f t="shared" si="54"/>
        <v>0</v>
      </c>
      <c r="DZM15" s="63">
        <f t="shared" si="54"/>
        <v>0</v>
      </c>
      <c r="DZN15" s="63">
        <f t="shared" si="54"/>
        <v>0</v>
      </c>
      <c r="DZO15" s="63">
        <f t="shared" si="54"/>
        <v>0</v>
      </c>
      <c r="DZP15" s="63">
        <f t="shared" ref="DZP15:ECA15" si="55">DZO18</f>
        <v>0</v>
      </c>
      <c r="DZQ15" s="63">
        <f t="shared" si="55"/>
        <v>0</v>
      </c>
      <c r="DZR15" s="63">
        <f t="shared" si="55"/>
        <v>0</v>
      </c>
      <c r="DZS15" s="63">
        <f t="shared" si="55"/>
        <v>0</v>
      </c>
      <c r="DZT15" s="63">
        <f t="shared" si="55"/>
        <v>0</v>
      </c>
      <c r="DZU15" s="63">
        <f t="shared" si="55"/>
        <v>0</v>
      </c>
      <c r="DZV15" s="63">
        <f t="shared" si="55"/>
        <v>0</v>
      </c>
      <c r="DZW15" s="63">
        <f t="shared" si="55"/>
        <v>0</v>
      </c>
      <c r="DZX15" s="63">
        <f t="shared" si="55"/>
        <v>0</v>
      </c>
      <c r="DZY15" s="63">
        <f t="shared" si="55"/>
        <v>0</v>
      </c>
      <c r="DZZ15" s="63">
        <f t="shared" si="55"/>
        <v>0</v>
      </c>
      <c r="EAA15" s="63">
        <f t="shared" si="55"/>
        <v>0</v>
      </c>
      <c r="EAB15" s="63">
        <f t="shared" si="55"/>
        <v>0</v>
      </c>
      <c r="EAC15" s="63">
        <f t="shared" si="55"/>
        <v>0</v>
      </c>
      <c r="EAD15" s="63">
        <f t="shared" si="55"/>
        <v>0</v>
      </c>
      <c r="EAE15" s="63">
        <f t="shared" si="55"/>
        <v>0</v>
      </c>
      <c r="EAF15" s="63">
        <f t="shared" si="55"/>
        <v>0</v>
      </c>
      <c r="EAG15" s="63">
        <f t="shared" si="55"/>
        <v>0</v>
      </c>
      <c r="EAH15" s="63">
        <f t="shared" si="55"/>
        <v>0</v>
      </c>
      <c r="EAI15" s="63">
        <f t="shared" si="55"/>
        <v>0</v>
      </c>
      <c r="EAJ15" s="63">
        <f t="shared" si="55"/>
        <v>0</v>
      </c>
      <c r="EAK15" s="63">
        <f t="shared" si="55"/>
        <v>0</v>
      </c>
      <c r="EAL15" s="63">
        <f t="shared" si="55"/>
        <v>0</v>
      </c>
      <c r="EAM15" s="63">
        <f t="shared" si="55"/>
        <v>0</v>
      </c>
      <c r="EAN15" s="63">
        <f t="shared" si="55"/>
        <v>0</v>
      </c>
      <c r="EAO15" s="63">
        <f t="shared" si="55"/>
        <v>0</v>
      </c>
      <c r="EAP15" s="63">
        <f t="shared" si="55"/>
        <v>0</v>
      </c>
      <c r="EAQ15" s="63">
        <f t="shared" si="55"/>
        <v>0</v>
      </c>
      <c r="EAR15" s="63">
        <f t="shared" si="55"/>
        <v>0</v>
      </c>
      <c r="EAS15" s="63">
        <f t="shared" si="55"/>
        <v>0</v>
      </c>
      <c r="EAT15" s="63">
        <f t="shared" si="55"/>
        <v>0</v>
      </c>
      <c r="EAU15" s="63">
        <f t="shared" si="55"/>
        <v>0</v>
      </c>
      <c r="EAV15" s="63">
        <f t="shared" si="55"/>
        <v>0</v>
      </c>
      <c r="EAW15" s="63">
        <f t="shared" si="55"/>
        <v>0</v>
      </c>
      <c r="EAX15" s="63">
        <f t="shared" si="55"/>
        <v>0</v>
      </c>
      <c r="EAY15" s="63">
        <f t="shared" si="55"/>
        <v>0</v>
      </c>
      <c r="EAZ15" s="63">
        <f t="shared" si="55"/>
        <v>0</v>
      </c>
      <c r="EBA15" s="63">
        <f t="shared" si="55"/>
        <v>0</v>
      </c>
      <c r="EBB15" s="63">
        <f t="shared" si="55"/>
        <v>0</v>
      </c>
      <c r="EBC15" s="63">
        <f t="shared" si="55"/>
        <v>0</v>
      </c>
      <c r="EBD15" s="63">
        <f t="shared" si="55"/>
        <v>0</v>
      </c>
      <c r="EBE15" s="63">
        <f t="shared" si="55"/>
        <v>0</v>
      </c>
      <c r="EBF15" s="63">
        <f t="shared" si="55"/>
        <v>0</v>
      </c>
      <c r="EBG15" s="63">
        <f t="shared" si="55"/>
        <v>0</v>
      </c>
      <c r="EBH15" s="63">
        <f t="shared" si="55"/>
        <v>0</v>
      </c>
      <c r="EBI15" s="63">
        <f t="shared" si="55"/>
        <v>0</v>
      </c>
      <c r="EBJ15" s="63">
        <f t="shared" si="55"/>
        <v>0</v>
      </c>
      <c r="EBK15" s="63">
        <f t="shared" si="55"/>
        <v>0</v>
      </c>
      <c r="EBL15" s="63">
        <f t="shared" si="55"/>
        <v>0</v>
      </c>
      <c r="EBM15" s="63">
        <f t="shared" si="55"/>
        <v>0</v>
      </c>
      <c r="EBN15" s="63">
        <f t="shared" si="55"/>
        <v>0</v>
      </c>
      <c r="EBO15" s="63">
        <f t="shared" si="55"/>
        <v>0</v>
      </c>
      <c r="EBP15" s="63">
        <f t="shared" si="55"/>
        <v>0</v>
      </c>
      <c r="EBQ15" s="63">
        <f t="shared" si="55"/>
        <v>0</v>
      </c>
      <c r="EBR15" s="63">
        <f t="shared" si="55"/>
        <v>0</v>
      </c>
      <c r="EBS15" s="63">
        <f t="shared" si="55"/>
        <v>0</v>
      </c>
      <c r="EBT15" s="63">
        <f t="shared" si="55"/>
        <v>0</v>
      </c>
      <c r="EBU15" s="63">
        <f t="shared" si="55"/>
        <v>0</v>
      </c>
      <c r="EBV15" s="63">
        <f t="shared" si="55"/>
        <v>0</v>
      </c>
      <c r="EBW15" s="63">
        <f t="shared" si="55"/>
        <v>0</v>
      </c>
      <c r="EBX15" s="63">
        <f t="shared" si="55"/>
        <v>0</v>
      </c>
      <c r="EBY15" s="63">
        <f t="shared" si="55"/>
        <v>0</v>
      </c>
      <c r="EBZ15" s="63">
        <f t="shared" si="55"/>
        <v>0</v>
      </c>
      <c r="ECA15" s="63">
        <f t="shared" si="55"/>
        <v>0</v>
      </c>
      <c r="ECB15" s="63">
        <f t="shared" ref="ECB15:EEM15" si="56">ECA18</f>
        <v>0</v>
      </c>
      <c r="ECC15" s="63">
        <f t="shared" si="56"/>
        <v>0</v>
      </c>
      <c r="ECD15" s="63">
        <f t="shared" si="56"/>
        <v>0</v>
      </c>
      <c r="ECE15" s="63">
        <f t="shared" si="56"/>
        <v>0</v>
      </c>
      <c r="ECF15" s="63">
        <f t="shared" si="56"/>
        <v>0</v>
      </c>
      <c r="ECG15" s="63">
        <f t="shared" si="56"/>
        <v>0</v>
      </c>
      <c r="ECH15" s="63">
        <f t="shared" si="56"/>
        <v>0</v>
      </c>
      <c r="ECI15" s="63">
        <f t="shared" si="56"/>
        <v>0</v>
      </c>
      <c r="ECJ15" s="63">
        <f t="shared" si="56"/>
        <v>0</v>
      </c>
      <c r="ECK15" s="63">
        <f t="shared" si="56"/>
        <v>0</v>
      </c>
      <c r="ECL15" s="63">
        <f t="shared" si="56"/>
        <v>0</v>
      </c>
      <c r="ECM15" s="63">
        <f t="shared" si="56"/>
        <v>0</v>
      </c>
      <c r="ECN15" s="63">
        <f t="shared" si="56"/>
        <v>0</v>
      </c>
      <c r="ECO15" s="63">
        <f t="shared" si="56"/>
        <v>0</v>
      </c>
      <c r="ECP15" s="63">
        <f t="shared" si="56"/>
        <v>0</v>
      </c>
      <c r="ECQ15" s="63">
        <f t="shared" si="56"/>
        <v>0</v>
      </c>
      <c r="ECR15" s="63">
        <f t="shared" si="56"/>
        <v>0</v>
      </c>
      <c r="ECS15" s="63">
        <f t="shared" si="56"/>
        <v>0</v>
      </c>
      <c r="ECT15" s="63">
        <f t="shared" si="56"/>
        <v>0</v>
      </c>
      <c r="ECU15" s="63">
        <f t="shared" si="56"/>
        <v>0</v>
      </c>
      <c r="ECV15" s="63">
        <f t="shared" si="56"/>
        <v>0</v>
      </c>
      <c r="ECW15" s="63">
        <f t="shared" si="56"/>
        <v>0</v>
      </c>
      <c r="ECX15" s="63">
        <f t="shared" si="56"/>
        <v>0</v>
      </c>
      <c r="ECY15" s="63">
        <f t="shared" si="56"/>
        <v>0</v>
      </c>
      <c r="ECZ15" s="63">
        <f t="shared" si="56"/>
        <v>0</v>
      </c>
      <c r="EDA15" s="63">
        <f t="shared" si="56"/>
        <v>0</v>
      </c>
      <c r="EDB15" s="63">
        <f t="shared" si="56"/>
        <v>0</v>
      </c>
      <c r="EDC15" s="63">
        <f t="shared" si="56"/>
        <v>0</v>
      </c>
      <c r="EDD15" s="63">
        <f t="shared" si="56"/>
        <v>0</v>
      </c>
      <c r="EDE15" s="63">
        <f t="shared" si="56"/>
        <v>0</v>
      </c>
      <c r="EDF15" s="63">
        <f t="shared" si="56"/>
        <v>0</v>
      </c>
      <c r="EDG15" s="63">
        <f t="shared" si="56"/>
        <v>0</v>
      </c>
      <c r="EDH15" s="63">
        <f t="shared" si="56"/>
        <v>0</v>
      </c>
      <c r="EDI15" s="63">
        <f t="shared" si="56"/>
        <v>0</v>
      </c>
      <c r="EDJ15" s="63">
        <f t="shared" si="56"/>
        <v>0</v>
      </c>
      <c r="EDK15" s="63">
        <f t="shared" si="56"/>
        <v>0</v>
      </c>
      <c r="EDL15" s="63">
        <f t="shared" si="56"/>
        <v>0</v>
      </c>
      <c r="EDM15" s="63">
        <f t="shared" si="56"/>
        <v>0</v>
      </c>
      <c r="EDN15" s="63">
        <f t="shared" si="56"/>
        <v>0</v>
      </c>
      <c r="EDO15" s="63">
        <f t="shared" si="56"/>
        <v>0</v>
      </c>
      <c r="EDP15" s="63">
        <f t="shared" si="56"/>
        <v>0</v>
      </c>
      <c r="EDQ15" s="63">
        <f t="shared" si="56"/>
        <v>0</v>
      </c>
      <c r="EDR15" s="63">
        <f t="shared" si="56"/>
        <v>0</v>
      </c>
      <c r="EDS15" s="63">
        <f t="shared" si="56"/>
        <v>0</v>
      </c>
      <c r="EDT15" s="63">
        <f t="shared" si="56"/>
        <v>0</v>
      </c>
      <c r="EDU15" s="63">
        <f t="shared" si="56"/>
        <v>0</v>
      </c>
      <c r="EDV15" s="63">
        <f t="shared" si="56"/>
        <v>0</v>
      </c>
      <c r="EDW15" s="63">
        <f t="shared" si="56"/>
        <v>0</v>
      </c>
      <c r="EDX15" s="63">
        <f t="shared" si="56"/>
        <v>0</v>
      </c>
      <c r="EDY15" s="63">
        <f t="shared" si="56"/>
        <v>0</v>
      </c>
      <c r="EDZ15" s="63">
        <f t="shared" si="56"/>
        <v>0</v>
      </c>
      <c r="EEA15" s="63">
        <f t="shared" si="56"/>
        <v>0</v>
      </c>
      <c r="EEB15" s="63">
        <f t="shared" si="56"/>
        <v>0</v>
      </c>
      <c r="EEC15" s="63">
        <f t="shared" si="56"/>
        <v>0</v>
      </c>
      <c r="EED15" s="63">
        <f t="shared" si="56"/>
        <v>0</v>
      </c>
      <c r="EEE15" s="63">
        <f t="shared" si="56"/>
        <v>0</v>
      </c>
      <c r="EEF15" s="63">
        <f t="shared" si="56"/>
        <v>0</v>
      </c>
      <c r="EEG15" s="63">
        <f t="shared" si="56"/>
        <v>0</v>
      </c>
      <c r="EEH15" s="63">
        <f t="shared" si="56"/>
        <v>0</v>
      </c>
      <c r="EEI15" s="63">
        <f t="shared" si="56"/>
        <v>0</v>
      </c>
      <c r="EEJ15" s="63">
        <f t="shared" si="56"/>
        <v>0</v>
      </c>
      <c r="EEK15" s="63">
        <f t="shared" si="56"/>
        <v>0</v>
      </c>
      <c r="EEL15" s="63">
        <f t="shared" si="56"/>
        <v>0</v>
      </c>
      <c r="EEM15" s="63">
        <f t="shared" si="56"/>
        <v>0</v>
      </c>
      <c r="EEN15" s="63">
        <f t="shared" ref="EEN15:EGY15" si="57">EEM18</f>
        <v>0</v>
      </c>
      <c r="EEO15" s="63">
        <f t="shared" si="57"/>
        <v>0</v>
      </c>
      <c r="EEP15" s="63">
        <f t="shared" si="57"/>
        <v>0</v>
      </c>
      <c r="EEQ15" s="63">
        <f t="shared" si="57"/>
        <v>0</v>
      </c>
      <c r="EER15" s="63">
        <f t="shared" si="57"/>
        <v>0</v>
      </c>
      <c r="EES15" s="63">
        <f t="shared" si="57"/>
        <v>0</v>
      </c>
      <c r="EET15" s="63">
        <f t="shared" si="57"/>
        <v>0</v>
      </c>
      <c r="EEU15" s="63">
        <f t="shared" si="57"/>
        <v>0</v>
      </c>
      <c r="EEV15" s="63">
        <f t="shared" si="57"/>
        <v>0</v>
      </c>
      <c r="EEW15" s="63">
        <f t="shared" si="57"/>
        <v>0</v>
      </c>
      <c r="EEX15" s="63">
        <f t="shared" si="57"/>
        <v>0</v>
      </c>
      <c r="EEY15" s="63">
        <f t="shared" si="57"/>
        <v>0</v>
      </c>
      <c r="EEZ15" s="63">
        <f t="shared" si="57"/>
        <v>0</v>
      </c>
      <c r="EFA15" s="63">
        <f t="shared" si="57"/>
        <v>0</v>
      </c>
      <c r="EFB15" s="63">
        <f t="shared" si="57"/>
        <v>0</v>
      </c>
      <c r="EFC15" s="63">
        <f t="shared" si="57"/>
        <v>0</v>
      </c>
      <c r="EFD15" s="63">
        <f t="shared" si="57"/>
        <v>0</v>
      </c>
      <c r="EFE15" s="63">
        <f t="shared" si="57"/>
        <v>0</v>
      </c>
      <c r="EFF15" s="63">
        <f t="shared" si="57"/>
        <v>0</v>
      </c>
      <c r="EFG15" s="63">
        <f t="shared" si="57"/>
        <v>0</v>
      </c>
      <c r="EFH15" s="63">
        <f t="shared" si="57"/>
        <v>0</v>
      </c>
      <c r="EFI15" s="63">
        <f t="shared" si="57"/>
        <v>0</v>
      </c>
      <c r="EFJ15" s="63">
        <f t="shared" si="57"/>
        <v>0</v>
      </c>
      <c r="EFK15" s="63">
        <f t="shared" si="57"/>
        <v>0</v>
      </c>
      <c r="EFL15" s="63">
        <f t="shared" si="57"/>
        <v>0</v>
      </c>
      <c r="EFM15" s="63">
        <f t="shared" si="57"/>
        <v>0</v>
      </c>
      <c r="EFN15" s="63">
        <f t="shared" si="57"/>
        <v>0</v>
      </c>
      <c r="EFO15" s="63">
        <f t="shared" si="57"/>
        <v>0</v>
      </c>
      <c r="EFP15" s="63">
        <f t="shared" si="57"/>
        <v>0</v>
      </c>
      <c r="EFQ15" s="63">
        <f t="shared" si="57"/>
        <v>0</v>
      </c>
      <c r="EFR15" s="63">
        <f t="shared" si="57"/>
        <v>0</v>
      </c>
      <c r="EFS15" s="63">
        <f t="shared" si="57"/>
        <v>0</v>
      </c>
      <c r="EFT15" s="63">
        <f t="shared" si="57"/>
        <v>0</v>
      </c>
      <c r="EFU15" s="63">
        <f t="shared" si="57"/>
        <v>0</v>
      </c>
      <c r="EFV15" s="63">
        <f t="shared" si="57"/>
        <v>0</v>
      </c>
      <c r="EFW15" s="63">
        <f t="shared" si="57"/>
        <v>0</v>
      </c>
      <c r="EFX15" s="63">
        <f t="shared" si="57"/>
        <v>0</v>
      </c>
      <c r="EFY15" s="63">
        <f t="shared" si="57"/>
        <v>0</v>
      </c>
      <c r="EFZ15" s="63">
        <f t="shared" si="57"/>
        <v>0</v>
      </c>
      <c r="EGA15" s="63">
        <f t="shared" si="57"/>
        <v>0</v>
      </c>
      <c r="EGB15" s="63">
        <f t="shared" si="57"/>
        <v>0</v>
      </c>
      <c r="EGC15" s="63">
        <f t="shared" si="57"/>
        <v>0</v>
      </c>
      <c r="EGD15" s="63">
        <f t="shared" si="57"/>
        <v>0</v>
      </c>
      <c r="EGE15" s="63">
        <f t="shared" si="57"/>
        <v>0</v>
      </c>
      <c r="EGF15" s="63">
        <f t="shared" si="57"/>
        <v>0</v>
      </c>
      <c r="EGG15" s="63">
        <f t="shared" si="57"/>
        <v>0</v>
      </c>
      <c r="EGH15" s="63">
        <f t="shared" si="57"/>
        <v>0</v>
      </c>
      <c r="EGI15" s="63">
        <f t="shared" si="57"/>
        <v>0</v>
      </c>
      <c r="EGJ15" s="63">
        <f t="shared" si="57"/>
        <v>0</v>
      </c>
      <c r="EGK15" s="63">
        <f t="shared" si="57"/>
        <v>0</v>
      </c>
      <c r="EGL15" s="63">
        <f t="shared" si="57"/>
        <v>0</v>
      </c>
      <c r="EGM15" s="63">
        <f t="shared" si="57"/>
        <v>0</v>
      </c>
      <c r="EGN15" s="63">
        <f t="shared" si="57"/>
        <v>0</v>
      </c>
      <c r="EGO15" s="63">
        <f t="shared" si="57"/>
        <v>0</v>
      </c>
      <c r="EGP15" s="63">
        <f t="shared" si="57"/>
        <v>0</v>
      </c>
      <c r="EGQ15" s="63">
        <f t="shared" si="57"/>
        <v>0</v>
      </c>
      <c r="EGR15" s="63">
        <f t="shared" si="57"/>
        <v>0</v>
      </c>
      <c r="EGS15" s="63">
        <f t="shared" si="57"/>
        <v>0</v>
      </c>
      <c r="EGT15" s="63">
        <f t="shared" si="57"/>
        <v>0</v>
      </c>
      <c r="EGU15" s="63">
        <f t="shared" si="57"/>
        <v>0</v>
      </c>
      <c r="EGV15" s="63">
        <f t="shared" si="57"/>
        <v>0</v>
      </c>
      <c r="EGW15" s="63">
        <f t="shared" si="57"/>
        <v>0</v>
      </c>
      <c r="EGX15" s="63">
        <f t="shared" si="57"/>
        <v>0</v>
      </c>
      <c r="EGY15" s="63">
        <f t="shared" si="57"/>
        <v>0</v>
      </c>
      <c r="EGZ15" s="63">
        <f t="shared" ref="EGZ15:EJK15" si="58">EGY18</f>
        <v>0</v>
      </c>
      <c r="EHA15" s="63">
        <f t="shared" si="58"/>
        <v>0</v>
      </c>
      <c r="EHB15" s="63">
        <f t="shared" si="58"/>
        <v>0</v>
      </c>
      <c r="EHC15" s="63">
        <f t="shared" si="58"/>
        <v>0</v>
      </c>
      <c r="EHD15" s="63">
        <f t="shared" si="58"/>
        <v>0</v>
      </c>
      <c r="EHE15" s="63">
        <f t="shared" si="58"/>
        <v>0</v>
      </c>
      <c r="EHF15" s="63">
        <f t="shared" si="58"/>
        <v>0</v>
      </c>
      <c r="EHG15" s="63">
        <f t="shared" si="58"/>
        <v>0</v>
      </c>
      <c r="EHH15" s="63">
        <f t="shared" si="58"/>
        <v>0</v>
      </c>
      <c r="EHI15" s="63">
        <f t="shared" si="58"/>
        <v>0</v>
      </c>
      <c r="EHJ15" s="63">
        <f t="shared" si="58"/>
        <v>0</v>
      </c>
      <c r="EHK15" s="63">
        <f t="shared" si="58"/>
        <v>0</v>
      </c>
      <c r="EHL15" s="63">
        <f t="shared" si="58"/>
        <v>0</v>
      </c>
      <c r="EHM15" s="63">
        <f t="shared" si="58"/>
        <v>0</v>
      </c>
      <c r="EHN15" s="63">
        <f t="shared" si="58"/>
        <v>0</v>
      </c>
      <c r="EHO15" s="63">
        <f t="shared" si="58"/>
        <v>0</v>
      </c>
      <c r="EHP15" s="63">
        <f t="shared" si="58"/>
        <v>0</v>
      </c>
      <c r="EHQ15" s="63">
        <f t="shared" si="58"/>
        <v>0</v>
      </c>
      <c r="EHR15" s="63">
        <f t="shared" si="58"/>
        <v>0</v>
      </c>
      <c r="EHS15" s="63">
        <f t="shared" si="58"/>
        <v>0</v>
      </c>
      <c r="EHT15" s="63">
        <f t="shared" si="58"/>
        <v>0</v>
      </c>
      <c r="EHU15" s="63">
        <f t="shared" si="58"/>
        <v>0</v>
      </c>
      <c r="EHV15" s="63">
        <f t="shared" si="58"/>
        <v>0</v>
      </c>
      <c r="EHW15" s="63">
        <f t="shared" si="58"/>
        <v>0</v>
      </c>
      <c r="EHX15" s="63">
        <f t="shared" si="58"/>
        <v>0</v>
      </c>
      <c r="EHY15" s="63">
        <f t="shared" si="58"/>
        <v>0</v>
      </c>
      <c r="EHZ15" s="63">
        <f t="shared" si="58"/>
        <v>0</v>
      </c>
      <c r="EIA15" s="63">
        <f t="shared" si="58"/>
        <v>0</v>
      </c>
      <c r="EIB15" s="63">
        <f t="shared" si="58"/>
        <v>0</v>
      </c>
      <c r="EIC15" s="63">
        <f t="shared" si="58"/>
        <v>0</v>
      </c>
      <c r="EID15" s="63">
        <f t="shared" si="58"/>
        <v>0</v>
      </c>
      <c r="EIE15" s="63">
        <f t="shared" si="58"/>
        <v>0</v>
      </c>
      <c r="EIF15" s="63">
        <f t="shared" si="58"/>
        <v>0</v>
      </c>
      <c r="EIG15" s="63">
        <f t="shared" si="58"/>
        <v>0</v>
      </c>
      <c r="EIH15" s="63">
        <f t="shared" si="58"/>
        <v>0</v>
      </c>
      <c r="EII15" s="63">
        <f t="shared" si="58"/>
        <v>0</v>
      </c>
      <c r="EIJ15" s="63">
        <f t="shared" si="58"/>
        <v>0</v>
      </c>
      <c r="EIK15" s="63">
        <f t="shared" si="58"/>
        <v>0</v>
      </c>
      <c r="EIL15" s="63">
        <f t="shared" si="58"/>
        <v>0</v>
      </c>
      <c r="EIM15" s="63">
        <f t="shared" si="58"/>
        <v>0</v>
      </c>
      <c r="EIN15" s="63">
        <f t="shared" si="58"/>
        <v>0</v>
      </c>
      <c r="EIO15" s="63">
        <f t="shared" si="58"/>
        <v>0</v>
      </c>
      <c r="EIP15" s="63">
        <f t="shared" si="58"/>
        <v>0</v>
      </c>
      <c r="EIQ15" s="63">
        <f t="shared" si="58"/>
        <v>0</v>
      </c>
      <c r="EIR15" s="63">
        <f t="shared" si="58"/>
        <v>0</v>
      </c>
      <c r="EIS15" s="63">
        <f t="shared" si="58"/>
        <v>0</v>
      </c>
      <c r="EIT15" s="63">
        <f t="shared" si="58"/>
        <v>0</v>
      </c>
      <c r="EIU15" s="63">
        <f t="shared" si="58"/>
        <v>0</v>
      </c>
      <c r="EIV15" s="63">
        <f t="shared" si="58"/>
        <v>0</v>
      </c>
      <c r="EIW15" s="63">
        <f t="shared" si="58"/>
        <v>0</v>
      </c>
      <c r="EIX15" s="63">
        <f t="shared" si="58"/>
        <v>0</v>
      </c>
      <c r="EIY15" s="63">
        <f t="shared" si="58"/>
        <v>0</v>
      </c>
      <c r="EIZ15" s="63">
        <f t="shared" si="58"/>
        <v>0</v>
      </c>
      <c r="EJA15" s="63">
        <f t="shared" si="58"/>
        <v>0</v>
      </c>
      <c r="EJB15" s="63">
        <f t="shared" si="58"/>
        <v>0</v>
      </c>
      <c r="EJC15" s="63">
        <f t="shared" si="58"/>
        <v>0</v>
      </c>
      <c r="EJD15" s="63">
        <f t="shared" si="58"/>
        <v>0</v>
      </c>
      <c r="EJE15" s="63">
        <f t="shared" si="58"/>
        <v>0</v>
      </c>
      <c r="EJF15" s="63">
        <f t="shared" si="58"/>
        <v>0</v>
      </c>
      <c r="EJG15" s="63">
        <f t="shared" si="58"/>
        <v>0</v>
      </c>
      <c r="EJH15" s="63">
        <f t="shared" si="58"/>
        <v>0</v>
      </c>
      <c r="EJI15" s="63">
        <f t="shared" si="58"/>
        <v>0</v>
      </c>
      <c r="EJJ15" s="63">
        <f t="shared" si="58"/>
        <v>0</v>
      </c>
      <c r="EJK15" s="63">
        <f t="shared" si="58"/>
        <v>0</v>
      </c>
      <c r="EJL15" s="63">
        <f t="shared" ref="EJL15:ELW15" si="59">EJK18</f>
        <v>0</v>
      </c>
      <c r="EJM15" s="63">
        <f t="shared" si="59"/>
        <v>0</v>
      </c>
      <c r="EJN15" s="63">
        <f t="shared" si="59"/>
        <v>0</v>
      </c>
      <c r="EJO15" s="63">
        <f t="shared" si="59"/>
        <v>0</v>
      </c>
      <c r="EJP15" s="63">
        <f t="shared" si="59"/>
        <v>0</v>
      </c>
      <c r="EJQ15" s="63">
        <f t="shared" si="59"/>
        <v>0</v>
      </c>
      <c r="EJR15" s="63">
        <f t="shared" si="59"/>
        <v>0</v>
      </c>
      <c r="EJS15" s="63">
        <f t="shared" si="59"/>
        <v>0</v>
      </c>
      <c r="EJT15" s="63">
        <f t="shared" si="59"/>
        <v>0</v>
      </c>
      <c r="EJU15" s="63">
        <f t="shared" si="59"/>
        <v>0</v>
      </c>
      <c r="EJV15" s="63">
        <f t="shared" si="59"/>
        <v>0</v>
      </c>
      <c r="EJW15" s="63">
        <f t="shared" si="59"/>
        <v>0</v>
      </c>
      <c r="EJX15" s="63">
        <f t="shared" si="59"/>
        <v>0</v>
      </c>
      <c r="EJY15" s="63">
        <f t="shared" si="59"/>
        <v>0</v>
      </c>
      <c r="EJZ15" s="63">
        <f t="shared" si="59"/>
        <v>0</v>
      </c>
      <c r="EKA15" s="63">
        <f t="shared" si="59"/>
        <v>0</v>
      </c>
      <c r="EKB15" s="63">
        <f t="shared" si="59"/>
        <v>0</v>
      </c>
      <c r="EKC15" s="63">
        <f t="shared" si="59"/>
        <v>0</v>
      </c>
      <c r="EKD15" s="63">
        <f t="shared" si="59"/>
        <v>0</v>
      </c>
      <c r="EKE15" s="63">
        <f t="shared" si="59"/>
        <v>0</v>
      </c>
      <c r="EKF15" s="63">
        <f t="shared" si="59"/>
        <v>0</v>
      </c>
      <c r="EKG15" s="63">
        <f t="shared" si="59"/>
        <v>0</v>
      </c>
      <c r="EKH15" s="63">
        <f t="shared" si="59"/>
        <v>0</v>
      </c>
      <c r="EKI15" s="63">
        <f t="shared" si="59"/>
        <v>0</v>
      </c>
      <c r="EKJ15" s="63">
        <f t="shared" si="59"/>
        <v>0</v>
      </c>
      <c r="EKK15" s="63">
        <f t="shared" si="59"/>
        <v>0</v>
      </c>
      <c r="EKL15" s="63">
        <f t="shared" si="59"/>
        <v>0</v>
      </c>
      <c r="EKM15" s="63">
        <f t="shared" si="59"/>
        <v>0</v>
      </c>
      <c r="EKN15" s="63">
        <f t="shared" si="59"/>
        <v>0</v>
      </c>
      <c r="EKO15" s="63">
        <f t="shared" si="59"/>
        <v>0</v>
      </c>
      <c r="EKP15" s="63">
        <f t="shared" si="59"/>
        <v>0</v>
      </c>
      <c r="EKQ15" s="63">
        <f t="shared" si="59"/>
        <v>0</v>
      </c>
      <c r="EKR15" s="63">
        <f t="shared" si="59"/>
        <v>0</v>
      </c>
      <c r="EKS15" s="63">
        <f t="shared" si="59"/>
        <v>0</v>
      </c>
      <c r="EKT15" s="63">
        <f t="shared" si="59"/>
        <v>0</v>
      </c>
      <c r="EKU15" s="63">
        <f t="shared" si="59"/>
        <v>0</v>
      </c>
      <c r="EKV15" s="63">
        <f t="shared" si="59"/>
        <v>0</v>
      </c>
      <c r="EKW15" s="63">
        <f t="shared" si="59"/>
        <v>0</v>
      </c>
      <c r="EKX15" s="63">
        <f t="shared" si="59"/>
        <v>0</v>
      </c>
      <c r="EKY15" s="63">
        <f t="shared" si="59"/>
        <v>0</v>
      </c>
      <c r="EKZ15" s="63">
        <f t="shared" si="59"/>
        <v>0</v>
      </c>
      <c r="ELA15" s="63">
        <f t="shared" si="59"/>
        <v>0</v>
      </c>
      <c r="ELB15" s="63">
        <f t="shared" si="59"/>
        <v>0</v>
      </c>
      <c r="ELC15" s="63">
        <f t="shared" si="59"/>
        <v>0</v>
      </c>
      <c r="ELD15" s="63">
        <f t="shared" si="59"/>
        <v>0</v>
      </c>
      <c r="ELE15" s="63">
        <f t="shared" si="59"/>
        <v>0</v>
      </c>
      <c r="ELF15" s="63">
        <f t="shared" si="59"/>
        <v>0</v>
      </c>
      <c r="ELG15" s="63">
        <f t="shared" si="59"/>
        <v>0</v>
      </c>
      <c r="ELH15" s="63">
        <f t="shared" si="59"/>
        <v>0</v>
      </c>
      <c r="ELI15" s="63">
        <f t="shared" si="59"/>
        <v>0</v>
      </c>
      <c r="ELJ15" s="63">
        <f t="shared" si="59"/>
        <v>0</v>
      </c>
      <c r="ELK15" s="63">
        <f t="shared" si="59"/>
        <v>0</v>
      </c>
      <c r="ELL15" s="63">
        <f t="shared" si="59"/>
        <v>0</v>
      </c>
      <c r="ELM15" s="63">
        <f t="shared" si="59"/>
        <v>0</v>
      </c>
      <c r="ELN15" s="63">
        <f t="shared" si="59"/>
        <v>0</v>
      </c>
      <c r="ELO15" s="63">
        <f t="shared" si="59"/>
        <v>0</v>
      </c>
      <c r="ELP15" s="63">
        <f t="shared" si="59"/>
        <v>0</v>
      </c>
      <c r="ELQ15" s="63">
        <f t="shared" si="59"/>
        <v>0</v>
      </c>
      <c r="ELR15" s="63">
        <f t="shared" si="59"/>
        <v>0</v>
      </c>
      <c r="ELS15" s="63">
        <f t="shared" si="59"/>
        <v>0</v>
      </c>
      <c r="ELT15" s="63">
        <f t="shared" si="59"/>
        <v>0</v>
      </c>
      <c r="ELU15" s="63">
        <f t="shared" si="59"/>
        <v>0</v>
      </c>
      <c r="ELV15" s="63">
        <f t="shared" si="59"/>
        <v>0</v>
      </c>
      <c r="ELW15" s="63">
        <f t="shared" si="59"/>
        <v>0</v>
      </c>
      <c r="ELX15" s="63">
        <f t="shared" ref="ELX15:EOI15" si="60">ELW18</f>
        <v>0</v>
      </c>
      <c r="ELY15" s="63">
        <f t="shared" si="60"/>
        <v>0</v>
      </c>
      <c r="ELZ15" s="63">
        <f t="shared" si="60"/>
        <v>0</v>
      </c>
      <c r="EMA15" s="63">
        <f t="shared" si="60"/>
        <v>0</v>
      </c>
      <c r="EMB15" s="63">
        <f t="shared" si="60"/>
        <v>0</v>
      </c>
      <c r="EMC15" s="63">
        <f t="shared" si="60"/>
        <v>0</v>
      </c>
      <c r="EMD15" s="63">
        <f t="shared" si="60"/>
        <v>0</v>
      </c>
      <c r="EME15" s="63">
        <f t="shared" si="60"/>
        <v>0</v>
      </c>
      <c r="EMF15" s="63">
        <f t="shared" si="60"/>
        <v>0</v>
      </c>
      <c r="EMG15" s="63">
        <f t="shared" si="60"/>
        <v>0</v>
      </c>
      <c r="EMH15" s="63">
        <f t="shared" si="60"/>
        <v>0</v>
      </c>
      <c r="EMI15" s="63">
        <f t="shared" si="60"/>
        <v>0</v>
      </c>
      <c r="EMJ15" s="63">
        <f t="shared" si="60"/>
        <v>0</v>
      </c>
      <c r="EMK15" s="63">
        <f t="shared" si="60"/>
        <v>0</v>
      </c>
      <c r="EML15" s="63">
        <f t="shared" si="60"/>
        <v>0</v>
      </c>
      <c r="EMM15" s="63">
        <f t="shared" si="60"/>
        <v>0</v>
      </c>
      <c r="EMN15" s="63">
        <f t="shared" si="60"/>
        <v>0</v>
      </c>
      <c r="EMO15" s="63">
        <f t="shared" si="60"/>
        <v>0</v>
      </c>
      <c r="EMP15" s="63">
        <f t="shared" si="60"/>
        <v>0</v>
      </c>
      <c r="EMQ15" s="63">
        <f t="shared" si="60"/>
        <v>0</v>
      </c>
      <c r="EMR15" s="63">
        <f t="shared" si="60"/>
        <v>0</v>
      </c>
      <c r="EMS15" s="63">
        <f t="shared" si="60"/>
        <v>0</v>
      </c>
      <c r="EMT15" s="63">
        <f t="shared" si="60"/>
        <v>0</v>
      </c>
      <c r="EMU15" s="63">
        <f t="shared" si="60"/>
        <v>0</v>
      </c>
      <c r="EMV15" s="63">
        <f t="shared" si="60"/>
        <v>0</v>
      </c>
      <c r="EMW15" s="63">
        <f t="shared" si="60"/>
        <v>0</v>
      </c>
      <c r="EMX15" s="63">
        <f t="shared" si="60"/>
        <v>0</v>
      </c>
      <c r="EMY15" s="63">
        <f t="shared" si="60"/>
        <v>0</v>
      </c>
      <c r="EMZ15" s="63">
        <f t="shared" si="60"/>
        <v>0</v>
      </c>
      <c r="ENA15" s="63">
        <f t="shared" si="60"/>
        <v>0</v>
      </c>
      <c r="ENB15" s="63">
        <f t="shared" si="60"/>
        <v>0</v>
      </c>
      <c r="ENC15" s="63">
        <f t="shared" si="60"/>
        <v>0</v>
      </c>
      <c r="END15" s="63">
        <f t="shared" si="60"/>
        <v>0</v>
      </c>
      <c r="ENE15" s="63">
        <f t="shared" si="60"/>
        <v>0</v>
      </c>
      <c r="ENF15" s="63">
        <f t="shared" si="60"/>
        <v>0</v>
      </c>
      <c r="ENG15" s="63">
        <f t="shared" si="60"/>
        <v>0</v>
      </c>
      <c r="ENH15" s="63">
        <f t="shared" si="60"/>
        <v>0</v>
      </c>
      <c r="ENI15" s="63">
        <f t="shared" si="60"/>
        <v>0</v>
      </c>
      <c r="ENJ15" s="63">
        <f t="shared" si="60"/>
        <v>0</v>
      </c>
      <c r="ENK15" s="63">
        <f t="shared" si="60"/>
        <v>0</v>
      </c>
      <c r="ENL15" s="63">
        <f t="shared" si="60"/>
        <v>0</v>
      </c>
      <c r="ENM15" s="63">
        <f t="shared" si="60"/>
        <v>0</v>
      </c>
      <c r="ENN15" s="63">
        <f t="shared" si="60"/>
        <v>0</v>
      </c>
      <c r="ENO15" s="63">
        <f t="shared" si="60"/>
        <v>0</v>
      </c>
      <c r="ENP15" s="63">
        <f t="shared" si="60"/>
        <v>0</v>
      </c>
      <c r="ENQ15" s="63">
        <f t="shared" si="60"/>
        <v>0</v>
      </c>
      <c r="ENR15" s="63">
        <f t="shared" si="60"/>
        <v>0</v>
      </c>
      <c r="ENS15" s="63">
        <f t="shared" si="60"/>
        <v>0</v>
      </c>
      <c r="ENT15" s="63">
        <f t="shared" si="60"/>
        <v>0</v>
      </c>
      <c r="ENU15" s="63">
        <f t="shared" si="60"/>
        <v>0</v>
      </c>
      <c r="ENV15" s="63">
        <f t="shared" si="60"/>
        <v>0</v>
      </c>
      <c r="ENW15" s="63">
        <f t="shared" si="60"/>
        <v>0</v>
      </c>
      <c r="ENX15" s="63">
        <f t="shared" si="60"/>
        <v>0</v>
      </c>
      <c r="ENY15" s="63">
        <f t="shared" si="60"/>
        <v>0</v>
      </c>
      <c r="ENZ15" s="63">
        <f t="shared" si="60"/>
        <v>0</v>
      </c>
      <c r="EOA15" s="63">
        <f t="shared" si="60"/>
        <v>0</v>
      </c>
      <c r="EOB15" s="63">
        <f t="shared" si="60"/>
        <v>0</v>
      </c>
      <c r="EOC15" s="63">
        <f t="shared" si="60"/>
        <v>0</v>
      </c>
      <c r="EOD15" s="63">
        <f t="shared" si="60"/>
        <v>0</v>
      </c>
      <c r="EOE15" s="63">
        <f t="shared" si="60"/>
        <v>0</v>
      </c>
      <c r="EOF15" s="63">
        <f t="shared" si="60"/>
        <v>0</v>
      </c>
      <c r="EOG15" s="63">
        <f t="shared" si="60"/>
        <v>0</v>
      </c>
      <c r="EOH15" s="63">
        <f t="shared" si="60"/>
        <v>0</v>
      </c>
      <c r="EOI15" s="63">
        <f t="shared" si="60"/>
        <v>0</v>
      </c>
      <c r="EOJ15" s="63">
        <f t="shared" ref="EOJ15:EQU15" si="61">EOI18</f>
        <v>0</v>
      </c>
      <c r="EOK15" s="63">
        <f t="shared" si="61"/>
        <v>0</v>
      </c>
      <c r="EOL15" s="63">
        <f t="shared" si="61"/>
        <v>0</v>
      </c>
      <c r="EOM15" s="63">
        <f t="shared" si="61"/>
        <v>0</v>
      </c>
      <c r="EON15" s="63">
        <f t="shared" si="61"/>
        <v>0</v>
      </c>
      <c r="EOO15" s="63">
        <f t="shared" si="61"/>
        <v>0</v>
      </c>
      <c r="EOP15" s="63">
        <f t="shared" si="61"/>
        <v>0</v>
      </c>
      <c r="EOQ15" s="63">
        <f t="shared" si="61"/>
        <v>0</v>
      </c>
      <c r="EOR15" s="63">
        <f t="shared" si="61"/>
        <v>0</v>
      </c>
      <c r="EOS15" s="63">
        <f t="shared" si="61"/>
        <v>0</v>
      </c>
      <c r="EOT15" s="63">
        <f t="shared" si="61"/>
        <v>0</v>
      </c>
      <c r="EOU15" s="63">
        <f t="shared" si="61"/>
        <v>0</v>
      </c>
      <c r="EOV15" s="63">
        <f t="shared" si="61"/>
        <v>0</v>
      </c>
      <c r="EOW15" s="63">
        <f t="shared" si="61"/>
        <v>0</v>
      </c>
      <c r="EOX15" s="63">
        <f t="shared" si="61"/>
        <v>0</v>
      </c>
      <c r="EOY15" s="63">
        <f t="shared" si="61"/>
        <v>0</v>
      </c>
      <c r="EOZ15" s="63">
        <f t="shared" si="61"/>
        <v>0</v>
      </c>
      <c r="EPA15" s="63">
        <f t="shared" si="61"/>
        <v>0</v>
      </c>
      <c r="EPB15" s="63">
        <f t="shared" si="61"/>
        <v>0</v>
      </c>
      <c r="EPC15" s="63">
        <f t="shared" si="61"/>
        <v>0</v>
      </c>
      <c r="EPD15" s="63">
        <f t="shared" si="61"/>
        <v>0</v>
      </c>
      <c r="EPE15" s="63">
        <f t="shared" si="61"/>
        <v>0</v>
      </c>
      <c r="EPF15" s="63">
        <f t="shared" si="61"/>
        <v>0</v>
      </c>
      <c r="EPG15" s="63">
        <f t="shared" si="61"/>
        <v>0</v>
      </c>
      <c r="EPH15" s="63">
        <f t="shared" si="61"/>
        <v>0</v>
      </c>
      <c r="EPI15" s="63">
        <f t="shared" si="61"/>
        <v>0</v>
      </c>
      <c r="EPJ15" s="63">
        <f t="shared" si="61"/>
        <v>0</v>
      </c>
      <c r="EPK15" s="63">
        <f t="shared" si="61"/>
        <v>0</v>
      </c>
      <c r="EPL15" s="63">
        <f t="shared" si="61"/>
        <v>0</v>
      </c>
      <c r="EPM15" s="63">
        <f t="shared" si="61"/>
        <v>0</v>
      </c>
      <c r="EPN15" s="63">
        <f t="shared" si="61"/>
        <v>0</v>
      </c>
      <c r="EPO15" s="63">
        <f t="shared" si="61"/>
        <v>0</v>
      </c>
      <c r="EPP15" s="63">
        <f t="shared" si="61"/>
        <v>0</v>
      </c>
      <c r="EPQ15" s="63">
        <f t="shared" si="61"/>
        <v>0</v>
      </c>
      <c r="EPR15" s="63">
        <f t="shared" si="61"/>
        <v>0</v>
      </c>
      <c r="EPS15" s="63">
        <f t="shared" si="61"/>
        <v>0</v>
      </c>
      <c r="EPT15" s="63">
        <f t="shared" si="61"/>
        <v>0</v>
      </c>
      <c r="EPU15" s="63">
        <f t="shared" si="61"/>
        <v>0</v>
      </c>
      <c r="EPV15" s="63">
        <f t="shared" si="61"/>
        <v>0</v>
      </c>
      <c r="EPW15" s="63">
        <f t="shared" si="61"/>
        <v>0</v>
      </c>
      <c r="EPX15" s="63">
        <f t="shared" si="61"/>
        <v>0</v>
      </c>
      <c r="EPY15" s="63">
        <f t="shared" si="61"/>
        <v>0</v>
      </c>
      <c r="EPZ15" s="63">
        <f t="shared" si="61"/>
        <v>0</v>
      </c>
      <c r="EQA15" s="63">
        <f t="shared" si="61"/>
        <v>0</v>
      </c>
      <c r="EQB15" s="63">
        <f t="shared" si="61"/>
        <v>0</v>
      </c>
      <c r="EQC15" s="63">
        <f t="shared" si="61"/>
        <v>0</v>
      </c>
      <c r="EQD15" s="63">
        <f t="shared" si="61"/>
        <v>0</v>
      </c>
      <c r="EQE15" s="63">
        <f t="shared" si="61"/>
        <v>0</v>
      </c>
      <c r="EQF15" s="63">
        <f t="shared" si="61"/>
        <v>0</v>
      </c>
      <c r="EQG15" s="63">
        <f t="shared" si="61"/>
        <v>0</v>
      </c>
      <c r="EQH15" s="63">
        <f t="shared" si="61"/>
        <v>0</v>
      </c>
      <c r="EQI15" s="63">
        <f t="shared" si="61"/>
        <v>0</v>
      </c>
      <c r="EQJ15" s="63">
        <f t="shared" si="61"/>
        <v>0</v>
      </c>
      <c r="EQK15" s="63">
        <f t="shared" si="61"/>
        <v>0</v>
      </c>
      <c r="EQL15" s="63">
        <f t="shared" si="61"/>
        <v>0</v>
      </c>
      <c r="EQM15" s="63">
        <f t="shared" si="61"/>
        <v>0</v>
      </c>
      <c r="EQN15" s="63">
        <f t="shared" si="61"/>
        <v>0</v>
      </c>
      <c r="EQO15" s="63">
        <f t="shared" si="61"/>
        <v>0</v>
      </c>
      <c r="EQP15" s="63">
        <f t="shared" si="61"/>
        <v>0</v>
      </c>
      <c r="EQQ15" s="63">
        <f t="shared" si="61"/>
        <v>0</v>
      </c>
      <c r="EQR15" s="63">
        <f t="shared" si="61"/>
        <v>0</v>
      </c>
      <c r="EQS15" s="63">
        <f t="shared" si="61"/>
        <v>0</v>
      </c>
      <c r="EQT15" s="63">
        <f t="shared" si="61"/>
        <v>0</v>
      </c>
      <c r="EQU15" s="63">
        <f t="shared" si="61"/>
        <v>0</v>
      </c>
      <c r="EQV15" s="63">
        <f t="shared" ref="EQV15:ETG15" si="62">EQU18</f>
        <v>0</v>
      </c>
      <c r="EQW15" s="63">
        <f t="shared" si="62"/>
        <v>0</v>
      </c>
      <c r="EQX15" s="63">
        <f t="shared" si="62"/>
        <v>0</v>
      </c>
      <c r="EQY15" s="63">
        <f t="shared" si="62"/>
        <v>0</v>
      </c>
      <c r="EQZ15" s="63">
        <f t="shared" si="62"/>
        <v>0</v>
      </c>
      <c r="ERA15" s="63">
        <f t="shared" si="62"/>
        <v>0</v>
      </c>
      <c r="ERB15" s="63">
        <f t="shared" si="62"/>
        <v>0</v>
      </c>
      <c r="ERC15" s="63">
        <f t="shared" si="62"/>
        <v>0</v>
      </c>
      <c r="ERD15" s="63">
        <f t="shared" si="62"/>
        <v>0</v>
      </c>
      <c r="ERE15" s="63">
        <f t="shared" si="62"/>
        <v>0</v>
      </c>
      <c r="ERF15" s="63">
        <f t="shared" si="62"/>
        <v>0</v>
      </c>
      <c r="ERG15" s="63">
        <f t="shared" si="62"/>
        <v>0</v>
      </c>
      <c r="ERH15" s="63">
        <f t="shared" si="62"/>
        <v>0</v>
      </c>
      <c r="ERI15" s="63">
        <f t="shared" si="62"/>
        <v>0</v>
      </c>
      <c r="ERJ15" s="63">
        <f t="shared" si="62"/>
        <v>0</v>
      </c>
      <c r="ERK15" s="63">
        <f t="shared" si="62"/>
        <v>0</v>
      </c>
      <c r="ERL15" s="63">
        <f t="shared" si="62"/>
        <v>0</v>
      </c>
      <c r="ERM15" s="63">
        <f t="shared" si="62"/>
        <v>0</v>
      </c>
      <c r="ERN15" s="63">
        <f t="shared" si="62"/>
        <v>0</v>
      </c>
      <c r="ERO15" s="63">
        <f t="shared" si="62"/>
        <v>0</v>
      </c>
      <c r="ERP15" s="63">
        <f t="shared" si="62"/>
        <v>0</v>
      </c>
      <c r="ERQ15" s="63">
        <f t="shared" si="62"/>
        <v>0</v>
      </c>
      <c r="ERR15" s="63">
        <f t="shared" si="62"/>
        <v>0</v>
      </c>
      <c r="ERS15" s="63">
        <f t="shared" si="62"/>
        <v>0</v>
      </c>
      <c r="ERT15" s="63">
        <f t="shared" si="62"/>
        <v>0</v>
      </c>
      <c r="ERU15" s="63">
        <f t="shared" si="62"/>
        <v>0</v>
      </c>
      <c r="ERV15" s="63">
        <f t="shared" si="62"/>
        <v>0</v>
      </c>
      <c r="ERW15" s="63">
        <f t="shared" si="62"/>
        <v>0</v>
      </c>
      <c r="ERX15" s="63">
        <f t="shared" si="62"/>
        <v>0</v>
      </c>
      <c r="ERY15" s="63">
        <f t="shared" si="62"/>
        <v>0</v>
      </c>
      <c r="ERZ15" s="63">
        <f t="shared" si="62"/>
        <v>0</v>
      </c>
      <c r="ESA15" s="63">
        <f t="shared" si="62"/>
        <v>0</v>
      </c>
      <c r="ESB15" s="63">
        <f t="shared" si="62"/>
        <v>0</v>
      </c>
      <c r="ESC15" s="63">
        <f t="shared" si="62"/>
        <v>0</v>
      </c>
      <c r="ESD15" s="63">
        <f t="shared" si="62"/>
        <v>0</v>
      </c>
      <c r="ESE15" s="63">
        <f t="shared" si="62"/>
        <v>0</v>
      </c>
      <c r="ESF15" s="63">
        <f t="shared" si="62"/>
        <v>0</v>
      </c>
      <c r="ESG15" s="63">
        <f t="shared" si="62"/>
        <v>0</v>
      </c>
      <c r="ESH15" s="63">
        <f t="shared" si="62"/>
        <v>0</v>
      </c>
      <c r="ESI15" s="63">
        <f t="shared" si="62"/>
        <v>0</v>
      </c>
      <c r="ESJ15" s="63">
        <f t="shared" si="62"/>
        <v>0</v>
      </c>
      <c r="ESK15" s="63">
        <f t="shared" si="62"/>
        <v>0</v>
      </c>
      <c r="ESL15" s="63">
        <f t="shared" si="62"/>
        <v>0</v>
      </c>
      <c r="ESM15" s="63">
        <f t="shared" si="62"/>
        <v>0</v>
      </c>
      <c r="ESN15" s="63">
        <f t="shared" si="62"/>
        <v>0</v>
      </c>
      <c r="ESO15" s="63">
        <f t="shared" si="62"/>
        <v>0</v>
      </c>
      <c r="ESP15" s="63">
        <f t="shared" si="62"/>
        <v>0</v>
      </c>
      <c r="ESQ15" s="63">
        <f t="shared" si="62"/>
        <v>0</v>
      </c>
      <c r="ESR15" s="63">
        <f t="shared" si="62"/>
        <v>0</v>
      </c>
      <c r="ESS15" s="63">
        <f t="shared" si="62"/>
        <v>0</v>
      </c>
      <c r="EST15" s="63">
        <f t="shared" si="62"/>
        <v>0</v>
      </c>
      <c r="ESU15" s="63">
        <f t="shared" si="62"/>
        <v>0</v>
      </c>
      <c r="ESV15" s="63">
        <f t="shared" si="62"/>
        <v>0</v>
      </c>
      <c r="ESW15" s="63">
        <f t="shared" si="62"/>
        <v>0</v>
      </c>
      <c r="ESX15" s="63">
        <f t="shared" si="62"/>
        <v>0</v>
      </c>
      <c r="ESY15" s="63">
        <f t="shared" si="62"/>
        <v>0</v>
      </c>
      <c r="ESZ15" s="63">
        <f t="shared" si="62"/>
        <v>0</v>
      </c>
      <c r="ETA15" s="63">
        <f t="shared" si="62"/>
        <v>0</v>
      </c>
      <c r="ETB15" s="63">
        <f t="shared" si="62"/>
        <v>0</v>
      </c>
      <c r="ETC15" s="63">
        <f t="shared" si="62"/>
        <v>0</v>
      </c>
      <c r="ETD15" s="63">
        <f t="shared" si="62"/>
        <v>0</v>
      </c>
      <c r="ETE15" s="63">
        <f t="shared" si="62"/>
        <v>0</v>
      </c>
      <c r="ETF15" s="63">
        <f t="shared" si="62"/>
        <v>0</v>
      </c>
      <c r="ETG15" s="63">
        <f t="shared" si="62"/>
        <v>0</v>
      </c>
      <c r="ETH15" s="63">
        <f t="shared" ref="ETH15:EVS15" si="63">ETG18</f>
        <v>0</v>
      </c>
      <c r="ETI15" s="63">
        <f t="shared" si="63"/>
        <v>0</v>
      </c>
      <c r="ETJ15" s="63">
        <f t="shared" si="63"/>
        <v>0</v>
      </c>
      <c r="ETK15" s="63">
        <f t="shared" si="63"/>
        <v>0</v>
      </c>
      <c r="ETL15" s="63">
        <f t="shared" si="63"/>
        <v>0</v>
      </c>
      <c r="ETM15" s="63">
        <f t="shared" si="63"/>
        <v>0</v>
      </c>
      <c r="ETN15" s="63">
        <f t="shared" si="63"/>
        <v>0</v>
      </c>
      <c r="ETO15" s="63">
        <f t="shared" si="63"/>
        <v>0</v>
      </c>
      <c r="ETP15" s="63">
        <f t="shared" si="63"/>
        <v>0</v>
      </c>
      <c r="ETQ15" s="63">
        <f t="shared" si="63"/>
        <v>0</v>
      </c>
      <c r="ETR15" s="63">
        <f t="shared" si="63"/>
        <v>0</v>
      </c>
      <c r="ETS15" s="63">
        <f t="shared" si="63"/>
        <v>0</v>
      </c>
      <c r="ETT15" s="63">
        <f t="shared" si="63"/>
        <v>0</v>
      </c>
      <c r="ETU15" s="63">
        <f t="shared" si="63"/>
        <v>0</v>
      </c>
      <c r="ETV15" s="63">
        <f t="shared" si="63"/>
        <v>0</v>
      </c>
      <c r="ETW15" s="63">
        <f t="shared" si="63"/>
        <v>0</v>
      </c>
      <c r="ETX15" s="63">
        <f t="shared" si="63"/>
        <v>0</v>
      </c>
      <c r="ETY15" s="63">
        <f t="shared" si="63"/>
        <v>0</v>
      </c>
      <c r="ETZ15" s="63">
        <f t="shared" si="63"/>
        <v>0</v>
      </c>
      <c r="EUA15" s="63">
        <f t="shared" si="63"/>
        <v>0</v>
      </c>
      <c r="EUB15" s="63">
        <f t="shared" si="63"/>
        <v>0</v>
      </c>
      <c r="EUC15" s="63">
        <f t="shared" si="63"/>
        <v>0</v>
      </c>
      <c r="EUD15" s="63">
        <f t="shared" si="63"/>
        <v>0</v>
      </c>
      <c r="EUE15" s="63">
        <f t="shared" si="63"/>
        <v>0</v>
      </c>
      <c r="EUF15" s="63">
        <f t="shared" si="63"/>
        <v>0</v>
      </c>
      <c r="EUG15" s="63">
        <f t="shared" si="63"/>
        <v>0</v>
      </c>
      <c r="EUH15" s="63">
        <f t="shared" si="63"/>
        <v>0</v>
      </c>
      <c r="EUI15" s="63">
        <f t="shared" si="63"/>
        <v>0</v>
      </c>
      <c r="EUJ15" s="63">
        <f t="shared" si="63"/>
        <v>0</v>
      </c>
      <c r="EUK15" s="63">
        <f t="shared" si="63"/>
        <v>0</v>
      </c>
      <c r="EUL15" s="63">
        <f t="shared" si="63"/>
        <v>0</v>
      </c>
      <c r="EUM15" s="63">
        <f t="shared" si="63"/>
        <v>0</v>
      </c>
      <c r="EUN15" s="63">
        <f t="shared" si="63"/>
        <v>0</v>
      </c>
      <c r="EUO15" s="63">
        <f t="shared" si="63"/>
        <v>0</v>
      </c>
      <c r="EUP15" s="63">
        <f t="shared" si="63"/>
        <v>0</v>
      </c>
      <c r="EUQ15" s="63">
        <f t="shared" si="63"/>
        <v>0</v>
      </c>
      <c r="EUR15" s="63">
        <f t="shared" si="63"/>
        <v>0</v>
      </c>
      <c r="EUS15" s="63">
        <f t="shared" si="63"/>
        <v>0</v>
      </c>
      <c r="EUT15" s="63">
        <f t="shared" si="63"/>
        <v>0</v>
      </c>
      <c r="EUU15" s="63">
        <f t="shared" si="63"/>
        <v>0</v>
      </c>
      <c r="EUV15" s="63">
        <f t="shared" si="63"/>
        <v>0</v>
      </c>
      <c r="EUW15" s="63">
        <f t="shared" si="63"/>
        <v>0</v>
      </c>
      <c r="EUX15" s="63">
        <f t="shared" si="63"/>
        <v>0</v>
      </c>
      <c r="EUY15" s="63">
        <f t="shared" si="63"/>
        <v>0</v>
      </c>
      <c r="EUZ15" s="63">
        <f t="shared" si="63"/>
        <v>0</v>
      </c>
      <c r="EVA15" s="63">
        <f t="shared" si="63"/>
        <v>0</v>
      </c>
      <c r="EVB15" s="63">
        <f t="shared" si="63"/>
        <v>0</v>
      </c>
      <c r="EVC15" s="63">
        <f t="shared" si="63"/>
        <v>0</v>
      </c>
      <c r="EVD15" s="63">
        <f t="shared" si="63"/>
        <v>0</v>
      </c>
      <c r="EVE15" s="63">
        <f t="shared" si="63"/>
        <v>0</v>
      </c>
      <c r="EVF15" s="63">
        <f t="shared" si="63"/>
        <v>0</v>
      </c>
      <c r="EVG15" s="63">
        <f t="shared" si="63"/>
        <v>0</v>
      </c>
      <c r="EVH15" s="63">
        <f t="shared" si="63"/>
        <v>0</v>
      </c>
      <c r="EVI15" s="63">
        <f t="shared" si="63"/>
        <v>0</v>
      </c>
      <c r="EVJ15" s="63">
        <f t="shared" si="63"/>
        <v>0</v>
      </c>
      <c r="EVK15" s="63">
        <f t="shared" si="63"/>
        <v>0</v>
      </c>
      <c r="EVL15" s="63">
        <f t="shared" si="63"/>
        <v>0</v>
      </c>
      <c r="EVM15" s="63">
        <f t="shared" si="63"/>
        <v>0</v>
      </c>
      <c r="EVN15" s="63">
        <f t="shared" si="63"/>
        <v>0</v>
      </c>
      <c r="EVO15" s="63">
        <f t="shared" si="63"/>
        <v>0</v>
      </c>
      <c r="EVP15" s="63">
        <f t="shared" si="63"/>
        <v>0</v>
      </c>
      <c r="EVQ15" s="63">
        <f t="shared" si="63"/>
        <v>0</v>
      </c>
      <c r="EVR15" s="63">
        <f t="shared" si="63"/>
        <v>0</v>
      </c>
      <c r="EVS15" s="63">
        <f t="shared" si="63"/>
        <v>0</v>
      </c>
      <c r="EVT15" s="63">
        <f t="shared" ref="EVT15:EYE15" si="64">EVS18</f>
        <v>0</v>
      </c>
      <c r="EVU15" s="63">
        <f t="shared" si="64"/>
        <v>0</v>
      </c>
      <c r="EVV15" s="63">
        <f t="shared" si="64"/>
        <v>0</v>
      </c>
      <c r="EVW15" s="63">
        <f t="shared" si="64"/>
        <v>0</v>
      </c>
      <c r="EVX15" s="63">
        <f t="shared" si="64"/>
        <v>0</v>
      </c>
      <c r="EVY15" s="63">
        <f t="shared" si="64"/>
        <v>0</v>
      </c>
      <c r="EVZ15" s="63">
        <f t="shared" si="64"/>
        <v>0</v>
      </c>
      <c r="EWA15" s="63">
        <f t="shared" si="64"/>
        <v>0</v>
      </c>
      <c r="EWB15" s="63">
        <f t="shared" si="64"/>
        <v>0</v>
      </c>
      <c r="EWC15" s="63">
        <f t="shared" si="64"/>
        <v>0</v>
      </c>
      <c r="EWD15" s="63">
        <f t="shared" si="64"/>
        <v>0</v>
      </c>
      <c r="EWE15" s="63">
        <f t="shared" si="64"/>
        <v>0</v>
      </c>
      <c r="EWF15" s="63">
        <f t="shared" si="64"/>
        <v>0</v>
      </c>
      <c r="EWG15" s="63">
        <f t="shared" si="64"/>
        <v>0</v>
      </c>
      <c r="EWH15" s="63">
        <f t="shared" si="64"/>
        <v>0</v>
      </c>
      <c r="EWI15" s="63">
        <f t="shared" si="64"/>
        <v>0</v>
      </c>
      <c r="EWJ15" s="63">
        <f t="shared" si="64"/>
        <v>0</v>
      </c>
      <c r="EWK15" s="63">
        <f t="shared" si="64"/>
        <v>0</v>
      </c>
      <c r="EWL15" s="63">
        <f t="shared" si="64"/>
        <v>0</v>
      </c>
      <c r="EWM15" s="63">
        <f t="shared" si="64"/>
        <v>0</v>
      </c>
      <c r="EWN15" s="63">
        <f t="shared" si="64"/>
        <v>0</v>
      </c>
      <c r="EWO15" s="63">
        <f t="shared" si="64"/>
        <v>0</v>
      </c>
      <c r="EWP15" s="63">
        <f t="shared" si="64"/>
        <v>0</v>
      </c>
      <c r="EWQ15" s="63">
        <f t="shared" si="64"/>
        <v>0</v>
      </c>
      <c r="EWR15" s="63">
        <f t="shared" si="64"/>
        <v>0</v>
      </c>
      <c r="EWS15" s="63">
        <f t="shared" si="64"/>
        <v>0</v>
      </c>
      <c r="EWT15" s="63">
        <f t="shared" si="64"/>
        <v>0</v>
      </c>
      <c r="EWU15" s="63">
        <f t="shared" si="64"/>
        <v>0</v>
      </c>
      <c r="EWV15" s="63">
        <f t="shared" si="64"/>
        <v>0</v>
      </c>
      <c r="EWW15" s="63">
        <f t="shared" si="64"/>
        <v>0</v>
      </c>
      <c r="EWX15" s="63">
        <f t="shared" si="64"/>
        <v>0</v>
      </c>
      <c r="EWY15" s="63">
        <f t="shared" si="64"/>
        <v>0</v>
      </c>
      <c r="EWZ15" s="63">
        <f t="shared" si="64"/>
        <v>0</v>
      </c>
      <c r="EXA15" s="63">
        <f t="shared" si="64"/>
        <v>0</v>
      </c>
      <c r="EXB15" s="63">
        <f t="shared" si="64"/>
        <v>0</v>
      </c>
      <c r="EXC15" s="63">
        <f t="shared" si="64"/>
        <v>0</v>
      </c>
      <c r="EXD15" s="63">
        <f t="shared" si="64"/>
        <v>0</v>
      </c>
      <c r="EXE15" s="63">
        <f t="shared" si="64"/>
        <v>0</v>
      </c>
      <c r="EXF15" s="63">
        <f t="shared" si="64"/>
        <v>0</v>
      </c>
      <c r="EXG15" s="63">
        <f t="shared" si="64"/>
        <v>0</v>
      </c>
      <c r="EXH15" s="63">
        <f t="shared" si="64"/>
        <v>0</v>
      </c>
      <c r="EXI15" s="63">
        <f t="shared" si="64"/>
        <v>0</v>
      </c>
      <c r="EXJ15" s="63">
        <f t="shared" si="64"/>
        <v>0</v>
      </c>
      <c r="EXK15" s="63">
        <f t="shared" si="64"/>
        <v>0</v>
      </c>
      <c r="EXL15" s="63">
        <f t="shared" si="64"/>
        <v>0</v>
      </c>
      <c r="EXM15" s="63">
        <f t="shared" si="64"/>
        <v>0</v>
      </c>
      <c r="EXN15" s="63">
        <f t="shared" si="64"/>
        <v>0</v>
      </c>
      <c r="EXO15" s="63">
        <f t="shared" si="64"/>
        <v>0</v>
      </c>
      <c r="EXP15" s="63">
        <f t="shared" si="64"/>
        <v>0</v>
      </c>
      <c r="EXQ15" s="63">
        <f t="shared" si="64"/>
        <v>0</v>
      </c>
      <c r="EXR15" s="63">
        <f t="shared" si="64"/>
        <v>0</v>
      </c>
      <c r="EXS15" s="63">
        <f t="shared" si="64"/>
        <v>0</v>
      </c>
      <c r="EXT15" s="63">
        <f t="shared" si="64"/>
        <v>0</v>
      </c>
      <c r="EXU15" s="63">
        <f t="shared" si="64"/>
        <v>0</v>
      </c>
      <c r="EXV15" s="63">
        <f t="shared" si="64"/>
        <v>0</v>
      </c>
      <c r="EXW15" s="63">
        <f t="shared" si="64"/>
        <v>0</v>
      </c>
      <c r="EXX15" s="63">
        <f t="shared" si="64"/>
        <v>0</v>
      </c>
      <c r="EXY15" s="63">
        <f t="shared" si="64"/>
        <v>0</v>
      </c>
      <c r="EXZ15" s="63">
        <f t="shared" si="64"/>
        <v>0</v>
      </c>
      <c r="EYA15" s="63">
        <f t="shared" si="64"/>
        <v>0</v>
      </c>
      <c r="EYB15" s="63">
        <f t="shared" si="64"/>
        <v>0</v>
      </c>
      <c r="EYC15" s="63">
        <f t="shared" si="64"/>
        <v>0</v>
      </c>
      <c r="EYD15" s="63">
        <f t="shared" si="64"/>
        <v>0</v>
      </c>
      <c r="EYE15" s="63">
        <f t="shared" si="64"/>
        <v>0</v>
      </c>
      <c r="EYF15" s="63">
        <f t="shared" ref="EYF15:FAQ15" si="65">EYE18</f>
        <v>0</v>
      </c>
      <c r="EYG15" s="63">
        <f t="shared" si="65"/>
        <v>0</v>
      </c>
      <c r="EYH15" s="63">
        <f t="shared" si="65"/>
        <v>0</v>
      </c>
      <c r="EYI15" s="63">
        <f t="shared" si="65"/>
        <v>0</v>
      </c>
      <c r="EYJ15" s="63">
        <f t="shared" si="65"/>
        <v>0</v>
      </c>
      <c r="EYK15" s="63">
        <f t="shared" si="65"/>
        <v>0</v>
      </c>
      <c r="EYL15" s="63">
        <f t="shared" si="65"/>
        <v>0</v>
      </c>
      <c r="EYM15" s="63">
        <f t="shared" si="65"/>
        <v>0</v>
      </c>
      <c r="EYN15" s="63">
        <f t="shared" si="65"/>
        <v>0</v>
      </c>
      <c r="EYO15" s="63">
        <f t="shared" si="65"/>
        <v>0</v>
      </c>
      <c r="EYP15" s="63">
        <f t="shared" si="65"/>
        <v>0</v>
      </c>
      <c r="EYQ15" s="63">
        <f t="shared" si="65"/>
        <v>0</v>
      </c>
      <c r="EYR15" s="63">
        <f t="shared" si="65"/>
        <v>0</v>
      </c>
      <c r="EYS15" s="63">
        <f t="shared" si="65"/>
        <v>0</v>
      </c>
      <c r="EYT15" s="63">
        <f t="shared" si="65"/>
        <v>0</v>
      </c>
      <c r="EYU15" s="63">
        <f t="shared" si="65"/>
        <v>0</v>
      </c>
      <c r="EYV15" s="63">
        <f t="shared" si="65"/>
        <v>0</v>
      </c>
      <c r="EYW15" s="63">
        <f t="shared" si="65"/>
        <v>0</v>
      </c>
      <c r="EYX15" s="63">
        <f t="shared" si="65"/>
        <v>0</v>
      </c>
      <c r="EYY15" s="63">
        <f t="shared" si="65"/>
        <v>0</v>
      </c>
      <c r="EYZ15" s="63">
        <f t="shared" si="65"/>
        <v>0</v>
      </c>
      <c r="EZA15" s="63">
        <f t="shared" si="65"/>
        <v>0</v>
      </c>
      <c r="EZB15" s="63">
        <f t="shared" si="65"/>
        <v>0</v>
      </c>
      <c r="EZC15" s="63">
        <f t="shared" si="65"/>
        <v>0</v>
      </c>
      <c r="EZD15" s="63">
        <f t="shared" si="65"/>
        <v>0</v>
      </c>
      <c r="EZE15" s="63">
        <f t="shared" si="65"/>
        <v>0</v>
      </c>
      <c r="EZF15" s="63">
        <f t="shared" si="65"/>
        <v>0</v>
      </c>
      <c r="EZG15" s="63">
        <f t="shared" si="65"/>
        <v>0</v>
      </c>
      <c r="EZH15" s="63">
        <f t="shared" si="65"/>
        <v>0</v>
      </c>
      <c r="EZI15" s="63">
        <f t="shared" si="65"/>
        <v>0</v>
      </c>
      <c r="EZJ15" s="63">
        <f t="shared" si="65"/>
        <v>0</v>
      </c>
      <c r="EZK15" s="63">
        <f t="shared" si="65"/>
        <v>0</v>
      </c>
      <c r="EZL15" s="63">
        <f t="shared" si="65"/>
        <v>0</v>
      </c>
      <c r="EZM15" s="63">
        <f t="shared" si="65"/>
        <v>0</v>
      </c>
      <c r="EZN15" s="63">
        <f t="shared" si="65"/>
        <v>0</v>
      </c>
      <c r="EZO15" s="63">
        <f t="shared" si="65"/>
        <v>0</v>
      </c>
      <c r="EZP15" s="63">
        <f t="shared" si="65"/>
        <v>0</v>
      </c>
      <c r="EZQ15" s="63">
        <f t="shared" si="65"/>
        <v>0</v>
      </c>
      <c r="EZR15" s="63">
        <f t="shared" si="65"/>
        <v>0</v>
      </c>
      <c r="EZS15" s="63">
        <f t="shared" si="65"/>
        <v>0</v>
      </c>
      <c r="EZT15" s="63">
        <f t="shared" si="65"/>
        <v>0</v>
      </c>
      <c r="EZU15" s="63">
        <f t="shared" si="65"/>
        <v>0</v>
      </c>
      <c r="EZV15" s="63">
        <f t="shared" si="65"/>
        <v>0</v>
      </c>
      <c r="EZW15" s="63">
        <f t="shared" si="65"/>
        <v>0</v>
      </c>
      <c r="EZX15" s="63">
        <f t="shared" si="65"/>
        <v>0</v>
      </c>
      <c r="EZY15" s="63">
        <f t="shared" si="65"/>
        <v>0</v>
      </c>
      <c r="EZZ15" s="63">
        <f t="shared" si="65"/>
        <v>0</v>
      </c>
      <c r="FAA15" s="63">
        <f t="shared" si="65"/>
        <v>0</v>
      </c>
      <c r="FAB15" s="63">
        <f t="shared" si="65"/>
        <v>0</v>
      </c>
      <c r="FAC15" s="63">
        <f t="shared" si="65"/>
        <v>0</v>
      </c>
      <c r="FAD15" s="63">
        <f t="shared" si="65"/>
        <v>0</v>
      </c>
      <c r="FAE15" s="63">
        <f t="shared" si="65"/>
        <v>0</v>
      </c>
      <c r="FAF15" s="63">
        <f t="shared" si="65"/>
        <v>0</v>
      </c>
      <c r="FAG15" s="63">
        <f t="shared" si="65"/>
        <v>0</v>
      </c>
      <c r="FAH15" s="63">
        <f t="shared" si="65"/>
        <v>0</v>
      </c>
      <c r="FAI15" s="63">
        <f t="shared" si="65"/>
        <v>0</v>
      </c>
      <c r="FAJ15" s="63">
        <f t="shared" si="65"/>
        <v>0</v>
      </c>
      <c r="FAK15" s="63">
        <f t="shared" si="65"/>
        <v>0</v>
      </c>
      <c r="FAL15" s="63">
        <f t="shared" si="65"/>
        <v>0</v>
      </c>
      <c r="FAM15" s="63">
        <f t="shared" si="65"/>
        <v>0</v>
      </c>
      <c r="FAN15" s="63">
        <f t="shared" si="65"/>
        <v>0</v>
      </c>
      <c r="FAO15" s="63">
        <f t="shared" si="65"/>
        <v>0</v>
      </c>
      <c r="FAP15" s="63">
        <f t="shared" si="65"/>
        <v>0</v>
      </c>
      <c r="FAQ15" s="63">
        <f t="shared" si="65"/>
        <v>0</v>
      </c>
      <c r="FAR15" s="63">
        <f t="shared" ref="FAR15:FDC15" si="66">FAQ18</f>
        <v>0</v>
      </c>
      <c r="FAS15" s="63">
        <f t="shared" si="66"/>
        <v>0</v>
      </c>
      <c r="FAT15" s="63">
        <f t="shared" si="66"/>
        <v>0</v>
      </c>
      <c r="FAU15" s="63">
        <f t="shared" si="66"/>
        <v>0</v>
      </c>
      <c r="FAV15" s="63">
        <f t="shared" si="66"/>
        <v>0</v>
      </c>
      <c r="FAW15" s="63">
        <f t="shared" si="66"/>
        <v>0</v>
      </c>
      <c r="FAX15" s="63">
        <f t="shared" si="66"/>
        <v>0</v>
      </c>
      <c r="FAY15" s="63">
        <f t="shared" si="66"/>
        <v>0</v>
      </c>
      <c r="FAZ15" s="63">
        <f t="shared" si="66"/>
        <v>0</v>
      </c>
      <c r="FBA15" s="63">
        <f t="shared" si="66"/>
        <v>0</v>
      </c>
      <c r="FBB15" s="63">
        <f t="shared" si="66"/>
        <v>0</v>
      </c>
      <c r="FBC15" s="63">
        <f t="shared" si="66"/>
        <v>0</v>
      </c>
      <c r="FBD15" s="63">
        <f t="shared" si="66"/>
        <v>0</v>
      </c>
      <c r="FBE15" s="63">
        <f t="shared" si="66"/>
        <v>0</v>
      </c>
      <c r="FBF15" s="63">
        <f t="shared" si="66"/>
        <v>0</v>
      </c>
      <c r="FBG15" s="63">
        <f t="shared" si="66"/>
        <v>0</v>
      </c>
      <c r="FBH15" s="63">
        <f t="shared" si="66"/>
        <v>0</v>
      </c>
      <c r="FBI15" s="63">
        <f t="shared" si="66"/>
        <v>0</v>
      </c>
      <c r="FBJ15" s="63">
        <f t="shared" si="66"/>
        <v>0</v>
      </c>
      <c r="FBK15" s="63">
        <f t="shared" si="66"/>
        <v>0</v>
      </c>
      <c r="FBL15" s="63">
        <f t="shared" si="66"/>
        <v>0</v>
      </c>
      <c r="FBM15" s="63">
        <f t="shared" si="66"/>
        <v>0</v>
      </c>
      <c r="FBN15" s="63">
        <f t="shared" si="66"/>
        <v>0</v>
      </c>
      <c r="FBO15" s="63">
        <f t="shared" si="66"/>
        <v>0</v>
      </c>
      <c r="FBP15" s="63">
        <f t="shared" si="66"/>
        <v>0</v>
      </c>
      <c r="FBQ15" s="63">
        <f t="shared" si="66"/>
        <v>0</v>
      </c>
      <c r="FBR15" s="63">
        <f t="shared" si="66"/>
        <v>0</v>
      </c>
      <c r="FBS15" s="63">
        <f t="shared" si="66"/>
        <v>0</v>
      </c>
      <c r="FBT15" s="63">
        <f t="shared" si="66"/>
        <v>0</v>
      </c>
      <c r="FBU15" s="63">
        <f t="shared" si="66"/>
        <v>0</v>
      </c>
      <c r="FBV15" s="63">
        <f t="shared" si="66"/>
        <v>0</v>
      </c>
      <c r="FBW15" s="63">
        <f t="shared" si="66"/>
        <v>0</v>
      </c>
      <c r="FBX15" s="63">
        <f t="shared" si="66"/>
        <v>0</v>
      </c>
      <c r="FBY15" s="63">
        <f t="shared" si="66"/>
        <v>0</v>
      </c>
      <c r="FBZ15" s="63">
        <f t="shared" si="66"/>
        <v>0</v>
      </c>
      <c r="FCA15" s="63">
        <f t="shared" si="66"/>
        <v>0</v>
      </c>
      <c r="FCB15" s="63">
        <f t="shared" si="66"/>
        <v>0</v>
      </c>
      <c r="FCC15" s="63">
        <f t="shared" si="66"/>
        <v>0</v>
      </c>
      <c r="FCD15" s="63">
        <f t="shared" si="66"/>
        <v>0</v>
      </c>
      <c r="FCE15" s="63">
        <f t="shared" si="66"/>
        <v>0</v>
      </c>
      <c r="FCF15" s="63">
        <f t="shared" si="66"/>
        <v>0</v>
      </c>
      <c r="FCG15" s="63">
        <f t="shared" si="66"/>
        <v>0</v>
      </c>
      <c r="FCH15" s="63">
        <f t="shared" si="66"/>
        <v>0</v>
      </c>
      <c r="FCI15" s="63">
        <f t="shared" si="66"/>
        <v>0</v>
      </c>
      <c r="FCJ15" s="63">
        <f t="shared" si="66"/>
        <v>0</v>
      </c>
      <c r="FCK15" s="63">
        <f t="shared" si="66"/>
        <v>0</v>
      </c>
      <c r="FCL15" s="63">
        <f t="shared" si="66"/>
        <v>0</v>
      </c>
      <c r="FCM15" s="63">
        <f t="shared" si="66"/>
        <v>0</v>
      </c>
      <c r="FCN15" s="63">
        <f t="shared" si="66"/>
        <v>0</v>
      </c>
      <c r="FCO15" s="63">
        <f t="shared" si="66"/>
        <v>0</v>
      </c>
      <c r="FCP15" s="63">
        <f t="shared" si="66"/>
        <v>0</v>
      </c>
      <c r="FCQ15" s="63">
        <f t="shared" si="66"/>
        <v>0</v>
      </c>
      <c r="FCR15" s="63">
        <f t="shared" si="66"/>
        <v>0</v>
      </c>
      <c r="FCS15" s="63">
        <f t="shared" si="66"/>
        <v>0</v>
      </c>
      <c r="FCT15" s="63">
        <f t="shared" si="66"/>
        <v>0</v>
      </c>
      <c r="FCU15" s="63">
        <f t="shared" si="66"/>
        <v>0</v>
      </c>
      <c r="FCV15" s="63">
        <f t="shared" si="66"/>
        <v>0</v>
      </c>
      <c r="FCW15" s="63">
        <f t="shared" si="66"/>
        <v>0</v>
      </c>
      <c r="FCX15" s="63">
        <f t="shared" si="66"/>
        <v>0</v>
      </c>
      <c r="FCY15" s="63">
        <f t="shared" si="66"/>
        <v>0</v>
      </c>
      <c r="FCZ15" s="63">
        <f t="shared" si="66"/>
        <v>0</v>
      </c>
      <c r="FDA15" s="63">
        <f t="shared" si="66"/>
        <v>0</v>
      </c>
      <c r="FDB15" s="63">
        <f t="shared" si="66"/>
        <v>0</v>
      </c>
      <c r="FDC15" s="63">
        <f t="shared" si="66"/>
        <v>0</v>
      </c>
      <c r="FDD15" s="63">
        <f t="shared" ref="FDD15:FFO15" si="67">FDC18</f>
        <v>0</v>
      </c>
      <c r="FDE15" s="63">
        <f t="shared" si="67"/>
        <v>0</v>
      </c>
      <c r="FDF15" s="63">
        <f t="shared" si="67"/>
        <v>0</v>
      </c>
      <c r="FDG15" s="63">
        <f t="shared" si="67"/>
        <v>0</v>
      </c>
      <c r="FDH15" s="63">
        <f t="shared" si="67"/>
        <v>0</v>
      </c>
      <c r="FDI15" s="63">
        <f t="shared" si="67"/>
        <v>0</v>
      </c>
      <c r="FDJ15" s="63">
        <f t="shared" si="67"/>
        <v>0</v>
      </c>
      <c r="FDK15" s="63">
        <f t="shared" si="67"/>
        <v>0</v>
      </c>
      <c r="FDL15" s="63">
        <f t="shared" si="67"/>
        <v>0</v>
      </c>
      <c r="FDM15" s="63">
        <f t="shared" si="67"/>
        <v>0</v>
      </c>
      <c r="FDN15" s="63">
        <f t="shared" si="67"/>
        <v>0</v>
      </c>
      <c r="FDO15" s="63">
        <f t="shared" si="67"/>
        <v>0</v>
      </c>
      <c r="FDP15" s="63">
        <f t="shared" si="67"/>
        <v>0</v>
      </c>
      <c r="FDQ15" s="63">
        <f t="shared" si="67"/>
        <v>0</v>
      </c>
      <c r="FDR15" s="63">
        <f t="shared" si="67"/>
        <v>0</v>
      </c>
      <c r="FDS15" s="63">
        <f t="shared" si="67"/>
        <v>0</v>
      </c>
      <c r="FDT15" s="63">
        <f t="shared" si="67"/>
        <v>0</v>
      </c>
      <c r="FDU15" s="63">
        <f t="shared" si="67"/>
        <v>0</v>
      </c>
      <c r="FDV15" s="63">
        <f t="shared" si="67"/>
        <v>0</v>
      </c>
      <c r="FDW15" s="63">
        <f t="shared" si="67"/>
        <v>0</v>
      </c>
      <c r="FDX15" s="63">
        <f t="shared" si="67"/>
        <v>0</v>
      </c>
      <c r="FDY15" s="63">
        <f t="shared" si="67"/>
        <v>0</v>
      </c>
      <c r="FDZ15" s="63">
        <f t="shared" si="67"/>
        <v>0</v>
      </c>
      <c r="FEA15" s="63">
        <f t="shared" si="67"/>
        <v>0</v>
      </c>
      <c r="FEB15" s="63">
        <f t="shared" si="67"/>
        <v>0</v>
      </c>
      <c r="FEC15" s="63">
        <f t="shared" si="67"/>
        <v>0</v>
      </c>
      <c r="FED15" s="63">
        <f t="shared" si="67"/>
        <v>0</v>
      </c>
      <c r="FEE15" s="63">
        <f t="shared" si="67"/>
        <v>0</v>
      </c>
      <c r="FEF15" s="63">
        <f t="shared" si="67"/>
        <v>0</v>
      </c>
      <c r="FEG15" s="63">
        <f t="shared" si="67"/>
        <v>0</v>
      </c>
      <c r="FEH15" s="63">
        <f t="shared" si="67"/>
        <v>0</v>
      </c>
      <c r="FEI15" s="63">
        <f t="shared" si="67"/>
        <v>0</v>
      </c>
      <c r="FEJ15" s="63">
        <f t="shared" si="67"/>
        <v>0</v>
      </c>
      <c r="FEK15" s="63">
        <f t="shared" si="67"/>
        <v>0</v>
      </c>
      <c r="FEL15" s="63">
        <f t="shared" si="67"/>
        <v>0</v>
      </c>
      <c r="FEM15" s="63">
        <f t="shared" si="67"/>
        <v>0</v>
      </c>
      <c r="FEN15" s="63">
        <f t="shared" si="67"/>
        <v>0</v>
      </c>
      <c r="FEO15" s="63">
        <f t="shared" si="67"/>
        <v>0</v>
      </c>
      <c r="FEP15" s="63">
        <f t="shared" si="67"/>
        <v>0</v>
      </c>
      <c r="FEQ15" s="63">
        <f t="shared" si="67"/>
        <v>0</v>
      </c>
      <c r="FER15" s="63">
        <f t="shared" si="67"/>
        <v>0</v>
      </c>
      <c r="FES15" s="63">
        <f t="shared" si="67"/>
        <v>0</v>
      </c>
      <c r="FET15" s="63">
        <f t="shared" si="67"/>
        <v>0</v>
      </c>
      <c r="FEU15" s="63">
        <f t="shared" si="67"/>
        <v>0</v>
      </c>
      <c r="FEV15" s="63">
        <f t="shared" si="67"/>
        <v>0</v>
      </c>
      <c r="FEW15" s="63">
        <f t="shared" si="67"/>
        <v>0</v>
      </c>
      <c r="FEX15" s="63">
        <f t="shared" si="67"/>
        <v>0</v>
      </c>
      <c r="FEY15" s="63">
        <f t="shared" si="67"/>
        <v>0</v>
      </c>
      <c r="FEZ15" s="63">
        <f t="shared" si="67"/>
        <v>0</v>
      </c>
      <c r="FFA15" s="63">
        <f t="shared" si="67"/>
        <v>0</v>
      </c>
      <c r="FFB15" s="63">
        <f t="shared" si="67"/>
        <v>0</v>
      </c>
      <c r="FFC15" s="63">
        <f t="shared" si="67"/>
        <v>0</v>
      </c>
      <c r="FFD15" s="63">
        <f t="shared" si="67"/>
        <v>0</v>
      </c>
      <c r="FFE15" s="63">
        <f t="shared" si="67"/>
        <v>0</v>
      </c>
      <c r="FFF15" s="63">
        <f t="shared" si="67"/>
        <v>0</v>
      </c>
      <c r="FFG15" s="63">
        <f t="shared" si="67"/>
        <v>0</v>
      </c>
      <c r="FFH15" s="63">
        <f t="shared" si="67"/>
        <v>0</v>
      </c>
      <c r="FFI15" s="63">
        <f t="shared" si="67"/>
        <v>0</v>
      </c>
      <c r="FFJ15" s="63">
        <f t="shared" si="67"/>
        <v>0</v>
      </c>
      <c r="FFK15" s="63">
        <f t="shared" si="67"/>
        <v>0</v>
      </c>
      <c r="FFL15" s="63">
        <f t="shared" si="67"/>
        <v>0</v>
      </c>
      <c r="FFM15" s="63">
        <f t="shared" si="67"/>
        <v>0</v>
      </c>
      <c r="FFN15" s="63">
        <f t="shared" si="67"/>
        <v>0</v>
      </c>
      <c r="FFO15" s="63">
        <f t="shared" si="67"/>
        <v>0</v>
      </c>
      <c r="FFP15" s="63">
        <f t="shared" ref="FFP15:FIA15" si="68">FFO18</f>
        <v>0</v>
      </c>
      <c r="FFQ15" s="63">
        <f t="shared" si="68"/>
        <v>0</v>
      </c>
      <c r="FFR15" s="63">
        <f t="shared" si="68"/>
        <v>0</v>
      </c>
      <c r="FFS15" s="63">
        <f t="shared" si="68"/>
        <v>0</v>
      </c>
      <c r="FFT15" s="63">
        <f t="shared" si="68"/>
        <v>0</v>
      </c>
      <c r="FFU15" s="63">
        <f t="shared" si="68"/>
        <v>0</v>
      </c>
      <c r="FFV15" s="63">
        <f t="shared" si="68"/>
        <v>0</v>
      </c>
      <c r="FFW15" s="63">
        <f t="shared" si="68"/>
        <v>0</v>
      </c>
      <c r="FFX15" s="63">
        <f t="shared" si="68"/>
        <v>0</v>
      </c>
      <c r="FFY15" s="63">
        <f t="shared" si="68"/>
        <v>0</v>
      </c>
      <c r="FFZ15" s="63">
        <f t="shared" si="68"/>
        <v>0</v>
      </c>
      <c r="FGA15" s="63">
        <f t="shared" si="68"/>
        <v>0</v>
      </c>
      <c r="FGB15" s="63">
        <f t="shared" si="68"/>
        <v>0</v>
      </c>
      <c r="FGC15" s="63">
        <f t="shared" si="68"/>
        <v>0</v>
      </c>
      <c r="FGD15" s="63">
        <f t="shared" si="68"/>
        <v>0</v>
      </c>
      <c r="FGE15" s="63">
        <f t="shared" si="68"/>
        <v>0</v>
      </c>
      <c r="FGF15" s="63">
        <f t="shared" si="68"/>
        <v>0</v>
      </c>
      <c r="FGG15" s="63">
        <f t="shared" si="68"/>
        <v>0</v>
      </c>
      <c r="FGH15" s="63">
        <f t="shared" si="68"/>
        <v>0</v>
      </c>
      <c r="FGI15" s="63">
        <f t="shared" si="68"/>
        <v>0</v>
      </c>
      <c r="FGJ15" s="63">
        <f t="shared" si="68"/>
        <v>0</v>
      </c>
      <c r="FGK15" s="63">
        <f t="shared" si="68"/>
        <v>0</v>
      </c>
      <c r="FGL15" s="63">
        <f t="shared" si="68"/>
        <v>0</v>
      </c>
      <c r="FGM15" s="63">
        <f t="shared" si="68"/>
        <v>0</v>
      </c>
      <c r="FGN15" s="63">
        <f t="shared" si="68"/>
        <v>0</v>
      </c>
      <c r="FGO15" s="63">
        <f t="shared" si="68"/>
        <v>0</v>
      </c>
      <c r="FGP15" s="63">
        <f t="shared" si="68"/>
        <v>0</v>
      </c>
      <c r="FGQ15" s="63">
        <f t="shared" si="68"/>
        <v>0</v>
      </c>
      <c r="FGR15" s="63">
        <f t="shared" si="68"/>
        <v>0</v>
      </c>
      <c r="FGS15" s="63">
        <f t="shared" si="68"/>
        <v>0</v>
      </c>
      <c r="FGT15" s="63">
        <f t="shared" si="68"/>
        <v>0</v>
      </c>
      <c r="FGU15" s="63">
        <f t="shared" si="68"/>
        <v>0</v>
      </c>
      <c r="FGV15" s="63">
        <f t="shared" si="68"/>
        <v>0</v>
      </c>
      <c r="FGW15" s="63">
        <f t="shared" si="68"/>
        <v>0</v>
      </c>
      <c r="FGX15" s="63">
        <f t="shared" si="68"/>
        <v>0</v>
      </c>
      <c r="FGY15" s="63">
        <f t="shared" si="68"/>
        <v>0</v>
      </c>
      <c r="FGZ15" s="63">
        <f t="shared" si="68"/>
        <v>0</v>
      </c>
      <c r="FHA15" s="63">
        <f t="shared" si="68"/>
        <v>0</v>
      </c>
      <c r="FHB15" s="63">
        <f t="shared" si="68"/>
        <v>0</v>
      </c>
      <c r="FHC15" s="63">
        <f t="shared" si="68"/>
        <v>0</v>
      </c>
      <c r="FHD15" s="63">
        <f t="shared" si="68"/>
        <v>0</v>
      </c>
      <c r="FHE15" s="63">
        <f t="shared" si="68"/>
        <v>0</v>
      </c>
      <c r="FHF15" s="63">
        <f t="shared" si="68"/>
        <v>0</v>
      </c>
      <c r="FHG15" s="63">
        <f t="shared" si="68"/>
        <v>0</v>
      </c>
      <c r="FHH15" s="63">
        <f t="shared" si="68"/>
        <v>0</v>
      </c>
      <c r="FHI15" s="63">
        <f t="shared" si="68"/>
        <v>0</v>
      </c>
      <c r="FHJ15" s="63">
        <f t="shared" si="68"/>
        <v>0</v>
      </c>
      <c r="FHK15" s="63">
        <f t="shared" si="68"/>
        <v>0</v>
      </c>
      <c r="FHL15" s="63">
        <f t="shared" si="68"/>
        <v>0</v>
      </c>
      <c r="FHM15" s="63">
        <f t="shared" si="68"/>
        <v>0</v>
      </c>
      <c r="FHN15" s="63">
        <f t="shared" si="68"/>
        <v>0</v>
      </c>
      <c r="FHO15" s="63">
        <f t="shared" si="68"/>
        <v>0</v>
      </c>
      <c r="FHP15" s="63">
        <f t="shared" si="68"/>
        <v>0</v>
      </c>
      <c r="FHQ15" s="63">
        <f t="shared" si="68"/>
        <v>0</v>
      </c>
      <c r="FHR15" s="63">
        <f t="shared" si="68"/>
        <v>0</v>
      </c>
      <c r="FHS15" s="63">
        <f t="shared" si="68"/>
        <v>0</v>
      </c>
      <c r="FHT15" s="63">
        <f t="shared" si="68"/>
        <v>0</v>
      </c>
      <c r="FHU15" s="63">
        <f t="shared" si="68"/>
        <v>0</v>
      </c>
      <c r="FHV15" s="63">
        <f t="shared" si="68"/>
        <v>0</v>
      </c>
      <c r="FHW15" s="63">
        <f t="shared" si="68"/>
        <v>0</v>
      </c>
      <c r="FHX15" s="63">
        <f t="shared" si="68"/>
        <v>0</v>
      </c>
      <c r="FHY15" s="63">
        <f t="shared" si="68"/>
        <v>0</v>
      </c>
      <c r="FHZ15" s="63">
        <f t="shared" si="68"/>
        <v>0</v>
      </c>
      <c r="FIA15" s="63">
        <f t="shared" si="68"/>
        <v>0</v>
      </c>
      <c r="FIB15" s="63">
        <f t="shared" ref="FIB15:FKM15" si="69">FIA18</f>
        <v>0</v>
      </c>
      <c r="FIC15" s="63">
        <f t="shared" si="69"/>
        <v>0</v>
      </c>
      <c r="FID15" s="63">
        <f t="shared" si="69"/>
        <v>0</v>
      </c>
      <c r="FIE15" s="63">
        <f t="shared" si="69"/>
        <v>0</v>
      </c>
      <c r="FIF15" s="63">
        <f t="shared" si="69"/>
        <v>0</v>
      </c>
      <c r="FIG15" s="63">
        <f t="shared" si="69"/>
        <v>0</v>
      </c>
      <c r="FIH15" s="63">
        <f t="shared" si="69"/>
        <v>0</v>
      </c>
      <c r="FII15" s="63">
        <f t="shared" si="69"/>
        <v>0</v>
      </c>
      <c r="FIJ15" s="63">
        <f t="shared" si="69"/>
        <v>0</v>
      </c>
      <c r="FIK15" s="63">
        <f t="shared" si="69"/>
        <v>0</v>
      </c>
      <c r="FIL15" s="63">
        <f t="shared" si="69"/>
        <v>0</v>
      </c>
      <c r="FIM15" s="63">
        <f t="shared" si="69"/>
        <v>0</v>
      </c>
      <c r="FIN15" s="63">
        <f t="shared" si="69"/>
        <v>0</v>
      </c>
      <c r="FIO15" s="63">
        <f t="shared" si="69"/>
        <v>0</v>
      </c>
      <c r="FIP15" s="63">
        <f t="shared" si="69"/>
        <v>0</v>
      </c>
      <c r="FIQ15" s="63">
        <f t="shared" si="69"/>
        <v>0</v>
      </c>
      <c r="FIR15" s="63">
        <f t="shared" si="69"/>
        <v>0</v>
      </c>
      <c r="FIS15" s="63">
        <f t="shared" si="69"/>
        <v>0</v>
      </c>
      <c r="FIT15" s="63">
        <f t="shared" si="69"/>
        <v>0</v>
      </c>
      <c r="FIU15" s="63">
        <f t="shared" si="69"/>
        <v>0</v>
      </c>
      <c r="FIV15" s="63">
        <f t="shared" si="69"/>
        <v>0</v>
      </c>
      <c r="FIW15" s="63">
        <f t="shared" si="69"/>
        <v>0</v>
      </c>
      <c r="FIX15" s="63">
        <f t="shared" si="69"/>
        <v>0</v>
      </c>
      <c r="FIY15" s="63">
        <f t="shared" si="69"/>
        <v>0</v>
      </c>
      <c r="FIZ15" s="63">
        <f t="shared" si="69"/>
        <v>0</v>
      </c>
      <c r="FJA15" s="63">
        <f t="shared" si="69"/>
        <v>0</v>
      </c>
      <c r="FJB15" s="63">
        <f t="shared" si="69"/>
        <v>0</v>
      </c>
      <c r="FJC15" s="63">
        <f t="shared" si="69"/>
        <v>0</v>
      </c>
      <c r="FJD15" s="63">
        <f t="shared" si="69"/>
        <v>0</v>
      </c>
      <c r="FJE15" s="63">
        <f t="shared" si="69"/>
        <v>0</v>
      </c>
      <c r="FJF15" s="63">
        <f t="shared" si="69"/>
        <v>0</v>
      </c>
      <c r="FJG15" s="63">
        <f t="shared" si="69"/>
        <v>0</v>
      </c>
      <c r="FJH15" s="63">
        <f t="shared" si="69"/>
        <v>0</v>
      </c>
      <c r="FJI15" s="63">
        <f t="shared" si="69"/>
        <v>0</v>
      </c>
      <c r="FJJ15" s="63">
        <f t="shared" si="69"/>
        <v>0</v>
      </c>
      <c r="FJK15" s="63">
        <f t="shared" si="69"/>
        <v>0</v>
      </c>
      <c r="FJL15" s="63">
        <f t="shared" si="69"/>
        <v>0</v>
      </c>
      <c r="FJM15" s="63">
        <f t="shared" si="69"/>
        <v>0</v>
      </c>
      <c r="FJN15" s="63">
        <f t="shared" si="69"/>
        <v>0</v>
      </c>
      <c r="FJO15" s="63">
        <f t="shared" si="69"/>
        <v>0</v>
      </c>
      <c r="FJP15" s="63">
        <f t="shared" si="69"/>
        <v>0</v>
      </c>
      <c r="FJQ15" s="63">
        <f t="shared" si="69"/>
        <v>0</v>
      </c>
      <c r="FJR15" s="63">
        <f t="shared" si="69"/>
        <v>0</v>
      </c>
      <c r="FJS15" s="63">
        <f t="shared" si="69"/>
        <v>0</v>
      </c>
      <c r="FJT15" s="63">
        <f t="shared" si="69"/>
        <v>0</v>
      </c>
      <c r="FJU15" s="63">
        <f t="shared" si="69"/>
        <v>0</v>
      </c>
      <c r="FJV15" s="63">
        <f t="shared" si="69"/>
        <v>0</v>
      </c>
      <c r="FJW15" s="63">
        <f t="shared" si="69"/>
        <v>0</v>
      </c>
      <c r="FJX15" s="63">
        <f t="shared" si="69"/>
        <v>0</v>
      </c>
      <c r="FJY15" s="63">
        <f t="shared" si="69"/>
        <v>0</v>
      </c>
      <c r="FJZ15" s="63">
        <f t="shared" si="69"/>
        <v>0</v>
      </c>
      <c r="FKA15" s="63">
        <f t="shared" si="69"/>
        <v>0</v>
      </c>
      <c r="FKB15" s="63">
        <f t="shared" si="69"/>
        <v>0</v>
      </c>
      <c r="FKC15" s="63">
        <f t="shared" si="69"/>
        <v>0</v>
      </c>
      <c r="FKD15" s="63">
        <f t="shared" si="69"/>
        <v>0</v>
      </c>
      <c r="FKE15" s="63">
        <f t="shared" si="69"/>
        <v>0</v>
      </c>
      <c r="FKF15" s="63">
        <f t="shared" si="69"/>
        <v>0</v>
      </c>
      <c r="FKG15" s="63">
        <f t="shared" si="69"/>
        <v>0</v>
      </c>
      <c r="FKH15" s="63">
        <f t="shared" si="69"/>
        <v>0</v>
      </c>
      <c r="FKI15" s="63">
        <f t="shared" si="69"/>
        <v>0</v>
      </c>
      <c r="FKJ15" s="63">
        <f t="shared" si="69"/>
        <v>0</v>
      </c>
      <c r="FKK15" s="63">
        <f t="shared" si="69"/>
        <v>0</v>
      </c>
      <c r="FKL15" s="63">
        <f t="shared" si="69"/>
        <v>0</v>
      </c>
      <c r="FKM15" s="63">
        <f t="shared" si="69"/>
        <v>0</v>
      </c>
      <c r="FKN15" s="63">
        <f t="shared" ref="FKN15:FMY15" si="70">FKM18</f>
        <v>0</v>
      </c>
      <c r="FKO15" s="63">
        <f t="shared" si="70"/>
        <v>0</v>
      </c>
      <c r="FKP15" s="63">
        <f t="shared" si="70"/>
        <v>0</v>
      </c>
      <c r="FKQ15" s="63">
        <f t="shared" si="70"/>
        <v>0</v>
      </c>
      <c r="FKR15" s="63">
        <f t="shared" si="70"/>
        <v>0</v>
      </c>
      <c r="FKS15" s="63">
        <f t="shared" si="70"/>
        <v>0</v>
      </c>
      <c r="FKT15" s="63">
        <f t="shared" si="70"/>
        <v>0</v>
      </c>
      <c r="FKU15" s="63">
        <f t="shared" si="70"/>
        <v>0</v>
      </c>
      <c r="FKV15" s="63">
        <f t="shared" si="70"/>
        <v>0</v>
      </c>
      <c r="FKW15" s="63">
        <f t="shared" si="70"/>
        <v>0</v>
      </c>
      <c r="FKX15" s="63">
        <f t="shared" si="70"/>
        <v>0</v>
      </c>
      <c r="FKY15" s="63">
        <f t="shared" si="70"/>
        <v>0</v>
      </c>
      <c r="FKZ15" s="63">
        <f t="shared" si="70"/>
        <v>0</v>
      </c>
      <c r="FLA15" s="63">
        <f t="shared" si="70"/>
        <v>0</v>
      </c>
      <c r="FLB15" s="63">
        <f t="shared" si="70"/>
        <v>0</v>
      </c>
      <c r="FLC15" s="63">
        <f t="shared" si="70"/>
        <v>0</v>
      </c>
      <c r="FLD15" s="63">
        <f t="shared" si="70"/>
        <v>0</v>
      </c>
      <c r="FLE15" s="63">
        <f t="shared" si="70"/>
        <v>0</v>
      </c>
      <c r="FLF15" s="63">
        <f t="shared" si="70"/>
        <v>0</v>
      </c>
      <c r="FLG15" s="63">
        <f t="shared" si="70"/>
        <v>0</v>
      </c>
      <c r="FLH15" s="63">
        <f t="shared" si="70"/>
        <v>0</v>
      </c>
      <c r="FLI15" s="63">
        <f t="shared" si="70"/>
        <v>0</v>
      </c>
      <c r="FLJ15" s="63">
        <f t="shared" si="70"/>
        <v>0</v>
      </c>
      <c r="FLK15" s="63">
        <f t="shared" si="70"/>
        <v>0</v>
      </c>
      <c r="FLL15" s="63">
        <f t="shared" si="70"/>
        <v>0</v>
      </c>
      <c r="FLM15" s="63">
        <f t="shared" si="70"/>
        <v>0</v>
      </c>
      <c r="FLN15" s="63">
        <f t="shared" si="70"/>
        <v>0</v>
      </c>
      <c r="FLO15" s="63">
        <f t="shared" si="70"/>
        <v>0</v>
      </c>
      <c r="FLP15" s="63">
        <f t="shared" si="70"/>
        <v>0</v>
      </c>
      <c r="FLQ15" s="63">
        <f t="shared" si="70"/>
        <v>0</v>
      </c>
      <c r="FLR15" s="63">
        <f t="shared" si="70"/>
        <v>0</v>
      </c>
      <c r="FLS15" s="63">
        <f t="shared" si="70"/>
        <v>0</v>
      </c>
      <c r="FLT15" s="63">
        <f t="shared" si="70"/>
        <v>0</v>
      </c>
      <c r="FLU15" s="63">
        <f t="shared" si="70"/>
        <v>0</v>
      </c>
      <c r="FLV15" s="63">
        <f t="shared" si="70"/>
        <v>0</v>
      </c>
      <c r="FLW15" s="63">
        <f t="shared" si="70"/>
        <v>0</v>
      </c>
      <c r="FLX15" s="63">
        <f t="shared" si="70"/>
        <v>0</v>
      </c>
      <c r="FLY15" s="63">
        <f t="shared" si="70"/>
        <v>0</v>
      </c>
      <c r="FLZ15" s="63">
        <f t="shared" si="70"/>
        <v>0</v>
      </c>
      <c r="FMA15" s="63">
        <f t="shared" si="70"/>
        <v>0</v>
      </c>
      <c r="FMB15" s="63">
        <f t="shared" si="70"/>
        <v>0</v>
      </c>
      <c r="FMC15" s="63">
        <f t="shared" si="70"/>
        <v>0</v>
      </c>
      <c r="FMD15" s="63">
        <f t="shared" si="70"/>
        <v>0</v>
      </c>
      <c r="FME15" s="63">
        <f t="shared" si="70"/>
        <v>0</v>
      </c>
      <c r="FMF15" s="63">
        <f t="shared" si="70"/>
        <v>0</v>
      </c>
      <c r="FMG15" s="63">
        <f t="shared" si="70"/>
        <v>0</v>
      </c>
      <c r="FMH15" s="63">
        <f t="shared" si="70"/>
        <v>0</v>
      </c>
      <c r="FMI15" s="63">
        <f t="shared" si="70"/>
        <v>0</v>
      </c>
      <c r="FMJ15" s="63">
        <f t="shared" si="70"/>
        <v>0</v>
      </c>
      <c r="FMK15" s="63">
        <f t="shared" si="70"/>
        <v>0</v>
      </c>
      <c r="FML15" s="63">
        <f t="shared" si="70"/>
        <v>0</v>
      </c>
      <c r="FMM15" s="63">
        <f t="shared" si="70"/>
        <v>0</v>
      </c>
      <c r="FMN15" s="63">
        <f t="shared" si="70"/>
        <v>0</v>
      </c>
      <c r="FMO15" s="63">
        <f t="shared" si="70"/>
        <v>0</v>
      </c>
      <c r="FMP15" s="63">
        <f t="shared" si="70"/>
        <v>0</v>
      </c>
      <c r="FMQ15" s="63">
        <f t="shared" si="70"/>
        <v>0</v>
      </c>
      <c r="FMR15" s="63">
        <f t="shared" si="70"/>
        <v>0</v>
      </c>
      <c r="FMS15" s="63">
        <f t="shared" si="70"/>
        <v>0</v>
      </c>
      <c r="FMT15" s="63">
        <f t="shared" si="70"/>
        <v>0</v>
      </c>
      <c r="FMU15" s="63">
        <f t="shared" si="70"/>
        <v>0</v>
      </c>
      <c r="FMV15" s="63">
        <f t="shared" si="70"/>
        <v>0</v>
      </c>
      <c r="FMW15" s="63">
        <f t="shared" si="70"/>
        <v>0</v>
      </c>
      <c r="FMX15" s="63">
        <f t="shared" si="70"/>
        <v>0</v>
      </c>
      <c r="FMY15" s="63">
        <f t="shared" si="70"/>
        <v>0</v>
      </c>
      <c r="FMZ15" s="63">
        <f t="shared" ref="FMZ15:FPK15" si="71">FMY18</f>
        <v>0</v>
      </c>
      <c r="FNA15" s="63">
        <f t="shared" si="71"/>
        <v>0</v>
      </c>
      <c r="FNB15" s="63">
        <f t="shared" si="71"/>
        <v>0</v>
      </c>
      <c r="FNC15" s="63">
        <f t="shared" si="71"/>
        <v>0</v>
      </c>
      <c r="FND15" s="63">
        <f t="shared" si="71"/>
        <v>0</v>
      </c>
      <c r="FNE15" s="63">
        <f t="shared" si="71"/>
        <v>0</v>
      </c>
      <c r="FNF15" s="63">
        <f t="shared" si="71"/>
        <v>0</v>
      </c>
      <c r="FNG15" s="63">
        <f t="shared" si="71"/>
        <v>0</v>
      </c>
      <c r="FNH15" s="63">
        <f t="shared" si="71"/>
        <v>0</v>
      </c>
      <c r="FNI15" s="63">
        <f t="shared" si="71"/>
        <v>0</v>
      </c>
      <c r="FNJ15" s="63">
        <f t="shared" si="71"/>
        <v>0</v>
      </c>
      <c r="FNK15" s="63">
        <f t="shared" si="71"/>
        <v>0</v>
      </c>
      <c r="FNL15" s="63">
        <f t="shared" si="71"/>
        <v>0</v>
      </c>
      <c r="FNM15" s="63">
        <f t="shared" si="71"/>
        <v>0</v>
      </c>
      <c r="FNN15" s="63">
        <f t="shared" si="71"/>
        <v>0</v>
      </c>
      <c r="FNO15" s="63">
        <f t="shared" si="71"/>
        <v>0</v>
      </c>
      <c r="FNP15" s="63">
        <f t="shared" si="71"/>
        <v>0</v>
      </c>
      <c r="FNQ15" s="63">
        <f t="shared" si="71"/>
        <v>0</v>
      </c>
      <c r="FNR15" s="63">
        <f t="shared" si="71"/>
        <v>0</v>
      </c>
      <c r="FNS15" s="63">
        <f t="shared" si="71"/>
        <v>0</v>
      </c>
      <c r="FNT15" s="63">
        <f t="shared" si="71"/>
        <v>0</v>
      </c>
      <c r="FNU15" s="63">
        <f t="shared" si="71"/>
        <v>0</v>
      </c>
      <c r="FNV15" s="63">
        <f t="shared" si="71"/>
        <v>0</v>
      </c>
      <c r="FNW15" s="63">
        <f t="shared" si="71"/>
        <v>0</v>
      </c>
      <c r="FNX15" s="63">
        <f t="shared" si="71"/>
        <v>0</v>
      </c>
      <c r="FNY15" s="63">
        <f t="shared" si="71"/>
        <v>0</v>
      </c>
      <c r="FNZ15" s="63">
        <f t="shared" si="71"/>
        <v>0</v>
      </c>
      <c r="FOA15" s="63">
        <f t="shared" si="71"/>
        <v>0</v>
      </c>
      <c r="FOB15" s="63">
        <f t="shared" si="71"/>
        <v>0</v>
      </c>
      <c r="FOC15" s="63">
        <f t="shared" si="71"/>
        <v>0</v>
      </c>
      <c r="FOD15" s="63">
        <f t="shared" si="71"/>
        <v>0</v>
      </c>
      <c r="FOE15" s="63">
        <f t="shared" si="71"/>
        <v>0</v>
      </c>
      <c r="FOF15" s="63">
        <f t="shared" si="71"/>
        <v>0</v>
      </c>
      <c r="FOG15" s="63">
        <f t="shared" si="71"/>
        <v>0</v>
      </c>
      <c r="FOH15" s="63">
        <f t="shared" si="71"/>
        <v>0</v>
      </c>
      <c r="FOI15" s="63">
        <f t="shared" si="71"/>
        <v>0</v>
      </c>
      <c r="FOJ15" s="63">
        <f t="shared" si="71"/>
        <v>0</v>
      </c>
      <c r="FOK15" s="63">
        <f t="shared" si="71"/>
        <v>0</v>
      </c>
      <c r="FOL15" s="63">
        <f t="shared" si="71"/>
        <v>0</v>
      </c>
      <c r="FOM15" s="63">
        <f t="shared" si="71"/>
        <v>0</v>
      </c>
      <c r="FON15" s="63">
        <f t="shared" si="71"/>
        <v>0</v>
      </c>
      <c r="FOO15" s="63">
        <f t="shared" si="71"/>
        <v>0</v>
      </c>
      <c r="FOP15" s="63">
        <f t="shared" si="71"/>
        <v>0</v>
      </c>
      <c r="FOQ15" s="63">
        <f t="shared" si="71"/>
        <v>0</v>
      </c>
      <c r="FOR15" s="63">
        <f t="shared" si="71"/>
        <v>0</v>
      </c>
      <c r="FOS15" s="63">
        <f t="shared" si="71"/>
        <v>0</v>
      </c>
      <c r="FOT15" s="63">
        <f t="shared" si="71"/>
        <v>0</v>
      </c>
      <c r="FOU15" s="63">
        <f t="shared" si="71"/>
        <v>0</v>
      </c>
      <c r="FOV15" s="63">
        <f t="shared" si="71"/>
        <v>0</v>
      </c>
      <c r="FOW15" s="63">
        <f t="shared" si="71"/>
        <v>0</v>
      </c>
      <c r="FOX15" s="63">
        <f t="shared" si="71"/>
        <v>0</v>
      </c>
      <c r="FOY15" s="63">
        <f t="shared" si="71"/>
        <v>0</v>
      </c>
      <c r="FOZ15" s="63">
        <f t="shared" si="71"/>
        <v>0</v>
      </c>
      <c r="FPA15" s="63">
        <f t="shared" si="71"/>
        <v>0</v>
      </c>
      <c r="FPB15" s="63">
        <f t="shared" si="71"/>
        <v>0</v>
      </c>
      <c r="FPC15" s="63">
        <f t="shared" si="71"/>
        <v>0</v>
      </c>
      <c r="FPD15" s="63">
        <f t="shared" si="71"/>
        <v>0</v>
      </c>
      <c r="FPE15" s="63">
        <f t="shared" si="71"/>
        <v>0</v>
      </c>
      <c r="FPF15" s="63">
        <f t="shared" si="71"/>
        <v>0</v>
      </c>
      <c r="FPG15" s="63">
        <f t="shared" si="71"/>
        <v>0</v>
      </c>
      <c r="FPH15" s="63">
        <f t="shared" si="71"/>
        <v>0</v>
      </c>
      <c r="FPI15" s="63">
        <f t="shared" si="71"/>
        <v>0</v>
      </c>
      <c r="FPJ15" s="63">
        <f t="shared" si="71"/>
        <v>0</v>
      </c>
      <c r="FPK15" s="63">
        <f t="shared" si="71"/>
        <v>0</v>
      </c>
      <c r="FPL15" s="63">
        <f t="shared" ref="FPL15:FRW15" si="72">FPK18</f>
        <v>0</v>
      </c>
      <c r="FPM15" s="63">
        <f t="shared" si="72"/>
        <v>0</v>
      </c>
      <c r="FPN15" s="63">
        <f t="shared" si="72"/>
        <v>0</v>
      </c>
      <c r="FPO15" s="63">
        <f t="shared" si="72"/>
        <v>0</v>
      </c>
      <c r="FPP15" s="63">
        <f t="shared" si="72"/>
        <v>0</v>
      </c>
      <c r="FPQ15" s="63">
        <f t="shared" si="72"/>
        <v>0</v>
      </c>
      <c r="FPR15" s="63">
        <f t="shared" si="72"/>
        <v>0</v>
      </c>
      <c r="FPS15" s="63">
        <f t="shared" si="72"/>
        <v>0</v>
      </c>
      <c r="FPT15" s="63">
        <f t="shared" si="72"/>
        <v>0</v>
      </c>
      <c r="FPU15" s="63">
        <f t="shared" si="72"/>
        <v>0</v>
      </c>
      <c r="FPV15" s="63">
        <f t="shared" si="72"/>
        <v>0</v>
      </c>
      <c r="FPW15" s="63">
        <f t="shared" si="72"/>
        <v>0</v>
      </c>
      <c r="FPX15" s="63">
        <f t="shared" si="72"/>
        <v>0</v>
      </c>
      <c r="FPY15" s="63">
        <f t="shared" si="72"/>
        <v>0</v>
      </c>
      <c r="FPZ15" s="63">
        <f t="shared" si="72"/>
        <v>0</v>
      </c>
      <c r="FQA15" s="63">
        <f t="shared" si="72"/>
        <v>0</v>
      </c>
      <c r="FQB15" s="63">
        <f t="shared" si="72"/>
        <v>0</v>
      </c>
      <c r="FQC15" s="63">
        <f t="shared" si="72"/>
        <v>0</v>
      </c>
      <c r="FQD15" s="63">
        <f t="shared" si="72"/>
        <v>0</v>
      </c>
      <c r="FQE15" s="63">
        <f t="shared" si="72"/>
        <v>0</v>
      </c>
      <c r="FQF15" s="63">
        <f t="shared" si="72"/>
        <v>0</v>
      </c>
      <c r="FQG15" s="63">
        <f t="shared" si="72"/>
        <v>0</v>
      </c>
      <c r="FQH15" s="63">
        <f t="shared" si="72"/>
        <v>0</v>
      </c>
      <c r="FQI15" s="63">
        <f t="shared" si="72"/>
        <v>0</v>
      </c>
      <c r="FQJ15" s="63">
        <f t="shared" si="72"/>
        <v>0</v>
      </c>
      <c r="FQK15" s="63">
        <f t="shared" si="72"/>
        <v>0</v>
      </c>
      <c r="FQL15" s="63">
        <f t="shared" si="72"/>
        <v>0</v>
      </c>
      <c r="FQM15" s="63">
        <f t="shared" si="72"/>
        <v>0</v>
      </c>
      <c r="FQN15" s="63">
        <f t="shared" si="72"/>
        <v>0</v>
      </c>
      <c r="FQO15" s="63">
        <f t="shared" si="72"/>
        <v>0</v>
      </c>
      <c r="FQP15" s="63">
        <f t="shared" si="72"/>
        <v>0</v>
      </c>
      <c r="FQQ15" s="63">
        <f t="shared" si="72"/>
        <v>0</v>
      </c>
      <c r="FQR15" s="63">
        <f t="shared" si="72"/>
        <v>0</v>
      </c>
      <c r="FQS15" s="63">
        <f t="shared" si="72"/>
        <v>0</v>
      </c>
      <c r="FQT15" s="63">
        <f t="shared" si="72"/>
        <v>0</v>
      </c>
      <c r="FQU15" s="63">
        <f t="shared" si="72"/>
        <v>0</v>
      </c>
      <c r="FQV15" s="63">
        <f t="shared" si="72"/>
        <v>0</v>
      </c>
      <c r="FQW15" s="63">
        <f t="shared" si="72"/>
        <v>0</v>
      </c>
      <c r="FQX15" s="63">
        <f t="shared" si="72"/>
        <v>0</v>
      </c>
      <c r="FQY15" s="63">
        <f t="shared" si="72"/>
        <v>0</v>
      </c>
      <c r="FQZ15" s="63">
        <f t="shared" si="72"/>
        <v>0</v>
      </c>
      <c r="FRA15" s="63">
        <f t="shared" si="72"/>
        <v>0</v>
      </c>
      <c r="FRB15" s="63">
        <f t="shared" si="72"/>
        <v>0</v>
      </c>
      <c r="FRC15" s="63">
        <f t="shared" si="72"/>
        <v>0</v>
      </c>
      <c r="FRD15" s="63">
        <f t="shared" si="72"/>
        <v>0</v>
      </c>
      <c r="FRE15" s="63">
        <f t="shared" si="72"/>
        <v>0</v>
      </c>
      <c r="FRF15" s="63">
        <f t="shared" si="72"/>
        <v>0</v>
      </c>
      <c r="FRG15" s="63">
        <f t="shared" si="72"/>
        <v>0</v>
      </c>
      <c r="FRH15" s="63">
        <f t="shared" si="72"/>
        <v>0</v>
      </c>
      <c r="FRI15" s="63">
        <f t="shared" si="72"/>
        <v>0</v>
      </c>
      <c r="FRJ15" s="63">
        <f t="shared" si="72"/>
        <v>0</v>
      </c>
      <c r="FRK15" s="63">
        <f t="shared" si="72"/>
        <v>0</v>
      </c>
      <c r="FRL15" s="63">
        <f t="shared" si="72"/>
        <v>0</v>
      </c>
      <c r="FRM15" s="63">
        <f t="shared" si="72"/>
        <v>0</v>
      </c>
      <c r="FRN15" s="63">
        <f t="shared" si="72"/>
        <v>0</v>
      </c>
      <c r="FRO15" s="63">
        <f t="shared" si="72"/>
        <v>0</v>
      </c>
      <c r="FRP15" s="63">
        <f t="shared" si="72"/>
        <v>0</v>
      </c>
      <c r="FRQ15" s="63">
        <f t="shared" si="72"/>
        <v>0</v>
      </c>
      <c r="FRR15" s="63">
        <f t="shared" si="72"/>
        <v>0</v>
      </c>
      <c r="FRS15" s="63">
        <f t="shared" si="72"/>
        <v>0</v>
      </c>
      <c r="FRT15" s="63">
        <f t="shared" si="72"/>
        <v>0</v>
      </c>
      <c r="FRU15" s="63">
        <f t="shared" si="72"/>
        <v>0</v>
      </c>
      <c r="FRV15" s="63">
        <f t="shared" si="72"/>
        <v>0</v>
      </c>
      <c r="FRW15" s="63">
        <f t="shared" si="72"/>
        <v>0</v>
      </c>
      <c r="FRX15" s="63">
        <f t="shared" ref="FRX15:FUI15" si="73">FRW18</f>
        <v>0</v>
      </c>
      <c r="FRY15" s="63">
        <f t="shared" si="73"/>
        <v>0</v>
      </c>
      <c r="FRZ15" s="63">
        <f t="shared" si="73"/>
        <v>0</v>
      </c>
      <c r="FSA15" s="63">
        <f t="shared" si="73"/>
        <v>0</v>
      </c>
      <c r="FSB15" s="63">
        <f t="shared" si="73"/>
        <v>0</v>
      </c>
      <c r="FSC15" s="63">
        <f t="shared" si="73"/>
        <v>0</v>
      </c>
      <c r="FSD15" s="63">
        <f t="shared" si="73"/>
        <v>0</v>
      </c>
      <c r="FSE15" s="63">
        <f t="shared" si="73"/>
        <v>0</v>
      </c>
      <c r="FSF15" s="63">
        <f t="shared" si="73"/>
        <v>0</v>
      </c>
      <c r="FSG15" s="63">
        <f t="shared" si="73"/>
        <v>0</v>
      </c>
      <c r="FSH15" s="63">
        <f t="shared" si="73"/>
        <v>0</v>
      </c>
      <c r="FSI15" s="63">
        <f t="shared" si="73"/>
        <v>0</v>
      </c>
      <c r="FSJ15" s="63">
        <f t="shared" si="73"/>
        <v>0</v>
      </c>
      <c r="FSK15" s="63">
        <f t="shared" si="73"/>
        <v>0</v>
      </c>
      <c r="FSL15" s="63">
        <f t="shared" si="73"/>
        <v>0</v>
      </c>
      <c r="FSM15" s="63">
        <f t="shared" si="73"/>
        <v>0</v>
      </c>
      <c r="FSN15" s="63">
        <f t="shared" si="73"/>
        <v>0</v>
      </c>
      <c r="FSO15" s="63">
        <f t="shared" si="73"/>
        <v>0</v>
      </c>
      <c r="FSP15" s="63">
        <f t="shared" si="73"/>
        <v>0</v>
      </c>
      <c r="FSQ15" s="63">
        <f t="shared" si="73"/>
        <v>0</v>
      </c>
      <c r="FSR15" s="63">
        <f t="shared" si="73"/>
        <v>0</v>
      </c>
      <c r="FSS15" s="63">
        <f t="shared" si="73"/>
        <v>0</v>
      </c>
      <c r="FST15" s="63">
        <f t="shared" si="73"/>
        <v>0</v>
      </c>
      <c r="FSU15" s="63">
        <f t="shared" si="73"/>
        <v>0</v>
      </c>
      <c r="FSV15" s="63">
        <f t="shared" si="73"/>
        <v>0</v>
      </c>
      <c r="FSW15" s="63">
        <f t="shared" si="73"/>
        <v>0</v>
      </c>
      <c r="FSX15" s="63">
        <f t="shared" si="73"/>
        <v>0</v>
      </c>
      <c r="FSY15" s="63">
        <f t="shared" si="73"/>
        <v>0</v>
      </c>
      <c r="FSZ15" s="63">
        <f t="shared" si="73"/>
        <v>0</v>
      </c>
      <c r="FTA15" s="63">
        <f t="shared" si="73"/>
        <v>0</v>
      </c>
      <c r="FTB15" s="63">
        <f t="shared" si="73"/>
        <v>0</v>
      </c>
      <c r="FTC15" s="63">
        <f t="shared" si="73"/>
        <v>0</v>
      </c>
      <c r="FTD15" s="63">
        <f t="shared" si="73"/>
        <v>0</v>
      </c>
      <c r="FTE15" s="63">
        <f t="shared" si="73"/>
        <v>0</v>
      </c>
      <c r="FTF15" s="63">
        <f t="shared" si="73"/>
        <v>0</v>
      </c>
      <c r="FTG15" s="63">
        <f t="shared" si="73"/>
        <v>0</v>
      </c>
      <c r="FTH15" s="63">
        <f t="shared" si="73"/>
        <v>0</v>
      </c>
      <c r="FTI15" s="63">
        <f t="shared" si="73"/>
        <v>0</v>
      </c>
      <c r="FTJ15" s="63">
        <f t="shared" si="73"/>
        <v>0</v>
      </c>
      <c r="FTK15" s="63">
        <f t="shared" si="73"/>
        <v>0</v>
      </c>
      <c r="FTL15" s="63">
        <f t="shared" si="73"/>
        <v>0</v>
      </c>
      <c r="FTM15" s="63">
        <f t="shared" si="73"/>
        <v>0</v>
      </c>
      <c r="FTN15" s="63">
        <f t="shared" si="73"/>
        <v>0</v>
      </c>
      <c r="FTO15" s="63">
        <f t="shared" si="73"/>
        <v>0</v>
      </c>
      <c r="FTP15" s="63">
        <f t="shared" si="73"/>
        <v>0</v>
      </c>
      <c r="FTQ15" s="63">
        <f t="shared" si="73"/>
        <v>0</v>
      </c>
      <c r="FTR15" s="63">
        <f t="shared" si="73"/>
        <v>0</v>
      </c>
      <c r="FTS15" s="63">
        <f t="shared" si="73"/>
        <v>0</v>
      </c>
      <c r="FTT15" s="63">
        <f t="shared" si="73"/>
        <v>0</v>
      </c>
      <c r="FTU15" s="63">
        <f t="shared" si="73"/>
        <v>0</v>
      </c>
      <c r="FTV15" s="63">
        <f t="shared" si="73"/>
        <v>0</v>
      </c>
      <c r="FTW15" s="63">
        <f t="shared" si="73"/>
        <v>0</v>
      </c>
      <c r="FTX15" s="63">
        <f t="shared" si="73"/>
        <v>0</v>
      </c>
      <c r="FTY15" s="63">
        <f t="shared" si="73"/>
        <v>0</v>
      </c>
      <c r="FTZ15" s="63">
        <f t="shared" si="73"/>
        <v>0</v>
      </c>
      <c r="FUA15" s="63">
        <f t="shared" si="73"/>
        <v>0</v>
      </c>
      <c r="FUB15" s="63">
        <f t="shared" si="73"/>
        <v>0</v>
      </c>
      <c r="FUC15" s="63">
        <f t="shared" si="73"/>
        <v>0</v>
      </c>
      <c r="FUD15" s="63">
        <f t="shared" si="73"/>
        <v>0</v>
      </c>
      <c r="FUE15" s="63">
        <f t="shared" si="73"/>
        <v>0</v>
      </c>
      <c r="FUF15" s="63">
        <f t="shared" si="73"/>
        <v>0</v>
      </c>
      <c r="FUG15" s="63">
        <f t="shared" si="73"/>
        <v>0</v>
      </c>
      <c r="FUH15" s="63">
        <f t="shared" si="73"/>
        <v>0</v>
      </c>
      <c r="FUI15" s="63">
        <f t="shared" si="73"/>
        <v>0</v>
      </c>
      <c r="FUJ15" s="63">
        <f t="shared" ref="FUJ15:FWU15" si="74">FUI18</f>
        <v>0</v>
      </c>
      <c r="FUK15" s="63">
        <f t="shared" si="74"/>
        <v>0</v>
      </c>
      <c r="FUL15" s="63">
        <f t="shared" si="74"/>
        <v>0</v>
      </c>
      <c r="FUM15" s="63">
        <f t="shared" si="74"/>
        <v>0</v>
      </c>
      <c r="FUN15" s="63">
        <f t="shared" si="74"/>
        <v>0</v>
      </c>
      <c r="FUO15" s="63">
        <f t="shared" si="74"/>
        <v>0</v>
      </c>
      <c r="FUP15" s="63">
        <f t="shared" si="74"/>
        <v>0</v>
      </c>
      <c r="FUQ15" s="63">
        <f t="shared" si="74"/>
        <v>0</v>
      </c>
      <c r="FUR15" s="63">
        <f t="shared" si="74"/>
        <v>0</v>
      </c>
      <c r="FUS15" s="63">
        <f t="shared" si="74"/>
        <v>0</v>
      </c>
      <c r="FUT15" s="63">
        <f t="shared" si="74"/>
        <v>0</v>
      </c>
      <c r="FUU15" s="63">
        <f t="shared" si="74"/>
        <v>0</v>
      </c>
      <c r="FUV15" s="63">
        <f t="shared" si="74"/>
        <v>0</v>
      </c>
      <c r="FUW15" s="63">
        <f t="shared" si="74"/>
        <v>0</v>
      </c>
      <c r="FUX15" s="63">
        <f t="shared" si="74"/>
        <v>0</v>
      </c>
      <c r="FUY15" s="63">
        <f t="shared" si="74"/>
        <v>0</v>
      </c>
      <c r="FUZ15" s="63">
        <f t="shared" si="74"/>
        <v>0</v>
      </c>
      <c r="FVA15" s="63">
        <f t="shared" si="74"/>
        <v>0</v>
      </c>
      <c r="FVB15" s="63">
        <f t="shared" si="74"/>
        <v>0</v>
      </c>
      <c r="FVC15" s="63">
        <f t="shared" si="74"/>
        <v>0</v>
      </c>
      <c r="FVD15" s="63">
        <f t="shared" si="74"/>
        <v>0</v>
      </c>
      <c r="FVE15" s="63">
        <f t="shared" si="74"/>
        <v>0</v>
      </c>
      <c r="FVF15" s="63">
        <f t="shared" si="74"/>
        <v>0</v>
      </c>
      <c r="FVG15" s="63">
        <f t="shared" si="74"/>
        <v>0</v>
      </c>
      <c r="FVH15" s="63">
        <f t="shared" si="74"/>
        <v>0</v>
      </c>
      <c r="FVI15" s="63">
        <f t="shared" si="74"/>
        <v>0</v>
      </c>
      <c r="FVJ15" s="63">
        <f t="shared" si="74"/>
        <v>0</v>
      </c>
      <c r="FVK15" s="63">
        <f t="shared" si="74"/>
        <v>0</v>
      </c>
      <c r="FVL15" s="63">
        <f t="shared" si="74"/>
        <v>0</v>
      </c>
      <c r="FVM15" s="63">
        <f t="shared" si="74"/>
        <v>0</v>
      </c>
      <c r="FVN15" s="63">
        <f t="shared" si="74"/>
        <v>0</v>
      </c>
      <c r="FVO15" s="63">
        <f t="shared" si="74"/>
        <v>0</v>
      </c>
      <c r="FVP15" s="63">
        <f t="shared" si="74"/>
        <v>0</v>
      </c>
      <c r="FVQ15" s="63">
        <f t="shared" si="74"/>
        <v>0</v>
      </c>
      <c r="FVR15" s="63">
        <f t="shared" si="74"/>
        <v>0</v>
      </c>
      <c r="FVS15" s="63">
        <f t="shared" si="74"/>
        <v>0</v>
      </c>
      <c r="FVT15" s="63">
        <f t="shared" si="74"/>
        <v>0</v>
      </c>
      <c r="FVU15" s="63">
        <f t="shared" si="74"/>
        <v>0</v>
      </c>
      <c r="FVV15" s="63">
        <f t="shared" si="74"/>
        <v>0</v>
      </c>
      <c r="FVW15" s="63">
        <f t="shared" si="74"/>
        <v>0</v>
      </c>
      <c r="FVX15" s="63">
        <f t="shared" si="74"/>
        <v>0</v>
      </c>
      <c r="FVY15" s="63">
        <f t="shared" si="74"/>
        <v>0</v>
      </c>
      <c r="FVZ15" s="63">
        <f t="shared" si="74"/>
        <v>0</v>
      </c>
      <c r="FWA15" s="63">
        <f t="shared" si="74"/>
        <v>0</v>
      </c>
      <c r="FWB15" s="63">
        <f t="shared" si="74"/>
        <v>0</v>
      </c>
      <c r="FWC15" s="63">
        <f t="shared" si="74"/>
        <v>0</v>
      </c>
      <c r="FWD15" s="63">
        <f t="shared" si="74"/>
        <v>0</v>
      </c>
      <c r="FWE15" s="63">
        <f t="shared" si="74"/>
        <v>0</v>
      </c>
      <c r="FWF15" s="63">
        <f t="shared" si="74"/>
        <v>0</v>
      </c>
      <c r="FWG15" s="63">
        <f t="shared" si="74"/>
        <v>0</v>
      </c>
      <c r="FWH15" s="63">
        <f t="shared" si="74"/>
        <v>0</v>
      </c>
      <c r="FWI15" s="63">
        <f t="shared" si="74"/>
        <v>0</v>
      </c>
      <c r="FWJ15" s="63">
        <f t="shared" si="74"/>
        <v>0</v>
      </c>
      <c r="FWK15" s="63">
        <f t="shared" si="74"/>
        <v>0</v>
      </c>
      <c r="FWL15" s="63">
        <f t="shared" si="74"/>
        <v>0</v>
      </c>
      <c r="FWM15" s="63">
        <f t="shared" si="74"/>
        <v>0</v>
      </c>
      <c r="FWN15" s="63">
        <f t="shared" si="74"/>
        <v>0</v>
      </c>
      <c r="FWO15" s="63">
        <f t="shared" si="74"/>
        <v>0</v>
      </c>
      <c r="FWP15" s="63">
        <f t="shared" si="74"/>
        <v>0</v>
      </c>
      <c r="FWQ15" s="63">
        <f t="shared" si="74"/>
        <v>0</v>
      </c>
      <c r="FWR15" s="63">
        <f t="shared" si="74"/>
        <v>0</v>
      </c>
      <c r="FWS15" s="63">
        <f t="shared" si="74"/>
        <v>0</v>
      </c>
      <c r="FWT15" s="63">
        <f t="shared" si="74"/>
        <v>0</v>
      </c>
      <c r="FWU15" s="63">
        <f t="shared" si="74"/>
        <v>0</v>
      </c>
      <c r="FWV15" s="63">
        <f t="shared" ref="FWV15:FZG15" si="75">FWU18</f>
        <v>0</v>
      </c>
      <c r="FWW15" s="63">
        <f t="shared" si="75"/>
        <v>0</v>
      </c>
      <c r="FWX15" s="63">
        <f t="shared" si="75"/>
        <v>0</v>
      </c>
      <c r="FWY15" s="63">
        <f t="shared" si="75"/>
        <v>0</v>
      </c>
      <c r="FWZ15" s="63">
        <f t="shared" si="75"/>
        <v>0</v>
      </c>
      <c r="FXA15" s="63">
        <f t="shared" si="75"/>
        <v>0</v>
      </c>
      <c r="FXB15" s="63">
        <f t="shared" si="75"/>
        <v>0</v>
      </c>
      <c r="FXC15" s="63">
        <f t="shared" si="75"/>
        <v>0</v>
      </c>
      <c r="FXD15" s="63">
        <f t="shared" si="75"/>
        <v>0</v>
      </c>
      <c r="FXE15" s="63">
        <f t="shared" si="75"/>
        <v>0</v>
      </c>
      <c r="FXF15" s="63">
        <f t="shared" si="75"/>
        <v>0</v>
      </c>
      <c r="FXG15" s="63">
        <f t="shared" si="75"/>
        <v>0</v>
      </c>
      <c r="FXH15" s="63">
        <f t="shared" si="75"/>
        <v>0</v>
      </c>
      <c r="FXI15" s="63">
        <f t="shared" si="75"/>
        <v>0</v>
      </c>
      <c r="FXJ15" s="63">
        <f t="shared" si="75"/>
        <v>0</v>
      </c>
      <c r="FXK15" s="63">
        <f t="shared" si="75"/>
        <v>0</v>
      </c>
      <c r="FXL15" s="63">
        <f t="shared" si="75"/>
        <v>0</v>
      </c>
      <c r="FXM15" s="63">
        <f t="shared" si="75"/>
        <v>0</v>
      </c>
      <c r="FXN15" s="63">
        <f t="shared" si="75"/>
        <v>0</v>
      </c>
      <c r="FXO15" s="63">
        <f t="shared" si="75"/>
        <v>0</v>
      </c>
      <c r="FXP15" s="63">
        <f t="shared" si="75"/>
        <v>0</v>
      </c>
      <c r="FXQ15" s="63">
        <f t="shared" si="75"/>
        <v>0</v>
      </c>
      <c r="FXR15" s="63">
        <f t="shared" si="75"/>
        <v>0</v>
      </c>
      <c r="FXS15" s="63">
        <f t="shared" si="75"/>
        <v>0</v>
      </c>
      <c r="FXT15" s="63">
        <f t="shared" si="75"/>
        <v>0</v>
      </c>
      <c r="FXU15" s="63">
        <f t="shared" si="75"/>
        <v>0</v>
      </c>
      <c r="FXV15" s="63">
        <f t="shared" si="75"/>
        <v>0</v>
      </c>
      <c r="FXW15" s="63">
        <f t="shared" si="75"/>
        <v>0</v>
      </c>
      <c r="FXX15" s="63">
        <f t="shared" si="75"/>
        <v>0</v>
      </c>
      <c r="FXY15" s="63">
        <f t="shared" si="75"/>
        <v>0</v>
      </c>
      <c r="FXZ15" s="63">
        <f t="shared" si="75"/>
        <v>0</v>
      </c>
      <c r="FYA15" s="63">
        <f t="shared" si="75"/>
        <v>0</v>
      </c>
      <c r="FYB15" s="63">
        <f t="shared" si="75"/>
        <v>0</v>
      </c>
      <c r="FYC15" s="63">
        <f t="shared" si="75"/>
        <v>0</v>
      </c>
      <c r="FYD15" s="63">
        <f t="shared" si="75"/>
        <v>0</v>
      </c>
      <c r="FYE15" s="63">
        <f t="shared" si="75"/>
        <v>0</v>
      </c>
      <c r="FYF15" s="63">
        <f t="shared" si="75"/>
        <v>0</v>
      </c>
      <c r="FYG15" s="63">
        <f t="shared" si="75"/>
        <v>0</v>
      </c>
      <c r="FYH15" s="63">
        <f t="shared" si="75"/>
        <v>0</v>
      </c>
      <c r="FYI15" s="63">
        <f t="shared" si="75"/>
        <v>0</v>
      </c>
      <c r="FYJ15" s="63">
        <f t="shared" si="75"/>
        <v>0</v>
      </c>
      <c r="FYK15" s="63">
        <f t="shared" si="75"/>
        <v>0</v>
      </c>
      <c r="FYL15" s="63">
        <f t="shared" si="75"/>
        <v>0</v>
      </c>
      <c r="FYM15" s="63">
        <f t="shared" si="75"/>
        <v>0</v>
      </c>
      <c r="FYN15" s="63">
        <f t="shared" si="75"/>
        <v>0</v>
      </c>
      <c r="FYO15" s="63">
        <f t="shared" si="75"/>
        <v>0</v>
      </c>
      <c r="FYP15" s="63">
        <f t="shared" si="75"/>
        <v>0</v>
      </c>
      <c r="FYQ15" s="63">
        <f t="shared" si="75"/>
        <v>0</v>
      </c>
      <c r="FYR15" s="63">
        <f t="shared" si="75"/>
        <v>0</v>
      </c>
      <c r="FYS15" s="63">
        <f t="shared" si="75"/>
        <v>0</v>
      </c>
      <c r="FYT15" s="63">
        <f t="shared" si="75"/>
        <v>0</v>
      </c>
      <c r="FYU15" s="63">
        <f t="shared" si="75"/>
        <v>0</v>
      </c>
      <c r="FYV15" s="63">
        <f t="shared" si="75"/>
        <v>0</v>
      </c>
      <c r="FYW15" s="63">
        <f t="shared" si="75"/>
        <v>0</v>
      </c>
      <c r="FYX15" s="63">
        <f t="shared" si="75"/>
        <v>0</v>
      </c>
      <c r="FYY15" s="63">
        <f t="shared" si="75"/>
        <v>0</v>
      </c>
      <c r="FYZ15" s="63">
        <f t="shared" si="75"/>
        <v>0</v>
      </c>
      <c r="FZA15" s="63">
        <f t="shared" si="75"/>
        <v>0</v>
      </c>
      <c r="FZB15" s="63">
        <f t="shared" si="75"/>
        <v>0</v>
      </c>
      <c r="FZC15" s="63">
        <f t="shared" si="75"/>
        <v>0</v>
      </c>
      <c r="FZD15" s="63">
        <f t="shared" si="75"/>
        <v>0</v>
      </c>
      <c r="FZE15" s="63">
        <f t="shared" si="75"/>
        <v>0</v>
      </c>
      <c r="FZF15" s="63">
        <f t="shared" si="75"/>
        <v>0</v>
      </c>
      <c r="FZG15" s="63">
        <f t="shared" si="75"/>
        <v>0</v>
      </c>
      <c r="FZH15" s="63">
        <f t="shared" ref="FZH15:GBS15" si="76">FZG18</f>
        <v>0</v>
      </c>
      <c r="FZI15" s="63">
        <f t="shared" si="76"/>
        <v>0</v>
      </c>
      <c r="FZJ15" s="63">
        <f t="shared" si="76"/>
        <v>0</v>
      </c>
      <c r="FZK15" s="63">
        <f t="shared" si="76"/>
        <v>0</v>
      </c>
      <c r="FZL15" s="63">
        <f t="shared" si="76"/>
        <v>0</v>
      </c>
      <c r="FZM15" s="63">
        <f t="shared" si="76"/>
        <v>0</v>
      </c>
      <c r="FZN15" s="63">
        <f t="shared" si="76"/>
        <v>0</v>
      </c>
      <c r="FZO15" s="63">
        <f t="shared" si="76"/>
        <v>0</v>
      </c>
      <c r="FZP15" s="63">
        <f t="shared" si="76"/>
        <v>0</v>
      </c>
      <c r="FZQ15" s="63">
        <f t="shared" si="76"/>
        <v>0</v>
      </c>
      <c r="FZR15" s="63">
        <f t="shared" si="76"/>
        <v>0</v>
      </c>
      <c r="FZS15" s="63">
        <f t="shared" si="76"/>
        <v>0</v>
      </c>
      <c r="FZT15" s="63">
        <f t="shared" si="76"/>
        <v>0</v>
      </c>
      <c r="FZU15" s="63">
        <f t="shared" si="76"/>
        <v>0</v>
      </c>
      <c r="FZV15" s="63">
        <f t="shared" si="76"/>
        <v>0</v>
      </c>
      <c r="FZW15" s="63">
        <f t="shared" si="76"/>
        <v>0</v>
      </c>
      <c r="FZX15" s="63">
        <f t="shared" si="76"/>
        <v>0</v>
      </c>
      <c r="FZY15" s="63">
        <f t="shared" si="76"/>
        <v>0</v>
      </c>
      <c r="FZZ15" s="63">
        <f t="shared" si="76"/>
        <v>0</v>
      </c>
      <c r="GAA15" s="63">
        <f t="shared" si="76"/>
        <v>0</v>
      </c>
      <c r="GAB15" s="63">
        <f t="shared" si="76"/>
        <v>0</v>
      </c>
      <c r="GAC15" s="63">
        <f t="shared" si="76"/>
        <v>0</v>
      </c>
      <c r="GAD15" s="63">
        <f t="shared" si="76"/>
        <v>0</v>
      </c>
      <c r="GAE15" s="63">
        <f t="shared" si="76"/>
        <v>0</v>
      </c>
      <c r="GAF15" s="63">
        <f t="shared" si="76"/>
        <v>0</v>
      </c>
      <c r="GAG15" s="63">
        <f t="shared" si="76"/>
        <v>0</v>
      </c>
      <c r="GAH15" s="63">
        <f t="shared" si="76"/>
        <v>0</v>
      </c>
      <c r="GAI15" s="63">
        <f t="shared" si="76"/>
        <v>0</v>
      </c>
      <c r="GAJ15" s="63">
        <f t="shared" si="76"/>
        <v>0</v>
      </c>
      <c r="GAK15" s="63">
        <f t="shared" si="76"/>
        <v>0</v>
      </c>
      <c r="GAL15" s="63">
        <f t="shared" si="76"/>
        <v>0</v>
      </c>
      <c r="GAM15" s="63">
        <f t="shared" si="76"/>
        <v>0</v>
      </c>
      <c r="GAN15" s="63">
        <f t="shared" si="76"/>
        <v>0</v>
      </c>
      <c r="GAO15" s="63">
        <f t="shared" si="76"/>
        <v>0</v>
      </c>
      <c r="GAP15" s="63">
        <f t="shared" si="76"/>
        <v>0</v>
      </c>
      <c r="GAQ15" s="63">
        <f t="shared" si="76"/>
        <v>0</v>
      </c>
      <c r="GAR15" s="63">
        <f t="shared" si="76"/>
        <v>0</v>
      </c>
      <c r="GAS15" s="63">
        <f t="shared" si="76"/>
        <v>0</v>
      </c>
      <c r="GAT15" s="63">
        <f t="shared" si="76"/>
        <v>0</v>
      </c>
      <c r="GAU15" s="63">
        <f t="shared" si="76"/>
        <v>0</v>
      </c>
      <c r="GAV15" s="63">
        <f t="shared" si="76"/>
        <v>0</v>
      </c>
      <c r="GAW15" s="63">
        <f t="shared" si="76"/>
        <v>0</v>
      </c>
      <c r="GAX15" s="63">
        <f t="shared" si="76"/>
        <v>0</v>
      </c>
      <c r="GAY15" s="63">
        <f t="shared" si="76"/>
        <v>0</v>
      </c>
      <c r="GAZ15" s="63">
        <f t="shared" si="76"/>
        <v>0</v>
      </c>
      <c r="GBA15" s="63">
        <f t="shared" si="76"/>
        <v>0</v>
      </c>
      <c r="GBB15" s="63">
        <f t="shared" si="76"/>
        <v>0</v>
      </c>
      <c r="GBC15" s="63">
        <f t="shared" si="76"/>
        <v>0</v>
      </c>
      <c r="GBD15" s="63">
        <f t="shared" si="76"/>
        <v>0</v>
      </c>
      <c r="GBE15" s="63">
        <f t="shared" si="76"/>
        <v>0</v>
      </c>
      <c r="GBF15" s="63">
        <f t="shared" si="76"/>
        <v>0</v>
      </c>
      <c r="GBG15" s="63">
        <f t="shared" si="76"/>
        <v>0</v>
      </c>
      <c r="GBH15" s="63">
        <f t="shared" si="76"/>
        <v>0</v>
      </c>
      <c r="GBI15" s="63">
        <f t="shared" si="76"/>
        <v>0</v>
      </c>
      <c r="GBJ15" s="63">
        <f t="shared" si="76"/>
        <v>0</v>
      </c>
      <c r="GBK15" s="63">
        <f t="shared" si="76"/>
        <v>0</v>
      </c>
      <c r="GBL15" s="63">
        <f t="shared" si="76"/>
        <v>0</v>
      </c>
      <c r="GBM15" s="63">
        <f t="shared" si="76"/>
        <v>0</v>
      </c>
      <c r="GBN15" s="63">
        <f t="shared" si="76"/>
        <v>0</v>
      </c>
      <c r="GBO15" s="63">
        <f t="shared" si="76"/>
        <v>0</v>
      </c>
      <c r="GBP15" s="63">
        <f t="shared" si="76"/>
        <v>0</v>
      </c>
      <c r="GBQ15" s="63">
        <f t="shared" si="76"/>
        <v>0</v>
      </c>
      <c r="GBR15" s="63">
        <f t="shared" si="76"/>
        <v>0</v>
      </c>
      <c r="GBS15" s="63">
        <f t="shared" si="76"/>
        <v>0</v>
      </c>
      <c r="GBT15" s="63">
        <f t="shared" ref="GBT15:GEE15" si="77">GBS18</f>
        <v>0</v>
      </c>
      <c r="GBU15" s="63">
        <f t="shared" si="77"/>
        <v>0</v>
      </c>
      <c r="GBV15" s="63">
        <f t="shared" si="77"/>
        <v>0</v>
      </c>
      <c r="GBW15" s="63">
        <f t="shared" si="77"/>
        <v>0</v>
      </c>
      <c r="GBX15" s="63">
        <f t="shared" si="77"/>
        <v>0</v>
      </c>
      <c r="GBY15" s="63">
        <f t="shared" si="77"/>
        <v>0</v>
      </c>
      <c r="GBZ15" s="63">
        <f t="shared" si="77"/>
        <v>0</v>
      </c>
      <c r="GCA15" s="63">
        <f t="shared" si="77"/>
        <v>0</v>
      </c>
      <c r="GCB15" s="63">
        <f t="shared" si="77"/>
        <v>0</v>
      </c>
      <c r="GCC15" s="63">
        <f t="shared" si="77"/>
        <v>0</v>
      </c>
      <c r="GCD15" s="63">
        <f t="shared" si="77"/>
        <v>0</v>
      </c>
      <c r="GCE15" s="63">
        <f t="shared" si="77"/>
        <v>0</v>
      </c>
      <c r="GCF15" s="63">
        <f t="shared" si="77"/>
        <v>0</v>
      </c>
      <c r="GCG15" s="63">
        <f t="shared" si="77"/>
        <v>0</v>
      </c>
      <c r="GCH15" s="63">
        <f t="shared" si="77"/>
        <v>0</v>
      </c>
      <c r="GCI15" s="63">
        <f t="shared" si="77"/>
        <v>0</v>
      </c>
      <c r="GCJ15" s="63">
        <f t="shared" si="77"/>
        <v>0</v>
      </c>
      <c r="GCK15" s="63">
        <f t="shared" si="77"/>
        <v>0</v>
      </c>
      <c r="GCL15" s="63">
        <f t="shared" si="77"/>
        <v>0</v>
      </c>
      <c r="GCM15" s="63">
        <f t="shared" si="77"/>
        <v>0</v>
      </c>
      <c r="GCN15" s="63">
        <f t="shared" si="77"/>
        <v>0</v>
      </c>
      <c r="GCO15" s="63">
        <f t="shared" si="77"/>
        <v>0</v>
      </c>
      <c r="GCP15" s="63">
        <f t="shared" si="77"/>
        <v>0</v>
      </c>
      <c r="GCQ15" s="63">
        <f t="shared" si="77"/>
        <v>0</v>
      </c>
      <c r="GCR15" s="63">
        <f t="shared" si="77"/>
        <v>0</v>
      </c>
      <c r="GCS15" s="63">
        <f t="shared" si="77"/>
        <v>0</v>
      </c>
      <c r="GCT15" s="63">
        <f t="shared" si="77"/>
        <v>0</v>
      </c>
      <c r="GCU15" s="63">
        <f t="shared" si="77"/>
        <v>0</v>
      </c>
      <c r="GCV15" s="63">
        <f t="shared" si="77"/>
        <v>0</v>
      </c>
      <c r="GCW15" s="63">
        <f t="shared" si="77"/>
        <v>0</v>
      </c>
      <c r="GCX15" s="63">
        <f t="shared" si="77"/>
        <v>0</v>
      </c>
      <c r="GCY15" s="63">
        <f t="shared" si="77"/>
        <v>0</v>
      </c>
      <c r="GCZ15" s="63">
        <f t="shared" si="77"/>
        <v>0</v>
      </c>
      <c r="GDA15" s="63">
        <f t="shared" si="77"/>
        <v>0</v>
      </c>
      <c r="GDB15" s="63">
        <f t="shared" si="77"/>
        <v>0</v>
      </c>
      <c r="GDC15" s="63">
        <f t="shared" si="77"/>
        <v>0</v>
      </c>
      <c r="GDD15" s="63">
        <f t="shared" si="77"/>
        <v>0</v>
      </c>
      <c r="GDE15" s="63">
        <f t="shared" si="77"/>
        <v>0</v>
      </c>
      <c r="GDF15" s="63">
        <f t="shared" si="77"/>
        <v>0</v>
      </c>
      <c r="GDG15" s="63">
        <f t="shared" si="77"/>
        <v>0</v>
      </c>
      <c r="GDH15" s="63">
        <f t="shared" si="77"/>
        <v>0</v>
      </c>
      <c r="GDI15" s="63">
        <f t="shared" si="77"/>
        <v>0</v>
      </c>
      <c r="GDJ15" s="63">
        <f t="shared" si="77"/>
        <v>0</v>
      </c>
      <c r="GDK15" s="63">
        <f t="shared" si="77"/>
        <v>0</v>
      </c>
      <c r="GDL15" s="63">
        <f t="shared" si="77"/>
        <v>0</v>
      </c>
      <c r="GDM15" s="63">
        <f t="shared" si="77"/>
        <v>0</v>
      </c>
      <c r="GDN15" s="63">
        <f t="shared" si="77"/>
        <v>0</v>
      </c>
      <c r="GDO15" s="63">
        <f t="shared" si="77"/>
        <v>0</v>
      </c>
      <c r="GDP15" s="63">
        <f t="shared" si="77"/>
        <v>0</v>
      </c>
      <c r="GDQ15" s="63">
        <f t="shared" si="77"/>
        <v>0</v>
      </c>
      <c r="GDR15" s="63">
        <f t="shared" si="77"/>
        <v>0</v>
      </c>
      <c r="GDS15" s="63">
        <f t="shared" si="77"/>
        <v>0</v>
      </c>
      <c r="GDT15" s="63">
        <f t="shared" si="77"/>
        <v>0</v>
      </c>
      <c r="GDU15" s="63">
        <f t="shared" si="77"/>
        <v>0</v>
      </c>
      <c r="GDV15" s="63">
        <f t="shared" si="77"/>
        <v>0</v>
      </c>
      <c r="GDW15" s="63">
        <f t="shared" si="77"/>
        <v>0</v>
      </c>
      <c r="GDX15" s="63">
        <f t="shared" si="77"/>
        <v>0</v>
      </c>
      <c r="GDY15" s="63">
        <f t="shared" si="77"/>
        <v>0</v>
      </c>
      <c r="GDZ15" s="63">
        <f t="shared" si="77"/>
        <v>0</v>
      </c>
      <c r="GEA15" s="63">
        <f t="shared" si="77"/>
        <v>0</v>
      </c>
      <c r="GEB15" s="63">
        <f t="shared" si="77"/>
        <v>0</v>
      </c>
      <c r="GEC15" s="63">
        <f t="shared" si="77"/>
        <v>0</v>
      </c>
      <c r="GED15" s="63">
        <f t="shared" si="77"/>
        <v>0</v>
      </c>
      <c r="GEE15" s="63">
        <f t="shared" si="77"/>
        <v>0</v>
      </c>
      <c r="GEF15" s="63">
        <f t="shared" ref="GEF15:GGQ15" si="78">GEE18</f>
        <v>0</v>
      </c>
      <c r="GEG15" s="63">
        <f t="shared" si="78"/>
        <v>0</v>
      </c>
      <c r="GEH15" s="63">
        <f t="shared" si="78"/>
        <v>0</v>
      </c>
      <c r="GEI15" s="63">
        <f t="shared" si="78"/>
        <v>0</v>
      </c>
      <c r="GEJ15" s="63">
        <f t="shared" si="78"/>
        <v>0</v>
      </c>
      <c r="GEK15" s="63">
        <f t="shared" si="78"/>
        <v>0</v>
      </c>
      <c r="GEL15" s="63">
        <f t="shared" si="78"/>
        <v>0</v>
      </c>
      <c r="GEM15" s="63">
        <f t="shared" si="78"/>
        <v>0</v>
      </c>
      <c r="GEN15" s="63">
        <f t="shared" si="78"/>
        <v>0</v>
      </c>
      <c r="GEO15" s="63">
        <f t="shared" si="78"/>
        <v>0</v>
      </c>
      <c r="GEP15" s="63">
        <f t="shared" si="78"/>
        <v>0</v>
      </c>
      <c r="GEQ15" s="63">
        <f t="shared" si="78"/>
        <v>0</v>
      </c>
      <c r="GER15" s="63">
        <f t="shared" si="78"/>
        <v>0</v>
      </c>
      <c r="GES15" s="63">
        <f t="shared" si="78"/>
        <v>0</v>
      </c>
      <c r="GET15" s="63">
        <f t="shared" si="78"/>
        <v>0</v>
      </c>
      <c r="GEU15" s="63">
        <f t="shared" si="78"/>
        <v>0</v>
      </c>
      <c r="GEV15" s="63">
        <f t="shared" si="78"/>
        <v>0</v>
      </c>
      <c r="GEW15" s="63">
        <f t="shared" si="78"/>
        <v>0</v>
      </c>
      <c r="GEX15" s="63">
        <f t="shared" si="78"/>
        <v>0</v>
      </c>
      <c r="GEY15" s="63">
        <f t="shared" si="78"/>
        <v>0</v>
      </c>
      <c r="GEZ15" s="63">
        <f t="shared" si="78"/>
        <v>0</v>
      </c>
      <c r="GFA15" s="63">
        <f t="shared" si="78"/>
        <v>0</v>
      </c>
      <c r="GFB15" s="63">
        <f t="shared" si="78"/>
        <v>0</v>
      </c>
      <c r="GFC15" s="63">
        <f t="shared" si="78"/>
        <v>0</v>
      </c>
      <c r="GFD15" s="63">
        <f t="shared" si="78"/>
        <v>0</v>
      </c>
      <c r="GFE15" s="63">
        <f t="shared" si="78"/>
        <v>0</v>
      </c>
      <c r="GFF15" s="63">
        <f t="shared" si="78"/>
        <v>0</v>
      </c>
      <c r="GFG15" s="63">
        <f t="shared" si="78"/>
        <v>0</v>
      </c>
      <c r="GFH15" s="63">
        <f t="shared" si="78"/>
        <v>0</v>
      </c>
      <c r="GFI15" s="63">
        <f t="shared" si="78"/>
        <v>0</v>
      </c>
      <c r="GFJ15" s="63">
        <f t="shared" si="78"/>
        <v>0</v>
      </c>
      <c r="GFK15" s="63">
        <f t="shared" si="78"/>
        <v>0</v>
      </c>
      <c r="GFL15" s="63">
        <f t="shared" si="78"/>
        <v>0</v>
      </c>
      <c r="GFM15" s="63">
        <f t="shared" si="78"/>
        <v>0</v>
      </c>
      <c r="GFN15" s="63">
        <f t="shared" si="78"/>
        <v>0</v>
      </c>
      <c r="GFO15" s="63">
        <f t="shared" si="78"/>
        <v>0</v>
      </c>
      <c r="GFP15" s="63">
        <f t="shared" si="78"/>
        <v>0</v>
      </c>
      <c r="GFQ15" s="63">
        <f t="shared" si="78"/>
        <v>0</v>
      </c>
      <c r="GFR15" s="63">
        <f t="shared" si="78"/>
        <v>0</v>
      </c>
      <c r="GFS15" s="63">
        <f t="shared" si="78"/>
        <v>0</v>
      </c>
      <c r="GFT15" s="63">
        <f t="shared" si="78"/>
        <v>0</v>
      </c>
      <c r="GFU15" s="63">
        <f t="shared" si="78"/>
        <v>0</v>
      </c>
      <c r="GFV15" s="63">
        <f t="shared" si="78"/>
        <v>0</v>
      </c>
      <c r="GFW15" s="63">
        <f t="shared" si="78"/>
        <v>0</v>
      </c>
      <c r="GFX15" s="63">
        <f t="shared" si="78"/>
        <v>0</v>
      </c>
      <c r="GFY15" s="63">
        <f t="shared" si="78"/>
        <v>0</v>
      </c>
      <c r="GFZ15" s="63">
        <f t="shared" si="78"/>
        <v>0</v>
      </c>
      <c r="GGA15" s="63">
        <f t="shared" si="78"/>
        <v>0</v>
      </c>
      <c r="GGB15" s="63">
        <f t="shared" si="78"/>
        <v>0</v>
      </c>
      <c r="GGC15" s="63">
        <f t="shared" si="78"/>
        <v>0</v>
      </c>
      <c r="GGD15" s="63">
        <f t="shared" si="78"/>
        <v>0</v>
      </c>
      <c r="GGE15" s="63">
        <f t="shared" si="78"/>
        <v>0</v>
      </c>
      <c r="GGF15" s="63">
        <f t="shared" si="78"/>
        <v>0</v>
      </c>
      <c r="GGG15" s="63">
        <f t="shared" si="78"/>
        <v>0</v>
      </c>
      <c r="GGH15" s="63">
        <f t="shared" si="78"/>
        <v>0</v>
      </c>
      <c r="GGI15" s="63">
        <f t="shared" si="78"/>
        <v>0</v>
      </c>
      <c r="GGJ15" s="63">
        <f t="shared" si="78"/>
        <v>0</v>
      </c>
      <c r="GGK15" s="63">
        <f t="shared" si="78"/>
        <v>0</v>
      </c>
      <c r="GGL15" s="63">
        <f t="shared" si="78"/>
        <v>0</v>
      </c>
      <c r="GGM15" s="63">
        <f t="shared" si="78"/>
        <v>0</v>
      </c>
      <c r="GGN15" s="63">
        <f t="shared" si="78"/>
        <v>0</v>
      </c>
      <c r="GGO15" s="63">
        <f t="shared" si="78"/>
        <v>0</v>
      </c>
      <c r="GGP15" s="63">
        <f t="shared" si="78"/>
        <v>0</v>
      </c>
      <c r="GGQ15" s="63">
        <f t="shared" si="78"/>
        <v>0</v>
      </c>
      <c r="GGR15" s="63">
        <f t="shared" ref="GGR15:GJC15" si="79">GGQ18</f>
        <v>0</v>
      </c>
      <c r="GGS15" s="63">
        <f t="shared" si="79"/>
        <v>0</v>
      </c>
      <c r="GGT15" s="63">
        <f t="shared" si="79"/>
        <v>0</v>
      </c>
      <c r="GGU15" s="63">
        <f t="shared" si="79"/>
        <v>0</v>
      </c>
      <c r="GGV15" s="63">
        <f t="shared" si="79"/>
        <v>0</v>
      </c>
      <c r="GGW15" s="63">
        <f t="shared" si="79"/>
        <v>0</v>
      </c>
      <c r="GGX15" s="63">
        <f t="shared" si="79"/>
        <v>0</v>
      </c>
      <c r="GGY15" s="63">
        <f t="shared" si="79"/>
        <v>0</v>
      </c>
      <c r="GGZ15" s="63">
        <f t="shared" si="79"/>
        <v>0</v>
      </c>
      <c r="GHA15" s="63">
        <f t="shared" si="79"/>
        <v>0</v>
      </c>
      <c r="GHB15" s="63">
        <f t="shared" si="79"/>
        <v>0</v>
      </c>
      <c r="GHC15" s="63">
        <f t="shared" si="79"/>
        <v>0</v>
      </c>
      <c r="GHD15" s="63">
        <f t="shared" si="79"/>
        <v>0</v>
      </c>
      <c r="GHE15" s="63">
        <f t="shared" si="79"/>
        <v>0</v>
      </c>
      <c r="GHF15" s="63">
        <f t="shared" si="79"/>
        <v>0</v>
      </c>
      <c r="GHG15" s="63">
        <f t="shared" si="79"/>
        <v>0</v>
      </c>
      <c r="GHH15" s="63">
        <f t="shared" si="79"/>
        <v>0</v>
      </c>
      <c r="GHI15" s="63">
        <f t="shared" si="79"/>
        <v>0</v>
      </c>
      <c r="GHJ15" s="63">
        <f t="shared" si="79"/>
        <v>0</v>
      </c>
      <c r="GHK15" s="63">
        <f t="shared" si="79"/>
        <v>0</v>
      </c>
      <c r="GHL15" s="63">
        <f t="shared" si="79"/>
        <v>0</v>
      </c>
      <c r="GHM15" s="63">
        <f t="shared" si="79"/>
        <v>0</v>
      </c>
      <c r="GHN15" s="63">
        <f t="shared" si="79"/>
        <v>0</v>
      </c>
      <c r="GHO15" s="63">
        <f t="shared" si="79"/>
        <v>0</v>
      </c>
      <c r="GHP15" s="63">
        <f t="shared" si="79"/>
        <v>0</v>
      </c>
      <c r="GHQ15" s="63">
        <f t="shared" si="79"/>
        <v>0</v>
      </c>
      <c r="GHR15" s="63">
        <f t="shared" si="79"/>
        <v>0</v>
      </c>
      <c r="GHS15" s="63">
        <f t="shared" si="79"/>
        <v>0</v>
      </c>
      <c r="GHT15" s="63">
        <f t="shared" si="79"/>
        <v>0</v>
      </c>
      <c r="GHU15" s="63">
        <f t="shared" si="79"/>
        <v>0</v>
      </c>
      <c r="GHV15" s="63">
        <f t="shared" si="79"/>
        <v>0</v>
      </c>
      <c r="GHW15" s="63">
        <f t="shared" si="79"/>
        <v>0</v>
      </c>
      <c r="GHX15" s="63">
        <f t="shared" si="79"/>
        <v>0</v>
      </c>
      <c r="GHY15" s="63">
        <f t="shared" si="79"/>
        <v>0</v>
      </c>
      <c r="GHZ15" s="63">
        <f t="shared" si="79"/>
        <v>0</v>
      </c>
      <c r="GIA15" s="63">
        <f t="shared" si="79"/>
        <v>0</v>
      </c>
      <c r="GIB15" s="63">
        <f t="shared" si="79"/>
        <v>0</v>
      </c>
      <c r="GIC15" s="63">
        <f t="shared" si="79"/>
        <v>0</v>
      </c>
      <c r="GID15" s="63">
        <f t="shared" si="79"/>
        <v>0</v>
      </c>
      <c r="GIE15" s="63">
        <f t="shared" si="79"/>
        <v>0</v>
      </c>
      <c r="GIF15" s="63">
        <f t="shared" si="79"/>
        <v>0</v>
      </c>
      <c r="GIG15" s="63">
        <f t="shared" si="79"/>
        <v>0</v>
      </c>
      <c r="GIH15" s="63">
        <f t="shared" si="79"/>
        <v>0</v>
      </c>
      <c r="GII15" s="63">
        <f t="shared" si="79"/>
        <v>0</v>
      </c>
      <c r="GIJ15" s="63">
        <f t="shared" si="79"/>
        <v>0</v>
      </c>
      <c r="GIK15" s="63">
        <f t="shared" si="79"/>
        <v>0</v>
      </c>
      <c r="GIL15" s="63">
        <f t="shared" si="79"/>
        <v>0</v>
      </c>
      <c r="GIM15" s="63">
        <f t="shared" si="79"/>
        <v>0</v>
      </c>
      <c r="GIN15" s="63">
        <f t="shared" si="79"/>
        <v>0</v>
      </c>
      <c r="GIO15" s="63">
        <f t="shared" si="79"/>
        <v>0</v>
      </c>
      <c r="GIP15" s="63">
        <f t="shared" si="79"/>
        <v>0</v>
      </c>
      <c r="GIQ15" s="63">
        <f t="shared" si="79"/>
        <v>0</v>
      </c>
      <c r="GIR15" s="63">
        <f t="shared" si="79"/>
        <v>0</v>
      </c>
      <c r="GIS15" s="63">
        <f t="shared" si="79"/>
        <v>0</v>
      </c>
      <c r="GIT15" s="63">
        <f t="shared" si="79"/>
        <v>0</v>
      </c>
      <c r="GIU15" s="63">
        <f t="shared" si="79"/>
        <v>0</v>
      </c>
      <c r="GIV15" s="63">
        <f t="shared" si="79"/>
        <v>0</v>
      </c>
      <c r="GIW15" s="63">
        <f t="shared" si="79"/>
        <v>0</v>
      </c>
      <c r="GIX15" s="63">
        <f t="shared" si="79"/>
        <v>0</v>
      </c>
      <c r="GIY15" s="63">
        <f t="shared" si="79"/>
        <v>0</v>
      </c>
      <c r="GIZ15" s="63">
        <f t="shared" si="79"/>
        <v>0</v>
      </c>
      <c r="GJA15" s="63">
        <f t="shared" si="79"/>
        <v>0</v>
      </c>
      <c r="GJB15" s="63">
        <f t="shared" si="79"/>
        <v>0</v>
      </c>
      <c r="GJC15" s="63">
        <f t="shared" si="79"/>
        <v>0</v>
      </c>
      <c r="GJD15" s="63">
        <f t="shared" ref="GJD15:GLO15" si="80">GJC18</f>
        <v>0</v>
      </c>
      <c r="GJE15" s="63">
        <f t="shared" si="80"/>
        <v>0</v>
      </c>
      <c r="GJF15" s="63">
        <f t="shared" si="80"/>
        <v>0</v>
      </c>
      <c r="GJG15" s="63">
        <f t="shared" si="80"/>
        <v>0</v>
      </c>
      <c r="GJH15" s="63">
        <f t="shared" si="80"/>
        <v>0</v>
      </c>
      <c r="GJI15" s="63">
        <f t="shared" si="80"/>
        <v>0</v>
      </c>
      <c r="GJJ15" s="63">
        <f t="shared" si="80"/>
        <v>0</v>
      </c>
      <c r="GJK15" s="63">
        <f t="shared" si="80"/>
        <v>0</v>
      </c>
      <c r="GJL15" s="63">
        <f t="shared" si="80"/>
        <v>0</v>
      </c>
      <c r="GJM15" s="63">
        <f t="shared" si="80"/>
        <v>0</v>
      </c>
      <c r="GJN15" s="63">
        <f t="shared" si="80"/>
        <v>0</v>
      </c>
      <c r="GJO15" s="63">
        <f t="shared" si="80"/>
        <v>0</v>
      </c>
      <c r="GJP15" s="63">
        <f t="shared" si="80"/>
        <v>0</v>
      </c>
      <c r="GJQ15" s="63">
        <f t="shared" si="80"/>
        <v>0</v>
      </c>
      <c r="GJR15" s="63">
        <f t="shared" si="80"/>
        <v>0</v>
      </c>
      <c r="GJS15" s="63">
        <f t="shared" si="80"/>
        <v>0</v>
      </c>
      <c r="GJT15" s="63">
        <f t="shared" si="80"/>
        <v>0</v>
      </c>
      <c r="GJU15" s="63">
        <f t="shared" si="80"/>
        <v>0</v>
      </c>
      <c r="GJV15" s="63">
        <f t="shared" si="80"/>
        <v>0</v>
      </c>
      <c r="GJW15" s="63">
        <f t="shared" si="80"/>
        <v>0</v>
      </c>
      <c r="GJX15" s="63">
        <f t="shared" si="80"/>
        <v>0</v>
      </c>
      <c r="GJY15" s="63">
        <f t="shared" si="80"/>
        <v>0</v>
      </c>
      <c r="GJZ15" s="63">
        <f t="shared" si="80"/>
        <v>0</v>
      </c>
      <c r="GKA15" s="63">
        <f t="shared" si="80"/>
        <v>0</v>
      </c>
      <c r="GKB15" s="63">
        <f t="shared" si="80"/>
        <v>0</v>
      </c>
      <c r="GKC15" s="63">
        <f t="shared" si="80"/>
        <v>0</v>
      </c>
      <c r="GKD15" s="63">
        <f t="shared" si="80"/>
        <v>0</v>
      </c>
      <c r="GKE15" s="63">
        <f t="shared" si="80"/>
        <v>0</v>
      </c>
      <c r="GKF15" s="63">
        <f t="shared" si="80"/>
        <v>0</v>
      </c>
      <c r="GKG15" s="63">
        <f t="shared" si="80"/>
        <v>0</v>
      </c>
      <c r="GKH15" s="63">
        <f t="shared" si="80"/>
        <v>0</v>
      </c>
      <c r="GKI15" s="63">
        <f t="shared" si="80"/>
        <v>0</v>
      </c>
      <c r="GKJ15" s="63">
        <f t="shared" si="80"/>
        <v>0</v>
      </c>
      <c r="GKK15" s="63">
        <f t="shared" si="80"/>
        <v>0</v>
      </c>
      <c r="GKL15" s="63">
        <f t="shared" si="80"/>
        <v>0</v>
      </c>
      <c r="GKM15" s="63">
        <f t="shared" si="80"/>
        <v>0</v>
      </c>
      <c r="GKN15" s="63">
        <f t="shared" si="80"/>
        <v>0</v>
      </c>
      <c r="GKO15" s="63">
        <f t="shared" si="80"/>
        <v>0</v>
      </c>
      <c r="GKP15" s="63">
        <f t="shared" si="80"/>
        <v>0</v>
      </c>
      <c r="GKQ15" s="63">
        <f t="shared" si="80"/>
        <v>0</v>
      </c>
      <c r="GKR15" s="63">
        <f t="shared" si="80"/>
        <v>0</v>
      </c>
      <c r="GKS15" s="63">
        <f t="shared" si="80"/>
        <v>0</v>
      </c>
      <c r="GKT15" s="63">
        <f t="shared" si="80"/>
        <v>0</v>
      </c>
      <c r="GKU15" s="63">
        <f t="shared" si="80"/>
        <v>0</v>
      </c>
      <c r="GKV15" s="63">
        <f t="shared" si="80"/>
        <v>0</v>
      </c>
      <c r="GKW15" s="63">
        <f t="shared" si="80"/>
        <v>0</v>
      </c>
      <c r="GKX15" s="63">
        <f t="shared" si="80"/>
        <v>0</v>
      </c>
      <c r="GKY15" s="63">
        <f t="shared" si="80"/>
        <v>0</v>
      </c>
      <c r="GKZ15" s="63">
        <f t="shared" si="80"/>
        <v>0</v>
      </c>
      <c r="GLA15" s="63">
        <f t="shared" si="80"/>
        <v>0</v>
      </c>
      <c r="GLB15" s="63">
        <f t="shared" si="80"/>
        <v>0</v>
      </c>
      <c r="GLC15" s="63">
        <f t="shared" si="80"/>
        <v>0</v>
      </c>
      <c r="GLD15" s="63">
        <f t="shared" si="80"/>
        <v>0</v>
      </c>
      <c r="GLE15" s="63">
        <f t="shared" si="80"/>
        <v>0</v>
      </c>
      <c r="GLF15" s="63">
        <f t="shared" si="80"/>
        <v>0</v>
      </c>
      <c r="GLG15" s="63">
        <f t="shared" si="80"/>
        <v>0</v>
      </c>
      <c r="GLH15" s="63">
        <f t="shared" si="80"/>
        <v>0</v>
      </c>
      <c r="GLI15" s="63">
        <f t="shared" si="80"/>
        <v>0</v>
      </c>
      <c r="GLJ15" s="63">
        <f t="shared" si="80"/>
        <v>0</v>
      </c>
      <c r="GLK15" s="63">
        <f t="shared" si="80"/>
        <v>0</v>
      </c>
      <c r="GLL15" s="63">
        <f t="shared" si="80"/>
        <v>0</v>
      </c>
      <c r="GLM15" s="63">
        <f t="shared" si="80"/>
        <v>0</v>
      </c>
      <c r="GLN15" s="63">
        <f t="shared" si="80"/>
        <v>0</v>
      </c>
      <c r="GLO15" s="63">
        <f t="shared" si="80"/>
        <v>0</v>
      </c>
      <c r="GLP15" s="63">
        <f t="shared" ref="GLP15:GOA15" si="81">GLO18</f>
        <v>0</v>
      </c>
      <c r="GLQ15" s="63">
        <f t="shared" si="81"/>
        <v>0</v>
      </c>
      <c r="GLR15" s="63">
        <f t="shared" si="81"/>
        <v>0</v>
      </c>
      <c r="GLS15" s="63">
        <f t="shared" si="81"/>
        <v>0</v>
      </c>
      <c r="GLT15" s="63">
        <f t="shared" si="81"/>
        <v>0</v>
      </c>
      <c r="GLU15" s="63">
        <f t="shared" si="81"/>
        <v>0</v>
      </c>
      <c r="GLV15" s="63">
        <f t="shared" si="81"/>
        <v>0</v>
      </c>
      <c r="GLW15" s="63">
        <f t="shared" si="81"/>
        <v>0</v>
      </c>
      <c r="GLX15" s="63">
        <f t="shared" si="81"/>
        <v>0</v>
      </c>
      <c r="GLY15" s="63">
        <f t="shared" si="81"/>
        <v>0</v>
      </c>
      <c r="GLZ15" s="63">
        <f t="shared" si="81"/>
        <v>0</v>
      </c>
      <c r="GMA15" s="63">
        <f t="shared" si="81"/>
        <v>0</v>
      </c>
      <c r="GMB15" s="63">
        <f t="shared" si="81"/>
        <v>0</v>
      </c>
      <c r="GMC15" s="63">
        <f t="shared" si="81"/>
        <v>0</v>
      </c>
      <c r="GMD15" s="63">
        <f t="shared" si="81"/>
        <v>0</v>
      </c>
      <c r="GME15" s="63">
        <f t="shared" si="81"/>
        <v>0</v>
      </c>
      <c r="GMF15" s="63">
        <f t="shared" si="81"/>
        <v>0</v>
      </c>
      <c r="GMG15" s="63">
        <f t="shared" si="81"/>
        <v>0</v>
      </c>
      <c r="GMH15" s="63">
        <f t="shared" si="81"/>
        <v>0</v>
      </c>
      <c r="GMI15" s="63">
        <f t="shared" si="81"/>
        <v>0</v>
      </c>
      <c r="GMJ15" s="63">
        <f t="shared" si="81"/>
        <v>0</v>
      </c>
      <c r="GMK15" s="63">
        <f t="shared" si="81"/>
        <v>0</v>
      </c>
      <c r="GML15" s="63">
        <f t="shared" si="81"/>
        <v>0</v>
      </c>
      <c r="GMM15" s="63">
        <f t="shared" si="81"/>
        <v>0</v>
      </c>
      <c r="GMN15" s="63">
        <f t="shared" si="81"/>
        <v>0</v>
      </c>
      <c r="GMO15" s="63">
        <f t="shared" si="81"/>
        <v>0</v>
      </c>
      <c r="GMP15" s="63">
        <f t="shared" si="81"/>
        <v>0</v>
      </c>
      <c r="GMQ15" s="63">
        <f t="shared" si="81"/>
        <v>0</v>
      </c>
      <c r="GMR15" s="63">
        <f t="shared" si="81"/>
        <v>0</v>
      </c>
      <c r="GMS15" s="63">
        <f t="shared" si="81"/>
        <v>0</v>
      </c>
      <c r="GMT15" s="63">
        <f t="shared" si="81"/>
        <v>0</v>
      </c>
      <c r="GMU15" s="63">
        <f t="shared" si="81"/>
        <v>0</v>
      </c>
      <c r="GMV15" s="63">
        <f t="shared" si="81"/>
        <v>0</v>
      </c>
      <c r="GMW15" s="63">
        <f t="shared" si="81"/>
        <v>0</v>
      </c>
      <c r="GMX15" s="63">
        <f t="shared" si="81"/>
        <v>0</v>
      </c>
      <c r="GMY15" s="63">
        <f t="shared" si="81"/>
        <v>0</v>
      </c>
      <c r="GMZ15" s="63">
        <f t="shared" si="81"/>
        <v>0</v>
      </c>
      <c r="GNA15" s="63">
        <f t="shared" si="81"/>
        <v>0</v>
      </c>
      <c r="GNB15" s="63">
        <f t="shared" si="81"/>
        <v>0</v>
      </c>
      <c r="GNC15" s="63">
        <f t="shared" si="81"/>
        <v>0</v>
      </c>
      <c r="GND15" s="63">
        <f t="shared" si="81"/>
        <v>0</v>
      </c>
      <c r="GNE15" s="63">
        <f t="shared" si="81"/>
        <v>0</v>
      </c>
      <c r="GNF15" s="63">
        <f t="shared" si="81"/>
        <v>0</v>
      </c>
      <c r="GNG15" s="63">
        <f t="shared" si="81"/>
        <v>0</v>
      </c>
      <c r="GNH15" s="63">
        <f t="shared" si="81"/>
        <v>0</v>
      </c>
      <c r="GNI15" s="63">
        <f t="shared" si="81"/>
        <v>0</v>
      </c>
      <c r="GNJ15" s="63">
        <f t="shared" si="81"/>
        <v>0</v>
      </c>
      <c r="GNK15" s="63">
        <f t="shared" si="81"/>
        <v>0</v>
      </c>
      <c r="GNL15" s="63">
        <f t="shared" si="81"/>
        <v>0</v>
      </c>
      <c r="GNM15" s="63">
        <f t="shared" si="81"/>
        <v>0</v>
      </c>
      <c r="GNN15" s="63">
        <f t="shared" si="81"/>
        <v>0</v>
      </c>
      <c r="GNO15" s="63">
        <f t="shared" si="81"/>
        <v>0</v>
      </c>
      <c r="GNP15" s="63">
        <f t="shared" si="81"/>
        <v>0</v>
      </c>
      <c r="GNQ15" s="63">
        <f t="shared" si="81"/>
        <v>0</v>
      </c>
      <c r="GNR15" s="63">
        <f t="shared" si="81"/>
        <v>0</v>
      </c>
      <c r="GNS15" s="63">
        <f t="shared" si="81"/>
        <v>0</v>
      </c>
      <c r="GNT15" s="63">
        <f t="shared" si="81"/>
        <v>0</v>
      </c>
      <c r="GNU15" s="63">
        <f t="shared" si="81"/>
        <v>0</v>
      </c>
      <c r="GNV15" s="63">
        <f t="shared" si="81"/>
        <v>0</v>
      </c>
      <c r="GNW15" s="63">
        <f t="shared" si="81"/>
        <v>0</v>
      </c>
      <c r="GNX15" s="63">
        <f t="shared" si="81"/>
        <v>0</v>
      </c>
      <c r="GNY15" s="63">
        <f t="shared" si="81"/>
        <v>0</v>
      </c>
      <c r="GNZ15" s="63">
        <f t="shared" si="81"/>
        <v>0</v>
      </c>
      <c r="GOA15" s="63">
        <f t="shared" si="81"/>
        <v>0</v>
      </c>
      <c r="GOB15" s="63">
        <f t="shared" ref="GOB15:GQM15" si="82">GOA18</f>
        <v>0</v>
      </c>
      <c r="GOC15" s="63">
        <f t="shared" si="82"/>
        <v>0</v>
      </c>
      <c r="GOD15" s="63">
        <f t="shared" si="82"/>
        <v>0</v>
      </c>
      <c r="GOE15" s="63">
        <f t="shared" si="82"/>
        <v>0</v>
      </c>
      <c r="GOF15" s="63">
        <f t="shared" si="82"/>
        <v>0</v>
      </c>
      <c r="GOG15" s="63">
        <f t="shared" si="82"/>
        <v>0</v>
      </c>
      <c r="GOH15" s="63">
        <f t="shared" si="82"/>
        <v>0</v>
      </c>
      <c r="GOI15" s="63">
        <f t="shared" si="82"/>
        <v>0</v>
      </c>
      <c r="GOJ15" s="63">
        <f t="shared" si="82"/>
        <v>0</v>
      </c>
      <c r="GOK15" s="63">
        <f t="shared" si="82"/>
        <v>0</v>
      </c>
      <c r="GOL15" s="63">
        <f t="shared" si="82"/>
        <v>0</v>
      </c>
      <c r="GOM15" s="63">
        <f t="shared" si="82"/>
        <v>0</v>
      </c>
      <c r="GON15" s="63">
        <f t="shared" si="82"/>
        <v>0</v>
      </c>
      <c r="GOO15" s="63">
        <f t="shared" si="82"/>
        <v>0</v>
      </c>
      <c r="GOP15" s="63">
        <f t="shared" si="82"/>
        <v>0</v>
      </c>
      <c r="GOQ15" s="63">
        <f t="shared" si="82"/>
        <v>0</v>
      </c>
      <c r="GOR15" s="63">
        <f t="shared" si="82"/>
        <v>0</v>
      </c>
      <c r="GOS15" s="63">
        <f t="shared" si="82"/>
        <v>0</v>
      </c>
      <c r="GOT15" s="63">
        <f t="shared" si="82"/>
        <v>0</v>
      </c>
      <c r="GOU15" s="63">
        <f t="shared" si="82"/>
        <v>0</v>
      </c>
      <c r="GOV15" s="63">
        <f t="shared" si="82"/>
        <v>0</v>
      </c>
      <c r="GOW15" s="63">
        <f t="shared" si="82"/>
        <v>0</v>
      </c>
      <c r="GOX15" s="63">
        <f t="shared" si="82"/>
        <v>0</v>
      </c>
      <c r="GOY15" s="63">
        <f t="shared" si="82"/>
        <v>0</v>
      </c>
      <c r="GOZ15" s="63">
        <f t="shared" si="82"/>
        <v>0</v>
      </c>
      <c r="GPA15" s="63">
        <f t="shared" si="82"/>
        <v>0</v>
      </c>
      <c r="GPB15" s="63">
        <f t="shared" si="82"/>
        <v>0</v>
      </c>
      <c r="GPC15" s="63">
        <f t="shared" si="82"/>
        <v>0</v>
      </c>
      <c r="GPD15" s="63">
        <f t="shared" si="82"/>
        <v>0</v>
      </c>
      <c r="GPE15" s="63">
        <f t="shared" si="82"/>
        <v>0</v>
      </c>
      <c r="GPF15" s="63">
        <f t="shared" si="82"/>
        <v>0</v>
      </c>
      <c r="GPG15" s="63">
        <f t="shared" si="82"/>
        <v>0</v>
      </c>
      <c r="GPH15" s="63">
        <f t="shared" si="82"/>
        <v>0</v>
      </c>
      <c r="GPI15" s="63">
        <f t="shared" si="82"/>
        <v>0</v>
      </c>
      <c r="GPJ15" s="63">
        <f t="shared" si="82"/>
        <v>0</v>
      </c>
      <c r="GPK15" s="63">
        <f t="shared" si="82"/>
        <v>0</v>
      </c>
      <c r="GPL15" s="63">
        <f t="shared" si="82"/>
        <v>0</v>
      </c>
      <c r="GPM15" s="63">
        <f t="shared" si="82"/>
        <v>0</v>
      </c>
      <c r="GPN15" s="63">
        <f t="shared" si="82"/>
        <v>0</v>
      </c>
      <c r="GPO15" s="63">
        <f t="shared" si="82"/>
        <v>0</v>
      </c>
      <c r="GPP15" s="63">
        <f t="shared" si="82"/>
        <v>0</v>
      </c>
      <c r="GPQ15" s="63">
        <f t="shared" si="82"/>
        <v>0</v>
      </c>
      <c r="GPR15" s="63">
        <f t="shared" si="82"/>
        <v>0</v>
      </c>
      <c r="GPS15" s="63">
        <f t="shared" si="82"/>
        <v>0</v>
      </c>
      <c r="GPT15" s="63">
        <f t="shared" si="82"/>
        <v>0</v>
      </c>
      <c r="GPU15" s="63">
        <f t="shared" si="82"/>
        <v>0</v>
      </c>
      <c r="GPV15" s="63">
        <f t="shared" si="82"/>
        <v>0</v>
      </c>
      <c r="GPW15" s="63">
        <f t="shared" si="82"/>
        <v>0</v>
      </c>
      <c r="GPX15" s="63">
        <f t="shared" si="82"/>
        <v>0</v>
      </c>
      <c r="GPY15" s="63">
        <f t="shared" si="82"/>
        <v>0</v>
      </c>
      <c r="GPZ15" s="63">
        <f t="shared" si="82"/>
        <v>0</v>
      </c>
      <c r="GQA15" s="63">
        <f t="shared" si="82"/>
        <v>0</v>
      </c>
      <c r="GQB15" s="63">
        <f t="shared" si="82"/>
        <v>0</v>
      </c>
      <c r="GQC15" s="63">
        <f t="shared" si="82"/>
        <v>0</v>
      </c>
      <c r="GQD15" s="63">
        <f t="shared" si="82"/>
        <v>0</v>
      </c>
      <c r="GQE15" s="63">
        <f t="shared" si="82"/>
        <v>0</v>
      </c>
      <c r="GQF15" s="63">
        <f t="shared" si="82"/>
        <v>0</v>
      </c>
      <c r="GQG15" s="63">
        <f t="shared" si="82"/>
        <v>0</v>
      </c>
      <c r="GQH15" s="63">
        <f t="shared" si="82"/>
        <v>0</v>
      </c>
      <c r="GQI15" s="63">
        <f t="shared" si="82"/>
        <v>0</v>
      </c>
      <c r="GQJ15" s="63">
        <f t="shared" si="82"/>
        <v>0</v>
      </c>
      <c r="GQK15" s="63">
        <f t="shared" si="82"/>
        <v>0</v>
      </c>
      <c r="GQL15" s="63">
        <f t="shared" si="82"/>
        <v>0</v>
      </c>
      <c r="GQM15" s="63">
        <f t="shared" si="82"/>
        <v>0</v>
      </c>
      <c r="GQN15" s="63">
        <f t="shared" ref="GQN15:GSY15" si="83">GQM18</f>
        <v>0</v>
      </c>
      <c r="GQO15" s="63">
        <f t="shared" si="83"/>
        <v>0</v>
      </c>
      <c r="GQP15" s="63">
        <f t="shared" si="83"/>
        <v>0</v>
      </c>
      <c r="GQQ15" s="63">
        <f t="shared" si="83"/>
        <v>0</v>
      </c>
      <c r="GQR15" s="63">
        <f t="shared" si="83"/>
        <v>0</v>
      </c>
      <c r="GQS15" s="63">
        <f t="shared" si="83"/>
        <v>0</v>
      </c>
      <c r="GQT15" s="63">
        <f t="shared" si="83"/>
        <v>0</v>
      </c>
      <c r="GQU15" s="63">
        <f t="shared" si="83"/>
        <v>0</v>
      </c>
      <c r="GQV15" s="63">
        <f t="shared" si="83"/>
        <v>0</v>
      </c>
      <c r="GQW15" s="63">
        <f t="shared" si="83"/>
        <v>0</v>
      </c>
      <c r="GQX15" s="63">
        <f t="shared" si="83"/>
        <v>0</v>
      </c>
      <c r="GQY15" s="63">
        <f t="shared" si="83"/>
        <v>0</v>
      </c>
      <c r="GQZ15" s="63">
        <f t="shared" si="83"/>
        <v>0</v>
      </c>
      <c r="GRA15" s="63">
        <f t="shared" si="83"/>
        <v>0</v>
      </c>
      <c r="GRB15" s="63">
        <f t="shared" si="83"/>
        <v>0</v>
      </c>
      <c r="GRC15" s="63">
        <f t="shared" si="83"/>
        <v>0</v>
      </c>
      <c r="GRD15" s="63">
        <f t="shared" si="83"/>
        <v>0</v>
      </c>
      <c r="GRE15" s="63">
        <f t="shared" si="83"/>
        <v>0</v>
      </c>
      <c r="GRF15" s="63">
        <f t="shared" si="83"/>
        <v>0</v>
      </c>
      <c r="GRG15" s="63">
        <f t="shared" si="83"/>
        <v>0</v>
      </c>
      <c r="GRH15" s="63">
        <f t="shared" si="83"/>
        <v>0</v>
      </c>
      <c r="GRI15" s="63">
        <f t="shared" si="83"/>
        <v>0</v>
      </c>
      <c r="GRJ15" s="63">
        <f t="shared" si="83"/>
        <v>0</v>
      </c>
      <c r="GRK15" s="63">
        <f t="shared" si="83"/>
        <v>0</v>
      </c>
      <c r="GRL15" s="63">
        <f t="shared" si="83"/>
        <v>0</v>
      </c>
      <c r="GRM15" s="63">
        <f t="shared" si="83"/>
        <v>0</v>
      </c>
      <c r="GRN15" s="63">
        <f t="shared" si="83"/>
        <v>0</v>
      </c>
      <c r="GRO15" s="63">
        <f t="shared" si="83"/>
        <v>0</v>
      </c>
      <c r="GRP15" s="63">
        <f t="shared" si="83"/>
        <v>0</v>
      </c>
      <c r="GRQ15" s="63">
        <f t="shared" si="83"/>
        <v>0</v>
      </c>
      <c r="GRR15" s="63">
        <f t="shared" si="83"/>
        <v>0</v>
      </c>
      <c r="GRS15" s="63">
        <f t="shared" si="83"/>
        <v>0</v>
      </c>
      <c r="GRT15" s="63">
        <f t="shared" si="83"/>
        <v>0</v>
      </c>
      <c r="GRU15" s="63">
        <f t="shared" si="83"/>
        <v>0</v>
      </c>
      <c r="GRV15" s="63">
        <f t="shared" si="83"/>
        <v>0</v>
      </c>
      <c r="GRW15" s="63">
        <f t="shared" si="83"/>
        <v>0</v>
      </c>
      <c r="GRX15" s="63">
        <f t="shared" si="83"/>
        <v>0</v>
      </c>
      <c r="GRY15" s="63">
        <f t="shared" si="83"/>
        <v>0</v>
      </c>
      <c r="GRZ15" s="63">
        <f t="shared" si="83"/>
        <v>0</v>
      </c>
      <c r="GSA15" s="63">
        <f t="shared" si="83"/>
        <v>0</v>
      </c>
      <c r="GSB15" s="63">
        <f t="shared" si="83"/>
        <v>0</v>
      </c>
      <c r="GSC15" s="63">
        <f t="shared" si="83"/>
        <v>0</v>
      </c>
      <c r="GSD15" s="63">
        <f t="shared" si="83"/>
        <v>0</v>
      </c>
      <c r="GSE15" s="63">
        <f t="shared" si="83"/>
        <v>0</v>
      </c>
      <c r="GSF15" s="63">
        <f t="shared" si="83"/>
        <v>0</v>
      </c>
      <c r="GSG15" s="63">
        <f t="shared" si="83"/>
        <v>0</v>
      </c>
      <c r="GSH15" s="63">
        <f t="shared" si="83"/>
        <v>0</v>
      </c>
      <c r="GSI15" s="63">
        <f t="shared" si="83"/>
        <v>0</v>
      </c>
      <c r="GSJ15" s="63">
        <f t="shared" si="83"/>
        <v>0</v>
      </c>
      <c r="GSK15" s="63">
        <f t="shared" si="83"/>
        <v>0</v>
      </c>
      <c r="GSL15" s="63">
        <f t="shared" si="83"/>
        <v>0</v>
      </c>
      <c r="GSM15" s="63">
        <f t="shared" si="83"/>
        <v>0</v>
      </c>
      <c r="GSN15" s="63">
        <f t="shared" si="83"/>
        <v>0</v>
      </c>
      <c r="GSO15" s="63">
        <f t="shared" si="83"/>
        <v>0</v>
      </c>
      <c r="GSP15" s="63">
        <f t="shared" si="83"/>
        <v>0</v>
      </c>
      <c r="GSQ15" s="63">
        <f t="shared" si="83"/>
        <v>0</v>
      </c>
      <c r="GSR15" s="63">
        <f t="shared" si="83"/>
        <v>0</v>
      </c>
      <c r="GSS15" s="63">
        <f t="shared" si="83"/>
        <v>0</v>
      </c>
      <c r="GST15" s="63">
        <f t="shared" si="83"/>
        <v>0</v>
      </c>
      <c r="GSU15" s="63">
        <f t="shared" si="83"/>
        <v>0</v>
      </c>
      <c r="GSV15" s="63">
        <f t="shared" si="83"/>
        <v>0</v>
      </c>
      <c r="GSW15" s="63">
        <f t="shared" si="83"/>
        <v>0</v>
      </c>
      <c r="GSX15" s="63">
        <f t="shared" si="83"/>
        <v>0</v>
      </c>
      <c r="GSY15" s="63">
        <f t="shared" si="83"/>
        <v>0</v>
      </c>
      <c r="GSZ15" s="63">
        <f t="shared" ref="GSZ15:GVK15" si="84">GSY18</f>
        <v>0</v>
      </c>
      <c r="GTA15" s="63">
        <f t="shared" si="84"/>
        <v>0</v>
      </c>
      <c r="GTB15" s="63">
        <f t="shared" si="84"/>
        <v>0</v>
      </c>
      <c r="GTC15" s="63">
        <f t="shared" si="84"/>
        <v>0</v>
      </c>
      <c r="GTD15" s="63">
        <f t="shared" si="84"/>
        <v>0</v>
      </c>
      <c r="GTE15" s="63">
        <f t="shared" si="84"/>
        <v>0</v>
      </c>
      <c r="GTF15" s="63">
        <f t="shared" si="84"/>
        <v>0</v>
      </c>
      <c r="GTG15" s="63">
        <f t="shared" si="84"/>
        <v>0</v>
      </c>
      <c r="GTH15" s="63">
        <f t="shared" si="84"/>
        <v>0</v>
      </c>
      <c r="GTI15" s="63">
        <f t="shared" si="84"/>
        <v>0</v>
      </c>
      <c r="GTJ15" s="63">
        <f t="shared" si="84"/>
        <v>0</v>
      </c>
      <c r="GTK15" s="63">
        <f t="shared" si="84"/>
        <v>0</v>
      </c>
      <c r="GTL15" s="63">
        <f t="shared" si="84"/>
        <v>0</v>
      </c>
      <c r="GTM15" s="63">
        <f t="shared" si="84"/>
        <v>0</v>
      </c>
      <c r="GTN15" s="63">
        <f t="shared" si="84"/>
        <v>0</v>
      </c>
      <c r="GTO15" s="63">
        <f t="shared" si="84"/>
        <v>0</v>
      </c>
      <c r="GTP15" s="63">
        <f t="shared" si="84"/>
        <v>0</v>
      </c>
      <c r="GTQ15" s="63">
        <f t="shared" si="84"/>
        <v>0</v>
      </c>
      <c r="GTR15" s="63">
        <f t="shared" si="84"/>
        <v>0</v>
      </c>
      <c r="GTS15" s="63">
        <f t="shared" si="84"/>
        <v>0</v>
      </c>
      <c r="GTT15" s="63">
        <f t="shared" si="84"/>
        <v>0</v>
      </c>
      <c r="GTU15" s="63">
        <f t="shared" si="84"/>
        <v>0</v>
      </c>
      <c r="GTV15" s="63">
        <f t="shared" si="84"/>
        <v>0</v>
      </c>
      <c r="GTW15" s="63">
        <f t="shared" si="84"/>
        <v>0</v>
      </c>
      <c r="GTX15" s="63">
        <f t="shared" si="84"/>
        <v>0</v>
      </c>
      <c r="GTY15" s="63">
        <f t="shared" si="84"/>
        <v>0</v>
      </c>
      <c r="GTZ15" s="63">
        <f t="shared" si="84"/>
        <v>0</v>
      </c>
      <c r="GUA15" s="63">
        <f t="shared" si="84"/>
        <v>0</v>
      </c>
      <c r="GUB15" s="63">
        <f t="shared" si="84"/>
        <v>0</v>
      </c>
      <c r="GUC15" s="63">
        <f t="shared" si="84"/>
        <v>0</v>
      </c>
      <c r="GUD15" s="63">
        <f t="shared" si="84"/>
        <v>0</v>
      </c>
      <c r="GUE15" s="63">
        <f t="shared" si="84"/>
        <v>0</v>
      </c>
      <c r="GUF15" s="63">
        <f t="shared" si="84"/>
        <v>0</v>
      </c>
      <c r="GUG15" s="63">
        <f t="shared" si="84"/>
        <v>0</v>
      </c>
      <c r="GUH15" s="63">
        <f t="shared" si="84"/>
        <v>0</v>
      </c>
      <c r="GUI15" s="63">
        <f t="shared" si="84"/>
        <v>0</v>
      </c>
      <c r="GUJ15" s="63">
        <f t="shared" si="84"/>
        <v>0</v>
      </c>
      <c r="GUK15" s="63">
        <f t="shared" si="84"/>
        <v>0</v>
      </c>
      <c r="GUL15" s="63">
        <f t="shared" si="84"/>
        <v>0</v>
      </c>
      <c r="GUM15" s="63">
        <f t="shared" si="84"/>
        <v>0</v>
      </c>
      <c r="GUN15" s="63">
        <f t="shared" si="84"/>
        <v>0</v>
      </c>
      <c r="GUO15" s="63">
        <f t="shared" si="84"/>
        <v>0</v>
      </c>
      <c r="GUP15" s="63">
        <f t="shared" si="84"/>
        <v>0</v>
      </c>
      <c r="GUQ15" s="63">
        <f t="shared" si="84"/>
        <v>0</v>
      </c>
      <c r="GUR15" s="63">
        <f t="shared" si="84"/>
        <v>0</v>
      </c>
      <c r="GUS15" s="63">
        <f t="shared" si="84"/>
        <v>0</v>
      </c>
      <c r="GUT15" s="63">
        <f t="shared" si="84"/>
        <v>0</v>
      </c>
      <c r="GUU15" s="63">
        <f t="shared" si="84"/>
        <v>0</v>
      </c>
      <c r="GUV15" s="63">
        <f t="shared" si="84"/>
        <v>0</v>
      </c>
      <c r="GUW15" s="63">
        <f t="shared" si="84"/>
        <v>0</v>
      </c>
      <c r="GUX15" s="63">
        <f t="shared" si="84"/>
        <v>0</v>
      </c>
      <c r="GUY15" s="63">
        <f t="shared" si="84"/>
        <v>0</v>
      </c>
      <c r="GUZ15" s="63">
        <f t="shared" si="84"/>
        <v>0</v>
      </c>
      <c r="GVA15" s="63">
        <f t="shared" si="84"/>
        <v>0</v>
      </c>
      <c r="GVB15" s="63">
        <f t="shared" si="84"/>
        <v>0</v>
      </c>
      <c r="GVC15" s="63">
        <f t="shared" si="84"/>
        <v>0</v>
      </c>
      <c r="GVD15" s="63">
        <f t="shared" si="84"/>
        <v>0</v>
      </c>
      <c r="GVE15" s="63">
        <f t="shared" si="84"/>
        <v>0</v>
      </c>
      <c r="GVF15" s="63">
        <f t="shared" si="84"/>
        <v>0</v>
      </c>
      <c r="GVG15" s="63">
        <f t="shared" si="84"/>
        <v>0</v>
      </c>
      <c r="GVH15" s="63">
        <f t="shared" si="84"/>
        <v>0</v>
      </c>
      <c r="GVI15" s="63">
        <f t="shared" si="84"/>
        <v>0</v>
      </c>
      <c r="GVJ15" s="63">
        <f t="shared" si="84"/>
        <v>0</v>
      </c>
      <c r="GVK15" s="63">
        <f t="shared" si="84"/>
        <v>0</v>
      </c>
      <c r="GVL15" s="63">
        <f t="shared" ref="GVL15:GXW15" si="85">GVK18</f>
        <v>0</v>
      </c>
      <c r="GVM15" s="63">
        <f t="shared" si="85"/>
        <v>0</v>
      </c>
      <c r="GVN15" s="63">
        <f t="shared" si="85"/>
        <v>0</v>
      </c>
      <c r="GVO15" s="63">
        <f t="shared" si="85"/>
        <v>0</v>
      </c>
      <c r="GVP15" s="63">
        <f t="shared" si="85"/>
        <v>0</v>
      </c>
      <c r="GVQ15" s="63">
        <f t="shared" si="85"/>
        <v>0</v>
      </c>
      <c r="GVR15" s="63">
        <f t="shared" si="85"/>
        <v>0</v>
      </c>
      <c r="GVS15" s="63">
        <f t="shared" si="85"/>
        <v>0</v>
      </c>
      <c r="GVT15" s="63">
        <f t="shared" si="85"/>
        <v>0</v>
      </c>
      <c r="GVU15" s="63">
        <f t="shared" si="85"/>
        <v>0</v>
      </c>
      <c r="GVV15" s="63">
        <f t="shared" si="85"/>
        <v>0</v>
      </c>
      <c r="GVW15" s="63">
        <f t="shared" si="85"/>
        <v>0</v>
      </c>
      <c r="GVX15" s="63">
        <f t="shared" si="85"/>
        <v>0</v>
      </c>
      <c r="GVY15" s="63">
        <f t="shared" si="85"/>
        <v>0</v>
      </c>
      <c r="GVZ15" s="63">
        <f t="shared" si="85"/>
        <v>0</v>
      </c>
      <c r="GWA15" s="63">
        <f t="shared" si="85"/>
        <v>0</v>
      </c>
      <c r="GWB15" s="63">
        <f t="shared" si="85"/>
        <v>0</v>
      </c>
      <c r="GWC15" s="63">
        <f t="shared" si="85"/>
        <v>0</v>
      </c>
      <c r="GWD15" s="63">
        <f t="shared" si="85"/>
        <v>0</v>
      </c>
      <c r="GWE15" s="63">
        <f t="shared" si="85"/>
        <v>0</v>
      </c>
      <c r="GWF15" s="63">
        <f t="shared" si="85"/>
        <v>0</v>
      </c>
      <c r="GWG15" s="63">
        <f t="shared" si="85"/>
        <v>0</v>
      </c>
      <c r="GWH15" s="63">
        <f t="shared" si="85"/>
        <v>0</v>
      </c>
      <c r="GWI15" s="63">
        <f t="shared" si="85"/>
        <v>0</v>
      </c>
      <c r="GWJ15" s="63">
        <f t="shared" si="85"/>
        <v>0</v>
      </c>
      <c r="GWK15" s="63">
        <f t="shared" si="85"/>
        <v>0</v>
      </c>
      <c r="GWL15" s="63">
        <f t="shared" si="85"/>
        <v>0</v>
      </c>
      <c r="GWM15" s="63">
        <f t="shared" si="85"/>
        <v>0</v>
      </c>
      <c r="GWN15" s="63">
        <f t="shared" si="85"/>
        <v>0</v>
      </c>
      <c r="GWO15" s="63">
        <f t="shared" si="85"/>
        <v>0</v>
      </c>
      <c r="GWP15" s="63">
        <f t="shared" si="85"/>
        <v>0</v>
      </c>
      <c r="GWQ15" s="63">
        <f t="shared" si="85"/>
        <v>0</v>
      </c>
      <c r="GWR15" s="63">
        <f t="shared" si="85"/>
        <v>0</v>
      </c>
      <c r="GWS15" s="63">
        <f t="shared" si="85"/>
        <v>0</v>
      </c>
      <c r="GWT15" s="63">
        <f t="shared" si="85"/>
        <v>0</v>
      </c>
      <c r="GWU15" s="63">
        <f t="shared" si="85"/>
        <v>0</v>
      </c>
      <c r="GWV15" s="63">
        <f t="shared" si="85"/>
        <v>0</v>
      </c>
      <c r="GWW15" s="63">
        <f t="shared" si="85"/>
        <v>0</v>
      </c>
      <c r="GWX15" s="63">
        <f t="shared" si="85"/>
        <v>0</v>
      </c>
      <c r="GWY15" s="63">
        <f t="shared" si="85"/>
        <v>0</v>
      </c>
      <c r="GWZ15" s="63">
        <f t="shared" si="85"/>
        <v>0</v>
      </c>
      <c r="GXA15" s="63">
        <f t="shared" si="85"/>
        <v>0</v>
      </c>
      <c r="GXB15" s="63">
        <f t="shared" si="85"/>
        <v>0</v>
      </c>
      <c r="GXC15" s="63">
        <f t="shared" si="85"/>
        <v>0</v>
      </c>
      <c r="GXD15" s="63">
        <f t="shared" si="85"/>
        <v>0</v>
      </c>
      <c r="GXE15" s="63">
        <f t="shared" si="85"/>
        <v>0</v>
      </c>
      <c r="GXF15" s="63">
        <f t="shared" si="85"/>
        <v>0</v>
      </c>
      <c r="GXG15" s="63">
        <f t="shared" si="85"/>
        <v>0</v>
      </c>
      <c r="GXH15" s="63">
        <f t="shared" si="85"/>
        <v>0</v>
      </c>
      <c r="GXI15" s="63">
        <f t="shared" si="85"/>
        <v>0</v>
      </c>
      <c r="GXJ15" s="63">
        <f t="shared" si="85"/>
        <v>0</v>
      </c>
      <c r="GXK15" s="63">
        <f t="shared" si="85"/>
        <v>0</v>
      </c>
      <c r="GXL15" s="63">
        <f t="shared" si="85"/>
        <v>0</v>
      </c>
      <c r="GXM15" s="63">
        <f t="shared" si="85"/>
        <v>0</v>
      </c>
      <c r="GXN15" s="63">
        <f t="shared" si="85"/>
        <v>0</v>
      </c>
      <c r="GXO15" s="63">
        <f t="shared" si="85"/>
        <v>0</v>
      </c>
      <c r="GXP15" s="63">
        <f t="shared" si="85"/>
        <v>0</v>
      </c>
      <c r="GXQ15" s="63">
        <f t="shared" si="85"/>
        <v>0</v>
      </c>
      <c r="GXR15" s="63">
        <f t="shared" si="85"/>
        <v>0</v>
      </c>
      <c r="GXS15" s="63">
        <f t="shared" si="85"/>
        <v>0</v>
      </c>
      <c r="GXT15" s="63">
        <f t="shared" si="85"/>
        <v>0</v>
      </c>
      <c r="GXU15" s="63">
        <f t="shared" si="85"/>
        <v>0</v>
      </c>
      <c r="GXV15" s="63">
        <f t="shared" si="85"/>
        <v>0</v>
      </c>
      <c r="GXW15" s="63">
        <f t="shared" si="85"/>
        <v>0</v>
      </c>
      <c r="GXX15" s="63">
        <f t="shared" ref="GXX15:HAI15" si="86">GXW18</f>
        <v>0</v>
      </c>
      <c r="GXY15" s="63">
        <f t="shared" si="86"/>
        <v>0</v>
      </c>
      <c r="GXZ15" s="63">
        <f t="shared" si="86"/>
        <v>0</v>
      </c>
      <c r="GYA15" s="63">
        <f t="shared" si="86"/>
        <v>0</v>
      </c>
      <c r="GYB15" s="63">
        <f t="shared" si="86"/>
        <v>0</v>
      </c>
      <c r="GYC15" s="63">
        <f t="shared" si="86"/>
        <v>0</v>
      </c>
      <c r="GYD15" s="63">
        <f t="shared" si="86"/>
        <v>0</v>
      </c>
      <c r="GYE15" s="63">
        <f t="shared" si="86"/>
        <v>0</v>
      </c>
      <c r="GYF15" s="63">
        <f t="shared" si="86"/>
        <v>0</v>
      </c>
      <c r="GYG15" s="63">
        <f t="shared" si="86"/>
        <v>0</v>
      </c>
      <c r="GYH15" s="63">
        <f t="shared" si="86"/>
        <v>0</v>
      </c>
      <c r="GYI15" s="63">
        <f t="shared" si="86"/>
        <v>0</v>
      </c>
      <c r="GYJ15" s="63">
        <f t="shared" si="86"/>
        <v>0</v>
      </c>
      <c r="GYK15" s="63">
        <f t="shared" si="86"/>
        <v>0</v>
      </c>
      <c r="GYL15" s="63">
        <f t="shared" si="86"/>
        <v>0</v>
      </c>
      <c r="GYM15" s="63">
        <f t="shared" si="86"/>
        <v>0</v>
      </c>
      <c r="GYN15" s="63">
        <f t="shared" si="86"/>
        <v>0</v>
      </c>
      <c r="GYO15" s="63">
        <f t="shared" si="86"/>
        <v>0</v>
      </c>
      <c r="GYP15" s="63">
        <f t="shared" si="86"/>
        <v>0</v>
      </c>
      <c r="GYQ15" s="63">
        <f t="shared" si="86"/>
        <v>0</v>
      </c>
      <c r="GYR15" s="63">
        <f t="shared" si="86"/>
        <v>0</v>
      </c>
      <c r="GYS15" s="63">
        <f t="shared" si="86"/>
        <v>0</v>
      </c>
      <c r="GYT15" s="63">
        <f t="shared" si="86"/>
        <v>0</v>
      </c>
      <c r="GYU15" s="63">
        <f t="shared" si="86"/>
        <v>0</v>
      </c>
      <c r="GYV15" s="63">
        <f t="shared" si="86"/>
        <v>0</v>
      </c>
      <c r="GYW15" s="63">
        <f t="shared" si="86"/>
        <v>0</v>
      </c>
      <c r="GYX15" s="63">
        <f t="shared" si="86"/>
        <v>0</v>
      </c>
      <c r="GYY15" s="63">
        <f t="shared" si="86"/>
        <v>0</v>
      </c>
      <c r="GYZ15" s="63">
        <f t="shared" si="86"/>
        <v>0</v>
      </c>
      <c r="GZA15" s="63">
        <f t="shared" si="86"/>
        <v>0</v>
      </c>
      <c r="GZB15" s="63">
        <f t="shared" si="86"/>
        <v>0</v>
      </c>
      <c r="GZC15" s="63">
        <f t="shared" si="86"/>
        <v>0</v>
      </c>
      <c r="GZD15" s="63">
        <f t="shared" si="86"/>
        <v>0</v>
      </c>
      <c r="GZE15" s="63">
        <f t="shared" si="86"/>
        <v>0</v>
      </c>
      <c r="GZF15" s="63">
        <f t="shared" si="86"/>
        <v>0</v>
      </c>
      <c r="GZG15" s="63">
        <f t="shared" si="86"/>
        <v>0</v>
      </c>
      <c r="GZH15" s="63">
        <f t="shared" si="86"/>
        <v>0</v>
      </c>
      <c r="GZI15" s="63">
        <f t="shared" si="86"/>
        <v>0</v>
      </c>
      <c r="GZJ15" s="63">
        <f t="shared" si="86"/>
        <v>0</v>
      </c>
      <c r="GZK15" s="63">
        <f t="shared" si="86"/>
        <v>0</v>
      </c>
      <c r="GZL15" s="63">
        <f t="shared" si="86"/>
        <v>0</v>
      </c>
      <c r="GZM15" s="63">
        <f t="shared" si="86"/>
        <v>0</v>
      </c>
      <c r="GZN15" s="63">
        <f t="shared" si="86"/>
        <v>0</v>
      </c>
      <c r="GZO15" s="63">
        <f t="shared" si="86"/>
        <v>0</v>
      </c>
      <c r="GZP15" s="63">
        <f t="shared" si="86"/>
        <v>0</v>
      </c>
      <c r="GZQ15" s="63">
        <f t="shared" si="86"/>
        <v>0</v>
      </c>
      <c r="GZR15" s="63">
        <f t="shared" si="86"/>
        <v>0</v>
      </c>
      <c r="GZS15" s="63">
        <f t="shared" si="86"/>
        <v>0</v>
      </c>
      <c r="GZT15" s="63">
        <f t="shared" si="86"/>
        <v>0</v>
      </c>
      <c r="GZU15" s="63">
        <f t="shared" si="86"/>
        <v>0</v>
      </c>
      <c r="GZV15" s="63">
        <f t="shared" si="86"/>
        <v>0</v>
      </c>
      <c r="GZW15" s="63">
        <f t="shared" si="86"/>
        <v>0</v>
      </c>
      <c r="GZX15" s="63">
        <f t="shared" si="86"/>
        <v>0</v>
      </c>
      <c r="GZY15" s="63">
        <f t="shared" si="86"/>
        <v>0</v>
      </c>
      <c r="GZZ15" s="63">
        <f t="shared" si="86"/>
        <v>0</v>
      </c>
      <c r="HAA15" s="63">
        <f t="shared" si="86"/>
        <v>0</v>
      </c>
      <c r="HAB15" s="63">
        <f t="shared" si="86"/>
        <v>0</v>
      </c>
      <c r="HAC15" s="63">
        <f t="shared" si="86"/>
        <v>0</v>
      </c>
      <c r="HAD15" s="63">
        <f t="shared" si="86"/>
        <v>0</v>
      </c>
      <c r="HAE15" s="63">
        <f t="shared" si="86"/>
        <v>0</v>
      </c>
      <c r="HAF15" s="63">
        <f t="shared" si="86"/>
        <v>0</v>
      </c>
      <c r="HAG15" s="63">
        <f t="shared" si="86"/>
        <v>0</v>
      </c>
      <c r="HAH15" s="63">
        <f t="shared" si="86"/>
        <v>0</v>
      </c>
      <c r="HAI15" s="63">
        <f t="shared" si="86"/>
        <v>0</v>
      </c>
      <c r="HAJ15" s="63">
        <f t="shared" ref="HAJ15:HCU15" si="87">HAI18</f>
        <v>0</v>
      </c>
      <c r="HAK15" s="63">
        <f t="shared" si="87"/>
        <v>0</v>
      </c>
      <c r="HAL15" s="63">
        <f t="shared" si="87"/>
        <v>0</v>
      </c>
      <c r="HAM15" s="63">
        <f t="shared" si="87"/>
        <v>0</v>
      </c>
      <c r="HAN15" s="63">
        <f t="shared" si="87"/>
        <v>0</v>
      </c>
      <c r="HAO15" s="63">
        <f t="shared" si="87"/>
        <v>0</v>
      </c>
      <c r="HAP15" s="63">
        <f t="shared" si="87"/>
        <v>0</v>
      </c>
      <c r="HAQ15" s="63">
        <f t="shared" si="87"/>
        <v>0</v>
      </c>
      <c r="HAR15" s="63">
        <f t="shared" si="87"/>
        <v>0</v>
      </c>
      <c r="HAS15" s="63">
        <f t="shared" si="87"/>
        <v>0</v>
      </c>
      <c r="HAT15" s="63">
        <f t="shared" si="87"/>
        <v>0</v>
      </c>
      <c r="HAU15" s="63">
        <f t="shared" si="87"/>
        <v>0</v>
      </c>
      <c r="HAV15" s="63">
        <f t="shared" si="87"/>
        <v>0</v>
      </c>
      <c r="HAW15" s="63">
        <f t="shared" si="87"/>
        <v>0</v>
      </c>
      <c r="HAX15" s="63">
        <f t="shared" si="87"/>
        <v>0</v>
      </c>
      <c r="HAY15" s="63">
        <f t="shared" si="87"/>
        <v>0</v>
      </c>
      <c r="HAZ15" s="63">
        <f t="shared" si="87"/>
        <v>0</v>
      </c>
      <c r="HBA15" s="63">
        <f t="shared" si="87"/>
        <v>0</v>
      </c>
      <c r="HBB15" s="63">
        <f t="shared" si="87"/>
        <v>0</v>
      </c>
      <c r="HBC15" s="63">
        <f t="shared" si="87"/>
        <v>0</v>
      </c>
      <c r="HBD15" s="63">
        <f t="shared" si="87"/>
        <v>0</v>
      </c>
      <c r="HBE15" s="63">
        <f t="shared" si="87"/>
        <v>0</v>
      </c>
      <c r="HBF15" s="63">
        <f t="shared" si="87"/>
        <v>0</v>
      </c>
      <c r="HBG15" s="63">
        <f t="shared" si="87"/>
        <v>0</v>
      </c>
      <c r="HBH15" s="63">
        <f t="shared" si="87"/>
        <v>0</v>
      </c>
      <c r="HBI15" s="63">
        <f t="shared" si="87"/>
        <v>0</v>
      </c>
      <c r="HBJ15" s="63">
        <f t="shared" si="87"/>
        <v>0</v>
      </c>
      <c r="HBK15" s="63">
        <f t="shared" si="87"/>
        <v>0</v>
      </c>
      <c r="HBL15" s="63">
        <f t="shared" si="87"/>
        <v>0</v>
      </c>
      <c r="HBM15" s="63">
        <f t="shared" si="87"/>
        <v>0</v>
      </c>
      <c r="HBN15" s="63">
        <f t="shared" si="87"/>
        <v>0</v>
      </c>
      <c r="HBO15" s="63">
        <f t="shared" si="87"/>
        <v>0</v>
      </c>
      <c r="HBP15" s="63">
        <f t="shared" si="87"/>
        <v>0</v>
      </c>
      <c r="HBQ15" s="63">
        <f t="shared" si="87"/>
        <v>0</v>
      </c>
      <c r="HBR15" s="63">
        <f t="shared" si="87"/>
        <v>0</v>
      </c>
      <c r="HBS15" s="63">
        <f t="shared" si="87"/>
        <v>0</v>
      </c>
      <c r="HBT15" s="63">
        <f t="shared" si="87"/>
        <v>0</v>
      </c>
      <c r="HBU15" s="63">
        <f t="shared" si="87"/>
        <v>0</v>
      </c>
      <c r="HBV15" s="63">
        <f t="shared" si="87"/>
        <v>0</v>
      </c>
      <c r="HBW15" s="63">
        <f t="shared" si="87"/>
        <v>0</v>
      </c>
      <c r="HBX15" s="63">
        <f t="shared" si="87"/>
        <v>0</v>
      </c>
      <c r="HBY15" s="63">
        <f t="shared" si="87"/>
        <v>0</v>
      </c>
      <c r="HBZ15" s="63">
        <f t="shared" si="87"/>
        <v>0</v>
      </c>
      <c r="HCA15" s="63">
        <f t="shared" si="87"/>
        <v>0</v>
      </c>
      <c r="HCB15" s="63">
        <f t="shared" si="87"/>
        <v>0</v>
      </c>
      <c r="HCC15" s="63">
        <f t="shared" si="87"/>
        <v>0</v>
      </c>
      <c r="HCD15" s="63">
        <f t="shared" si="87"/>
        <v>0</v>
      </c>
      <c r="HCE15" s="63">
        <f t="shared" si="87"/>
        <v>0</v>
      </c>
      <c r="HCF15" s="63">
        <f t="shared" si="87"/>
        <v>0</v>
      </c>
      <c r="HCG15" s="63">
        <f t="shared" si="87"/>
        <v>0</v>
      </c>
      <c r="HCH15" s="63">
        <f t="shared" si="87"/>
        <v>0</v>
      </c>
      <c r="HCI15" s="63">
        <f t="shared" si="87"/>
        <v>0</v>
      </c>
      <c r="HCJ15" s="63">
        <f t="shared" si="87"/>
        <v>0</v>
      </c>
      <c r="HCK15" s="63">
        <f t="shared" si="87"/>
        <v>0</v>
      </c>
      <c r="HCL15" s="63">
        <f t="shared" si="87"/>
        <v>0</v>
      </c>
      <c r="HCM15" s="63">
        <f t="shared" si="87"/>
        <v>0</v>
      </c>
      <c r="HCN15" s="63">
        <f t="shared" si="87"/>
        <v>0</v>
      </c>
      <c r="HCO15" s="63">
        <f t="shared" si="87"/>
        <v>0</v>
      </c>
      <c r="HCP15" s="63">
        <f t="shared" si="87"/>
        <v>0</v>
      </c>
      <c r="HCQ15" s="63">
        <f t="shared" si="87"/>
        <v>0</v>
      </c>
      <c r="HCR15" s="63">
        <f t="shared" si="87"/>
        <v>0</v>
      </c>
      <c r="HCS15" s="63">
        <f t="shared" si="87"/>
        <v>0</v>
      </c>
      <c r="HCT15" s="63">
        <f t="shared" si="87"/>
        <v>0</v>
      </c>
      <c r="HCU15" s="63">
        <f t="shared" si="87"/>
        <v>0</v>
      </c>
      <c r="HCV15" s="63">
        <f t="shared" ref="HCV15:HFG15" si="88">HCU18</f>
        <v>0</v>
      </c>
      <c r="HCW15" s="63">
        <f t="shared" si="88"/>
        <v>0</v>
      </c>
      <c r="HCX15" s="63">
        <f t="shared" si="88"/>
        <v>0</v>
      </c>
      <c r="HCY15" s="63">
        <f t="shared" si="88"/>
        <v>0</v>
      </c>
      <c r="HCZ15" s="63">
        <f t="shared" si="88"/>
        <v>0</v>
      </c>
      <c r="HDA15" s="63">
        <f t="shared" si="88"/>
        <v>0</v>
      </c>
      <c r="HDB15" s="63">
        <f t="shared" si="88"/>
        <v>0</v>
      </c>
      <c r="HDC15" s="63">
        <f t="shared" si="88"/>
        <v>0</v>
      </c>
      <c r="HDD15" s="63">
        <f t="shared" si="88"/>
        <v>0</v>
      </c>
      <c r="HDE15" s="63">
        <f t="shared" si="88"/>
        <v>0</v>
      </c>
      <c r="HDF15" s="63">
        <f t="shared" si="88"/>
        <v>0</v>
      </c>
      <c r="HDG15" s="63">
        <f t="shared" si="88"/>
        <v>0</v>
      </c>
      <c r="HDH15" s="63">
        <f t="shared" si="88"/>
        <v>0</v>
      </c>
      <c r="HDI15" s="63">
        <f t="shared" si="88"/>
        <v>0</v>
      </c>
      <c r="HDJ15" s="63">
        <f t="shared" si="88"/>
        <v>0</v>
      </c>
      <c r="HDK15" s="63">
        <f t="shared" si="88"/>
        <v>0</v>
      </c>
      <c r="HDL15" s="63">
        <f t="shared" si="88"/>
        <v>0</v>
      </c>
      <c r="HDM15" s="63">
        <f t="shared" si="88"/>
        <v>0</v>
      </c>
      <c r="HDN15" s="63">
        <f t="shared" si="88"/>
        <v>0</v>
      </c>
      <c r="HDO15" s="63">
        <f t="shared" si="88"/>
        <v>0</v>
      </c>
      <c r="HDP15" s="63">
        <f t="shared" si="88"/>
        <v>0</v>
      </c>
      <c r="HDQ15" s="63">
        <f t="shared" si="88"/>
        <v>0</v>
      </c>
      <c r="HDR15" s="63">
        <f t="shared" si="88"/>
        <v>0</v>
      </c>
      <c r="HDS15" s="63">
        <f t="shared" si="88"/>
        <v>0</v>
      </c>
      <c r="HDT15" s="63">
        <f t="shared" si="88"/>
        <v>0</v>
      </c>
      <c r="HDU15" s="63">
        <f t="shared" si="88"/>
        <v>0</v>
      </c>
      <c r="HDV15" s="63">
        <f t="shared" si="88"/>
        <v>0</v>
      </c>
      <c r="HDW15" s="63">
        <f t="shared" si="88"/>
        <v>0</v>
      </c>
      <c r="HDX15" s="63">
        <f t="shared" si="88"/>
        <v>0</v>
      </c>
      <c r="HDY15" s="63">
        <f t="shared" si="88"/>
        <v>0</v>
      </c>
      <c r="HDZ15" s="63">
        <f t="shared" si="88"/>
        <v>0</v>
      </c>
      <c r="HEA15" s="63">
        <f t="shared" si="88"/>
        <v>0</v>
      </c>
      <c r="HEB15" s="63">
        <f t="shared" si="88"/>
        <v>0</v>
      </c>
      <c r="HEC15" s="63">
        <f t="shared" si="88"/>
        <v>0</v>
      </c>
      <c r="HED15" s="63">
        <f t="shared" si="88"/>
        <v>0</v>
      </c>
      <c r="HEE15" s="63">
        <f t="shared" si="88"/>
        <v>0</v>
      </c>
      <c r="HEF15" s="63">
        <f t="shared" si="88"/>
        <v>0</v>
      </c>
      <c r="HEG15" s="63">
        <f t="shared" si="88"/>
        <v>0</v>
      </c>
      <c r="HEH15" s="63">
        <f t="shared" si="88"/>
        <v>0</v>
      </c>
      <c r="HEI15" s="63">
        <f t="shared" si="88"/>
        <v>0</v>
      </c>
      <c r="HEJ15" s="63">
        <f t="shared" si="88"/>
        <v>0</v>
      </c>
      <c r="HEK15" s="63">
        <f t="shared" si="88"/>
        <v>0</v>
      </c>
      <c r="HEL15" s="63">
        <f t="shared" si="88"/>
        <v>0</v>
      </c>
      <c r="HEM15" s="63">
        <f t="shared" si="88"/>
        <v>0</v>
      </c>
      <c r="HEN15" s="63">
        <f t="shared" si="88"/>
        <v>0</v>
      </c>
      <c r="HEO15" s="63">
        <f t="shared" si="88"/>
        <v>0</v>
      </c>
      <c r="HEP15" s="63">
        <f t="shared" si="88"/>
        <v>0</v>
      </c>
      <c r="HEQ15" s="63">
        <f t="shared" si="88"/>
        <v>0</v>
      </c>
      <c r="HER15" s="63">
        <f t="shared" si="88"/>
        <v>0</v>
      </c>
      <c r="HES15" s="63">
        <f t="shared" si="88"/>
        <v>0</v>
      </c>
      <c r="HET15" s="63">
        <f t="shared" si="88"/>
        <v>0</v>
      </c>
      <c r="HEU15" s="63">
        <f t="shared" si="88"/>
        <v>0</v>
      </c>
      <c r="HEV15" s="63">
        <f t="shared" si="88"/>
        <v>0</v>
      </c>
      <c r="HEW15" s="63">
        <f t="shared" si="88"/>
        <v>0</v>
      </c>
      <c r="HEX15" s="63">
        <f t="shared" si="88"/>
        <v>0</v>
      </c>
      <c r="HEY15" s="63">
        <f t="shared" si="88"/>
        <v>0</v>
      </c>
      <c r="HEZ15" s="63">
        <f t="shared" si="88"/>
        <v>0</v>
      </c>
      <c r="HFA15" s="63">
        <f t="shared" si="88"/>
        <v>0</v>
      </c>
      <c r="HFB15" s="63">
        <f t="shared" si="88"/>
        <v>0</v>
      </c>
      <c r="HFC15" s="63">
        <f t="shared" si="88"/>
        <v>0</v>
      </c>
      <c r="HFD15" s="63">
        <f t="shared" si="88"/>
        <v>0</v>
      </c>
      <c r="HFE15" s="63">
        <f t="shared" si="88"/>
        <v>0</v>
      </c>
      <c r="HFF15" s="63">
        <f t="shared" si="88"/>
        <v>0</v>
      </c>
      <c r="HFG15" s="63">
        <f t="shared" si="88"/>
        <v>0</v>
      </c>
      <c r="HFH15" s="63">
        <f t="shared" ref="HFH15:HHS15" si="89">HFG18</f>
        <v>0</v>
      </c>
      <c r="HFI15" s="63">
        <f t="shared" si="89"/>
        <v>0</v>
      </c>
      <c r="HFJ15" s="63">
        <f t="shared" si="89"/>
        <v>0</v>
      </c>
      <c r="HFK15" s="63">
        <f t="shared" si="89"/>
        <v>0</v>
      </c>
      <c r="HFL15" s="63">
        <f t="shared" si="89"/>
        <v>0</v>
      </c>
      <c r="HFM15" s="63">
        <f t="shared" si="89"/>
        <v>0</v>
      </c>
      <c r="HFN15" s="63">
        <f t="shared" si="89"/>
        <v>0</v>
      </c>
      <c r="HFO15" s="63">
        <f t="shared" si="89"/>
        <v>0</v>
      </c>
      <c r="HFP15" s="63">
        <f t="shared" si="89"/>
        <v>0</v>
      </c>
      <c r="HFQ15" s="63">
        <f t="shared" si="89"/>
        <v>0</v>
      </c>
      <c r="HFR15" s="63">
        <f t="shared" si="89"/>
        <v>0</v>
      </c>
      <c r="HFS15" s="63">
        <f t="shared" si="89"/>
        <v>0</v>
      </c>
      <c r="HFT15" s="63">
        <f t="shared" si="89"/>
        <v>0</v>
      </c>
      <c r="HFU15" s="63">
        <f t="shared" si="89"/>
        <v>0</v>
      </c>
      <c r="HFV15" s="63">
        <f t="shared" si="89"/>
        <v>0</v>
      </c>
      <c r="HFW15" s="63">
        <f t="shared" si="89"/>
        <v>0</v>
      </c>
      <c r="HFX15" s="63">
        <f t="shared" si="89"/>
        <v>0</v>
      </c>
      <c r="HFY15" s="63">
        <f t="shared" si="89"/>
        <v>0</v>
      </c>
      <c r="HFZ15" s="63">
        <f t="shared" si="89"/>
        <v>0</v>
      </c>
      <c r="HGA15" s="63">
        <f t="shared" si="89"/>
        <v>0</v>
      </c>
      <c r="HGB15" s="63">
        <f t="shared" si="89"/>
        <v>0</v>
      </c>
      <c r="HGC15" s="63">
        <f t="shared" si="89"/>
        <v>0</v>
      </c>
      <c r="HGD15" s="63">
        <f t="shared" si="89"/>
        <v>0</v>
      </c>
      <c r="HGE15" s="63">
        <f t="shared" si="89"/>
        <v>0</v>
      </c>
      <c r="HGF15" s="63">
        <f t="shared" si="89"/>
        <v>0</v>
      </c>
      <c r="HGG15" s="63">
        <f t="shared" si="89"/>
        <v>0</v>
      </c>
      <c r="HGH15" s="63">
        <f t="shared" si="89"/>
        <v>0</v>
      </c>
      <c r="HGI15" s="63">
        <f t="shared" si="89"/>
        <v>0</v>
      </c>
      <c r="HGJ15" s="63">
        <f t="shared" si="89"/>
        <v>0</v>
      </c>
      <c r="HGK15" s="63">
        <f t="shared" si="89"/>
        <v>0</v>
      </c>
      <c r="HGL15" s="63">
        <f t="shared" si="89"/>
        <v>0</v>
      </c>
      <c r="HGM15" s="63">
        <f t="shared" si="89"/>
        <v>0</v>
      </c>
      <c r="HGN15" s="63">
        <f t="shared" si="89"/>
        <v>0</v>
      </c>
      <c r="HGO15" s="63">
        <f t="shared" si="89"/>
        <v>0</v>
      </c>
      <c r="HGP15" s="63">
        <f t="shared" si="89"/>
        <v>0</v>
      </c>
      <c r="HGQ15" s="63">
        <f t="shared" si="89"/>
        <v>0</v>
      </c>
      <c r="HGR15" s="63">
        <f t="shared" si="89"/>
        <v>0</v>
      </c>
      <c r="HGS15" s="63">
        <f t="shared" si="89"/>
        <v>0</v>
      </c>
      <c r="HGT15" s="63">
        <f t="shared" si="89"/>
        <v>0</v>
      </c>
      <c r="HGU15" s="63">
        <f t="shared" si="89"/>
        <v>0</v>
      </c>
      <c r="HGV15" s="63">
        <f t="shared" si="89"/>
        <v>0</v>
      </c>
      <c r="HGW15" s="63">
        <f t="shared" si="89"/>
        <v>0</v>
      </c>
      <c r="HGX15" s="63">
        <f t="shared" si="89"/>
        <v>0</v>
      </c>
      <c r="HGY15" s="63">
        <f t="shared" si="89"/>
        <v>0</v>
      </c>
      <c r="HGZ15" s="63">
        <f t="shared" si="89"/>
        <v>0</v>
      </c>
      <c r="HHA15" s="63">
        <f t="shared" si="89"/>
        <v>0</v>
      </c>
      <c r="HHB15" s="63">
        <f t="shared" si="89"/>
        <v>0</v>
      </c>
      <c r="HHC15" s="63">
        <f t="shared" si="89"/>
        <v>0</v>
      </c>
      <c r="HHD15" s="63">
        <f t="shared" si="89"/>
        <v>0</v>
      </c>
      <c r="HHE15" s="63">
        <f t="shared" si="89"/>
        <v>0</v>
      </c>
      <c r="HHF15" s="63">
        <f t="shared" si="89"/>
        <v>0</v>
      </c>
      <c r="HHG15" s="63">
        <f t="shared" si="89"/>
        <v>0</v>
      </c>
      <c r="HHH15" s="63">
        <f t="shared" si="89"/>
        <v>0</v>
      </c>
      <c r="HHI15" s="63">
        <f t="shared" si="89"/>
        <v>0</v>
      </c>
      <c r="HHJ15" s="63">
        <f t="shared" si="89"/>
        <v>0</v>
      </c>
      <c r="HHK15" s="63">
        <f t="shared" si="89"/>
        <v>0</v>
      </c>
      <c r="HHL15" s="63">
        <f t="shared" si="89"/>
        <v>0</v>
      </c>
      <c r="HHM15" s="63">
        <f t="shared" si="89"/>
        <v>0</v>
      </c>
      <c r="HHN15" s="63">
        <f t="shared" si="89"/>
        <v>0</v>
      </c>
      <c r="HHO15" s="63">
        <f t="shared" si="89"/>
        <v>0</v>
      </c>
      <c r="HHP15" s="63">
        <f t="shared" si="89"/>
        <v>0</v>
      </c>
      <c r="HHQ15" s="63">
        <f t="shared" si="89"/>
        <v>0</v>
      </c>
      <c r="HHR15" s="63">
        <f t="shared" si="89"/>
        <v>0</v>
      </c>
      <c r="HHS15" s="63">
        <f t="shared" si="89"/>
        <v>0</v>
      </c>
      <c r="HHT15" s="63">
        <f t="shared" ref="HHT15:HKE15" si="90">HHS18</f>
        <v>0</v>
      </c>
      <c r="HHU15" s="63">
        <f t="shared" si="90"/>
        <v>0</v>
      </c>
      <c r="HHV15" s="63">
        <f t="shared" si="90"/>
        <v>0</v>
      </c>
      <c r="HHW15" s="63">
        <f t="shared" si="90"/>
        <v>0</v>
      </c>
      <c r="HHX15" s="63">
        <f t="shared" si="90"/>
        <v>0</v>
      </c>
      <c r="HHY15" s="63">
        <f t="shared" si="90"/>
        <v>0</v>
      </c>
      <c r="HHZ15" s="63">
        <f t="shared" si="90"/>
        <v>0</v>
      </c>
      <c r="HIA15" s="63">
        <f t="shared" si="90"/>
        <v>0</v>
      </c>
      <c r="HIB15" s="63">
        <f t="shared" si="90"/>
        <v>0</v>
      </c>
      <c r="HIC15" s="63">
        <f t="shared" si="90"/>
        <v>0</v>
      </c>
      <c r="HID15" s="63">
        <f t="shared" si="90"/>
        <v>0</v>
      </c>
      <c r="HIE15" s="63">
        <f t="shared" si="90"/>
        <v>0</v>
      </c>
      <c r="HIF15" s="63">
        <f t="shared" si="90"/>
        <v>0</v>
      </c>
      <c r="HIG15" s="63">
        <f t="shared" si="90"/>
        <v>0</v>
      </c>
      <c r="HIH15" s="63">
        <f t="shared" si="90"/>
        <v>0</v>
      </c>
      <c r="HII15" s="63">
        <f t="shared" si="90"/>
        <v>0</v>
      </c>
      <c r="HIJ15" s="63">
        <f t="shared" si="90"/>
        <v>0</v>
      </c>
      <c r="HIK15" s="63">
        <f t="shared" si="90"/>
        <v>0</v>
      </c>
      <c r="HIL15" s="63">
        <f t="shared" si="90"/>
        <v>0</v>
      </c>
      <c r="HIM15" s="63">
        <f t="shared" si="90"/>
        <v>0</v>
      </c>
      <c r="HIN15" s="63">
        <f t="shared" si="90"/>
        <v>0</v>
      </c>
      <c r="HIO15" s="63">
        <f t="shared" si="90"/>
        <v>0</v>
      </c>
      <c r="HIP15" s="63">
        <f t="shared" si="90"/>
        <v>0</v>
      </c>
      <c r="HIQ15" s="63">
        <f t="shared" si="90"/>
        <v>0</v>
      </c>
      <c r="HIR15" s="63">
        <f t="shared" si="90"/>
        <v>0</v>
      </c>
      <c r="HIS15" s="63">
        <f t="shared" si="90"/>
        <v>0</v>
      </c>
      <c r="HIT15" s="63">
        <f t="shared" si="90"/>
        <v>0</v>
      </c>
      <c r="HIU15" s="63">
        <f t="shared" si="90"/>
        <v>0</v>
      </c>
      <c r="HIV15" s="63">
        <f t="shared" si="90"/>
        <v>0</v>
      </c>
      <c r="HIW15" s="63">
        <f t="shared" si="90"/>
        <v>0</v>
      </c>
      <c r="HIX15" s="63">
        <f t="shared" si="90"/>
        <v>0</v>
      </c>
      <c r="HIY15" s="63">
        <f t="shared" si="90"/>
        <v>0</v>
      </c>
      <c r="HIZ15" s="63">
        <f t="shared" si="90"/>
        <v>0</v>
      </c>
      <c r="HJA15" s="63">
        <f t="shared" si="90"/>
        <v>0</v>
      </c>
      <c r="HJB15" s="63">
        <f t="shared" si="90"/>
        <v>0</v>
      </c>
      <c r="HJC15" s="63">
        <f t="shared" si="90"/>
        <v>0</v>
      </c>
      <c r="HJD15" s="63">
        <f t="shared" si="90"/>
        <v>0</v>
      </c>
      <c r="HJE15" s="63">
        <f t="shared" si="90"/>
        <v>0</v>
      </c>
      <c r="HJF15" s="63">
        <f t="shared" si="90"/>
        <v>0</v>
      </c>
      <c r="HJG15" s="63">
        <f t="shared" si="90"/>
        <v>0</v>
      </c>
      <c r="HJH15" s="63">
        <f t="shared" si="90"/>
        <v>0</v>
      </c>
      <c r="HJI15" s="63">
        <f t="shared" si="90"/>
        <v>0</v>
      </c>
      <c r="HJJ15" s="63">
        <f t="shared" si="90"/>
        <v>0</v>
      </c>
      <c r="HJK15" s="63">
        <f t="shared" si="90"/>
        <v>0</v>
      </c>
      <c r="HJL15" s="63">
        <f t="shared" si="90"/>
        <v>0</v>
      </c>
      <c r="HJM15" s="63">
        <f t="shared" si="90"/>
        <v>0</v>
      </c>
      <c r="HJN15" s="63">
        <f t="shared" si="90"/>
        <v>0</v>
      </c>
      <c r="HJO15" s="63">
        <f t="shared" si="90"/>
        <v>0</v>
      </c>
      <c r="HJP15" s="63">
        <f t="shared" si="90"/>
        <v>0</v>
      </c>
      <c r="HJQ15" s="63">
        <f t="shared" si="90"/>
        <v>0</v>
      </c>
      <c r="HJR15" s="63">
        <f t="shared" si="90"/>
        <v>0</v>
      </c>
      <c r="HJS15" s="63">
        <f t="shared" si="90"/>
        <v>0</v>
      </c>
      <c r="HJT15" s="63">
        <f t="shared" si="90"/>
        <v>0</v>
      </c>
      <c r="HJU15" s="63">
        <f t="shared" si="90"/>
        <v>0</v>
      </c>
      <c r="HJV15" s="63">
        <f t="shared" si="90"/>
        <v>0</v>
      </c>
      <c r="HJW15" s="63">
        <f t="shared" si="90"/>
        <v>0</v>
      </c>
      <c r="HJX15" s="63">
        <f t="shared" si="90"/>
        <v>0</v>
      </c>
      <c r="HJY15" s="63">
        <f t="shared" si="90"/>
        <v>0</v>
      </c>
      <c r="HJZ15" s="63">
        <f t="shared" si="90"/>
        <v>0</v>
      </c>
      <c r="HKA15" s="63">
        <f t="shared" si="90"/>
        <v>0</v>
      </c>
      <c r="HKB15" s="63">
        <f t="shared" si="90"/>
        <v>0</v>
      </c>
      <c r="HKC15" s="63">
        <f t="shared" si="90"/>
        <v>0</v>
      </c>
      <c r="HKD15" s="63">
        <f t="shared" si="90"/>
        <v>0</v>
      </c>
      <c r="HKE15" s="63">
        <f t="shared" si="90"/>
        <v>0</v>
      </c>
      <c r="HKF15" s="63">
        <f t="shared" ref="HKF15:HMQ15" si="91">HKE18</f>
        <v>0</v>
      </c>
      <c r="HKG15" s="63">
        <f t="shared" si="91"/>
        <v>0</v>
      </c>
      <c r="HKH15" s="63">
        <f t="shared" si="91"/>
        <v>0</v>
      </c>
      <c r="HKI15" s="63">
        <f t="shared" si="91"/>
        <v>0</v>
      </c>
      <c r="HKJ15" s="63">
        <f t="shared" si="91"/>
        <v>0</v>
      </c>
      <c r="HKK15" s="63">
        <f t="shared" si="91"/>
        <v>0</v>
      </c>
      <c r="HKL15" s="63">
        <f t="shared" si="91"/>
        <v>0</v>
      </c>
      <c r="HKM15" s="63">
        <f t="shared" si="91"/>
        <v>0</v>
      </c>
      <c r="HKN15" s="63">
        <f t="shared" si="91"/>
        <v>0</v>
      </c>
      <c r="HKO15" s="63">
        <f t="shared" si="91"/>
        <v>0</v>
      </c>
      <c r="HKP15" s="63">
        <f t="shared" si="91"/>
        <v>0</v>
      </c>
      <c r="HKQ15" s="63">
        <f t="shared" si="91"/>
        <v>0</v>
      </c>
      <c r="HKR15" s="63">
        <f t="shared" si="91"/>
        <v>0</v>
      </c>
      <c r="HKS15" s="63">
        <f t="shared" si="91"/>
        <v>0</v>
      </c>
      <c r="HKT15" s="63">
        <f t="shared" si="91"/>
        <v>0</v>
      </c>
      <c r="HKU15" s="63">
        <f t="shared" si="91"/>
        <v>0</v>
      </c>
      <c r="HKV15" s="63">
        <f t="shared" si="91"/>
        <v>0</v>
      </c>
      <c r="HKW15" s="63">
        <f t="shared" si="91"/>
        <v>0</v>
      </c>
      <c r="HKX15" s="63">
        <f t="shared" si="91"/>
        <v>0</v>
      </c>
      <c r="HKY15" s="63">
        <f t="shared" si="91"/>
        <v>0</v>
      </c>
      <c r="HKZ15" s="63">
        <f t="shared" si="91"/>
        <v>0</v>
      </c>
      <c r="HLA15" s="63">
        <f t="shared" si="91"/>
        <v>0</v>
      </c>
      <c r="HLB15" s="63">
        <f t="shared" si="91"/>
        <v>0</v>
      </c>
      <c r="HLC15" s="63">
        <f t="shared" si="91"/>
        <v>0</v>
      </c>
      <c r="HLD15" s="63">
        <f t="shared" si="91"/>
        <v>0</v>
      </c>
      <c r="HLE15" s="63">
        <f t="shared" si="91"/>
        <v>0</v>
      </c>
      <c r="HLF15" s="63">
        <f t="shared" si="91"/>
        <v>0</v>
      </c>
      <c r="HLG15" s="63">
        <f t="shared" si="91"/>
        <v>0</v>
      </c>
      <c r="HLH15" s="63">
        <f t="shared" si="91"/>
        <v>0</v>
      </c>
      <c r="HLI15" s="63">
        <f t="shared" si="91"/>
        <v>0</v>
      </c>
      <c r="HLJ15" s="63">
        <f t="shared" si="91"/>
        <v>0</v>
      </c>
      <c r="HLK15" s="63">
        <f t="shared" si="91"/>
        <v>0</v>
      </c>
      <c r="HLL15" s="63">
        <f t="shared" si="91"/>
        <v>0</v>
      </c>
      <c r="HLM15" s="63">
        <f t="shared" si="91"/>
        <v>0</v>
      </c>
      <c r="HLN15" s="63">
        <f t="shared" si="91"/>
        <v>0</v>
      </c>
      <c r="HLO15" s="63">
        <f t="shared" si="91"/>
        <v>0</v>
      </c>
      <c r="HLP15" s="63">
        <f t="shared" si="91"/>
        <v>0</v>
      </c>
      <c r="HLQ15" s="63">
        <f t="shared" si="91"/>
        <v>0</v>
      </c>
      <c r="HLR15" s="63">
        <f t="shared" si="91"/>
        <v>0</v>
      </c>
      <c r="HLS15" s="63">
        <f t="shared" si="91"/>
        <v>0</v>
      </c>
      <c r="HLT15" s="63">
        <f t="shared" si="91"/>
        <v>0</v>
      </c>
      <c r="HLU15" s="63">
        <f t="shared" si="91"/>
        <v>0</v>
      </c>
      <c r="HLV15" s="63">
        <f t="shared" si="91"/>
        <v>0</v>
      </c>
      <c r="HLW15" s="63">
        <f t="shared" si="91"/>
        <v>0</v>
      </c>
      <c r="HLX15" s="63">
        <f t="shared" si="91"/>
        <v>0</v>
      </c>
      <c r="HLY15" s="63">
        <f t="shared" si="91"/>
        <v>0</v>
      </c>
      <c r="HLZ15" s="63">
        <f t="shared" si="91"/>
        <v>0</v>
      </c>
      <c r="HMA15" s="63">
        <f t="shared" si="91"/>
        <v>0</v>
      </c>
      <c r="HMB15" s="63">
        <f t="shared" si="91"/>
        <v>0</v>
      </c>
      <c r="HMC15" s="63">
        <f t="shared" si="91"/>
        <v>0</v>
      </c>
      <c r="HMD15" s="63">
        <f t="shared" si="91"/>
        <v>0</v>
      </c>
      <c r="HME15" s="63">
        <f t="shared" si="91"/>
        <v>0</v>
      </c>
      <c r="HMF15" s="63">
        <f t="shared" si="91"/>
        <v>0</v>
      </c>
      <c r="HMG15" s="63">
        <f t="shared" si="91"/>
        <v>0</v>
      </c>
      <c r="HMH15" s="63">
        <f t="shared" si="91"/>
        <v>0</v>
      </c>
      <c r="HMI15" s="63">
        <f t="shared" si="91"/>
        <v>0</v>
      </c>
      <c r="HMJ15" s="63">
        <f t="shared" si="91"/>
        <v>0</v>
      </c>
      <c r="HMK15" s="63">
        <f t="shared" si="91"/>
        <v>0</v>
      </c>
      <c r="HML15" s="63">
        <f t="shared" si="91"/>
        <v>0</v>
      </c>
      <c r="HMM15" s="63">
        <f t="shared" si="91"/>
        <v>0</v>
      </c>
      <c r="HMN15" s="63">
        <f t="shared" si="91"/>
        <v>0</v>
      </c>
      <c r="HMO15" s="63">
        <f t="shared" si="91"/>
        <v>0</v>
      </c>
      <c r="HMP15" s="63">
        <f t="shared" si="91"/>
        <v>0</v>
      </c>
      <c r="HMQ15" s="63">
        <f t="shared" si="91"/>
        <v>0</v>
      </c>
      <c r="HMR15" s="63">
        <f t="shared" ref="HMR15:HPC15" si="92">HMQ18</f>
        <v>0</v>
      </c>
      <c r="HMS15" s="63">
        <f t="shared" si="92"/>
        <v>0</v>
      </c>
      <c r="HMT15" s="63">
        <f t="shared" si="92"/>
        <v>0</v>
      </c>
      <c r="HMU15" s="63">
        <f t="shared" si="92"/>
        <v>0</v>
      </c>
      <c r="HMV15" s="63">
        <f t="shared" si="92"/>
        <v>0</v>
      </c>
      <c r="HMW15" s="63">
        <f t="shared" si="92"/>
        <v>0</v>
      </c>
      <c r="HMX15" s="63">
        <f t="shared" si="92"/>
        <v>0</v>
      </c>
      <c r="HMY15" s="63">
        <f t="shared" si="92"/>
        <v>0</v>
      </c>
      <c r="HMZ15" s="63">
        <f t="shared" si="92"/>
        <v>0</v>
      </c>
      <c r="HNA15" s="63">
        <f t="shared" si="92"/>
        <v>0</v>
      </c>
      <c r="HNB15" s="63">
        <f t="shared" si="92"/>
        <v>0</v>
      </c>
      <c r="HNC15" s="63">
        <f t="shared" si="92"/>
        <v>0</v>
      </c>
      <c r="HND15" s="63">
        <f t="shared" si="92"/>
        <v>0</v>
      </c>
      <c r="HNE15" s="63">
        <f t="shared" si="92"/>
        <v>0</v>
      </c>
      <c r="HNF15" s="63">
        <f t="shared" si="92"/>
        <v>0</v>
      </c>
      <c r="HNG15" s="63">
        <f t="shared" si="92"/>
        <v>0</v>
      </c>
      <c r="HNH15" s="63">
        <f t="shared" si="92"/>
        <v>0</v>
      </c>
      <c r="HNI15" s="63">
        <f t="shared" si="92"/>
        <v>0</v>
      </c>
      <c r="HNJ15" s="63">
        <f t="shared" si="92"/>
        <v>0</v>
      </c>
      <c r="HNK15" s="63">
        <f t="shared" si="92"/>
        <v>0</v>
      </c>
      <c r="HNL15" s="63">
        <f t="shared" si="92"/>
        <v>0</v>
      </c>
      <c r="HNM15" s="63">
        <f t="shared" si="92"/>
        <v>0</v>
      </c>
      <c r="HNN15" s="63">
        <f t="shared" si="92"/>
        <v>0</v>
      </c>
      <c r="HNO15" s="63">
        <f t="shared" si="92"/>
        <v>0</v>
      </c>
      <c r="HNP15" s="63">
        <f t="shared" si="92"/>
        <v>0</v>
      </c>
      <c r="HNQ15" s="63">
        <f t="shared" si="92"/>
        <v>0</v>
      </c>
      <c r="HNR15" s="63">
        <f t="shared" si="92"/>
        <v>0</v>
      </c>
      <c r="HNS15" s="63">
        <f t="shared" si="92"/>
        <v>0</v>
      </c>
      <c r="HNT15" s="63">
        <f t="shared" si="92"/>
        <v>0</v>
      </c>
      <c r="HNU15" s="63">
        <f t="shared" si="92"/>
        <v>0</v>
      </c>
      <c r="HNV15" s="63">
        <f t="shared" si="92"/>
        <v>0</v>
      </c>
      <c r="HNW15" s="63">
        <f t="shared" si="92"/>
        <v>0</v>
      </c>
      <c r="HNX15" s="63">
        <f t="shared" si="92"/>
        <v>0</v>
      </c>
      <c r="HNY15" s="63">
        <f t="shared" si="92"/>
        <v>0</v>
      </c>
      <c r="HNZ15" s="63">
        <f t="shared" si="92"/>
        <v>0</v>
      </c>
      <c r="HOA15" s="63">
        <f t="shared" si="92"/>
        <v>0</v>
      </c>
      <c r="HOB15" s="63">
        <f t="shared" si="92"/>
        <v>0</v>
      </c>
      <c r="HOC15" s="63">
        <f t="shared" si="92"/>
        <v>0</v>
      </c>
      <c r="HOD15" s="63">
        <f t="shared" si="92"/>
        <v>0</v>
      </c>
      <c r="HOE15" s="63">
        <f t="shared" si="92"/>
        <v>0</v>
      </c>
      <c r="HOF15" s="63">
        <f t="shared" si="92"/>
        <v>0</v>
      </c>
      <c r="HOG15" s="63">
        <f t="shared" si="92"/>
        <v>0</v>
      </c>
      <c r="HOH15" s="63">
        <f t="shared" si="92"/>
        <v>0</v>
      </c>
      <c r="HOI15" s="63">
        <f t="shared" si="92"/>
        <v>0</v>
      </c>
      <c r="HOJ15" s="63">
        <f t="shared" si="92"/>
        <v>0</v>
      </c>
      <c r="HOK15" s="63">
        <f t="shared" si="92"/>
        <v>0</v>
      </c>
      <c r="HOL15" s="63">
        <f t="shared" si="92"/>
        <v>0</v>
      </c>
      <c r="HOM15" s="63">
        <f t="shared" si="92"/>
        <v>0</v>
      </c>
      <c r="HON15" s="63">
        <f t="shared" si="92"/>
        <v>0</v>
      </c>
      <c r="HOO15" s="63">
        <f t="shared" si="92"/>
        <v>0</v>
      </c>
      <c r="HOP15" s="63">
        <f t="shared" si="92"/>
        <v>0</v>
      </c>
      <c r="HOQ15" s="63">
        <f t="shared" si="92"/>
        <v>0</v>
      </c>
      <c r="HOR15" s="63">
        <f t="shared" si="92"/>
        <v>0</v>
      </c>
      <c r="HOS15" s="63">
        <f t="shared" si="92"/>
        <v>0</v>
      </c>
      <c r="HOT15" s="63">
        <f t="shared" si="92"/>
        <v>0</v>
      </c>
      <c r="HOU15" s="63">
        <f t="shared" si="92"/>
        <v>0</v>
      </c>
      <c r="HOV15" s="63">
        <f t="shared" si="92"/>
        <v>0</v>
      </c>
      <c r="HOW15" s="63">
        <f t="shared" si="92"/>
        <v>0</v>
      </c>
      <c r="HOX15" s="63">
        <f t="shared" si="92"/>
        <v>0</v>
      </c>
      <c r="HOY15" s="63">
        <f t="shared" si="92"/>
        <v>0</v>
      </c>
      <c r="HOZ15" s="63">
        <f t="shared" si="92"/>
        <v>0</v>
      </c>
      <c r="HPA15" s="63">
        <f t="shared" si="92"/>
        <v>0</v>
      </c>
      <c r="HPB15" s="63">
        <f t="shared" si="92"/>
        <v>0</v>
      </c>
      <c r="HPC15" s="63">
        <f t="shared" si="92"/>
        <v>0</v>
      </c>
      <c r="HPD15" s="63">
        <f t="shared" ref="HPD15:HRO15" si="93">HPC18</f>
        <v>0</v>
      </c>
      <c r="HPE15" s="63">
        <f t="shared" si="93"/>
        <v>0</v>
      </c>
      <c r="HPF15" s="63">
        <f t="shared" si="93"/>
        <v>0</v>
      </c>
      <c r="HPG15" s="63">
        <f t="shared" si="93"/>
        <v>0</v>
      </c>
      <c r="HPH15" s="63">
        <f t="shared" si="93"/>
        <v>0</v>
      </c>
      <c r="HPI15" s="63">
        <f t="shared" si="93"/>
        <v>0</v>
      </c>
      <c r="HPJ15" s="63">
        <f t="shared" si="93"/>
        <v>0</v>
      </c>
      <c r="HPK15" s="63">
        <f t="shared" si="93"/>
        <v>0</v>
      </c>
      <c r="HPL15" s="63">
        <f t="shared" si="93"/>
        <v>0</v>
      </c>
      <c r="HPM15" s="63">
        <f t="shared" si="93"/>
        <v>0</v>
      </c>
      <c r="HPN15" s="63">
        <f t="shared" si="93"/>
        <v>0</v>
      </c>
      <c r="HPO15" s="63">
        <f t="shared" si="93"/>
        <v>0</v>
      </c>
      <c r="HPP15" s="63">
        <f t="shared" si="93"/>
        <v>0</v>
      </c>
      <c r="HPQ15" s="63">
        <f t="shared" si="93"/>
        <v>0</v>
      </c>
      <c r="HPR15" s="63">
        <f t="shared" si="93"/>
        <v>0</v>
      </c>
      <c r="HPS15" s="63">
        <f t="shared" si="93"/>
        <v>0</v>
      </c>
      <c r="HPT15" s="63">
        <f t="shared" si="93"/>
        <v>0</v>
      </c>
      <c r="HPU15" s="63">
        <f t="shared" si="93"/>
        <v>0</v>
      </c>
      <c r="HPV15" s="63">
        <f t="shared" si="93"/>
        <v>0</v>
      </c>
      <c r="HPW15" s="63">
        <f t="shared" si="93"/>
        <v>0</v>
      </c>
      <c r="HPX15" s="63">
        <f t="shared" si="93"/>
        <v>0</v>
      </c>
      <c r="HPY15" s="63">
        <f t="shared" si="93"/>
        <v>0</v>
      </c>
      <c r="HPZ15" s="63">
        <f t="shared" si="93"/>
        <v>0</v>
      </c>
      <c r="HQA15" s="63">
        <f t="shared" si="93"/>
        <v>0</v>
      </c>
      <c r="HQB15" s="63">
        <f t="shared" si="93"/>
        <v>0</v>
      </c>
      <c r="HQC15" s="63">
        <f t="shared" si="93"/>
        <v>0</v>
      </c>
      <c r="HQD15" s="63">
        <f t="shared" si="93"/>
        <v>0</v>
      </c>
      <c r="HQE15" s="63">
        <f t="shared" si="93"/>
        <v>0</v>
      </c>
      <c r="HQF15" s="63">
        <f t="shared" si="93"/>
        <v>0</v>
      </c>
      <c r="HQG15" s="63">
        <f t="shared" si="93"/>
        <v>0</v>
      </c>
      <c r="HQH15" s="63">
        <f t="shared" si="93"/>
        <v>0</v>
      </c>
      <c r="HQI15" s="63">
        <f t="shared" si="93"/>
        <v>0</v>
      </c>
      <c r="HQJ15" s="63">
        <f t="shared" si="93"/>
        <v>0</v>
      </c>
      <c r="HQK15" s="63">
        <f t="shared" si="93"/>
        <v>0</v>
      </c>
      <c r="HQL15" s="63">
        <f t="shared" si="93"/>
        <v>0</v>
      </c>
      <c r="HQM15" s="63">
        <f t="shared" si="93"/>
        <v>0</v>
      </c>
      <c r="HQN15" s="63">
        <f t="shared" si="93"/>
        <v>0</v>
      </c>
      <c r="HQO15" s="63">
        <f t="shared" si="93"/>
        <v>0</v>
      </c>
      <c r="HQP15" s="63">
        <f t="shared" si="93"/>
        <v>0</v>
      </c>
      <c r="HQQ15" s="63">
        <f t="shared" si="93"/>
        <v>0</v>
      </c>
      <c r="HQR15" s="63">
        <f t="shared" si="93"/>
        <v>0</v>
      </c>
      <c r="HQS15" s="63">
        <f t="shared" si="93"/>
        <v>0</v>
      </c>
      <c r="HQT15" s="63">
        <f t="shared" si="93"/>
        <v>0</v>
      </c>
      <c r="HQU15" s="63">
        <f t="shared" si="93"/>
        <v>0</v>
      </c>
      <c r="HQV15" s="63">
        <f t="shared" si="93"/>
        <v>0</v>
      </c>
      <c r="HQW15" s="63">
        <f t="shared" si="93"/>
        <v>0</v>
      </c>
      <c r="HQX15" s="63">
        <f t="shared" si="93"/>
        <v>0</v>
      </c>
      <c r="HQY15" s="63">
        <f t="shared" si="93"/>
        <v>0</v>
      </c>
      <c r="HQZ15" s="63">
        <f t="shared" si="93"/>
        <v>0</v>
      </c>
      <c r="HRA15" s="63">
        <f t="shared" si="93"/>
        <v>0</v>
      </c>
      <c r="HRB15" s="63">
        <f t="shared" si="93"/>
        <v>0</v>
      </c>
      <c r="HRC15" s="63">
        <f t="shared" si="93"/>
        <v>0</v>
      </c>
      <c r="HRD15" s="63">
        <f t="shared" si="93"/>
        <v>0</v>
      </c>
      <c r="HRE15" s="63">
        <f t="shared" si="93"/>
        <v>0</v>
      </c>
      <c r="HRF15" s="63">
        <f t="shared" si="93"/>
        <v>0</v>
      </c>
      <c r="HRG15" s="63">
        <f t="shared" si="93"/>
        <v>0</v>
      </c>
      <c r="HRH15" s="63">
        <f t="shared" si="93"/>
        <v>0</v>
      </c>
      <c r="HRI15" s="63">
        <f t="shared" si="93"/>
        <v>0</v>
      </c>
      <c r="HRJ15" s="63">
        <f t="shared" si="93"/>
        <v>0</v>
      </c>
      <c r="HRK15" s="63">
        <f t="shared" si="93"/>
        <v>0</v>
      </c>
      <c r="HRL15" s="63">
        <f t="shared" si="93"/>
        <v>0</v>
      </c>
      <c r="HRM15" s="63">
        <f t="shared" si="93"/>
        <v>0</v>
      </c>
      <c r="HRN15" s="63">
        <f t="shared" si="93"/>
        <v>0</v>
      </c>
      <c r="HRO15" s="63">
        <f t="shared" si="93"/>
        <v>0</v>
      </c>
      <c r="HRP15" s="63">
        <f t="shared" ref="HRP15:HUA15" si="94">HRO18</f>
        <v>0</v>
      </c>
      <c r="HRQ15" s="63">
        <f t="shared" si="94"/>
        <v>0</v>
      </c>
      <c r="HRR15" s="63">
        <f t="shared" si="94"/>
        <v>0</v>
      </c>
      <c r="HRS15" s="63">
        <f t="shared" si="94"/>
        <v>0</v>
      </c>
      <c r="HRT15" s="63">
        <f t="shared" si="94"/>
        <v>0</v>
      </c>
      <c r="HRU15" s="63">
        <f t="shared" si="94"/>
        <v>0</v>
      </c>
      <c r="HRV15" s="63">
        <f t="shared" si="94"/>
        <v>0</v>
      </c>
      <c r="HRW15" s="63">
        <f t="shared" si="94"/>
        <v>0</v>
      </c>
      <c r="HRX15" s="63">
        <f t="shared" si="94"/>
        <v>0</v>
      </c>
      <c r="HRY15" s="63">
        <f t="shared" si="94"/>
        <v>0</v>
      </c>
      <c r="HRZ15" s="63">
        <f t="shared" si="94"/>
        <v>0</v>
      </c>
      <c r="HSA15" s="63">
        <f t="shared" si="94"/>
        <v>0</v>
      </c>
      <c r="HSB15" s="63">
        <f t="shared" si="94"/>
        <v>0</v>
      </c>
      <c r="HSC15" s="63">
        <f t="shared" si="94"/>
        <v>0</v>
      </c>
      <c r="HSD15" s="63">
        <f t="shared" si="94"/>
        <v>0</v>
      </c>
      <c r="HSE15" s="63">
        <f t="shared" si="94"/>
        <v>0</v>
      </c>
      <c r="HSF15" s="63">
        <f t="shared" si="94"/>
        <v>0</v>
      </c>
      <c r="HSG15" s="63">
        <f t="shared" si="94"/>
        <v>0</v>
      </c>
      <c r="HSH15" s="63">
        <f t="shared" si="94"/>
        <v>0</v>
      </c>
      <c r="HSI15" s="63">
        <f t="shared" si="94"/>
        <v>0</v>
      </c>
      <c r="HSJ15" s="63">
        <f t="shared" si="94"/>
        <v>0</v>
      </c>
      <c r="HSK15" s="63">
        <f t="shared" si="94"/>
        <v>0</v>
      </c>
      <c r="HSL15" s="63">
        <f t="shared" si="94"/>
        <v>0</v>
      </c>
      <c r="HSM15" s="63">
        <f t="shared" si="94"/>
        <v>0</v>
      </c>
      <c r="HSN15" s="63">
        <f t="shared" si="94"/>
        <v>0</v>
      </c>
      <c r="HSO15" s="63">
        <f t="shared" si="94"/>
        <v>0</v>
      </c>
      <c r="HSP15" s="63">
        <f t="shared" si="94"/>
        <v>0</v>
      </c>
      <c r="HSQ15" s="63">
        <f t="shared" si="94"/>
        <v>0</v>
      </c>
      <c r="HSR15" s="63">
        <f t="shared" si="94"/>
        <v>0</v>
      </c>
      <c r="HSS15" s="63">
        <f t="shared" si="94"/>
        <v>0</v>
      </c>
      <c r="HST15" s="63">
        <f t="shared" si="94"/>
        <v>0</v>
      </c>
      <c r="HSU15" s="63">
        <f t="shared" si="94"/>
        <v>0</v>
      </c>
      <c r="HSV15" s="63">
        <f t="shared" si="94"/>
        <v>0</v>
      </c>
      <c r="HSW15" s="63">
        <f t="shared" si="94"/>
        <v>0</v>
      </c>
      <c r="HSX15" s="63">
        <f t="shared" si="94"/>
        <v>0</v>
      </c>
      <c r="HSY15" s="63">
        <f t="shared" si="94"/>
        <v>0</v>
      </c>
      <c r="HSZ15" s="63">
        <f t="shared" si="94"/>
        <v>0</v>
      </c>
      <c r="HTA15" s="63">
        <f t="shared" si="94"/>
        <v>0</v>
      </c>
      <c r="HTB15" s="63">
        <f t="shared" si="94"/>
        <v>0</v>
      </c>
      <c r="HTC15" s="63">
        <f t="shared" si="94"/>
        <v>0</v>
      </c>
      <c r="HTD15" s="63">
        <f t="shared" si="94"/>
        <v>0</v>
      </c>
      <c r="HTE15" s="63">
        <f t="shared" si="94"/>
        <v>0</v>
      </c>
      <c r="HTF15" s="63">
        <f t="shared" si="94"/>
        <v>0</v>
      </c>
      <c r="HTG15" s="63">
        <f t="shared" si="94"/>
        <v>0</v>
      </c>
      <c r="HTH15" s="63">
        <f t="shared" si="94"/>
        <v>0</v>
      </c>
      <c r="HTI15" s="63">
        <f t="shared" si="94"/>
        <v>0</v>
      </c>
      <c r="HTJ15" s="63">
        <f t="shared" si="94"/>
        <v>0</v>
      </c>
      <c r="HTK15" s="63">
        <f t="shared" si="94"/>
        <v>0</v>
      </c>
      <c r="HTL15" s="63">
        <f t="shared" si="94"/>
        <v>0</v>
      </c>
      <c r="HTM15" s="63">
        <f t="shared" si="94"/>
        <v>0</v>
      </c>
      <c r="HTN15" s="63">
        <f t="shared" si="94"/>
        <v>0</v>
      </c>
      <c r="HTO15" s="63">
        <f t="shared" si="94"/>
        <v>0</v>
      </c>
      <c r="HTP15" s="63">
        <f t="shared" si="94"/>
        <v>0</v>
      </c>
      <c r="HTQ15" s="63">
        <f t="shared" si="94"/>
        <v>0</v>
      </c>
      <c r="HTR15" s="63">
        <f t="shared" si="94"/>
        <v>0</v>
      </c>
      <c r="HTS15" s="63">
        <f t="shared" si="94"/>
        <v>0</v>
      </c>
      <c r="HTT15" s="63">
        <f t="shared" si="94"/>
        <v>0</v>
      </c>
      <c r="HTU15" s="63">
        <f t="shared" si="94"/>
        <v>0</v>
      </c>
      <c r="HTV15" s="63">
        <f t="shared" si="94"/>
        <v>0</v>
      </c>
      <c r="HTW15" s="63">
        <f t="shared" si="94"/>
        <v>0</v>
      </c>
      <c r="HTX15" s="63">
        <f t="shared" si="94"/>
        <v>0</v>
      </c>
      <c r="HTY15" s="63">
        <f t="shared" si="94"/>
        <v>0</v>
      </c>
      <c r="HTZ15" s="63">
        <f t="shared" si="94"/>
        <v>0</v>
      </c>
      <c r="HUA15" s="63">
        <f t="shared" si="94"/>
        <v>0</v>
      </c>
      <c r="HUB15" s="63">
        <f t="shared" ref="HUB15:HWM15" si="95">HUA18</f>
        <v>0</v>
      </c>
      <c r="HUC15" s="63">
        <f t="shared" si="95"/>
        <v>0</v>
      </c>
      <c r="HUD15" s="63">
        <f t="shared" si="95"/>
        <v>0</v>
      </c>
      <c r="HUE15" s="63">
        <f t="shared" si="95"/>
        <v>0</v>
      </c>
      <c r="HUF15" s="63">
        <f t="shared" si="95"/>
        <v>0</v>
      </c>
      <c r="HUG15" s="63">
        <f t="shared" si="95"/>
        <v>0</v>
      </c>
      <c r="HUH15" s="63">
        <f t="shared" si="95"/>
        <v>0</v>
      </c>
      <c r="HUI15" s="63">
        <f t="shared" si="95"/>
        <v>0</v>
      </c>
      <c r="HUJ15" s="63">
        <f t="shared" si="95"/>
        <v>0</v>
      </c>
      <c r="HUK15" s="63">
        <f t="shared" si="95"/>
        <v>0</v>
      </c>
      <c r="HUL15" s="63">
        <f t="shared" si="95"/>
        <v>0</v>
      </c>
      <c r="HUM15" s="63">
        <f t="shared" si="95"/>
        <v>0</v>
      </c>
      <c r="HUN15" s="63">
        <f t="shared" si="95"/>
        <v>0</v>
      </c>
      <c r="HUO15" s="63">
        <f t="shared" si="95"/>
        <v>0</v>
      </c>
      <c r="HUP15" s="63">
        <f t="shared" si="95"/>
        <v>0</v>
      </c>
      <c r="HUQ15" s="63">
        <f t="shared" si="95"/>
        <v>0</v>
      </c>
      <c r="HUR15" s="63">
        <f t="shared" si="95"/>
        <v>0</v>
      </c>
      <c r="HUS15" s="63">
        <f t="shared" si="95"/>
        <v>0</v>
      </c>
      <c r="HUT15" s="63">
        <f t="shared" si="95"/>
        <v>0</v>
      </c>
      <c r="HUU15" s="63">
        <f t="shared" si="95"/>
        <v>0</v>
      </c>
      <c r="HUV15" s="63">
        <f t="shared" si="95"/>
        <v>0</v>
      </c>
      <c r="HUW15" s="63">
        <f t="shared" si="95"/>
        <v>0</v>
      </c>
      <c r="HUX15" s="63">
        <f t="shared" si="95"/>
        <v>0</v>
      </c>
      <c r="HUY15" s="63">
        <f t="shared" si="95"/>
        <v>0</v>
      </c>
      <c r="HUZ15" s="63">
        <f t="shared" si="95"/>
        <v>0</v>
      </c>
      <c r="HVA15" s="63">
        <f t="shared" si="95"/>
        <v>0</v>
      </c>
      <c r="HVB15" s="63">
        <f t="shared" si="95"/>
        <v>0</v>
      </c>
      <c r="HVC15" s="63">
        <f t="shared" si="95"/>
        <v>0</v>
      </c>
      <c r="HVD15" s="63">
        <f t="shared" si="95"/>
        <v>0</v>
      </c>
      <c r="HVE15" s="63">
        <f t="shared" si="95"/>
        <v>0</v>
      </c>
      <c r="HVF15" s="63">
        <f t="shared" si="95"/>
        <v>0</v>
      </c>
      <c r="HVG15" s="63">
        <f t="shared" si="95"/>
        <v>0</v>
      </c>
      <c r="HVH15" s="63">
        <f t="shared" si="95"/>
        <v>0</v>
      </c>
      <c r="HVI15" s="63">
        <f t="shared" si="95"/>
        <v>0</v>
      </c>
      <c r="HVJ15" s="63">
        <f t="shared" si="95"/>
        <v>0</v>
      </c>
      <c r="HVK15" s="63">
        <f t="shared" si="95"/>
        <v>0</v>
      </c>
      <c r="HVL15" s="63">
        <f t="shared" si="95"/>
        <v>0</v>
      </c>
      <c r="HVM15" s="63">
        <f t="shared" si="95"/>
        <v>0</v>
      </c>
      <c r="HVN15" s="63">
        <f t="shared" si="95"/>
        <v>0</v>
      </c>
      <c r="HVO15" s="63">
        <f t="shared" si="95"/>
        <v>0</v>
      </c>
      <c r="HVP15" s="63">
        <f t="shared" si="95"/>
        <v>0</v>
      </c>
      <c r="HVQ15" s="63">
        <f t="shared" si="95"/>
        <v>0</v>
      </c>
      <c r="HVR15" s="63">
        <f t="shared" si="95"/>
        <v>0</v>
      </c>
      <c r="HVS15" s="63">
        <f t="shared" si="95"/>
        <v>0</v>
      </c>
      <c r="HVT15" s="63">
        <f t="shared" si="95"/>
        <v>0</v>
      </c>
      <c r="HVU15" s="63">
        <f t="shared" si="95"/>
        <v>0</v>
      </c>
      <c r="HVV15" s="63">
        <f t="shared" si="95"/>
        <v>0</v>
      </c>
      <c r="HVW15" s="63">
        <f t="shared" si="95"/>
        <v>0</v>
      </c>
      <c r="HVX15" s="63">
        <f t="shared" si="95"/>
        <v>0</v>
      </c>
      <c r="HVY15" s="63">
        <f t="shared" si="95"/>
        <v>0</v>
      </c>
      <c r="HVZ15" s="63">
        <f t="shared" si="95"/>
        <v>0</v>
      </c>
      <c r="HWA15" s="63">
        <f t="shared" si="95"/>
        <v>0</v>
      </c>
      <c r="HWB15" s="63">
        <f t="shared" si="95"/>
        <v>0</v>
      </c>
      <c r="HWC15" s="63">
        <f t="shared" si="95"/>
        <v>0</v>
      </c>
      <c r="HWD15" s="63">
        <f t="shared" si="95"/>
        <v>0</v>
      </c>
      <c r="HWE15" s="63">
        <f t="shared" si="95"/>
        <v>0</v>
      </c>
      <c r="HWF15" s="63">
        <f t="shared" si="95"/>
        <v>0</v>
      </c>
      <c r="HWG15" s="63">
        <f t="shared" si="95"/>
        <v>0</v>
      </c>
      <c r="HWH15" s="63">
        <f t="shared" si="95"/>
        <v>0</v>
      </c>
      <c r="HWI15" s="63">
        <f t="shared" si="95"/>
        <v>0</v>
      </c>
      <c r="HWJ15" s="63">
        <f t="shared" si="95"/>
        <v>0</v>
      </c>
      <c r="HWK15" s="63">
        <f t="shared" si="95"/>
        <v>0</v>
      </c>
      <c r="HWL15" s="63">
        <f t="shared" si="95"/>
        <v>0</v>
      </c>
      <c r="HWM15" s="63">
        <f t="shared" si="95"/>
        <v>0</v>
      </c>
      <c r="HWN15" s="63">
        <f t="shared" ref="HWN15:HYY15" si="96">HWM18</f>
        <v>0</v>
      </c>
      <c r="HWO15" s="63">
        <f t="shared" si="96"/>
        <v>0</v>
      </c>
      <c r="HWP15" s="63">
        <f t="shared" si="96"/>
        <v>0</v>
      </c>
      <c r="HWQ15" s="63">
        <f t="shared" si="96"/>
        <v>0</v>
      </c>
      <c r="HWR15" s="63">
        <f t="shared" si="96"/>
        <v>0</v>
      </c>
      <c r="HWS15" s="63">
        <f t="shared" si="96"/>
        <v>0</v>
      </c>
      <c r="HWT15" s="63">
        <f t="shared" si="96"/>
        <v>0</v>
      </c>
      <c r="HWU15" s="63">
        <f t="shared" si="96"/>
        <v>0</v>
      </c>
      <c r="HWV15" s="63">
        <f t="shared" si="96"/>
        <v>0</v>
      </c>
      <c r="HWW15" s="63">
        <f t="shared" si="96"/>
        <v>0</v>
      </c>
      <c r="HWX15" s="63">
        <f t="shared" si="96"/>
        <v>0</v>
      </c>
      <c r="HWY15" s="63">
        <f t="shared" si="96"/>
        <v>0</v>
      </c>
      <c r="HWZ15" s="63">
        <f t="shared" si="96"/>
        <v>0</v>
      </c>
      <c r="HXA15" s="63">
        <f t="shared" si="96"/>
        <v>0</v>
      </c>
      <c r="HXB15" s="63">
        <f t="shared" si="96"/>
        <v>0</v>
      </c>
      <c r="HXC15" s="63">
        <f t="shared" si="96"/>
        <v>0</v>
      </c>
      <c r="HXD15" s="63">
        <f t="shared" si="96"/>
        <v>0</v>
      </c>
      <c r="HXE15" s="63">
        <f t="shared" si="96"/>
        <v>0</v>
      </c>
      <c r="HXF15" s="63">
        <f t="shared" si="96"/>
        <v>0</v>
      </c>
      <c r="HXG15" s="63">
        <f t="shared" si="96"/>
        <v>0</v>
      </c>
      <c r="HXH15" s="63">
        <f t="shared" si="96"/>
        <v>0</v>
      </c>
      <c r="HXI15" s="63">
        <f t="shared" si="96"/>
        <v>0</v>
      </c>
      <c r="HXJ15" s="63">
        <f t="shared" si="96"/>
        <v>0</v>
      </c>
      <c r="HXK15" s="63">
        <f t="shared" si="96"/>
        <v>0</v>
      </c>
      <c r="HXL15" s="63">
        <f t="shared" si="96"/>
        <v>0</v>
      </c>
      <c r="HXM15" s="63">
        <f t="shared" si="96"/>
        <v>0</v>
      </c>
      <c r="HXN15" s="63">
        <f t="shared" si="96"/>
        <v>0</v>
      </c>
      <c r="HXO15" s="63">
        <f t="shared" si="96"/>
        <v>0</v>
      </c>
      <c r="HXP15" s="63">
        <f t="shared" si="96"/>
        <v>0</v>
      </c>
      <c r="HXQ15" s="63">
        <f t="shared" si="96"/>
        <v>0</v>
      </c>
      <c r="HXR15" s="63">
        <f t="shared" si="96"/>
        <v>0</v>
      </c>
      <c r="HXS15" s="63">
        <f t="shared" si="96"/>
        <v>0</v>
      </c>
      <c r="HXT15" s="63">
        <f t="shared" si="96"/>
        <v>0</v>
      </c>
      <c r="HXU15" s="63">
        <f t="shared" si="96"/>
        <v>0</v>
      </c>
      <c r="HXV15" s="63">
        <f t="shared" si="96"/>
        <v>0</v>
      </c>
      <c r="HXW15" s="63">
        <f t="shared" si="96"/>
        <v>0</v>
      </c>
      <c r="HXX15" s="63">
        <f t="shared" si="96"/>
        <v>0</v>
      </c>
      <c r="HXY15" s="63">
        <f t="shared" si="96"/>
        <v>0</v>
      </c>
      <c r="HXZ15" s="63">
        <f t="shared" si="96"/>
        <v>0</v>
      </c>
      <c r="HYA15" s="63">
        <f t="shared" si="96"/>
        <v>0</v>
      </c>
      <c r="HYB15" s="63">
        <f t="shared" si="96"/>
        <v>0</v>
      </c>
      <c r="HYC15" s="63">
        <f t="shared" si="96"/>
        <v>0</v>
      </c>
      <c r="HYD15" s="63">
        <f t="shared" si="96"/>
        <v>0</v>
      </c>
      <c r="HYE15" s="63">
        <f t="shared" si="96"/>
        <v>0</v>
      </c>
      <c r="HYF15" s="63">
        <f t="shared" si="96"/>
        <v>0</v>
      </c>
      <c r="HYG15" s="63">
        <f t="shared" si="96"/>
        <v>0</v>
      </c>
      <c r="HYH15" s="63">
        <f t="shared" si="96"/>
        <v>0</v>
      </c>
      <c r="HYI15" s="63">
        <f t="shared" si="96"/>
        <v>0</v>
      </c>
      <c r="HYJ15" s="63">
        <f t="shared" si="96"/>
        <v>0</v>
      </c>
      <c r="HYK15" s="63">
        <f t="shared" si="96"/>
        <v>0</v>
      </c>
      <c r="HYL15" s="63">
        <f t="shared" si="96"/>
        <v>0</v>
      </c>
      <c r="HYM15" s="63">
        <f t="shared" si="96"/>
        <v>0</v>
      </c>
      <c r="HYN15" s="63">
        <f t="shared" si="96"/>
        <v>0</v>
      </c>
      <c r="HYO15" s="63">
        <f t="shared" si="96"/>
        <v>0</v>
      </c>
      <c r="HYP15" s="63">
        <f t="shared" si="96"/>
        <v>0</v>
      </c>
      <c r="HYQ15" s="63">
        <f t="shared" si="96"/>
        <v>0</v>
      </c>
      <c r="HYR15" s="63">
        <f t="shared" si="96"/>
        <v>0</v>
      </c>
      <c r="HYS15" s="63">
        <f t="shared" si="96"/>
        <v>0</v>
      </c>
      <c r="HYT15" s="63">
        <f t="shared" si="96"/>
        <v>0</v>
      </c>
      <c r="HYU15" s="63">
        <f t="shared" si="96"/>
        <v>0</v>
      </c>
      <c r="HYV15" s="63">
        <f t="shared" si="96"/>
        <v>0</v>
      </c>
      <c r="HYW15" s="63">
        <f t="shared" si="96"/>
        <v>0</v>
      </c>
      <c r="HYX15" s="63">
        <f t="shared" si="96"/>
        <v>0</v>
      </c>
      <c r="HYY15" s="63">
        <f t="shared" si="96"/>
        <v>0</v>
      </c>
      <c r="HYZ15" s="63">
        <f t="shared" ref="HYZ15:IBK15" si="97">HYY18</f>
        <v>0</v>
      </c>
      <c r="HZA15" s="63">
        <f t="shared" si="97"/>
        <v>0</v>
      </c>
      <c r="HZB15" s="63">
        <f t="shared" si="97"/>
        <v>0</v>
      </c>
      <c r="HZC15" s="63">
        <f t="shared" si="97"/>
        <v>0</v>
      </c>
      <c r="HZD15" s="63">
        <f t="shared" si="97"/>
        <v>0</v>
      </c>
      <c r="HZE15" s="63">
        <f t="shared" si="97"/>
        <v>0</v>
      </c>
      <c r="HZF15" s="63">
        <f t="shared" si="97"/>
        <v>0</v>
      </c>
      <c r="HZG15" s="63">
        <f t="shared" si="97"/>
        <v>0</v>
      </c>
      <c r="HZH15" s="63">
        <f t="shared" si="97"/>
        <v>0</v>
      </c>
      <c r="HZI15" s="63">
        <f t="shared" si="97"/>
        <v>0</v>
      </c>
      <c r="HZJ15" s="63">
        <f t="shared" si="97"/>
        <v>0</v>
      </c>
      <c r="HZK15" s="63">
        <f t="shared" si="97"/>
        <v>0</v>
      </c>
      <c r="HZL15" s="63">
        <f t="shared" si="97"/>
        <v>0</v>
      </c>
      <c r="HZM15" s="63">
        <f t="shared" si="97"/>
        <v>0</v>
      </c>
      <c r="HZN15" s="63">
        <f t="shared" si="97"/>
        <v>0</v>
      </c>
      <c r="HZO15" s="63">
        <f t="shared" si="97"/>
        <v>0</v>
      </c>
      <c r="HZP15" s="63">
        <f t="shared" si="97"/>
        <v>0</v>
      </c>
      <c r="HZQ15" s="63">
        <f t="shared" si="97"/>
        <v>0</v>
      </c>
      <c r="HZR15" s="63">
        <f t="shared" si="97"/>
        <v>0</v>
      </c>
      <c r="HZS15" s="63">
        <f t="shared" si="97"/>
        <v>0</v>
      </c>
      <c r="HZT15" s="63">
        <f t="shared" si="97"/>
        <v>0</v>
      </c>
      <c r="HZU15" s="63">
        <f t="shared" si="97"/>
        <v>0</v>
      </c>
      <c r="HZV15" s="63">
        <f t="shared" si="97"/>
        <v>0</v>
      </c>
      <c r="HZW15" s="63">
        <f t="shared" si="97"/>
        <v>0</v>
      </c>
      <c r="HZX15" s="63">
        <f t="shared" si="97"/>
        <v>0</v>
      </c>
      <c r="HZY15" s="63">
        <f t="shared" si="97"/>
        <v>0</v>
      </c>
      <c r="HZZ15" s="63">
        <f t="shared" si="97"/>
        <v>0</v>
      </c>
      <c r="IAA15" s="63">
        <f t="shared" si="97"/>
        <v>0</v>
      </c>
      <c r="IAB15" s="63">
        <f t="shared" si="97"/>
        <v>0</v>
      </c>
      <c r="IAC15" s="63">
        <f t="shared" si="97"/>
        <v>0</v>
      </c>
      <c r="IAD15" s="63">
        <f t="shared" si="97"/>
        <v>0</v>
      </c>
      <c r="IAE15" s="63">
        <f t="shared" si="97"/>
        <v>0</v>
      </c>
      <c r="IAF15" s="63">
        <f t="shared" si="97"/>
        <v>0</v>
      </c>
      <c r="IAG15" s="63">
        <f t="shared" si="97"/>
        <v>0</v>
      </c>
      <c r="IAH15" s="63">
        <f t="shared" si="97"/>
        <v>0</v>
      </c>
      <c r="IAI15" s="63">
        <f t="shared" si="97"/>
        <v>0</v>
      </c>
      <c r="IAJ15" s="63">
        <f t="shared" si="97"/>
        <v>0</v>
      </c>
      <c r="IAK15" s="63">
        <f t="shared" si="97"/>
        <v>0</v>
      </c>
      <c r="IAL15" s="63">
        <f t="shared" si="97"/>
        <v>0</v>
      </c>
      <c r="IAM15" s="63">
        <f t="shared" si="97"/>
        <v>0</v>
      </c>
      <c r="IAN15" s="63">
        <f t="shared" si="97"/>
        <v>0</v>
      </c>
      <c r="IAO15" s="63">
        <f t="shared" si="97"/>
        <v>0</v>
      </c>
      <c r="IAP15" s="63">
        <f t="shared" si="97"/>
        <v>0</v>
      </c>
      <c r="IAQ15" s="63">
        <f t="shared" si="97"/>
        <v>0</v>
      </c>
      <c r="IAR15" s="63">
        <f t="shared" si="97"/>
        <v>0</v>
      </c>
      <c r="IAS15" s="63">
        <f t="shared" si="97"/>
        <v>0</v>
      </c>
      <c r="IAT15" s="63">
        <f t="shared" si="97"/>
        <v>0</v>
      </c>
      <c r="IAU15" s="63">
        <f t="shared" si="97"/>
        <v>0</v>
      </c>
      <c r="IAV15" s="63">
        <f t="shared" si="97"/>
        <v>0</v>
      </c>
      <c r="IAW15" s="63">
        <f t="shared" si="97"/>
        <v>0</v>
      </c>
      <c r="IAX15" s="63">
        <f t="shared" si="97"/>
        <v>0</v>
      </c>
      <c r="IAY15" s="63">
        <f t="shared" si="97"/>
        <v>0</v>
      </c>
      <c r="IAZ15" s="63">
        <f t="shared" si="97"/>
        <v>0</v>
      </c>
      <c r="IBA15" s="63">
        <f t="shared" si="97"/>
        <v>0</v>
      </c>
      <c r="IBB15" s="63">
        <f t="shared" si="97"/>
        <v>0</v>
      </c>
      <c r="IBC15" s="63">
        <f t="shared" si="97"/>
        <v>0</v>
      </c>
      <c r="IBD15" s="63">
        <f t="shared" si="97"/>
        <v>0</v>
      </c>
      <c r="IBE15" s="63">
        <f t="shared" si="97"/>
        <v>0</v>
      </c>
      <c r="IBF15" s="63">
        <f t="shared" si="97"/>
        <v>0</v>
      </c>
      <c r="IBG15" s="63">
        <f t="shared" si="97"/>
        <v>0</v>
      </c>
      <c r="IBH15" s="63">
        <f t="shared" si="97"/>
        <v>0</v>
      </c>
      <c r="IBI15" s="63">
        <f t="shared" si="97"/>
        <v>0</v>
      </c>
      <c r="IBJ15" s="63">
        <f t="shared" si="97"/>
        <v>0</v>
      </c>
      <c r="IBK15" s="63">
        <f t="shared" si="97"/>
        <v>0</v>
      </c>
      <c r="IBL15" s="63">
        <f t="shared" ref="IBL15:IDW15" si="98">IBK18</f>
        <v>0</v>
      </c>
      <c r="IBM15" s="63">
        <f t="shared" si="98"/>
        <v>0</v>
      </c>
      <c r="IBN15" s="63">
        <f t="shared" si="98"/>
        <v>0</v>
      </c>
      <c r="IBO15" s="63">
        <f t="shared" si="98"/>
        <v>0</v>
      </c>
      <c r="IBP15" s="63">
        <f t="shared" si="98"/>
        <v>0</v>
      </c>
      <c r="IBQ15" s="63">
        <f t="shared" si="98"/>
        <v>0</v>
      </c>
      <c r="IBR15" s="63">
        <f t="shared" si="98"/>
        <v>0</v>
      </c>
      <c r="IBS15" s="63">
        <f t="shared" si="98"/>
        <v>0</v>
      </c>
      <c r="IBT15" s="63">
        <f t="shared" si="98"/>
        <v>0</v>
      </c>
      <c r="IBU15" s="63">
        <f t="shared" si="98"/>
        <v>0</v>
      </c>
      <c r="IBV15" s="63">
        <f t="shared" si="98"/>
        <v>0</v>
      </c>
      <c r="IBW15" s="63">
        <f t="shared" si="98"/>
        <v>0</v>
      </c>
      <c r="IBX15" s="63">
        <f t="shared" si="98"/>
        <v>0</v>
      </c>
      <c r="IBY15" s="63">
        <f t="shared" si="98"/>
        <v>0</v>
      </c>
      <c r="IBZ15" s="63">
        <f t="shared" si="98"/>
        <v>0</v>
      </c>
      <c r="ICA15" s="63">
        <f t="shared" si="98"/>
        <v>0</v>
      </c>
      <c r="ICB15" s="63">
        <f t="shared" si="98"/>
        <v>0</v>
      </c>
      <c r="ICC15" s="63">
        <f t="shared" si="98"/>
        <v>0</v>
      </c>
      <c r="ICD15" s="63">
        <f t="shared" si="98"/>
        <v>0</v>
      </c>
      <c r="ICE15" s="63">
        <f t="shared" si="98"/>
        <v>0</v>
      </c>
      <c r="ICF15" s="63">
        <f t="shared" si="98"/>
        <v>0</v>
      </c>
      <c r="ICG15" s="63">
        <f t="shared" si="98"/>
        <v>0</v>
      </c>
      <c r="ICH15" s="63">
        <f t="shared" si="98"/>
        <v>0</v>
      </c>
      <c r="ICI15" s="63">
        <f t="shared" si="98"/>
        <v>0</v>
      </c>
      <c r="ICJ15" s="63">
        <f t="shared" si="98"/>
        <v>0</v>
      </c>
      <c r="ICK15" s="63">
        <f t="shared" si="98"/>
        <v>0</v>
      </c>
      <c r="ICL15" s="63">
        <f t="shared" si="98"/>
        <v>0</v>
      </c>
      <c r="ICM15" s="63">
        <f t="shared" si="98"/>
        <v>0</v>
      </c>
      <c r="ICN15" s="63">
        <f t="shared" si="98"/>
        <v>0</v>
      </c>
      <c r="ICO15" s="63">
        <f t="shared" si="98"/>
        <v>0</v>
      </c>
      <c r="ICP15" s="63">
        <f t="shared" si="98"/>
        <v>0</v>
      </c>
      <c r="ICQ15" s="63">
        <f t="shared" si="98"/>
        <v>0</v>
      </c>
      <c r="ICR15" s="63">
        <f t="shared" si="98"/>
        <v>0</v>
      </c>
      <c r="ICS15" s="63">
        <f t="shared" si="98"/>
        <v>0</v>
      </c>
      <c r="ICT15" s="63">
        <f t="shared" si="98"/>
        <v>0</v>
      </c>
      <c r="ICU15" s="63">
        <f t="shared" si="98"/>
        <v>0</v>
      </c>
      <c r="ICV15" s="63">
        <f t="shared" si="98"/>
        <v>0</v>
      </c>
      <c r="ICW15" s="63">
        <f t="shared" si="98"/>
        <v>0</v>
      </c>
      <c r="ICX15" s="63">
        <f t="shared" si="98"/>
        <v>0</v>
      </c>
      <c r="ICY15" s="63">
        <f t="shared" si="98"/>
        <v>0</v>
      </c>
      <c r="ICZ15" s="63">
        <f t="shared" si="98"/>
        <v>0</v>
      </c>
      <c r="IDA15" s="63">
        <f t="shared" si="98"/>
        <v>0</v>
      </c>
      <c r="IDB15" s="63">
        <f t="shared" si="98"/>
        <v>0</v>
      </c>
      <c r="IDC15" s="63">
        <f t="shared" si="98"/>
        <v>0</v>
      </c>
      <c r="IDD15" s="63">
        <f t="shared" si="98"/>
        <v>0</v>
      </c>
      <c r="IDE15" s="63">
        <f t="shared" si="98"/>
        <v>0</v>
      </c>
      <c r="IDF15" s="63">
        <f t="shared" si="98"/>
        <v>0</v>
      </c>
      <c r="IDG15" s="63">
        <f t="shared" si="98"/>
        <v>0</v>
      </c>
      <c r="IDH15" s="63">
        <f t="shared" si="98"/>
        <v>0</v>
      </c>
      <c r="IDI15" s="63">
        <f t="shared" si="98"/>
        <v>0</v>
      </c>
      <c r="IDJ15" s="63">
        <f t="shared" si="98"/>
        <v>0</v>
      </c>
      <c r="IDK15" s="63">
        <f t="shared" si="98"/>
        <v>0</v>
      </c>
      <c r="IDL15" s="63">
        <f t="shared" si="98"/>
        <v>0</v>
      </c>
      <c r="IDM15" s="63">
        <f t="shared" si="98"/>
        <v>0</v>
      </c>
      <c r="IDN15" s="63">
        <f t="shared" si="98"/>
        <v>0</v>
      </c>
      <c r="IDO15" s="63">
        <f t="shared" si="98"/>
        <v>0</v>
      </c>
      <c r="IDP15" s="63">
        <f t="shared" si="98"/>
        <v>0</v>
      </c>
      <c r="IDQ15" s="63">
        <f t="shared" si="98"/>
        <v>0</v>
      </c>
      <c r="IDR15" s="63">
        <f t="shared" si="98"/>
        <v>0</v>
      </c>
      <c r="IDS15" s="63">
        <f t="shared" si="98"/>
        <v>0</v>
      </c>
      <c r="IDT15" s="63">
        <f t="shared" si="98"/>
        <v>0</v>
      </c>
      <c r="IDU15" s="63">
        <f t="shared" si="98"/>
        <v>0</v>
      </c>
      <c r="IDV15" s="63">
        <f t="shared" si="98"/>
        <v>0</v>
      </c>
      <c r="IDW15" s="63">
        <f t="shared" si="98"/>
        <v>0</v>
      </c>
      <c r="IDX15" s="63">
        <f t="shared" ref="IDX15:IGI15" si="99">IDW18</f>
        <v>0</v>
      </c>
      <c r="IDY15" s="63">
        <f t="shared" si="99"/>
        <v>0</v>
      </c>
      <c r="IDZ15" s="63">
        <f t="shared" si="99"/>
        <v>0</v>
      </c>
      <c r="IEA15" s="63">
        <f t="shared" si="99"/>
        <v>0</v>
      </c>
      <c r="IEB15" s="63">
        <f t="shared" si="99"/>
        <v>0</v>
      </c>
      <c r="IEC15" s="63">
        <f t="shared" si="99"/>
        <v>0</v>
      </c>
      <c r="IED15" s="63">
        <f t="shared" si="99"/>
        <v>0</v>
      </c>
      <c r="IEE15" s="63">
        <f t="shared" si="99"/>
        <v>0</v>
      </c>
      <c r="IEF15" s="63">
        <f t="shared" si="99"/>
        <v>0</v>
      </c>
      <c r="IEG15" s="63">
        <f t="shared" si="99"/>
        <v>0</v>
      </c>
      <c r="IEH15" s="63">
        <f t="shared" si="99"/>
        <v>0</v>
      </c>
      <c r="IEI15" s="63">
        <f t="shared" si="99"/>
        <v>0</v>
      </c>
      <c r="IEJ15" s="63">
        <f t="shared" si="99"/>
        <v>0</v>
      </c>
      <c r="IEK15" s="63">
        <f t="shared" si="99"/>
        <v>0</v>
      </c>
      <c r="IEL15" s="63">
        <f t="shared" si="99"/>
        <v>0</v>
      </c>
      <c r="IEM15" s="63">
        <f t="shared" si="99"/>
        <v>0</v>
      </c>
      <c r="IEN15" s="63">
        <f t="shared" si="99"/>
        <v>0</v>
      </c>
      <c r="IEO15" s="63">
        <f t="shared" si="99"/>
        <v>0</v>
      </c>
      <c r="IEP15" s="63">
        <f t="shared" si="99"/>
        <v>0</v>
      </c>
      <c r="IEQ15" s="63">
        <f t="shared" si="99"/>
        <v>0</v>
      </c>
      <c r="IER15" s="63">
        <f t="shared" si="99"/>
        <v>0</v>
      </c>
      <c r="IES15" s="63">
        <f t="shared" si="99"/>
        <v>0</v>
      </c>
      <c r="IET15" s="63">
        <f t="shared" si="99"/>
        <v>0</v>
      </c>
      <c r="IEU15" s="63">
        <f t="shared" si="99"/>
        <v>0</v>
      </c>
      <c r="IEV15" s="63">
        <f t="shared" si="99"/>
        <v>0</v>
      </c>
      <c r="IEW15" s="63">
        <f t="shared" si="99"/>
        <v>0</v>
      </c>
      <c r="IEX15" s="63">
        <f t="shared" si="99"/>
        <v>0</v>
      </c>
      <c r="IEY15" s="63">
        <f t="shared" si="99"/>
        <v>0</v>
      </c>
      <c r="IEZ15" s="63">
        <f t="shared" si="99"/>
        <v>0</v>
      </c>
      <c r="IFA15" s="63">
        <f t="shared" si="99"/>
        <v>0</v>
      </c>
      <c r="IFB15" s="63">
        <f t="shared" si="99"/>
        <v>0</v>
      </c>
      <c r="IFC15" s="63">
        <f t="shared" si="99"/>
        <v>0</v>
      </c>
      <c r="IFD15" s="63">
        <f t="shared" si="99"/>
        <v>0</v>
      </c>
      <c r="IFE15" s="63">
        <f t="shared" si="99"/>
        <v>0</v>
      </c>
      <c r="IFF15" s="63">
        <f t="shared" si="99"/>
        <v>0</v>
      </c>
      <c r="IFG15" s="63">
        <f t="shared" si="99"/>
        <v>0</v>
      </c>
      <c r="IFH15" s="63">
        <f t="shared" si="99"/>
        <v>0</v>
      </c>
      <c r="IFI15" s="63">
        <f t="shared" si="99"/>
        <v>0</v>
      </c>
      <c r="IFJ15" s="63">
        <f t="shared" si="99"/>
        <v>0</v>
      </c>
      <c r="IFK15" s="63">
        <f t="shared" si="99"/>
        <v>0</v>
      </c>
      <c r="IFL15" s="63">
        <f t="shared" si="99"/>
        <v>0</v>
      </c>
      <c r="IFM15" s="63">
        <f t="shared" si="99"/>
        <v>0</v>
      </c>
      <c r="IFN15" s="63">
        <f t="shared" si="99"/>
        <v>0</v>
      </c>
      <c r="IFO15" s="63">
        <f t="shared" si="99"/>
        <v>0</v>
      </c>
      <c r="IFP15" s="63">
        <f t="shared" si="99"/>
        <v>0</v>
      </c>
      <c r="IFQ15" s="63">
        <f t="shared" si="99"/>
        <v>0</v>
      </c>
      <c r="IFR15" s="63">
        <f t="shared" si="99"/>
        <v>0</v>
      </c>
      <c r="IFS15" s="63">
        <f t="shared" si="99"/>
        <v>0</v>
      </c>
      <c r="IFT15" s="63">
        <f t="shared" si="99"/>
        <v>0</v>
      </c>
      <c r="IFU15" s="63">
        <f t="shared" si="99"/>
        <v>0</v>
      </c>
      <c r="IFV15" s="63">
        <f t="shared" si="99"/>
        <v>0</v>
      </c>
      <c r="IFW15" s="63">
        <f t="shared" si="99"/>
        <v>0</v>
      </c>
      <c r="IFX15" s="63">
        <f t="shared" si="99"/>
        <v>0</v>
      </c>
      <c r="IFY15" s="63">
        <f t="shared" si="99"/>
        <v>0</v>
      </c>
      <c r="IFZ15" s="63">
        <f t="shared" si="99"/>
        <v>0</v>
      </c>
      <c r="IGA15" s="63">
        <f t="shared" si="99"/>
        <v>0</v>
      </c>
      <c r="IGB15" s="63">
        <f t="shared" si="99"/>
        <v>0</v>
      </c>
      <c r="IGC15" s="63">
        <f t="shared" si="99"/>
        <v>0</v>
      </c>
      <c r="IGD15" s="63">
        <f t="shared" si="99"/>
        <v>0</v>
      </c>
      <c r="IGE15" s="63">
        <f t="shared" si="99"/>
        <v>0</v>
      </c>
      <c r="IGF15" s="63">
        <f t="shared" si="99"/>
        <v>0</v>
      </c>
      <c r="IGG15" s="63">
        <f t="shared" si="99"/>
        <v>0</v>
      </c>
      <c r="IGH15" s="63">
        <f t="shared" si="99"/>
        <v>0</v>
      </c>
      <c r="IGI15" s="63">
        <f t="shared" si="99"/>
        <v>0</v>
      </c>
      <c r="IGJ15" s="63">
        <f t="shared" ref="IGJ15:IIU15" si="100">IGI18</f>
        <v>0</v>
      </c>
      <c r="IGK15" s="63">
        <f t="shared" si="100"/>
        <v>0</v>
      </c>
      <c r="IGL15" s="63">
        <f t="shared" si="100"/>
        <v>0</v>
      </c>
      <c r="IGM15" s="63">
        <f t="shared" si="100"/>
        <v>0</v>
      </c>
      <c r="IGN15" s="63">
        <f t="shared" si="100"/>
        <v>0</v>
      </c>
      <c r="IGO15" s="63">
        <f t="shared" si="100"/>
        <v>0</v>
      </c>
      <c r="IGP15" s="63">
        <f t="shared" si="100"/>
        <v>0</v>
      </c>
      <c r="IGQ15" s="63">
        <f t="shared" si="100"/>
        <v>0</v>
      </c>
      <c r="IGR15" s="63">
        <f t="shared" si="100"/>
        <v>0</v>
      </c>
      <c r="IGS15" s="63">
        <f t="shared" si="100"/>
        <v>0</v>
      </c>
      <c r="IGT15" s="63">
        <f t="shared" si="100"/>
        <v>0</v>
      </c>
      <c r="IGU15" s="63">
        <f t="shared" si="100"/>
        <v>0</v>
      </c>
      <c r="IGV15" s="63">
        <f t="shared" si="100"/>
        <v>0</v>
      </c>
      <c r="IGW15" s="63">
        <f t="shared" si="100"/>
        <v>0</v>
      </c>
      <c r="IGX15" s="63">
        <f t="shared" si="100"/>
        <v>0</v>
      </c>
      <c r="IGY15" s="63">
        <f t="shared" si="100"/>
        <v>0</v>
      </c>
      <c r="IGZ15" s="63">
        <f t="shared" si="100"/>
        <v>0</v>
      </c>
      <c r="IHA15" s="63">
        <f t="shared" si="100"/>
        <v>0</v>
      </c>
      <c r="IHB15" s="63">
        <f t="shared" si="100"/>
        <v>0</v>
      </c>
      <c r="IHC15" s="63">
        <f t="shared" si="100"/>
        <v>0</v>
      </c>
      <c r="IHD15" s="63">
        <f t="shared" si="100"/>
        <v>0</v>
      </c>
      <c r="IHE15" s="63">
        <f t="shared" si="100"/>
        <v>0</v>
      </c>
      <c r="IHF15" s="63">
        <f t="shared" si="100"/>
        <v>0</v>
      </c>
      <c r="IHG15" s="63">
        <f t="shared" si="100"/>
        <v>0</v>
      </c>
      <c r="IHH15" s="63">
        <f t="shared" si="100"/>
        <v>0</v>
      </c>
      <c r="IHI15" s="63">
        <f t="shared" si="100"/>
        <v>0</v>
      </c>
      <c r="IHJ15" s="63">
        <f t="shared" si="100"/>
        <v>0</v>
      </c>
      <c r="IHK15" s="63">
        <f t="shared" si="100"/>
        <v>0</v>
      </c>
      <c r="IHL15" s="63">
        <f t="shared" si="100"/>
        <v>0</v>
      </c>
      <c r="IHM15" s="63">
        <f t="shared" si="100"/>
        <v>0</v>
      </c>
      <c r="IHN15" s="63">
        <f t="shared" si="100"/>
        <v>0</v>
      </c>
      <c r="IHO15" s="63">
        <f t="shared" si="100"/>
        <v>0</v>
      </c>
      <c r="IHP15" s="63">
        <f t="shared" si="100"/>
        <v>0</v>
      </c>
      <c r="IHQ15" s="63">
        <f t="shared" si="100"/>
        <v>0</v>
      </c>
      <c r="IHR15" s="63">
        <f t="shared" si="100"/>
        <v>0</v>
      </c>
      <c r="IHS15" s="63">
        <f t="shared" si="100"/>
        <v>0</v>
      </c>
      <c r="IHT15" s="63">
        <f t="shared" si="100"/>
        <v>0</v>
      </c>
      <c r="IHU15" s="63">
        <f t="shared" si="100"/>
        <v>0</v>
      </c>
      <c r="IHV15" s="63">
        <f t="shared" si="100"/>
        <v>0</v>
      </c>
      <c r="IHW15" s="63">
        <f t="shared" si="100"/>
        <v>0</v>
      </c>
      <c r="IHX15" s="63">
        <f t="shared" si="100"/>
        <v>0</v>
      </c>
      <c r="IHY15" s="63">
        <f t="shared" si="100"/>
        <v>0</v>
      </c>
      <c r="IHZ15" s="63">
        <f t="shared" si="100"/>
        <v>0</v>
      </c>
      <c r="IIA15" s="63">
        <f t="shared" si="100"/>
        <v>0</v>
      </c>
      <c r="IIB15" s="63">
        <f t="shared" si="100"/>
        <v>0</v>
      </c>
      <c r="IIC15" s="63">
        <f t="shared" si="100"/>
        <v>0</v>
      </c>
      <c r="IID15" s="63">
        <f t="shared" si="100"/>
        <v>0</v>
      </c>
      <c r="IIE15" s="63">
        <f t="shared" si="100"/>
        <v>0</v>
      </c>
      <c r="IIF15" s="63">
        <f t="shared" si="100"/>
        <v>0</v>
      </c>
      <c r="IIG15" s="63">
        <f t="shared" si="100"/>
        <v>0</v>
      </c>
      <c r="IIH15" s="63">
        <f t="shared" si="100"/>
        <v>0</v>
      </c>
      <c r="III15" s="63">
        <f t="shared" si="100"/>
        <v>0</v>
      </c>
      <c r="IIJ15" s="63">
        <f t="shared" si="100"/>
        <v>0</v>
      </c>
      <c r="IIK15" s="63">
        <f t="shared" si="100"/>
        <v>0</v>
      </c>
      <c r="IIL15" s="63">
        <f t="shared" si="100"/>
        <v>0</v>
      </c>
      <c r="IIM15" s="63">
        <f t="shared" si="100"/>
        <v>0</v>
      </c>
      <c r="IIN15" s="63">
        <f t="shared" si="100"/>
        <v>0</v>
      </c>
      <c r="IIO15" s="63">
        <f t="shared" si="100"/>
        <v>0</v>
      </c>
      <c r="IIP15" s="63">
        <f t="shared" si="100"/>
        <v>0</v>
      </c>
      <c r="IIQ15" s="63">
        <f t="shared" si="100"/>
        <v>0</v>
      </c>
      <c r="IIR15" s="63">
        <f t="shared" si="100"/>
        <v>0</v>
      </c>
      <c r="IIS15" s="63">
        <f t="shared" si="100"/>
        <v>0</v>
      </c>
      <c r="IIT15" s="63">
        <f t="shared" si="100"/>
        <v>0</v>
      </c>
      <c r="IIU15" s="63">
        <f t="shared" si="100"/>
        <v>0</v>
      </c>
      <c r="IIV15" s="63">
        <f t="shared" ref="IIV15:ILG15" si="101">IIU18</f>
        <v>0</v>
      </c>
      <c r="IIW15" s="63">
        <f t="shared" si="101"/>
        <v>0</v>
      </c>
      <c r="IIX15" s="63">
        <f t="shared" si="101"/>
        <v>0</v>
      </c>
      <c r="IIY15" s="63">
        <f t="shared" si="101"/>
        <v>0</v>
      </c>
      <c r="IIZ15" s="63">
        <f t="shared" si="101"/>
        <v>0</v>
      </c>
      <c r="IJA15" s="63">
        <f t="shared" si="101"/>
        <v>0</v>
      </c>
      <c r="IJB15" s="63">
        <f t="shared" si="101"/>
        <v>0</v>
      </c>
      <c r="IJC15" s="63">
        <f t="shared" si="101"/>
        <v>0</v>
      </c>
      <c r="IJD15" s="63">
        <f t="shared" si="101"/>
        <v>0</v>
      </c>
      <c r="IJE15" s="63">
        <f t="shared" si="101"/>
        <v>0</v>
      </c>
      <c r="IJF15" s="63">
        <f t="shared" si="101"/>
        <v>0</v>
      </c>
      <c r="IJG15" s="63">
        <f t="shared" si="101"/>
        <v>0</v>
      </c>
      <c r="IJH15" s="63">
        <f t="shared" si="101"/>
        <v>0</v>
      </c>
      <c r="IJI15" s="63">
        <f t="shared" si="101"/>
        <v>0</v>
      </c>
      <c r="IJJ15" s="63">
        <f t="shared" si="101"/>
        <v>0</v>
      </c>
      <c r="IJK15" s="63">
        <f t="shared" si="101"/>
        <v>0</v>
      </c>
      <c r="IJL15" s="63">
        <f t="shared" si="101"/>
        <v>0</v>
      </c>
      <c r="IJM15" s="63">
        <f t="shared" si="101"/>
        <v>0</v>
      </c>
      <c r="IJN15" s="63">
        <f t="shared" si="101"/>
        <v>0</v>
      </c>
      <c r="IJO15" s="63">
        <f t="shared" si="101"/>
        <v>0</v>
      </c>
      <c r="IJP15" s="63">
        <f t="shared" si="101"/>
        <v>0</v>
      </c>
      <c r="IJQ15" s="63">
        <f t="shared" si="101"/>
        <v>0</v>
      </c>
      <c r="IJR15" s="63">
        <f t="shared" si="101"/>
        <v>0</v>
      </c>
      <c r="IJS15" s="63">
        <f t="shared" si="101"/>
        <v>0</v>
      </c>
      <c r="IJT15" s="63">
        <f t="shared" si="101"/>
        <v>0</v>
      </c>
      <c r="IJU15" s="63">
        <f t="shared" si="101"/>
        <v>0</v>
      </c>
      <c r="IJV15" s="63">
        <f t="shared" si="101"/>
        <v>0</v>
      </c>
      <c r="IJW15" s="63">
        <f t="shared" si="101"/>
        <v>0</v>
      </c>
      <c r="IJX15" s="63">
        <f t="shared" si="101"/>
        <v>0</v>
      </c>
      <c r="IJY15" s="63">
        <f t="shared" si="101"/>
        <v>0</v>
      </c>
      <c r="IJZ15" s="63">
        <f t="shared" si="101"/>
        <v>0</v>
      </c>
      <c r="IKA15" s="63">
        <f t="shared" si="101"/>
        <v>0</v>
      </c>
      <c r="IKB15" s="63">
        <f t="shared" si="101"/>
        <v>0</v>
      </c>
      <c r="IKC15" s="63">
        <f t="shared" si="101"/>
        <v>0</v>
      </c>
      <c r="IKD15" s="63">
        <f t="shared" si="101"/>
        <v>0</v>
      </c>
      <c r="IKE15" s="63">
        <f t="shared" si="101"/>
        <v>0</v>
      </c>
      <c r="IKF15" s="63">
        <f t="shared" si="101"/>
        <v>0</v>
      </c>
      <c r="IKG15" s="63">
        <f t="shared" si="101"/>
        <v>0</v>
      </c>
      <c r="IKH15" s="63">
        <f t="shared" si="101"/>
        <v>0</v>
      </c>
      <c r="IKI15" s="63">
        <f t="shared" si="101"/>
        <v>0</v>
      </c>
      <c r="IKJ15" s="63">
        <f t="shared" si="101"/>
        <v>0</v>
      </c>
      <c r="IKK15" s="63">
        <f t="shared" si="101"/>
        <v>0</v>
      </c>
      <c r="IKL15" s="63">
        <f t="shared" si="101"/>
        <v>0</v>
      </c>
      <c r="IKM15" s="63">
        <f t="shared" si="101"/>
        <v>0</v>
      </c>
      <c r="IKN15" s="63">
        <f t="shared" si="101"/>
        <v>0</v>
      </c>
      <c r="IKO15" s="63">
        <f t="shared" si="101"/>
        <v>0</v>
      </c>
      <c r="IKP15" s="63">
        <f t="shared" si="101"/>
        <v>0</v>
      </c>
      <c r="IKQ15" s="63">
        <f t="shared" si="101"/>
        <v>0</v>
      </c>
      <c r="IKR15" s="63">
        <f t="shared" si="101"/>
        <v>0</v>
      </c>
      <c r="IKS15" s="63">
        <f t="shared" si="101"/>
        <v>0</v>
      </c>
      <c r="IKT15" s="63">
        <f t="shared" si="101"/>
        <v>0</v>
      </c>
      <c r="IKU15" s="63">
        <f t="shared" si="101"/>
        <v>0</v>
      </c>
      <c r="IKV15" s="63">
        <f t="shared" si="101"/>
        <v>0</v>
      </c>
      <c r="IKW15" s="63">
        <f t="shared" si="101"/>
        <v>0</v>
      </c>
      <c r="IKX15" s="63">
        <f t="shared" si="101"/>
        <v>0</v>
      </c>
      <c r="IKY15" s="63">
        <f t="shared" si="101"/>
        <v>0</v>
      </c>
      <c r="IKZ15" s="63">
        <f t="shared" si="101"/>
        <v>0</v>
      </c>
      <c r="ILA15" s="63">
        <f t="shared" si="101"/>
        <v>0</v>
      </c>
      <c r="ILB15" s="63">
        <f t="shared" si="101"/>
        <v>0</v>
      </c>
      <c r="ILC15" s="63">
        <f t="shared" si="101"/>
        <v>0</v>
      </c>
      <c r="ILD15" s="63">
        <f t="shared" si="101"/>
        <v>0</v>
      </c>
      <c r="ILE15" s="63">
        <f t="shared" si="101"/>
        <v>0</v>
      </c>
      <c r="ILF15" s="63">
        <f t="shared" si="101"/>
        <v>0</v>
      </c>
      <c r="ILG15" s="63">
        <f t="shared" si="101"/>
        <v>0</v>
      </c>
      <c r="ILH15" s="63">
        <f t="shared" ref="ILH15:INS15" si="102">ILG18</f>
        <v>0</v>
      </c>
      <c r="ILI15" s="63">
        <f t="shared" si="102"/>
        <v>0</v>
      </c>
      <c r="ILJ15" s="63">
        <f t="shared" si="102"/>
        <v>0</v>
      </c>
      <c r="ILK15" s="63">
        <f t="shared" si="102"/>
        <v>0</v>
      </c>
      <c r="ILL15" s="63">
        <f t="shared" si="102"/>
        <v>0</v>
      </c>
      <c r="ILM15" s="63">
        <f t="shared" si="102"/>
        <v>0</v>
      </c>
      <c r="ILN15" s="63">
        <f t="shared" si="102"/>
        <v>0</v>
      </c>
      <c r="ILO15" s="63">
        <f t="shared" si="102"/>
        <v>0</v>
      </c>
      <c r="ILP15" s="63">
        <f t="shared" si="102"/>
        <v>0</v>
      </c>
      <c r="ILQ15" s="63">
        <f t="shared" si="102"/>
        <v>0</v>
      </c>
      <c r="ILR15" s="63">
        <f t="shared" si="102"/>
        <v>0</v>
      </c>
      <c r="ILS15" s="63">
        <f t="shared" si="102"/>
        <v>0</v>
      </c>
      <c r="ILT15" s="63">
        <f t="shared" si="102"/>
        <v>0</v>
      </c>
      <c r="ILU15" s="63">
        <f t="shared" si="102"/>
        <v>0</v>
      </c>
      <c r="ILV15" s="63">
        <f t="shared" si="102"/>
        <v>0</v>
      </c>
      <c r="ILW15" s="63">
        <f t="shared" si="102"/>
        <v>0</v>
      </c>
      <c r="ILX15" s="63">
        <f t="shared" si="102"/>
        <v>0</v>
      </c>
      <c r="ILY15" s="63">
        <f t="shared" si="102"/>
        <v>0</v>
      </c>
      <c r="ILZ15" s="63">
        <f t="shared" si="102"/>
        <v>0</v>
      </c>
      <c r="IMA15" s="63">
        <f t="shared" si="102"/>
        <v>0</v>
      </c>
      <c r="IMB15" s="63">
        <f t="shared" si="102"/>
        <v>0</v>
      </c>
      <c r="IMC15" s="63">
        <f t="shared" si="102"/>
        <v>0</v>
      </c>
      <c r="IMD15" s="63">
        <f t="shared" si="102"/>
        <v>0</v>
      </c>
      <c r="IME15" s="63">
        <f t="shared" si="102"/>
        <v>0</v>
      </c>
      <c r="IMF15" s="63">
        <f t="shared" si="102"/>
        <v>0</v>
      </c>
      <c r="IMG15" s="63">
        <f t="shared" si="102"/>
        <v>0</v>
      </c>
      <c r="IMH15" s="63">
        <f t="shared" si="102"/>
        <v>0</v>
      </c>
      <c r="IMI15" s="63">
        <f t="shared" si="102"/>
        <v>0</v>
      </c>
      <c r="IMJ15" s="63">
        <f t="shared" si="102"/>
        <v>0</v>
      </c>
      <c r="IMK15" s="63">
        <f t="shared" si="102"/>
        <v>0</v>
      </c>
      <c r="IML15" s="63">
        <f t="shared" si="102"/>
        <v>0</v>
      </c>
      <c r="IMM15" s="63">
        <f t="shared" si="102"/>
        <v>0</v>
      </c>
      <c r="IMN15" s="63">
        <f t="shared" si="102"/>
        <v>0</v>
      </c>
      <c r="IMO15" s="63">
        <f t="shared" si="102"/>
        <v>0</v>
      </c>
      <c r="IMP15" s="63">
        <f t="shared" si="102"/>
        <v>0</v>
      </c>
      <c r="IMQ15" s="63">
        <f t="shared" si="102"/>
        <v>0</v>
      </c>
      <c r="IMR15" s="63">
        <f t="shared" si="102"/>
        <v>0</v>
      </c>
      <c r="IMS15" s="63">
        <f t="shared" si="102"/>
        <v>0</v>
      </c>
      <c r="IMT15" s="63">
        <f t="shared" si="102"/>
        <v>0</v>
      </c>
      <c r="IMU15" s="63">
        <f t="shared" si="102"/>
        <v>0</v>
      </c>
      <c r="IMV15" s="63">
        <f t="shared" si="102"/>
        <v>0</v>
      </c>
      <c r="IMW15" s="63">
        <f t="shared" si="102"/>
        <v>0</v>
      </c>
      <c r="IMX15" s="63">
        <f t="shared" si="102"/>
        <v>0</v>
      </c>
      <c r="IMY15" s="63">
        <f t="shared" si="102"/>
        <v>0</v>
      </c>
      <c r="IMZ15" s="63">
        <f t="shared" si="102"/>
        <v>0</v>
      </c>
      <c r="INA15" s="63">
        <f t="shared" si="102"/>
        <v>0</v>
      </c>
      <c r="INB15" s="63">
        <f t="shared" si="102"/>
        <v>0</v>
      </c>
      <c r="INC15" s="63">
        <f t="shared" si="102"/>
        <v>0</v>
      </c>
      <c r="IND15" s="63">
        <f t="shared" si="102"/>
        <v>0</v>
      </c>
      <c r="INE15" s="63">
        <f t="shared" si="102"/>
        <v>0</v>
      </c>
      <c r="INF15" s="63">
        <f t="shared" si="102"/>
        <v>0</v>
      </c>
      <c r="ING15" s="63">
        <f t="shared" si="102"/>
        <v>0</v>
      </c>
      <c r="INH15" s="63">
        <f t="shared" si="102"/>
        <v>0</v>
      </c>
      <c r="INI15" s="63">
        <f t="shared" si="102"/>
        <v>0</v>
      </c>
      <c r="INJ15" s="63">
        <f t="shared" si="102"/>
        <v>0</v>
      </c>
      <c r="INK15" s="63">
        <f t="shared" si="102"/>
        <v>0</v>
      </c>
      <c r="INL15" s="63">
        <f t="shared" si="102"/>
        <v>0</v>
      </c>
      <c r="INM15" s="63">
        <f t="shared" si="102"/>
        <v>0</v>
      </c>
      <c r="INN15" s="63">
        <f t="shared" si="102"/>
        <v>0</v>
      </c>
      <c r="INO15" s="63">
        <f t="shared" si="102"/>
        <v>0</v>
      </c>
      <c r="INP15" s="63">
        <f t="shared" si="102"/>
        <v>0</v>
      </c>
      <c r="INQ15" s="63">
        <f t="shared" si="102"/>
        <v>0</v>
      </c>
      <c r="INR15" s="63">
        <f t="shared" si="102"/>
        <v>0</v>
      </c>
      <c r="INS15" s="63">
        <f t="shared" si="102"/>
        <v>0</v>
      </c>
      <c r="INT15" s="63">
        <f t="shared" ref="INT15:IQE15" si="103">INS18</f>
        <v>0</v>
      </c>
      <c r="INU15" s="63">
        <f t="shared" si="103"/>
        <v>0</v>
      </c>
      <c r="INV15" s="63">
        <f t="shared" si="103"/>
        <v>0</v>
      </c>
      <c r="INW15" s="63">
        <f t="shared" si="103"/>
        <v>0</v>
      </c>
      <c r="INX15" s="63">
        <f t="shared" si="103"/>
        <v>0</v>
      </c>
      <c r="INY15" s="63">
        <f t="shared" si="103"/>
        <v>0</v>
      </c>
      <c r="INZ15" s="63">
        <f t="shared" si="103"/>
        <v>0</v>
      </c>
      <c r="IOA15" s="63">
        <f t="shared" si="103"/>
        <v>0</v>
      </c>
      <c r="IOB15" s="63">
        <f t="shared" si="103"/>
        <v>0</v>
      </c>
      <c r="IOC15" s="63">
        <f t="shared" si="103"/>
        <v>0</v>
      </c>
      <c r="IOD15" s="63">
        <f t="shared" si="103"/>
        <v>0</v>
      </c>
      <c r="IOE15" s="63">
        <f t="shared" si="103"/>
        <v>0</v>
      </c>
      <c r="IOF15" s="63">
        <f t="shared" si="103"/>
        <v>0</v>
      </c>
      <c r="IOG15" s="63">
        <f t="shared" si="103"/>
        <v>0</v>
      </c>
      <c r="IOH15" s="63">
        <f t="shared" si="103"/>
        <v>0</v>
      </c>
      <c r="IOI15" s="63">
        <f t="shared" si="103"/>
        <v>0</v>
      </c>
      <c r="IOJ15" s="63">
        <f t="shared" si="103"/>
        <v>0</v>
      </c>
      <c r="IOK15" s="63">
        <f t="shared" si="103"/>
        <v>0</v>
      </c>
      <c r="IOL15" s="63">
        <f t="shared" si="103"/>
        <v>0</v>
      </c>
      <c r="IOM15" s="63">
        <f t="shared" si="103"/>
        <v>0</v>
      </c>
      <c r="ION15" s="63">
        <f t="shared" si="103"/>
        <v>0</v>
      </c>
      <c r="IOO15" s="63">
        <f t="shared" si="103"/>
        <v>0</v>
      </c>
      <c r="IOP15" s="63">
        <f t="shared" si="103"/>
        <v>0</v>
      </c>
      <c r="IOQ15" s="63">
        <f t="shared" si="103"/>
        <v>0</v>
      </c>
      <c r="IOR15" s="63">
        <f t="shared" si="103"/>
        <v>0</v>
      </c>
      <c r="IOS15" s="63">
        <f t="shared" si="103"/>
        <v>0</v>
      </c>
      <c r="IOT15" s="63">
        <f t="shared" si="103"/>
        <v>0</v>
      </c>
      <c r="IOU15" s="63">
        <f t="shared" si="103"/>
        <v>0</v>
      </c>
      <c r="IOV15" s="63">
        <f t="shared" si="103"/>
        <v>0</v>
      </c>
      <c r="IOW15" s="63">
        <f t="shared" si="103"/>
        <v>0</v>
      </c>
      <c r="IOX15" s="63">
        <f t="shared" si="103"/>
        <v>0</v>
      </c>
      <c r="IOY15" s="63">
        <f t="shared" si="103"/>
        <v>0</v>
      </c>
      <c r="IOZ15" s="63">
        <f t="shared" si="103"/>
        <v>0</v>
      </c>
      <c r="IPA15" s="63">
        <f t="shared" si="103"/>
        <v>0</v>
      </c>
      <c r="IPB15" s="63">
        <f t="shared" si="103"/>
        <v>0</v>
      </c>
      <c r="IPC15" s="63">
        <f t="shared" si="103"/>
        <v>0</v>
      </c>
      <c r="IPD15" s="63">
        <f t="shared" si="103"/>
        <v>0</v>
      </c>
      <c r="IPE15" s="63">
        <f t="shared" si="103"/>
        <v>0</v>
      </c>
      <c r="IPF15" s="63">
        <f t="shared" si="103"/>
        <v>0</v>
      </c>
      <c r="IPG15" s="63">
        <f t="shared" si="103"/>
        <v>0</v>
      </c>
      <c r="IPH15" s="63">
        <f t="shared" si="103"/>
        <v>0</v>
      </c>
      <c r="IPI15" s="63">
        <f t="shared" si="103"/>
        <v>0</v>
      </c>
      <c r="IPJ15" s="63">
        <f t="shared" si="103"/>
        <v>0</v>
      </c>
      <c r="IPK15" s="63">
        <f t="shared" si="103"/>
        <v>0</v>
      </c>
      <c r="IPL15" s="63">
        <f t="shared" si="103"/>
        <v>0</v>
      </c>
      <c r="IPM15" s="63">
        <f t="shared" si="103"/>
        <v>0</v>
      </c>
      <c r="IPN15" s="63">
        <f t="shared" si="103"/>
        <v>0</v>
      </c>
      <c r="IPO15" s="63">
        <f t="shared" si="103"/>
        <v>0</v>
      </c>
      <c r="IPP15" s="63">
        <f t="shared" si="103"/>
        <v>0</v>
      </c>
      <c r="IPQ15" s="63">
        <f t="shared" si="103"/>
        <v>0</v>
      </c>
      <c r="IPR15" s="63">
        <f t="shared" si="103"/>
        <v>0</v>
      </c>
      <c r="IPS15" s="63">
        <f t="shared" si="103"/>
        <v>0</v>
      </c>
      <c r="IPT15" s="63">
        <f t="shared" si="103"/>
        <v>0</v>
      </c>
      <c r="IPU15" s="63">
        <f t="shared" si="103"/>
        <v>0</v>
      </c>
      <c r="IPV15" s="63">
        <f t="shared" si="103"/>
        <v>0</v>
      </c>
      <c r="IPW15" s="63">
        <f t="shared" si="103"/>
        <v>0</v>
      </c>
      <c r="IPX15" s="63">
        <f t="shared" si="103"/>
        <v>0</v>
      </c>
      <c r="IPY15" s="63">
        <f t="shared" si="103"/>
        <v>0</v>
      </c>
      <c r="IPZ15" s="63">
        <f t="shared" si="103"/>
        <v>0</v>
      </c>
      <c r="IQA15" s="63">
        <f t="shared" si="103"/>
        <v>0</v>
      </c>
      <c r="IQB15" s="63">
        <f t="shared" si="103"/>
        <v>0</v>
      </c>
      <c r="IQC15" s="63">
        <f t="shared" si="103"/>
        <v>0</v>
      </c>
      <c r="IQD15" s="63">
        <f t="shared" si="103"/>
        <v>0</v>
      </c>
      <c r="IQE15" s="63">
        <f t="shared" si="103"/>
        <v>0</v>
      </c>
      <c r="IQF15" s="63">
        <f t="shared" ref="IQF15:ISQ15" si="104">IQE18</f>
        <v>0</v>
      </c>
      <c r="IQG15" s="63">
        <f t="shared" si="104"/>
        <v>0</v>
      </c>
      <c r="IQH15" s="63">
        <f t="shared" si="104"/>
        <v>0</v>
      </c>
      <c r="IQI15" s="63">
        <f t="shared" si="104"/>
        <v>0</v>
      </c>
      <c r="IQJ15" s="63">
        <f t="shared" si="104"/>
        <v>0</v>
      </c>
      <c r="IQK15" s="63">
        <f t="shared" si="104"/>
        <v>0</v>
      </c>
      <c r="IQL15" s="63">
        <f t="shared" si="104"/>
        <v>0</v>
      </c>
      <c r="IQM15" s="63">
        <f t="shared" si="104"/>
        <v>0</v>
      </c>
      <c r="IQN15" s="63">
        <f t="shared" si="104"/>
        <v>0</v>
      </c>
      <c r="IQO15" s="63">
        <f t="shared" si="104"/>
        <v>0</v>
      </c>
      <c r="IQP15" s="63">
        <f t="shared" si="104"/>
        <v>0</v>
      </c>
      <c r="IQQ15" s="63">
        <f t="shared" si="104"/>
        <v>0</v>
      </c>
      <c r="IQR15" s="63">
        <f t="shared" si="104"/>
        <v>0</v>
      </c>
      <c r="IQS15" s="63">
        <f t="shared" si="104"/>
        <v>0</v>
      </c>
      <c r="IQT15" s="63">
        <f t="shared" si="104"/>
        <v>0</v>
      </c>
      <c r="IQU15" s="63">
        <f t="shared" si="104"/>
        <v>0</v>
      </c>
      <c r="IQV15" s="63">
        <f t="shared" si="104"/>
        <v>0</v>
      </c>
      <c r="IQW15" s="63">
        <f t="shared" si="104"/>
        <v>0</v>
      </c>
      <c r="IQX15" s="63">
        <f t="shared" si="104"/>
        <v>0</v>
      </c>
      <c r="IQY15" s="63">
        <f t="shared" si="104"/>
        <v>0</v>
      </c>
      <c r="IQZ15" s="63">
        <f t="shared" si="104"/>
        <v>0</v>
      </c>
      <c r="IRA15" s="63">
        <f t="shared" si="104"/>
        <v>0</v>
      </c>
      <c r="IRB15" s="63">
        <f t="shared" si="104"/>
        <v>0</v>
      </c>
      <c r="IRC15" s="63">
        <f t="shared" si="104"/>
        <v>0</v>
      </c>
      <c r="IRD15" s="63">
        <f t="shared" si="104"/>
        <v>0</v>
      </c>
      <c r="IRE15" s="63">
        <f t="shared" si="104"/>
        <v>0</v>
      </c>
      <c r="IRF15" s="63">
        <f t="shared" si="104"/>
        <v>0</v>
      </c>
      <c r="IRG15" s="63">
        <f t="shared" si="104"/>
        <v>0</v>
      </c>
      <c r="IRH15" s="63">
        <f t="shared" si="104"/>
        <v>0</v>
      </c>
      <c r="IRI15" s="63">
        <f t="shared" si="104"/>
        <v>0</v>
      </c>
      <c r="IRJ15" s="63">
        <f t="shared" si="104"/>
        <v>0</v>
      </c>
      <c r="IRK15" s="63">
        <f t="shared" si="104"/>
        <v>0</v>
      </c>
      <c r="IRL15" s="63">
        <f t="shared" si="104"/>
        <v>0</v>
      </c>
      <c r="IRM15" s="63">
        <f t="shared" si="104"/>
        <v>0</v>
      </c>
      <c r="IRN15" s="63">
        <f t="shared" si="104"/>
        <v>0</v>
      </c>
      <c r="IRO15" s="63">
        <f t="shared" si="104"/>
        <v>0</v>
      </c>
      <c r="IRP15" s="63">
        <f t="shared" si="104"/>
        <v>0</v>
      </c>
      <c r="IRQ15" s="63">
        <f t="shared" si="104"/>
        <v>0</v>
      </c>
      <c r="IRR15" s="63">
        <f t="shared" si="104"/>
        <v>0</v>
      </c>
      <c r="IRS15" s="63">
        <f t="shared" si="104"/>
        <v>0</v>
      </c>
      <c r="IRT15" s="63">
        <f t="shared" si="104"/>
        <v>0</v>
      </c>
      <c r="IRU15" s="63">
        <f t="shared" si="104"/>
        <v>0</v>
      </c>
      <c r="IRV15" s="63">
        <f t="shared" si="104"/>
        <v>0</v>
      </c>
      <c r="IRW15" s="63">
        <f t="shared" si="104"/>
        <v>0</v>
      </c>
      <c r="IRX15" s="63">
        <f t="shared" si="104"/>
        <v>0</v>
      </c>
      <c r="IRY15" s="63">
        <f t="shared" si="104"/>
        <v>0</v>
      </c>
      <c r="IRZ15" s="63">
        <f t="shared" si="104"/>
        <v>0</v>
      </c>
      <c r="ISA15" s="63">
        <f t="shared" si="104"/>
        <v>0</v>
      </c>
      <c r="ISB15" s="63">
        <f t="shared" si="104"/>
        <v>0</v>
      </c>
      <c r="ISC15" s="63">
        <f t="shared" si="104"/>
        <v>0</v>
      </c>
      <c r="ISD15" s="63">
        <f t="shared" si="104"/>
        <v>0</v>
      </c>
      <c r="ISE15" s="63">
        <f t="shared" si="104"/>
        <v>0</v>
      </c>
      <c r="ISF15" s="63">
        <f t="shared" si="104"/>
        <v>0</v>
      </c>
      <c r="ISG15" s="63">
        <f t="shared" si="104"/>
        <v>0</v>
      </c>
      <c r="ISH15" s="63">
        <f t="shared" si="104"/>
        <v>0</v>
      </c>
      <c r="ISI15" s="63">
        <f t="shared" si="104"/>
        <v>0</v>
      </c>
      <c r="ISJ15" s="63">
        <f t="shared" si="104"/>
        <v>0</v>
      </c>
      <c r="ISK15" s="63">
        <f t="shared" si="104"/>
        <v>0</v>
      </c>
      <c r="ISL15" s="63">
        <f t="shared" si="104"/>
        <v>0</v>
      </c>
      <c r="ISM15" s="63">
        <f t="shared" si="104"/>
        <v>0</v>
      </c>
      <c r="ISN15" s="63">
        <f t="shared" si="104"/>
        <v>0</v>
      </c>
      <c r="ISO15" s="63">
        <f t="shared" si="104"/>
        <v>0</v>
      </c>
      <c r="ISP15" s="63">
        <f t="shared" si="104"/>
        <v>0</v>
      </c>
      <c r="ISQ15" s="63">
        <f t="shared" si="104"/>
        <v>0</v>
      </c>
      <c r="ISR15" s="63">
        <f t="shared" ref="ISR15:IVC15" si="105">ISQ18</f>
        <v>0</v>
      </c>
      <c r="ISS15" s="63">
        <f t="shared" si="105"/>
        <v>0</v>
      </c>
      <c r="IST15" s="63">
        <f t="shared" si="105"/>
        <v>0</v>
      </c>
      <c r="ISU15" s="63">
        <f t="shared" si="105"/>
        <v>0</v>
      </c>
      <c r="ISV15" s="63">
        <f t="shared" si="105"/>
        <v>0</v>
      </c>
      <c r="ISW15" s="63">
        <f t="shared" si="105"/>
        <v>0</v>
      </c>
      <c r="ISX15" s="63">
        <f t="shared" si="105"/>
        <v>0</v>
      </c>
      <c r="ISY15" s="63">
        <f t="shared" si="105"/>
        <v>0</v>
      </c>
      <c r="ISZ15" s="63">
        <f t="shared" si="105"/>
        <v>0</v>
      </c>
      <c r="ITA15" s="63">
        <f t="shared" si="105"/>
        <v>0</v>
      </c>
      <c r="ITB15" s="63">
        <f t="shared" si="105"/>
        <v>0</v>
      </c>
      <c r="ITC15" s="63">
        <f t="shared" si="105"/>
        <v>0</v>
      </c>
      <c r="ITD15" s="63">
        <f t="shared" si="105"/>
        <v>0</v>
      </c>
      <c r="ITE15" s="63">
        <f t="shared" si="105"/>
        <v>0</v>
      </c>
      <c r="ITF15" s="63">
        <f t="shared" si="105"/>
        <v>0</v>
      </c>
      <c r="ITG15" s="63">
        <f t="shared" si="105"/>
        <v>0</v>
      </c>
      <c r="ITH15" s="63">
        <f t="shared" si="105"/>
        <v>0</v>
      </c>
      <c r="ITI15" s="63">
        <f t="shared" si="105"/>
        <v>0</v>
      </c>
      <c r="ITJ15" s="63">
        <f t="shared" si="105"/>
        <v>0</v>
      </c>
      <c r="ITK15" s="63">
        <f t="shared" si="105"/>
        <v>0</v>
      </c>
      <c r="ITL15" s="63">
        <f t="shared" si="105"/>
        <v>0</v>
      </c>
      <c r="ITM15" s="63">
        <f t="shared" si="105"/>
        <v>0</v>
      </c>
      <c r="ITN15" s="63">
        <f t="shared" si="105"/>
        <v>0</v>
      </c>
      <c r="ITO15" s="63">
        <f t="shared" si="105"/>
        <v>0</v>
      </c>
      <c r="ITP15" s="63">
        <f t="shared" si="105"/>
        <v>0</v>
      </c>
      <c r="ITQ15" s="63">
        <f t="shared" si="105"/>
        <v>0</v>
      </c>
      <c r="ITR15" s="63">
        <f t="shared" si="105"/>
        <v>0</v>
      </c>
      <c r="ITS15" s="63">
        <f t="shared" si="105"/>
        <v>0</v>
      </c>
      <c r="ITT15" s="63">
        <f t="shared" si="105"/>
        <v>0</v>
      </c>
      <c r="ITU15" s="63">
        <f t="shared" si="105"/>
        <v>0</v>
      </c>
      <c r="ITV15" s="63">
        <f t="shared" si="105"/>
        <v>0</v>
      </c>
      <c r="ITW15" s="63">
        <f t="shared" si="105"/>
        <v>0</v>
      </c>
      <c r="ITX15" s="63">
        <f t="shared" si="105"/>
        <v>0</v>
      </c>
      <c r="ITY15" s="63">
        <f t="shared" si="105"/>
        <v>0</v>
      </c>
      <c r="ITZ15" s="63">
        <f t="shared" si="105"/>
        <v>0</v>
      </c>
      <c r="IUA15" s="63">
        <f t="shared" si="105"/>
        <v>0</v>
      </c>
      <c r="IUB15" s="63">
        <f t="shared" si="105"/>
        <v>0</v>
      </c>
      <c r="IUC15" s="63">
        <f t="shared" si="105"/>
        <v>0</v>
      </c>
      <c r="IUD15" s="63">
        <f t="shared" si="105"/>
        <v>0</v>
      </c>
      <c r="IUE15" s="63">
        <f t="shared" si="105"/>
        <v>0</v>
      </c>
      <c r="IUF15" s="63">
        <f t="shared" si="105"/>
        <v>0</v>
      </c>
      <c r="IUG15" s="63">
        <f t="shared" si="105"/>
        <v>0</v>
      </c>
      <c r="IUH15" s="63">
        <f t="shared" si="105"/>
        <v>0</v>
      </c>
      <c r="IUI15" s="63">
        <f t="shared" si="105"/>
        <v>0</v>
      </c>
      <c r="IUJ15" s="63">
        <f t="shared" si="105"/>
        <v>0</v>
      </c>
      <c r="IUK15" s="63">
        <f t="shared" si="105"/>
        <v>0</v>
      </c>
      <c r="IUL15" s="63">
        <f t="shared" si="105"/>
        <v>0</v>
      </c>
      <c r="IUM15" s="63">
        <f t="shared" si="105"/>
        <v>0</v>
      </c>
      <c r="IUN15" s="63">
        <f t="shared" si="105"/>
        <v>0</v>
      </c>
      <c r="IUO15" s="63">
        <f t="shared" si="105"/>
        <v>0</v>
      </c>
      <c r="IUP15" s="63">
        <f t="shared" si="105"/>
        <v>0</v>
      </c>
      <c r="IUQ15" s="63">
        <f t="shared" si="105"/>
        <v>0</v>
      </c>
      <c r="IUR15" s="63">
        <f t="shared" si="105"/>
        <v>0</v>
      </c>
      <c r="IUS15" s="63">
        <f t="shared" si="105"/>
        <v>0</v>
      </c>
      <c r="IUT15" s="63">
        <f t="shared" si="105"/>
        <v>0</v>
      </c>
      <c r="IUU15" s="63">
        <f t="shared" si="105"/>
        <v>0</v>
      </c>
      <c r="IUV15" s="63">
        <f t="shared" si="105"/>
        <v>0</v>
      </c>
      <c r="IUW15" s="63">
        <f t="shared" si="105"/>
        <v>0</v>
      </c>
      <c r="IUX15" s="63">
        <f t="shared" si="105"/>
        <v>0</v>
      </c>
      <c r="IUY15" s="63">
        <f t="shared" si="105"/>
        <v>0</v>
      </c>
      <c r="IUZ15" s="63">
        <f t="shared" si="105"/>
        <v>0</v>
      </c>
      <c r="IVA15" s="63">
        <f t="shared" si="105"/>
        <v>0</v>
      </c>
      <c r="IVB15" s="63">
        <f t="shared" si="105"/>
        <v>0</v>
      </c>
      <c r="IVC15" s="63">
        <f t="shared" si="105"/>
        <v>0</v>
      </c>
      <c r="IVD15" s="63">
        <f t="shared" ref="IVD15:IXO15" si="106">IVC18</f>
        <v>0</v>
      </c>
      <c r="IVE15" s="63">
        <f t="shared" si="106"/>
        <v>0</v>
      </c>
      <c r="IVF15" s="63">
        <f t="shared" si="106"/>
        <v>0</v>
      </c>
      <c r="IVG15" s="63">
        <f t="shared" si="106"/>
        <v>0</v>
      </c>
      <c r="IVH15" s="63">
        <f t="shared" si="106"/>
        <v>0</v>
      </c>
      <c r="IVI15" s="63">
        <f t="shared" si="106"/>
        <v>0</v>
      </c>
      <c r="IVJ15" s="63">
        <f t="shared" si="106"/>
        <v>0</v>
      </c>
      <c r="IVK15" s="63">
        <f t="shared" si="106"/>
        <v>0</v>
      </c>
      <c r="IVL15" s="63">
        <f t="shared" si="106"/>
        <v>0</v>
      </c>
      <c r="IVM15" s="63">
        <f t="shared" si="106"/>
        <v>0</v>
      </c>
      <c r="IVN15" s="63">
        <f t="shared" si="106"/>
        <v>0</v>
      </c>
      <c r="IVO15" s="63">
        <f t="shared" si="106"/>
        <v>0</v>
      </c>
      <c r="IVP15" s="63">
        <f t="shared" si="106"/>
        <v>0</v>
      </c>
      <c r="IVQ15" s="63">
        <f t="shared" si="106"/>
        <v>0</v>
      </c>
      <c r="IVR15" s="63">
        <f t="shared" si="106"/>
        <v>0</v>
      </c>
      <c r="IVS15" s="63">
        <f t="shared" si="106"/>
        <v>0</v>
      </c>
      <c r="IVT15" s="63">
        <f t="shared" si="106"/>
        <v>0</v>
      </c>
      <c r="IVU15" s="63">
        <f t="shared" si="106"/>
        <v>0</v>
      </c>
      <c r="IVV15" s="63">
        <f t="shared" si="106"/>
        <v>0</v>
      </c>
      <c r="IVW15" s="63">
        <f t="shared" si="106"/>
        <v>0</v>
      </c>
      <c r="IVX15" s="63">
        <f t="shared" si="106"/>
        <v>0</v>
      </c>
      <c r="IVY15" s="63">
        <f t="shared" si="106"/>
        <v>0</v>
      </c>
      <c r="IVZ15" s="63">
        <f t="shared" si="106"/>
        <v>0</v>
      </c>
      <c r="IWA15" s="63">
        <f t="shared" si="106"/>
        <v>0</v>
      </c>
      <c r="IWB15" s="63">
        <f t="shared" si="106"/>
        <v>0</v>
      </c>
      <c r="IWC15" s="63">
        <f t="shared" si="106"/>
        <v>0</v>
      </c>
      <c r="IWD15" s="63">
        <f t="shared" si="106"/>
        <v>0</v>
      </c>
      <c r="IWE15" s="63">
        <f t="shared" si="106"/>
        <v>0</v>
      </c>
      <c r="IWF15" s="63">
        <f t="shared" si="106"/>
        <v>0</v>
      </c>
      <c r="IWG15" s="63">
        <f t="shared" si="106"/>
        <v>0</v>
      </c>
      <c r="IWH15" s="63">
        <f t="shared" si="106"/>
        <v>0</v>
      </c>
      <c r="IWI15" s="63">
        <f t="shared" si="106"/>
        <v>0</v>
      </c>
      <c r="IWJ15" s="63">
        <f t="shared" si="106"/>
        <v>0</v>
      </c>
      <c r="IWK15" s="63">
        <f t="shared" si="106"/>
        <v>0</v>
      </c>
      <c r="IWL15" s="63">
        <f t="shared" si="106"/>
        <v>0</v>
      </c>
      <c r="IWM15" s="63">
        <f t="shared" si="106"/>
        <v>0</v>
      </c>
      <c r="IWN15" s="63">
        <f t="shared" si="106"/>
        <v>0</v>
      </c>
      <c r="IWO15" s="63">
        <f t="shared" si="106"/>
        <v>0</v>
      </c>
      <c r="IWP15" s="63">
        <f t="shared" si="106"/>
        <v>0</v>
      </c>
      <c r="IWQ15" s="63">
        <f t="shared" si="106"/>
        <v>0</v>
      </c>
      <c r="IWR15" s="63">
        <f t="shared" si="106"/>
        <v>0</v>
      </c>
      <c r="IWS15" s="63">
        <f t="shared" si="106"/>
        <v>0</v>
      </c>
      <c r="IWT15" s="63">
        <f t="shared" si="106"/>
        <v>0</v>
      </c>
      <c r="IWU15" s="63">
        <f t="shared" si="106"/>
        <v>0</v>
      </c>
      <c r="IWV15" s="63">
        <f t="shared" si="106"/>
        <v>0</v>
      </c>
      <c r="IWW15" s="63">
        <f t="shared" si="106"/>
        <v>0</v>
      </c>
      <c r="IWX15" s="63">
        <f t="shared" si="106"/>
        <v>0</v>
      </c>
      <c r="IWY15" s="63">
        <f t="shared" si="106"/>
        <v>0</v>
      </c>
      <c r="IWZ15" s="63">
        <f t="shared" si="106"/>
        <v>0</v>
      </c>
      <c r="IXA15" s="63">
        <f t="shared" si="106"/>
        <v>0</v>
      </c>
      <c r="IXB15" s="63">
        <f t="shared" si="106"/>
        <v>0</v>
      </c>
      <c r="IXC15" s="63">
        <f t="shared" si="106"/>
        <v>0</v>
      </c>
      <c r="IXD15" s="63">
        <f t="shared" si="106"/>
        <v>0</v>
      </c>
      <c r="IXE15" s="63">
        <f t="shared" si="106"/>
        <v>0</v>
      </c>
      <c r="IXF15" s="63">
        <f t="shared" si="106"/>
        <v>0</v>
      </c>
      <c r="IXG15" s="63">
        <f t="shared" si="106"/>
        <v>0</v>
      </c>
      <c r="IXH15" s="63">
        <f t="shared" si="106"/>
        <v>0</v>
      </c>
      <c r="IXI15" s="63">
        <f t="shared" si="106"/>
        <v>0</v>
      </c>
      <c r="IXJ15" s="63">
        <f t="shared" si="106"/>
        <v>0</v>
      </c>
      <c r="IXK15" s="63">
        <f t="shared" si="106"/>
        <v>0</v>
      </c>
      <c r="IXL15" s="63">
        <f t="shared" si="106"/>
        <v>0</v>
      </c>
      <c r="IXM15" s="63">
        <f t="shared" si="106"/>
        <v>0</v>
      </c>
      <c r="IXN15" s="63">
        <f t="shared" si="106"/>
        <v>0</v>
      </c>
      <c r="IXO15" s="63">
        <f t="shared" si="106"/>
        <v>0</v>
      </c>
      <c r="IXP15" s="63">
        <f t="shared" ref="IXP15:JAA15" si="107">IXO18</f>
        <v>0</v>
      </c>
      <c r="IXQ15" s="63">
        <f t="shared" si="107"/>
        <v>0</v>
      </c>
      <c r="IXR15" s="63">
        <f t="shared" si="107"/>
        <v>0</v>
      </c>
      <c r="IXS15" s="63">
        <f t="shared" si="107"/>
        <v>0</v>
      </c>
      <c r="IXT15" s="63">
        <f t="shared" si="107"/>
        <v>0</v>
      </c>
      <c r="IXU15" s="63">
        <f t="shared" si="107"/>
        <v>0</v>
      </c>
      <c r="IXV15" s="63">
        <f t="shared" si="107"/>
        <v>0</v>
      </c>
      <c r="IXW15" s="63">
        <f t="shared" si="107"/>
        <v>0</v>
      </c>
      <c r="IXX15" s="63">
        <f t="shared" si="107"/>
        <v>0</v>
      </c>
      <c r="IXY15" s="63">
        <f t="shared" si="107"/>
        <v>0</v>
      </c>
      <c r="IXZ15" s="63">
        <f t="shared" si="107"/>
        <v>0</v>
      </c>
      <c r="IYA15" s="63">
        <f t="shared" si="107"/>
        <v>0</v>
      </c>
      <c r="IYB15" s="63">
        <f t="shared" si="107"/>
        <v>0</v>
      </c>
      <c r="IYC15" s="63">
        <f t="shared" si="107"/>
        <v>0</v>
      </c>
      <c r="IYD15" s="63">
        <f t="shared" si="107"/>
        <v>0</v>
      </c>
      <c r="IYE15" s="63">
        <f t="shared" si="107"/>
        <v>0</v>
      </c>
      <c r="IYF15" s="63">
        <f t="shared" si="107"/>
        <v>0</v>
      </c>
      <c r="IYG15" s="63">
        <f t="shared" si="107"/>
        <v>0</v>
      </c>
      <c r="IYH15" s="63">
        <f t="shared" si="107"/>
        <v>0</v>
      </c>
      <c r="IYI15" s="63">
        <f t="shared" si="107"/>
        <v>0</v>
      </c>
      <c r="IYJ15" s="63">
        <f t="shared" si="107"/>
        <v>0</v>
      </c>
      <c r="IYK15" s="63">
        <f t="shared" si="107"/>
        <v>0</v>
      </c>
      <c r="IYL15" s="63">
        <f t="shared" si="107"/>
        <v>0</v>
      </c>
      <c r="IYM15" s="63">
        <f t="shared" si="107"/>
        <v>0</v>
      </c>
      <c r="IYN15" s="63">
        <f t="shared" si="107"/>
        <v>0</v>
      </c>
      <c r="IYO15" s="63">
        <f t="shared" si="107"/>
        <v>0</v>
      </c>
      <c r="IYP15" s="63">
        <f t="shared" si="107"/>
        <v>0</v>
      </c>
      <c r="IYQ15" s="63">
        <f t="shared" si="107"/>
        <v>0</v>
      </c>
      <c r="IYR15" s="63">
        <f t="shared" si="107"/>
        <v>0</v>
      </c>
      <c r="IYS15" s="63">
        <f t="shared" si="107"/>
        <v>0</v>
      </c>
      <c r="IYT15" s="63">
        <f t="shared" si="107"/>
        <v>0</v>
      </c>
      <c r="IYU15" s="63">
        <f t="shared" si="107"/>
        <v>0</v>
      </c>
      <c r="IYV15" s="63">
        <f t="shared" si="107"/>
        <v>0</v>
      </c>
      <c r="IYW15" s="63">
        <f t="shared" si="107"/>
        <v>0</v>
      </c>
      <c r="IYX15" s="63">
        <f t="shared" si="107"/>
        <v>0</v>
      </c>
      <c r="IYY15" s="63">
        <f t="shared" si="107"/>
        <v>0</v>
      </c>
      <c r="IYZ15" s="63">
        <f t="shared" si="107"/>
        <v>0</v>
      </c>
      <c r="IZA15" s="63">
        <f t="shared" si="107"/>
        <v>0</v>
      </c>
      <c r="IZB15" s="63">
        <f t="shared" si="107"/>
        <v>0</v>
      </c>
      <c r="IZC15" s="63">
        <f t="shared" si="107"/>
        <v>0</v>
      </c>
      <c r="IZD15" s="63">
        <f t="shared" si="107"/>
        <v>0</v>
      </c>
      <c r="IZE15" s="63">
        <f t="shared" si="107"/>
        <v>0</v>
      </c>
      <c r="IZF15" s="63">
        <f t="shared" si="107"/>
        <v>0</v>
      </c>
      <c r="IZG15" s="63">
        <f t="shared" si="107"/>
        <v>0</v>
      </c>
      <c r="IZH15" s="63">
        <f t="shared" si="107"/>
        <v>0</v>
      </c>
      <c r="IZI15" s="63">
        <f t="shared" si="107"/>
        <v>0</v>
      </c>
      <c r="IZJ15" s="63">
        <f t="shared" si="107"/>
        <v>0</v>
      </c>
      <c r="IZK15" s="63">
        <f t="shared" si="107"/>
        <v>0</v>
      </c>
      <c r="IZL15" s="63">
        <f t="shared" si="107"/>
        <v>0</v>
      </c>
      <c r="IZM15" s="63">
        <f t="shared" si="107"/>
        <v>0</v>
      </c>
      <c r="IZN15" s="63">
        <f t="shared" si="107"/>
        <v>0</v>
      </c>
      <c r="IZO15" s="63">
        <f t="shared" si="107"/>
        <v>0</v>
      </c>
      <c r="IZP15" s="63">
        <f t="shared" si="107"/>
        <v>0</v>
      </c>
      <c r="IZQ15" s="63">
        <f t="shared" si="107"/>
        <v>0</v>
      </c>
      <c r="IZR15" s="63">
        <f t="shared" si="107"/>
        <v>0</v>
      </c>
      <c r="IZS15" s="63">
        <f t="shared" si="107"/>
        <v>0</v>
      </c>
      <c r="IZT15" s="63">
        <f t="shared" si="107"/>
        <v>0</v>
      </c>
      <c r="IZU15" s="63">
        <f t="shared" si="107"/>
        <v>0</v>
      </c>
      <c r="IZV15" s="63">
        <f t="shared" si="107"/>
        <v>0</v>
      </c>
      <c r="IZW15" s="63">
        <f t="shared" si="107"/>
        <v>0</v>
      </c>
      <c r="IZX15" s="63">
        <f t="shared" si="107"/>
        <v>0</v>
      </c>
      <c r="IZY15" s="63">
        <f t="shared" si="107"/>
        <v>0</v>
      </c>
      <c r="IZZ15" s="63">
        <f t="shared" si="107"/>
        <v>0</v>
      </c>
      <c r="JAA15" s="63">
        <f t="shared" si="107"/>
        <v>0</v>
      </c>
      <c r="JAB15" s="63">
        <f t="shared" ref="JAB15:JCM15" si="108">JAA18</f>
        <v>0</v>
      </c>
      <c r="JAC15" s="63">
        <f t="shared" si="108"/>
        <v>0</v>
      </c>
      <c r="JAD15" s="63">
        <f t="shared" si="108"/>
        <v>0</v>
      </c>
      <c r="JAE15" s="63">
        <f t="shared" si="108"/>
        <v>0</v>
      </c>
      <c r="JAF15" s="63">
        <f t="shared" si="108"/>
        <v>0</v>
      </c>
      <c r="JAG15" s="63">
        <f t="shared" si="108"/>
        <v>0</v>
      </c>
      <c r="JAH15" s="63">
        <f t="shared" si="108"/>
        <v>0</v>
      </c>
      <c r="JAI15" s="63">
        <f t="shared" si="108"/>
        <v>0</v>
      </c>
      <c r="JAJ15" s="63">
        <f t="shared" si="108"/>
        <v>0</v>
      </c>
      <c r="JAK15" s="63">
        <f t="shared" si="108"/>
        <v>0</v>
      </c>
      <c r="JAL15" s="63">
        <f t="shared" si="108"/>
        <v>0</v>
      </c>
      <c r="JAM15" s="63">
        <f t="shared" si="108"/>
        <v>0</v>
      </c>
      <c r="JAN15" s="63">
        <f t="shared" si="108"/>
        <v>0</v>
      </c>
      <c r="JAO15" s="63">
        <f t="shared" si="108"/>
        <v>0</v>
      </c>
      <c r="JAP15" s="63">
        <f t="shared" si="108"/>
        <v>0</v>
      </c>
      <c r="JAQ15" s="63">
        <f t="shared" si="108"/>
        <v>0</v>
      </c>
      <c r="JAR15" s="63">
        <f t="shared" si="108"/>
        <v>0</v>
      </c>
      <c r="JAS15" s="63">
        <f t="shared" si="108"/>
        <v>0</v>
      </c>
      <c r="JAT15" s="63">
        <f t="shared" si="108"/>
        <v>0</v>
      </c>
      <c r="JAU15" s="63">
        <f t="shared" si="108"/>
        <v>0</v>
      </c>
      <c r="JAV15" s="63">
        <f t="shared" si="108"/>
        <v>0</v>
      </c>
      <c r="JAW15" s="63">
        <f t="shared" si="108"/>
        <v>0</v>
      </c>
      <c r="JAX15" s="63">
        <f t="shared" si="108"/>
        <v>0</v>
      </c>
      <c r="JAY15" s="63">
        <f t="shared" si="108"/>
        <v>0</v>
      </c>
      <c r="JAZ15" s="63">
        <f t="shared" si="108"/>
        <v>0</v>
      </c>
      <c r="JBA15" s="63">
        <f t="shared" si="108"/>
        <v>0</v>
      </c>
      <c r="JBB15" s="63">
        <f t="shared" si="108"/>
        <v>0</v>
      </c>
      <c r="JBC15" s="63">
        <f t="shared" si="108"/>
        <v>0</v>
      </c>
      <c r="JBD15" s="63">
        <f t="shared" si="108"/>
        <v>0</v>
      </c>
      <c r="JBE15" s="63">
        <f t="shared" si="108"/>
        <v>0</v>
      </c>
      <c r="JBF15" s="63">
        <f t="shared" si="108"/>
        <v>0</v>
      </c>
      <c r="JBG15" s="63">
        <f t="shared" si="108"/>
        <v>0</v>
      </c>
      <c r="JBH15" s="63">
        <f t="shared" si="108"/>
        <v>0</v>
      </c>
      <c r="JBI15" s="63">
        <f t="shared" si="108"/>
        <v>0</v>
      </c>
      <c r="JBJ15" s="63">
        <f t="shared" si="108"/>
        <v>0</v>
      </c>
      <c r="JBK15" s="63">
        <f t="shared" si="108"/>
        <v>0</v>
      </c>
      <c r="JBL15" s="63">
        <f t="shared" si="108"/>
        <v>0</v>
      </c>
      <c r="JBM15" s="63">
        <f t="shared" si="108"/>
        <v>0</v>
      </c>
      <c r="JBN15" s="63">
        <f t="shared" si="108"/>
        <v>0</v>
      </c>
      <c r="JBO15" s="63">
        <f t="shared" si="108"/>
        <v>0</v>
      </c>
      <c r="JBP15" s="63">
        <f t="shared" si="108"/>
        <v>0</v>
      </c>
      <c r="JBQ15" s="63">
        <f t="shared" si="108"/>
        <v>0</v>
      </c>
      <c r="JBR15" s="63">
        <f t="shared" si="108"/>
        <v>0</v>
      </c>
      <c r="JBS15" s="63">
        <f t="shared" si="108"/>
        <v>0</v>
      </c>
      <c r="JBT15" s="63">
        <f t="shared" si="108"/>
        <v>0</v>
      </c>
      <c r="JBU15" s="63">
        <f t="shared" si="108"/>
        <v>0</v>
      </c>
      <c r="JBV15" s="63">
        <f t="shared" si="108"/>
        <v>0</v>
      </c>
      <c r="JBW15" s="63">
        <f t="shared" si="108"/>
        <v>0</v>
      </c>
      <c r="JBX15" s="63">
        <f t="shared" si="108"/>
        <v>0</v>
      </c>
      <c r="JBY15" s="63">
        <f t="shared" si="108"/>
        <v>0</v>
      </c>
      <c r="JBZ15" s="63">
        <f t="shared" si="108"/>
        <v>0</v>
      </c>
      <c r="JCA15" s="63">
        <f t="shared" si="108"/>
        <v>0</v>
      </c>
      <c r="JCB15" s="63">
        <f t="shared" si="108"/>
        <v>0</v>
      </c>
      <c r="JCC15" s="63">
        <f t="shared" si="108"/>
        <v>0</v>
      </c>
      <c r="JCD15" s="63">
        <f t="shared" si="108"/>
        <v>0</v>
      </c>
      <c r="JCE15" s="63">
        <f t="shared" si="108"/>
        <v>0</v>
      </c>
      <c r="JCF15" s="63">
        <f t="shared" si="108"/>
        <v>0</v>
      </c>
      <c r="JCG15" s="63">
        <f t="shared" si="108"/>
        <v>0</v>
      </c>
      <c r="JCH15" s="63">
        <f t="shared" si="108"/>
        <v>0</v>
      </c>
      <c r="JCI15" s="63">
        <f t="shared" si="108"/>
        <v>0</v>
      </c>
      <c r="JCJ15" s="63">
        <f t="shared" si="108"/>
        <v>0</v>
      </c>
      <c r="JCK15" s="63">
        <f t="shared" si="108"/>
        <v>0</v>
      </c>
      <c r="JCL15" s="63">
        <f t="shared" si="108"/>
        <v>0</v>
      </c>
      <c r="JCM15" s="63">
        <f t="shared" si="108"/>
        <v>0</v>
      </c>
      <c r="JCN15" s="63">
        <f t="shared" ref="JCN15:JEY15" si="109">JCM18</f>
        <v>0</v>
      </c>
      <c r="JCO15" s="63">
        <f t="shared" si="109"/>
        <v>0</v>
      </c>
      <c r="JCP15" s="63">
        <f t="shared" si="109"/>
        <v>0</v>
      </c>
      <c r="JCQ15" s="63">
        <f t="shared" si="109"/>
        <v>0</v>
      </c>
      <c r="JCR15" s="63">
        <f t="shared" si="109"/>
        <v>0</v>
      </c>
      <c r="JCS15" s="63">
        <f t="shared" si="109"/>
        <v>0</v>
      </c>
      <c r="JCT15" s="63">
        <f t="shared" si="109"/>
        <v>0</v>
      </c>
      <c r="JCU15" s="63">
        <f t="shared" si="109"/>
        <v>0</v>
      </c>
      <c r="JCV15" s="63">
        <f t="shared" si="109"/>
        <v>0</v>
      </c>
      <c r="JCW15" s="63">
        <f t="shared" si="109"/>
        <v>0</v>
      </c>
      <c r="JCX15" s="63">
        <f t="shared" si="109"/>
        <v>0</v>
      </c>
      <c r="JCY15" s="63">
        <f t="shared" si="109"/>
        <v>0</v>
      </c>
      <c r="JCZ15" s="63">
        <f t="shared" si="109"/>
        <v>0</v>
      </c>
      <c r="JDA15" s="63">
        <f t="shared" si="109"/>
        <v>0</v>
      </c>
      <c r="JDB15" s="63">
        <f t="shared" si="109"/>
        <v>0</v>
      </c>
      <c r="JDC15" s="63">
        <f t="shared" si="109"/>
        <v>0</v>
      </c>
      <c r="JDD15" s="63">
        <f t="shared" si="109"/>
        <v>0</v>
      </c>
      <c r="JDE15" s="63">
        <f t="shared" si="109"/>
        <v>0</v>
      </c>
      <c r="JDF15" s="63">
        <f t="shared" si="109"/>
        <v>0</v>
      </c>
      <c r="JDG15" s="63">
        <f t="shared" si="109"/>
        <v>0</v>
      </c>
      <c r="JDH15" s="63">
        <f t="shared" si="109"/>
        <v>0</v>
      </c>
      <c r="JDI15" s="63">
        <f t="shared" si="109"/>
        <v>0</v>
      </c>
      <c r="JDJ15" s="63">
        <f t="shared" si="109"/>
        <v>0</v>
      </c>
      <c r="JDK15" s="63">
        <f t="shared" si="109"/>
        <v>0</v>
      </c>
      <c r="JDL15" s="63">
        <f t="shared" si="109"/>
        <v>0</v>
      </c>
      <c r="JDM15" s="63">
        <f t="shared" si="109"/>
        <v>0</v>
      </c>
      <c r="JDN15" s="63">
        <f t="shared" si="109"/>
        <v>0</v>
      </c>
      <c r="JDO15" s="63">
        <f t="shared" si="109"/>
        <v>0</v>
      </c>
      <c r="JDP15" s="63">
        <f t="shared" si="109"/>
        <v>0</v>
      </c>
      <c r="JDQ15" s="63">
        <f t="shared" si="109"/>
        <v>0</v>
      </c>
      <c r="JDR15" s="63">
        <f t="shared" si="109"/>
        <v>0</v>
      </c>
      <c r="JDS15" s="63">
        <f t="shared" si="109"/>
        <v>0</v>
      </c>
      <c r="JDT15" s="63">
        <f t="shared" si="109"/>
        <v>0</v>
      </c>
      <c r="JDU15" s="63">
        <f t="shared" si="109"/>
        <v>0</v>
      </c>
      <c r="JDV15" s="63">
        <f t="shared" si="109"/>
        <v>0</v>
      </c>
      <c r="JDW15" s="63">
        <f t="shared" si="109"/>
        <v>0</v>
      </c>
      <c r="JDX15" s="63">
        <f t="shared" si="109"/>
        <v>0</v>
      </c>
      <c r="JDY15" s="63">
        <f t="shared" si="109"/>
        <v>0</v>
      </c>
      <c r="JDZ15" s="63">
        <f t="shared" si="109"/>
        <v>0</v>
      </c>
      <c r="JEA15" s="63">
        <f t="shared" si="109"/>
        <v>0</v>
      </c>
      <c r="JEB15" s="63">
        <f t="shared" si="109"/>
        <v>0</v>
      </c>
      <c r="JEC15" s="63">
        <f t="shared" si="109"/>
        <v>0</v>
      </c>
      <c r="JED15" s="63">
        <f t="shared" si="109"/>
        <v>0</v>
      </c>
      <c r="JEE15" s="63">
        <f t="shared" si="109"/>
        <v>0</v>
      </c>
      <c r="JEF15" s="63">
        <f t="shared" si="109"/>
        <v>0</v>
      </c>
      <c r="JEG15" s="63">
        <f t="shared" si="109"/>
        <v>0</v>
      </c>
      <c r="JEH15" s="63">
        <f t="shared" si="109"/>
        <v>0</v>
      </c>
      <c r="JEI15" s="63">
        <f t="shared" si="109"/>
        <v>0</v>
      </c>
      <c r="JEJ15" s="63">
        <f t="shared" si="109"/>
        <v>0</v>
      </c>
      <c r="JEK15" s="63">
        <f t="shared" si="109"/>
        <v>0</v>
      </c>
      <c r="JEL15" s="63">
        <f t="shared" si="109"/>
        <v>0</v>
      </c>
      <c r="JEM15" s="63">
        <f t="shared" si="109"/>
        <v>0</v>
      </c>
      <c r="JEN15" s="63">
        <f t="shared" si="109"/>
        <v>0</v>
      </c>
      <c r="JEO15" s="63">
        <f t="shared" si="109"/>
        <v>0</v>
      </c>
      <c r="JEP15" s="63">
        <f t="shared" si="109"/>
        <v>0</v>
      </c>
      <c r="JEQ15" s="63">
        <f t="shared" si="109"/>
        <v>0</v>
      </c>
      <c r="JER15" s="63">
        <f t="shared" si="109"/>
        <v>0</v>
      </c>
      <c r="JES15" s="63">
        <f t="shared" si="109"/>
        <v>0</v>
      </c>
      <c r="JET15" s="63">
        <f t="shared" si="109"/>
        <v>0</v>
      </c>
      <c r="JEU15" s="63">
        <f t="shared" si="109"/>
        <v>0</v>
      </c>
      <c r="JEV15" s="63">
        <f t="shared" si="109"/>
        <v>0</v>
      </c>
      <c r="JEW15" s="63">
        <f t="shared" si="109"/>
        <v>0</v>
      </c>
      <c r="JEX15" s="63">
        <f t="shared" si="109"/>
        <v>0</v>
      </c>
      <c r="JEY15" s="63">
        <f t="shared" si="109"/>
        <v>0</v>
      </c>
      <c r="JEZ15" s="63">
        <f t="shared" ref="JEZ15:JHK15" si="110">JEY18</f>
        <v>0</v>
      </c>
      <c r="JFA15" s="63">
        <f t="shared" si="110"/>
        <v>0</v>
      </c>
      <c r="JFB15" s="63">
        <f t="shared" si="110"/>
        <v>0</v>
      </c>
      <c r="JFC15" s="63">
        <f t="shared" si="110"/>
        <v>0</v>
      </c>
      <c r="JFD15" s="63">
        <f t="shared" si="110"/>
        <v>0</v>
      </c>
      <c r="JFE15" s="63">
        <f t="shared" si="110"/>
        <v>0</v>
      </c>
      <c r="JFF15" s="63">
        <f t="shared" si="110"/>
        <v>0</v>
      </c>
      <c r="JFG15" s="63">
        <f t="shared" si="110"/>
        <v>0</v>
      </c>
      <c r="JFH15" s="63">
        <f t="shared" si="110"/>
        <v>0</v>
      </c>
      <c r="JFI15" s="63">
        <f t="shared" si="110"/>
        <v>0</v>
      </c>
      <c r="JFJ15" s="63">
        <f t="shared" si="110"/>
        <v>0</v>
      </c>
      <c r="JFK15" s="63">
        <f t="shared" si="110"/>
        <v>0</v>
      </c>
      <c r="JFL15" s="63">
        <f t="shared" si="110"/>
        <v>0</v>
      </c>
      <c r="JFM15" s="63">
        <f t="shared" si="110"/>
        <v>0</v>
      </c>
      <c r="JFN15" s="63">
        <f t="shared" si="110"/>
        <v>0</v>
      </c>
      <c r="JFO15" s="63">
        <f t="shared" si="110"/>
        <v>0</v>
      </c>
      <c r="JFP15" s="63">
        <f t="shared" si="110"/>
        <v>0</v>
      </c>
      <c r="JFQ15" s="63">
        <f t="shared" si="110"/>
        <v>0</v>
      </c>
      <c r="JFR15" s="63">
        <f t="shared" si="110"/>
        <v>0</v>
      </c>
      <c r="JFS15" s="63">
        <f t="shared" si="110"/>
        <v>0</v>
      </c>
      <c r="JFT15" s="63">
        <f t="shared" si="110"/>
        <v>0</v>
      </c>
      <c r="JFU15" s="63">
        <f t="shared" si="110"/>
        <v>0</v>
      </c>
      <c r="JFV15" s="63">
        <f t="shared" si="110"/>
        <v>0</v>
      </c>
      <c r="JFW15" s="63">
        <f t="shared" si="110"/>
        <v>0</v>
      </c>
      <c r="JFX15" s="63">
        <f t="shared" si="110"/>
        <v>0</v>
      </c>
      <c r="JFY15" s="63">
        <f t="shared" si="110"/>
        <v>0</v>
      </c>
      <c r="JFZ15" s="63">
        <f t="shared" si="110"/>
        <v>0</v>
      </c>
      <c r="JGA15" s="63">
        <f t="shared" si="110"/>
        <v>0</v>
      </c>
      <c r="JGB15" s="63">
        <f t="shared" si="110"/>
        <v>0</v>
      </c>
      <c r="JGC15" s="63">
        <f t="shared" si="110"/>
        <v>0</v>
      </c>
      <c r="JGD15" s="63">
        <f t="shared" si="110"/>
        <v>0</v>
      </c>
      <c r="JGE15" s="63">
        <f t="shared" si="110"/>
        <v>0</v>
      </c>
      <c r="JGF15" s="63">
        <f t="shared" si="110"/>
        <v>0</v>
      </c>
      <c r="JGG15" s="63">
        <f t="shared" si="110"/>
        <v>0</v>
      </c>
      <c r="JGH15" s="63">
        <f t="shared" si="110"/>
        <v>0</v>
      </c>
      <c r="JGI15" s="63">
        <f t="shared" si="110"/>
        <v>0</v>
      </c>
      <c r="JGJ15" s="63">
        <f t="shared" si="110"/>
        <v>0</v>
      </c>
      <c r="JGK15" s="63">
        <f t="shared" si="110"/>
        <v>0</v>
      </c>
      <c r="JGL15" s="63">
        <f t="shared" si="110"/>
        <v>0</v>
      </c>
      <c r="JGM15" s="63">
        <f t="shared" si="110"/>
        <v>0</v>
      </c>
      <c r="JGN15" s="63">
        <f t="shared" si="110"/>
        <v>0</v>
      </c>
      <c r="JGO15" s="63">
        <f t="shared" si="110"/>
        <v>0</v>
      </c>
      <c r="JGP15" s="63">
        <f t="shared" si="110"/>
        <v>0</v>
      </c>
      <c r="JGQ15" s="63">
        <f t="shared" si="110"/>
        <v>0</v>
      </c>
      <c r="JGR15" s="63">
        <f t="shared" si="110"/>
        <v>0</v>
      </c>
      <c r="JGS15" s="63">
        <f t="shared" si="110"/>
        <v>0</v>
      </c>
      <c r="JGT15" s="63">
        <f t="shared" si="110"/>
        <v>0</v>
      </c>
      <c r="JGU15" s="63">
        <f t="shared" si="110"/>
        <v>0</v>
      </c>
      <c r="JGV15" s="63">
        <f t="shared" si="110"/>
        <v>0</v>
      </c>
      <c r="JGW15" s="63">
        <f t="shared" si="110"/>
        <v>0</v>
      </c>
      <c r="JGX15" s="63">
        <f t="shared" si="110"/>
        <v>0</v>
      </c>
      <c r="JGY15" s="63">
        <f t="shared" si="110"/>
        <v>0</v>
      </c>
      <c r="JGZ15" s="63">
        <f t="shared" si="110"/>
        <v>0</v>
      </c>
      <c r="JHA15" s="63">
        <f t="shared" si="110"/>
        <v>0</v>
      </c>
      <c r="JHB15" s="63">
        <f t="shared" si="110"/>
        <v>0</v>
      </c>
      <c r="JHC15" s="63">
        <f t="shared" si="110"/>
        <v>0</v>
      </c>
      <c r="JHD15" s="63">
        <f t="shared" si="110"/>
        <v>0</v>
      </c>
      <c r="JHE15" s="63">
        <f t="shared" si="110"/>
        <v>0</v>
      </c>
      <c r="JHF15" s="63">
        <f t="shared" si="110"/>
        <v>0</v>
      </c>
      <c r="JHG15" s="63">
        <f t="shared" si="110"/>
        <v>0</v>
      </c>
      <c r="JHH15" s="63">
        <f t="shared" si="110"/>
        <v>0</v>
      </c>
      <c r="JHI15" s="63">
        <f t="shared" si="110"/>
        <v>0</v>
      </c>
      <c r="JHJ15" s="63">
        <f t="shared" si="110"/>
        <v>0</v>
      </c>
      <c r="JHK15" s="63">
        <f t="shared" si="110"/>
        <v>0</v>
      </c>
      <c r="JHL15" s="63">
        <f t="shared" ref="JHL15:JJW15" si="111">JHK18</f>
        <v>0</v>
      </c>
      <c r="JHM15" s="63">
        <f t="shared" si="111"/>
        <v>0</v>
      </c>
      <c r="JHN15" s="63">
        <f t="shared" si="111"/>
        <v>0</v>
      </c>
      <c r="JHO15" s="63">
        <f t="shared" si="111"/>
        <v>0</v>
      </c>
      <c r="JHP15" s="63">
        <f t="shared" si="111"/>
        <v>0</v>
      </c>
      <c r="JHQ15" s="63">
        <f t="shared" si="111"/>
        <v>0</v>
      </c>
      <c r="JHR15" s="63">
        <f t="shared" si="111"/>
        <v>0</v>
      </c>
      <c r="JHS15" s="63">
        <f t="shared" si="111"/>
        <v>0</v>
      </c>
      <c r="JHT15" s="63">
        <f t="shared" si="111"/>
        <v>0</v>
      </c>
      <c r="JHU15" s="63">
        <f t="shared" si="111"/>
        <v>0</v>
      </c>
      <c r="JHV15" s="63">
        <f t="shared" si="111"/>
        <v>0</v>
      </c>
      <c r="JHW15" s="63">
        <f t="shared" si="111"/>
        <v>0</v>
      </c>
      <c r="JHX15" s="63">
        <f t="shared" si="111"/>
        <v>0</v>
      </c>
      <c r="JHY15" s="63">
        <f t="shared" si="111"/>
        <v>0</v>
      </c>
      <c r="JHZ15" s="63">
        <f t="shared" si="111"/>
        <v>0</v>
      </c>
      <c r="JIA15" s="63">
        <f t="shared" si="111"/>
        <v>0</v>
      </c>
      <c r="JIB15" s="63">
        <f t="shared" si="111"/>
        <v>0</v>
      </c>
      <c r="JIC15" s="63">
        <f t="shared" si="111"/>
        <v>0</v>
      </c>
      <c r="JID15" s="63">
        <f t="shared" si="111"/>
        <v>0</v>
      </c>
      <c r="JIE15" s="63">
        <f t="shared" si="111"/>
        <v>0</v>
      </c>
      <c r="JIF15" s="63">
        <f t="shared" si="111"/>
        <v>0</v>
      </c>
      <c r="JIG15" s="63">
        <f t="shared" si="111"/>
        <v>0</v>
      </c>
      <c r="JIH15" s="63">
        <f t="shared" si="111"/>
        <v>0</v>
      </c>
      <c r="JII15" s="63">
        <f t="shared" si="111"/>
        <v>0</v>
      </c>
      <c r="JIJ15" s="63">
        <f t="shared" si="111"/>
        <v>0</v>
      </c>
      <c r="JIK15" s="63">
        <f t="shared" si="111"/>
        <v>0</v>
      </c>
      <c r="JIL15" s="63">
        <f t="shared" si="111"/>
        <v>0</v>
      </c>
      <c r="JIM15" s="63">
        <f t="shared" si="111"/>
        <v>0</v>
      </c>
      <c r="JIN15" s="63">
        <f t="shared" si="111"/>
        <v>0</v>
      </c>
      <c r="JIO15" s="63">
        <f t="shared" si="111"/>
        <v>0</v>
      </c>
      <c r="JIP15" s="63">
        <f t="shared" si="111"/>
        <v>0</v>
      </c>
      <c r="JIQ15" s="63">
        <f t="shared" si="111"/>
        <v>0</v>
      </c>
      <c r="JIR15" s="63">
        <f t="shared" si="111"/>
        <v>0</v>
      </c>
      <c r="JIS15" s="63">
        <f t="shared" si="111"/>
        <v>0</v>
      </c>
      <c r="JIT15" s="63">
        <f t="shared" si="111"/>
        <v>0</v>
      </c>
      <c r="JIU15" s="63">
        <f t="shared" si="111"/>
        <v>0</v>
      </c>
      <c r="JIV15" s="63">
        <f t="shared" si="111"/>
        <v>0</v>
      </c>
      <c r="JIW15" s="63">
        <f t="shared" si="111"/>
        <v>0</v>
      </c>
      <c r="JIX15" s="63">
        <f t="shared" si="111"/>
        <v>0</v>
      </c>
      <c r="JIY15" s="63">
        <f t="shared" si="111"/>
        <v>0</v>
      </c>
      <c r="JIZ15" s="63">
        <f t="shared" si="111"/>
        <v>0</v>
      </c>
      <c r="JJA15" s="63">
        <f t="shared" si="111"/>
        <v>0</v>
      </c>
      <c r="JJB15" s="63">
        <f t="shared" si="111"/>
        <v>0</v>
      </c>
      <c r="JJC15" s="63">
        <f t="shared" si="111"/>
        <v>0</v>
      </c>
      <c r="JJD15" s="63">
        <f t="shared" si="111"/>
        <v>0</v>
      </c>
      <c r="JJE15" s="63">
        <f t="shared" si="111"/>
        <v>0</v>
      </c>
      <c r="JJF15" s="63">
        <f t="shared" si="111"/>
        <v>0</v>
      </c>
      <c r="JJG15" s="63">
        <f t="shared" si="111"/>
        <v>0</v>
      </c>
      <c r="JJH15" s="63">
        <f t="shared" si="111"/>
        <v>0</v>
      </c>
      <c r="JJI15" s="63">
        <f t="shared" si="111"/>
        <v>0</v>
      </c>
      <c r="JJJ15" s="63">
        <f t="shared" si="111"/>
        <v>0</v>
      </c>
      <c r="JJK15" s="63">
        <f t="shared" si="111"/>
        <v>0</v>
      </c>
      <c r="JJL15" s="63">
        <f t="shared" si="111"/>
        <v>0</v>
      </c>
      <c r="JJM15" s="63">
        <f t="shared" si="111"/>
        <v>0</v>
      </c>
      <c r="JJN15" s="63">
        <f t="shared" si="111"/>
        <v>0</v>
      </c>
      <c r="JJO15" s="63">
        <f t="shared" si="111"/>
        <v>0</v>
      </c>
      <c r="JJP15" s="63">
        <f t="shared" si="111"/>
        <v>0</v>
      </c>
      <c r="JJQ15" s="63">
        <f t="shared" si="111"/>
        <v>0</v>
      </c>
      <c r="JJR15" s="63">
        <f t="shared" si="111"/>
        <v>0</v>
      </c>
      <c r="JJS15" s="63">
        <f t="shared" si="111"/>
        <v>0</v>
      </c>
      <c r="JJT15" s="63">
        <f t="shared" si="111"/>
        <v>0</v>
      </c>
      <c r="JJU15" s="63">
        <f t="shared" si="111"/>
        <v>0</v>
      </c>
      <c r="JJV15" s="63">
        <f t="shared" si="111"/>
        <v>0</v>
      </c>
      <c r="JJW15" s="63">
        <f t="shared" si="111"/>
        <v>0</v>
      </c>
      <c r="JJX15" s="63">
        <f t="shared" ref="JJX15:JMI15" si="112">JJW18</f>
        <v>0</v>
      </c>
      <c r="JJY15" s="63">
        <f t="shared" si="112"/>
        <v>0</v>
      </c>
      <c r="JJZ15" s="63">
        <f t="shared" si="112"/>
        <v>0</v>
      </c>
      <c r="JKA15" s="63">
        <f t="shared" si="112"/>
        <v>0</v>
      </c>
      <c r="JKB15" s="63">
        <f t="shared" si="112"/>
        <v>0</v>
      </c>
      <c r="JKC15" s="63">
        <f t="shared" si="112"/>
        <v>0</v>
      </c>
      <c r="JKD15" s="63">
        <f t="shared" si="112"/>
        <v>0</v>
      </c>
      <c r="JKE15" s="63">
        <f t="shared" si="112"/>
        <v>0</v>
      </c>
      <c r="JKF15" s="63">
        <f t="shared" si="112"/>
        <v>0</v>
      </c>
      <c r="JKG15" s="63">
        <f t="shared" si="112"/>
        <v>0</v>
      </c>
      <c r="JKH15" s="63">
        <f t="shared" si="112"/>
        <v>0</v>
      </c>
      <c r="JKI15" s="63">
        <f t="shared" si="112"/>
        <v>0</v>
      </c>
      <c r="JKJ15" s="63">
        <f t="shared" si="112"/>
        <v>0</v>
      </c>
      <c r="JKK15" s="63">
        <f t="shared" si="112"/>
        <v>0</v>
      </c>
      <c r="JKL15" s="63">
        <f t="shared" si="112"/>
        <v>0</v>
      </c>
      <c r="JKM15" s="63">
        <f t="shared" si="112"/>
        <v>0</v>
      </c>
      <c r="JKN15" s="63">
        <f t="shared" si="112"/>
        <v>0</v>
      </c>
      <c r="JKO15" s="63">
        <f t="shared" si="112"/>
        <v>0</v>
      </c>
      <c r="JKP15" s="63">
        <f t="shared" si="112"/>
        <v>0</v>
      </c>
      <c r="JKQ15" s="63">
        <f t="shared" si="112"/>
        <v>0</v>
      </c>
      <c r="JKR15" s="63">
        <f t="shared" si="112"/>
        <v>0</v>
      </c>
      <c r="JKS15" s="63">
        <f t="shared" si="112"/>
        <v>0</v>
      </c>
      <c r="JKT15" s="63">
        <f t="shared" si="112"/>
        <v>0</v>
      </c>
      <c r="JKU15" s="63">
        <f t="shared" si="112"/>
        <v>0</v>
      </c>
      <c r="JKV15" s="63">
        <f t="shared" si="112"/>
        <v>0</v>
      </c>
      <c r="JKW15" s="63">
        <f t="shared" si="112"/>
        <v>0</v>
      </c>
      <c r="JKX15" s="63">
        <f t="shared" si="112"/>
        <v>0</v>
      </c>
      <c r="JKY15" s="63">
        <f t="shared" si="112"/>
        <v>0</v>
      </c>
      <c r="JKZ15" s="63">
        <f t="shared" si="112"/>
        <v>0</v>
      </c>
      <c r="JLA15" s="63">
        <f t="shared" si="112"/>
        <v>0</v>
      </c>
      <c r="JLB15" s="63">
        <f t="shared" si="112"/>
        <v>0</v>
      </c>
      <c r="JLC15" s="63">
        <f t="shared" si="112"/>
        <v>0</v>
      </c>
      <c r="JLD15" s="63">
        <f t="shared" si="112"/>
        <v>0</v>
      </c>
      <c r="JLE15" s="63">
        <f t="shared" si="112"/>
        <v>0</v>
      </c>
      <c r="JLF15" s="63">
        <f t="shared" si="112"/>
        <v>0</v>
      </c>
      <c r="JLG15" s="63">
        <f t="shared" si="112"/>
        <v>0</v>
      </c>
      <c r="JLH15" s="63">
        <f t="shared" si="112"/>
        <v>0</v>
      </c>
      <c r="JLI15" s="63">
        <f t="shared" si="112"/>
        <v>0</v>
      </c>
      <c r="JLJ15" s="63">
        <f t="shared" si="112"/>
        <v>0</v>
      </c>
      <c r="JLK15" s="63">
        <f t="shared" si="112"/>
        <v>0</v>
      </c>
      <c r="JLL15" s="63">
        <f t="shared" si="112"/>
        <v>0</v>
      </c>
      <c r="JLM15" s="63">
        <f t="shared" si="112"/>
        <v>0</v>
      </c>
      <c r="JLN15" s="63">
        <f t="shared" si="112"/>
        <v>0</v>
      </c>
      <c r="JLO15" s="63">
        <f t="shared" si="112"/>
        <v>0</v>
      </c>
      <c r="JLP15" s="63">
        <f t="shared" si="112"/>
        <v>0</v>
      </c>
      <c r="JLQ15" s="63">
        <f t="shared" si="112"/>
        <v>0</v>
      </c>
      <c r="JLR15" s="63">
        <f t="shared" si="112"/>
        <v>0</v>
      </c>
      <c r="JLS15" s="63">
        <f t="shared" si="112"/>
        <v>0</v>
      </c>
      <c r="JLT15" s="63">
        <f t="shared" si="112"/>
        <v>0</v>
      </c>
      <c r="JLU15" s="63">
        <f t="shared" si="112"/>
        <v>0</v>
      </c>
      <c r="JLV15" s="63">
        <f t="shared" si="112"/>
        <v>0</v>
      </c>
      <c r="JLW15" s="63">
        <f t="shared" si="112"/>
        <v>0</v>
      </c>
      <c r="JLX15" s="63">
        <f t="shared" si="112"/>
        <v>0</v>
      </c>
      <c r="JLY15" s="63">
        <f t="shared" si="112"/>
        <v>0</v>
      </c>
      <c r="JLZ15" s="63">
        <f t="shared" si="112"/>
        <v>0</v>
      </c>
      <c r="JMA15" s="63">
        <f t="shared" si="112"/>
        <v>0</v>
      </c>
      <c r="JMB15" s="63">
        <f t="shared" si="112"/>
        <v>0</v>
      </c>
      <c r="JMC15" s="63">
        <f t="shared" si="112"/>
        <v>0</v>
      </c>
      <c r="JMD15" s="63">
        <f t="shared" si="112"/>
        <v>0</v>
      </c>
      <c r="JME15" s="63">
        <f t="shared" si="112"/>
        <v>0</v>
      </c>
      <c r="JMF15" s="63">
        <f t="shared" si="112"/>
        <v>0</v>
      </c>
      <c r="JMG15" s="63">
        <f t="shared" si="112"/>
        <v>0</v>
      </c>
      <c r="JMH15" s="63">
        <f t="shared" si="112"/>
        <v>0</v>
      </c>
      <c r="JMI15" s="63">
        <f t="shared" si="112"/>
        <v>0</v>
      </c>
      <c r="JMJ15" s="63">
        <f t="shared" ref="JMJ15:JOU15" si="113">JMI18</f>
        <v>0</v>
      </c>
      <c r="JMK15" s="63">
        <f t="shared" si="113"/>
        <v>0</v>
      </c>
      <c r="JML15" s="63">
        <f t="shared" si="113"/>
        <v>0</v>
      </c>
      <c r="JMM15" s="63">
        <f t="shared" si="113"/>
        <v>0</v>
      </c>
      <c r="JMN15" s="63">
        <f t="shared" si="113"/>
        <v>0</v>
      </c>
      <c r="JMO15" s="63">
        <f t="shared" si="113"/>
        <v>0</v>
      </c>
      <c r="JMP15" s="63">
        <f t="shared" si="113"/>
        <v>0</v>
      </c>
      <c r="JMQ15" s="63">
        <f t="shared" si="113"/>
        <v>0</v>
      </c>
      <c r="JMR15" s="63">
        <f t="shared" si="113"/>
        <v>0</v>
      </c>
      <c r="JMS15" s="63">
        <f t="shared" si="113"/>
        <v>0</v>
      </c>
      <c r="JMT15" s="63">
        <f t="shared" si="113"/>
        <v>0</v>
      </c>
      <c r="JMU15" s="63">
        <f t="shared" si="113"/>
        <v>0</v>
      </c>
      <c r="JMV15" s="63">
        <f t="shared" si="113"/>
        <v>0</v>
      </c>
      <c r="JMW15" s="63">
        <f t="shared" si="113"/>
        <v>0</v>
      </c>
      <c r="JMX15" s="63">
        <f t="shared" si="113"/>
        <v>0</v>
      </c>
      <c r="JMY15" s="63">
        <f t="shared" si="113"/>
        <v>0</v>
      </c>
      <c r="JMZ15" s="63">
        <f t="shared" si="113"/>
        <v>0</v>
      </c>
      <c r="JNA15" s="63">
        <f t="shared" si="113"/>
        <v>0</v>
      </c>
      <c r="JNB15" s="63">
        <f t="shared" si="113"/>
        <v>0</v>
      </c>
      <c r="JNC15" s="63">
        <f t="shared" si="113"/>
        <v>0</v>
      </c>
      <c r="JND15" s="63">
        <f t="shared" si="113"/>
        <v>0</v>
      </c>
      <c r="JNE15" s="63">
        <f t="shared" si="113"/>
        <v>0</v>
      </c>
      <c r="JNF15" s="63">
        <f t="shared" si="113"/>
        <v>0</v>
      </c>
      <c r="JNG15" s="63">
        <f t="shared" si="113"/>
        <v>0</v>
      </c>
      <c r="JNH15" s="63">
        <f t="shared" si="113"/>
        <v>0</v>
      </c>
      <c r="JNI15" s="63">
        <f t="shared" si="113"/>
        <v>0</v>
      </c>
      <c r="JNJ15" s="63">
        <f t="shared" si="113"/>
        <v>0</v>
      </c>
      <c r="JNK15" s="63">
        <f t="shared" si="113"/>
        <v>0</v>
      </c>
      <c r="JNL15" s="63">
        <f t="shared" si="113"/>
        <v>0</v>
      </c>
      <c r="JNM15" s="63">
        <f t="shared" si="113"/>
        <v>0</v>
      </c>
      <c r="JNN15" s="63">
        <f t="shared" si="113"/>
        <v>0</v>
      </c>
      <c r="JNO15" s="63">
        <f t="shared" si="113"/>
        <v>0</v>
      </c>
      <c r="JNP15" s="63">
        <f t="shared" si="113"/>
        <v>0</v>
      </c>
      <c r="JNQ15" s="63">
        <f t="shared" si="113"/>
        <v>0</v>
      </c>
      <c r="JNR15" s="63">
        <f t="shared" si="113"/>
        <v>0</v>
      </c>
      <c r="JNS15" s="63">
        <f t="shared" si="113"/>
        <v>0</v>
      </c>
      <c r="JNT15" s="63">
        <f t="shared" si="113"/>
        <v>0</v>
      </c>
      <c r="JNU15" s="63">
        <f t="shared" si="113"/>
        <v>0</v>
      </c>
      <c r="JNV15" s="63">
        <f t="shared" si="113"/>
        <v>0</v>
      </c>
      <c r="JNW15" s="63">
        <f t="shared" si="113"/>
        <v>0</v>
      </c>
      <c r="JNX15" s="63">
        <f t="shared" si="113"/>
        <v>0</v>
      </c>
      <c r="JNY15" s="63">
        <f t="shared" si="113"/>
        <v>0</v>
      </c>
      <c r="JNZ15" s="63">
        <f t="shared" si="113"/>
        <v>0</v>
      </c>
      <c r="JOA15" s="63">
        <f t="shared" si="113"/>
        <v>0</v>
      </c>
      <c r="JOB15" s="63">
        <f t="shared" si="113"/>
        <v>0</v>
      </c>
      <c r="JOC15" s="63">
        <f t="shared" si="113"/>
        <v>0</v>
      </c>
      <c r="JOD15" s="63">
        <f t="shared" si="113"/>
        <v>0</v>
      </c>
      <c r="JOE15" s="63">
        <f t="shared" si="113"/>
        <v>0</v>
      </c>
      <c r="JOF15" s="63">
        <f t="shared" si="113"/>
        <v>0</v>
      </c>
      <c r="JOG15" s="63">
        <f t="shared" si="113"/>
        <v>0</v>
      </c>
      <c r="JOH15" s="63">
        <f t="shared" si="113"/>
        <v>0</v>
      </c>
      <c r="JOI15" s="63">
        <f t="shared" si="113"/>
        <v>0</v>
      </c>
      <c r="JOJ15" s="63">
        <f t="shared" si="113"/>
        <v>0</v>
      </c>
      <c r="JOK15" s="63">
        <f t="shared" si="113"/>
        <v>0</v>
      </c>
      <c r="JOL15" s="63">
        <f t="shared" si="113"/>
        <v>0</v>
      </c>
      <c r="JOM15" s="63">
        <f t="shared" si="113"/>
        <v>0</v>
      </c>
      <c r="JON15" s="63">
        <f t="shared" si="113"/>
        <v>0</v>
      </c>
      <c r="JOO15" s="63">
        <f t="shared" si="113"/>
        <v>0</v>
      </c>
      <c r="JOP15" s="63">
        <f t="shared" si="113"/>
        <v>0</v>
      </c>
      <c r="JOQ15" s="63">
        <f t="shared" si="113"/>
        <v>0</v>
      </c>
      <c r="JOR15" s="63">
        <f t="shared" si="113"/>
        <v>0</v>
      </c>
      <c r="JOS15" s="63">
        <f t="shared" si="113"/>
        <v>0</v>
      </c>
      <c r="JOT15" s="63">
        <f t="shared" si="113"/>
        <v>0</v>
      </c>
      <c r="JOU15" s="63">
        <f t="shared" si="113"/>
        <v>0</v>
      </c>
      <c r="JOV15" s="63">
        <f t="shared" ref="JOV15:JRG15" si="114">JOU18</f>
        <v>0</v>
      </c>
      <c r="JOW15" s="63">
        <f t="shared" si="114"/>
        <v>0</v>
      </c>
      <c r="JOX15" s="63">
        <f t="shared" si="114"/>
        <v>0</v>
      </c>
      <c r="JOY15" s="63">
        <f t="shared" si="114"/>
        <v>0</v>
      </c>
      <c r="JOZ15" s="63">
        <f t="shared" si="114"/>
        <v>0</v>
      </c>
      <c r="JPA15" s="63">
        <f t="shared" si="114"/>
        <v>0</v>
      </c>
      <c r="JPB15" s="63">
        <f t="shared" si="114"/>
        <v>0</v>
      </c>
      <c r="JPC15" s="63">
        <f t="shared" si="114"/>
        <v>0</v>
      </c>
      <c r="JPD15" s="63">
        <f t="shared" si="114"/>
        <v>0</v>
      </c>
      <c r="JPE15" s="63">
        <f t="shared" si="114"/>
        <v>0</v>
      </c>
      <c r="JPF15" s="63">
        <f t="shared" si="114"/>
        <v>0</v>
      </c>
      <c r="JPG15" s="63">
        <f t="shared" si="114"/>
        <v>0</v>
      </c>
      <c r="JPH15" s="63">
        <f t="shared" si="114"/>
        <v>0</v>
      </c>
      <c r="JPI15" s="63">
        <f t="shared" si="114"/>
        <v>0</v>
      </c>
      <c r="JPJ15" s="63">
        <f t="shared" si="114"/>
        <v>0</v>
      </c>
      <c r="JPK15" s="63">
        <f t="shared" si="114"/>
        <v>0</v>
      </c>
      <c r="JPL15" s="63">
        <f t="shared" si="114"/>
        <v>0</v>
      </c>
      <c r="JPM15" s="63">
        <f t="shared" si="114"/>
        <v>0</v>
      </c>
      <c r="JPN15" s="63">
        <f t="shared" si="114"/>
        <v>0</v>
      </c>
      <c r="JPO15" s="63">
        <f t="shared" si="114"/>
        <v>0</v>
      </c>
      <c r="JPP15" s="63">
        <f t="shared" si="114"/>
        <v>0</v>
      </c>
      <c r="JPQ15" s="63">
        <f t="shared" si="114"/>
        <v>0</v>
      </c>
      <c r="JPR15" s="63">
        <f t="shared" si="114"/>
        <v>0</v>
      </c>
      <c r="JPS15" s="63">
        <f t="shared" si="114"/>
        <v>0</v>
      </c>
      <c r="JPT15" s="63">
        <f t="shared" si="114"/>
        <v>0</v>
      </c>
      <c r="JPU15" s="63">
        <f t="shared" si="114"/>
        <v>0</v>
      </c>
      <c r="JPV15" s="63">
        <f t="shared" si="114"/>
        <v>0</v>
      </c>
      <c r="JPW15" s="63">
        <f t="shared" si="114"/>
        <v>0</v>
      </c>
      <c r="JPX15" s="63">
        <f t="shared" si="114"/>
        <v>0</v>
      </c>
      <c r="JPY15" s="63">
        <f t="shared" si="114"/>
        <v>0</v>
      </c>
      <c r="JPZ15" s="63">
        <f t="shared" si="114"/>
        <v>0</v>
      </c>
      <c r="JQA15" s="63">
        <f t="shared" si="114"/>
        <v>0</v>
      </c>
      <c r="JQB15" s="63">
        <f t="shared" si="114"/>
        <v>0</v>
      </c>
      <c r="JQC15" s="63">
        <f t="shared" si="114"/>
        <v>0</v>
      </c>
      <c r="JQD15" s="63">
        <f t="shared" si="114"/>
        <v>0</v>
      </c>
      <c r="JQE15" s="63">
        <f t="shared" si="114"/>
        <v>0</v>
      </c>
      <c r="JQF15" s="63">
        <f t="shared" si="114"/>
        <v>0</v>
      </c>
      <c r="JQG15" s="63">
        <f t="shared" si="114"/>
        <v>0</v>
      </c>
      <c r="JQH15" s="63">
        <f t="shared" si="114"/>
        <v>0</v>
      </c>
      <c r="JQI15" s="63">
        <f t="shared" si="114"/>
        <v>0</v>
      </c>
      <c r="JQJ15" s="63">
        <f t="shared" si="114"/>
        <v>0</v>
      </c>
      <c r="JQK15" s="63">
        <f t="shared" si="114"/>
        <v>0</v>
      </c>
      <c r="JQL15" s="63">
        <f t="shared" si="114"/>
        <v>0</v>
      </c>
      <c r="JQM15" s="63">
        <f t="shared" si="114"/>
        <v>0</v>
      </c>
      <c r="JQN15" s="63">
        <f t="shared" si="114"/>
        <v>0</v>
      </c>
      <c r="JQO15" s="63">
        <f t="shared" si="114"/>
        <v>0</v>
      </c>
      <c r="JQP15" s="63">
        <f t="shared" si="114"/>
        <v>0</v>
      </c>
      <c r="JQQ15" s="63">
        <f t="shared" si="114"/>
        <v>0</v>
      </c>
      <c r="JQR15" s="63">
        <f t="shared" si="114"/>
        <v>0</v>
      </c>
      <c r="JQS15" s="63">
        <f t="shared" si="114"/>
        <v>0</v>
      </c>
      <c r="JQT15" s="63">
        <f t="shared" si="114"/>
        <v>0</v>
      </c>
      <c r="JQU15" s="63">
        <f t="shared" si="114"/>
        <v>0</v>
      </c>
      <c r="JQV15" s="63">
        <f t="shared" si="114"/>
        <v>0</v>
      </c>
      <c r="JQW15" s="63">
        <f t="shared" si="114"/>
        <v>0</v>
      </c>
      <c r="JQX15" s="63">
        <f t="shared" si="114"/>
        <v>0</v>
      </c>
      <c r="JQY15" s="63">
        <f t="shared" si="114"/>
        <v>0</v>
      </c>
      <c r="JQZ15" s="63">
        <f t="shared" si="114"/>
        <v>0</v>
      </c>
      <c r="JRA15" s="63">
        <f t="shared" si="114"/>
        <v>0</v>
      </c>
      <c r="JRB15" s="63">
        <f t="shared" si="114"/>
        <v>0</v>
      </c>
      <c r="JRC15" s="63">
        <f t="shared" si="114"/>
        <v>0</v>
      </c>
      <c r="JRD15" s="63">
        <f t="shared" si="114"/>
        <v>0</v>
      </c>
      <c r="JRE15" s="63">
        <f t="shared" si="114"/>
        <v>0</v>
      </c>
      <c r="JRF15" s="63">
        <f t="shared" si="114"/>
        <v>0</v>
      </c>
      <c r="JRG15" s="63">
        <f t="shared" si="114"/>
        <v>0</v>
      </c>
      <c r="JRH15" s="63">
        <f t="shared" ref="JRH15:JTS15" si="115">JRG18</f>
        <v>0</v>
      </c>
      <c r="JRI15" s="63">
        <f t="shared" si="115"/>
        <v>0</v>
      </c>
      <c r="JRJ15" s="63">
        <f t="shared" si="115"/>
        <v>0</v>
      </c>
      <c r="JRK15" s="63">
        <f t="shared" si="115"/>
        <v>0</v>
      </c>
      <c r="JRL15" s="63">
        <f t="shared" si="115"/>
        <v>0</v>
      </c>
      <c r="JRM15" s="63">
        <f t="shared" si="115"/>
        <v>0</v>
      </c>
      <c r="JRN15" s="63">
        <f t="shared" si="115"/>
        <v>0</v>
      </c>
      <c r="JRO15" s="63">
        <f t="shared" si="115"/>
        <v>0</v>
      </c>
      <c r="JRP15" s="63">
        <f t="shared" si="115"/>
        <v>0</v>
      </c>
      <c r="JRQ15" s="63">
        <f t="shared" si="115"/>
        <v>0</v>
      </c>
      <c r="JRR15" s="63">
        <f t="shared" si="115"/>
        <v>0</v>
      </c>
      <c r="JRS15" s="63">
        <f t="shared" si="115"/>
        <v>0</v>
      </c>
      <c r="JRT15" s="63">
        <f t="shared" si="115"/>
        <v>0</v>
      </c>
      <c r="JRU15" s="63">
        <f t="shared" si="115"/>
        <v>0</v>
      </c>
      <c r="JRV15" s="63">
        <f t="shared" si="115"/>
        <v>0</v>
      </c>
      <c r="JRW15" s="63">
        <f t="shared" si="115"/>
        <v>0</v>
      </c>
      <c r="JRX15" s="63">
        <f t="shared" si="115"/>
        <v>0</v>
      </c>
      <c r="JRY15" s="63">
        <f t="shared" si="115"/>
        <v>0</v>
      </c>
      <c r="JRZ15" s="63">
        <f t="shared" si="115"/>
        <v>0</v>
      </c>
      <c r="JSA15" s="63">
        <f t="shared" si="115"/>
        <v>0</v>
      </c>
      <c r="JSB15" s="63">
        <f t="shared" si="115"/>
        <v>0</v>
      </c>
      <c r="JSC15" s="63">
        <f t="shared" si="115"/>
        <v>0</v>
      </c>
      <c r="JSD15" s="63">
        <f t="shared" si="115"/>
        <v>0</v>
      </c>
      <c r="JSE15" s="63">
        <f t="shared" si="115"/>
        <v>0</v>
      </c>
      <c r="JSF15" s="63">
        <f t="shared" si="115"/>
        <v>0</v>
      </c>
      <c r="JSG15" s="63">
        <f t="shared" si="115"/>
        <v>0</v>
      </c>
      <c r="JSH15" s="63">
        <f t="shared" si="115"/>
        <v>0</v>
      </c>
      <c r="JSI15" s="63">
        <f t="shared" si="115"/>
        <v>0</v>
      </c>
      <c r="JSJ15" s="63">
        <f t="shared" si="115"/>
        <v>0</v>
      </c>
      <c r="JSK15" s="63">
        <f t="shared" si="115"/>
        <v>0</v>
      </c>
      <c r="JSL15" s="63">
        <f t="shared" si="115"/>
        <v>0</v>
      </c>
      <c r="JSM15" s="63">
        <f t="shared" si="115"/>
        <v>0</v>
      </c>
      <c r="JSN15" s="63">
        <f t="shared" si="115"/>
        <v>0</v>
      </c>
      <c r="JSO15" s="63">
        <f t="shared" si="115"/>
        <v>0</v>
      </c>
      <c r="JSP15" s="63">
        <f t="shared" si="115"/>
        <v>0</v>
      </c>
      <c r="JSQ15" s="63">
        <f t="shared" si="115"/>
        <v>0</v>
      </c>
      <c r="JSR15" s="63">
        <f t="shared" si="115"/>
        <v>0</v>
      </c>
      <c r="JSS15" s="63">
        <f t="shared" si="115"/>
        <v>0</v>
      </c>
      <c r="JST15" s="63">
        <f t="shared" si="115"/>
        <v>0</v>
      </c>
      <c r="JSU15" s="63">
        <f t="shared" si="115"/>
        <v>0</v>
      </c>
      <c r="JSV15" s="63">
        <f t="shared" si="115"/>
        <v>0</v>
      </c>
      <c r="JSW15" s="63">
        <f t="shared" si="115"/>
        <v>0</v>
      </c>
      <c r="JSX15" s="63">
        <f t="shared" si="115"/>
        <v>0</v>
      </c>
      <c r="JSY15" s="63">
        <f t="shared" si="115"/>
        <v>0</v>
      </c>
      <c r="JSZ15" s="63">
        <f t="shared" si="115"/>
        <v>0</v>
      </c>
      <c r="JTA15" s="63">
        <f t="shared" si="115"/>
        <v>0</v>
      </c>
      <c r="JTB15" s="63">
        <f t="shared" si="115"/>
        <v>0</v>
      </c>
      <c r="JTC15" s="63">
        <f t="shared" si="115"/>
        <v>0</v>
      </c>
      <c r="JTD15" s="63">
        <f t="shared" si="115"/>
        <v>0</v>
      </c>
      <c r="JTE15" s="63">
        <f t="shared" si="115"/>
        <v>0</v>
      </c>
      <c r="JTF15" s="63">
        <f t="shared" si="115"/>
        <v>0</v>
      </c>
      <c r="JTG15" s="63">
        <f t="shared" si="115"/>
        <v>0</v>
      </c>
      <c r="JTH15" s="63">
        <f t="shared" si="115"/>
        <v>0</v>
      </c>
      <c r="JTI15" s="63">
        <f t="shared" si="115"/>
        <v>0</v>
      </c>
      <c r="JTJ15" s="63">
        <f t="shared" si="115"/>
        <v>0</v>
      </c>
      <c r="JTK15" s="63">
        <f t="shared" si="115"/>
        <v>0</v>
      </c>
      <c r="JTL15" s="63">
        <f t="shared" si="115"/>
        <v>0</v>
      </c>
      <c r="JTM15" s="63">
        <f t="shared" si="115"/>
        <v>0</v>
      </c>
      <c r="JTN15" s="63">
        <f t="shared" si="115"/>
        <v>0</v>
      </c>
      <c r="JTO15" s="63">
        <f t="shared" si="115"/>
        <v>0</v>
      </c>
      <c r="JTP15" s="63">
        <f t="shared" si="115"/>
        <v>0</v>
      </c>
      <c r="JTQ15" s="63">
        <f t="shared" si="115"/>
        <v>0</v>
      </c>
      <c r="JTR15" s="63">
        <f t="shared" si="115"/>
        <v>0</v>
      </c>
      <c r="JTS15" s="63">
        <f t="shared" si="115"/>
        <v>0</v>
      </c>
      <c r="JTT15" s="63">
        <f t="shared" ref="JTT15:JWE15" si="116">JTS18</f>
        <v>0</v>
      </c>
      <c r="JTU15" s="63">
        <f t="shared" si="116"/>
        <v>0</v>
      </c>
      <c r="JTV15" s="63">
        <f t="shared" si="116"/>
        <v>0</v>
      </c>
      <c r="JTW15" s="63">
        <f t="shared" si="116"/>
        <v>0</v>
      </c>
      <c r="JTX15" s="63">
        <f t="shared" si="116"/>
        <v>0</v>
      </c>
      <c r="JTY15" s="63">
        <f t="shared" si="116"/>
        <v>0</v>
      </c>
      <c r="JTZ15" s="63">
        <f t="shared" si="116"/>
        <v>0</v>
      </c>
      <c r="JUA15" s="63">
        <f t="shared" si="116"/>
        <v>0</v>
      </c>
      <c r="JUB15" s="63">
        <f t="shared" si="116"/>
        <v>0</v>
      </c>
      <c r="JUC15" s="63">
        <f t="shared" si="116"/>
        <v>0</v>
      </c>
      <c r="JUD15" s="63">
        <f t="shared" si="116"/>
        <v>0</v>
      </c>
      <c r="JUE15" s="63">
        <f t="shared" si="116"/>
        <v>0</v>
      </c>
      <c r="JUF15" s="63">
        <f t="shared" si="116"/>
        <v>0</v>
      </c>
      <c r="JUG15" s="63">
        <f t="shared" si="116"/>
        <v>0</v>
      </c>
      <c r="JUH15" s="63">
        <f t="shared" si="116"/>
        <v>0</v>
      </c>
      <c r="JUI15" s="63">
        <f t="shared" si="116"/>
        <v>0</v>
      </c>
      <c r="JUJ15" s="63">
        <f t="shared" si="116"/>
        <v>0</v>
      </c>
      <c r="JUK15" s="63">
        <f t="shared" si="116"/>
        <v>0</v>
      </c>
      <c r="JUL15" s="63">
        <f t="shared" si="116"/>
        <v>0</v>
      </c>
      <c r="JUM15" s="63">
        <f t="shared" si="116"/>
        <v>0</v>
      </c>
      <c r="JUN15" s="63">
        <f t="shared" si="116"/>
        <v>0</v>
      </c>
      <c r="JUO15" s="63">
        <f t="shared" si="116"/>
        <v>0</v>
      </c>
      <c r="JUP15" s="63">
        <f t="shared" si="116"/>
        <v>0</v>
      </c>
      <c r="JUQ15" s="63">
        <f t="shared" si="116"/>
        <v>0</v>
      </c>
      <c r="JUR15" s="63">
        <f t="shared" si="116"/>
        <v>0</v>
      </c>
      <c r="JUS15" s="63">
        <f t="shared" si="116"/>
        <v>0</v>
      </c>
      <c r="JUT15" s="63">
        <f t="shared" si="116"/>
        <v>0</v>
      </c>
      <c r="JUU15" s="63">
        <f t="shared" si="116"/>
        <v>0</v>
      </c>
      <c r="JUV15" s="63">
        <f t="shared" si="116"/>
        <v>0</v>
      </c>
      <c r="JUW15" s="63">
        <f t="shared" si="116"/>
        <v>0</v>
      </c>
      <c r="JUX15" s="63">
        <f t="shared" si="116"/>
        <v>0</v>
      </c>
      <c r="JUY15" s="63">
        <f t="shared" si="116"/>
        <v>0</v>
      </c>
      <c r="JUZ15" s="63">
        <f t="shared" si="116"/>
        <v>0</v>
      </c>
      <c r="JVA15" s="63">
        <f t="shared" si="116"/>
        <v>0</v>
      </c>
      <c r="JVB15" s="63">
        <f t="shared" si="116"/>
        <v>0</v>
      </c>
      <c r="JVC15" s="63">
        <f t="shared" si="116"/>
        <v>0</v>
      </c>
      <c r="JVD15" s="63">
        <f t="shared" si="116"/>
        <v>0</v>
      </c>
      <c r="JVE15" s="63">
        <f t="shared" si="116"/>
        <v>0</v>
      </c>
      <c r="JVF15" s="63">
        <f t="shared" si="116"/>
        <v>0</v>
      </c>
      <c r="JVG15" s="63">
        <f t="shared" si="116"/>
        <v>0</v>
      </c>
      <c r="JVH15" s="63">
        <f t="shared" si="116"/>
        <v>0</v>
      </c>
      <c r="JVI15" s="63">
        <f t="shared" si="116"/>
        <v>0</v>
      </c>
      <c r="JVJ15" s="63">
        <f t="shared" si="116"/>
        <v>0</v>
      </c>
      <c r="JVK15" s="63">
        <f t="shared" si="116"/>
        <v>0</v>
      </c>
      <c r="JVL15" s="63">
        <f t="shared" si="116"/>
        <v>0</v>
      </c>
      <c r="JVM15" s="63">
        <f t="shared" si="116"/>
        <v>0</v>
      </c>
      <c r="JVN15" s="63">
        <f t="shared" si="116"/>
        <v>0</v>
      </c>
      <c r="JVO15" s="63">
        <f t="shared" si="116"/>
        <v>0</v>
      </c>
      <c r="JVP15" s="63">
        <f t="shared" si="116"/>
        <v>0</v>
      </c>
      <c r="JVQ15" s="63">
        <f t="shared" si="116"/>
        <v>0</v>
      </c>
      <c r="JVR15" s="63">
        <f t="shared" si="116"/>
        <v>0</v>
      </c>
      <c r="JVS15" s="63">
        <f t="shared" si="116"/>
        <v>0</v>
      </c>
      <c r="JVT15" s="63">
        <f t="shared" si="116"/>
        <v>0</v>
      </c>
      <c r="JVU15" s="63">
        <f t="shared" si="116"/>
        <v>0</v>
      </c>
      <c r="JVV15" s="63">
        <f t="shared" si="116"/>
        <v>0</v>
      </c>
      <c r="JVW15" s="63">
        <f t="shared" si="116"/>
        <v>0</v>
      </c>
      <c r="JVX15" s="63">
        <f t="shared" si="116"/>
        <v>0</v>
      </c>
      <c r="JVY15" s="63">
        <f t="shared" si="116"/>
        <v>0</v>
      </c>
      <c r="JVZ15" s="63">
        <f t="shared" si="116"/>
        <v>0</v>
      </c>
      <c r="JWA15" s="63">
        <f t="shared" si="116"/>
        <v>0</v>
      </c>
      <c r="JWB15" s="63">
        <f t="shared" si="116"/>
        <v>0</v>
      </c>
      <c r="JWC15" s="63">
        <f t="shared" si="116"/>
        <v>0</v>
      </c>
      <c r="JWD15" s="63">
        <f t="shared" si="116"/>
        <v>0</v>
      </c>
      <c r="JWE15" s="63">
        <f t="shared" si="116"/>
        <v>0</v>
      </c>
      <c r="JWF15" s="63">
        <f t="shared" ref="JWF15:JYQ15" si="117">JWE18</f>
        <v>0</v>
      </c>
      <c r="JWG15" s="63">
        <f t="shared" si="117"/>
        <v>0</v>
      </c>
      <c r="JWH15" s="63">
        <f t="shared" si="117"/>
        <v>0</v>
      </c>
      <c r="JWI15" s="63">
        <f t="shared" si="117"/>
        <v>0</v>
      </c>
      <c r="JWJ15" s="63">
        <f t="shared" si="117"/>
        <v>0</v>
      </c>
      <c r="JWK15" s="63">
        <f t="shared" si="117"/>
        <v>0</v>
      </c>
      <c r="JWL15" s="63">
        <f t="shared" si="117"/>
        <v>0</v>
      </c>
      <c r="JWM15" s="63">
        <f t="shared" si="117"/>
        <v>0</v>
      </c>
      <c r="JWN15" s="63">
        <f t="shared" si="117"/>
        <v>0</v>
      </c>
      <c r="JWO15" s="63">
        <f t="shared" si="117"/>
        <v>0</v>
      </c>
      <c r="JWP15" s="63">
        <f t="shared" si="117"/>
        <v>0</v>
      </c>
      <c r="JWQ15" s="63">
        <f t="shared" si="117"/>
        <v>0</v>
      </c>
      <c r="JWR15" s="63">
        <f t="shared" si="117"/>
        <v>0</v>
      </c>
      <c r="JWS15" s="63">
        <f t="shared" si="117"/>
        <v>0</v>
      </c>
      <c r="JWT15" s="63">
        <f t="shared" si="117"/>
        <v>0</v>
      </c>
      <c r="JWU15" s="63">
        <f t="shared" si="117"/>
        <v>0</v>
      </c>
      <c r="JWV15" s="63">
        <f t="shared" si="117"/>
        <v>0</v>
      </c>
      <c r="JWW15" s="63">
        <f t="shared" si="117"/>
        <v>0</v>
      </c>
      <c r="JWX15" s="63">
        <f t="shared" si="117"/>
        <v>0</v>
      </c>
      <c r="JWY15" s="63">
        <f t="shared" si="117"/>
        <v>0</v>
      </c>
      <c r="JWZ15" s="63">
        <f t="shared" si="117"/>
        <v>0</v>
      </c>
      <c r="JXA15" s="63">
        <f t="shared" si="117"/>
        <v>0</v>
      </c>
      <c r="JXB15" s="63">
        <f t="shared" si="117"/>
        <v>0</v>
      </c>
      <c r="JXC15" s="63">
        <f t="shared" si="117"/>
        <v>0</v>
      </c>
      <c r="JXD15" s="63">
        <f t="shared" si="117"/>
        <v>0</v>
      </c>
      <c r="JXE15" s="63">
        <f t="shared" si="117"/>
        <v>0</v>
      </c>
      <c r="JXF15" s="63">
        <f t="shared" si="117"/>
        <v>0</v>
      </c>
      <c r="JXG15" s="63">
        <f t="shared" si="117"/>
        <v>0</v>
      </c>
      <c r="JXH15" s="63">
        <f t="shared" si="117"/>
        <v>0</v>
      </c>
      <c r="JXI15" s="63">
        <f t="shared" si="117"/>
        <v>0</v>
      </c>
      <c r="JXJ15" s="63">
        <f t="shared" si="117"/>
        <v>0</v>
      </c>
      <c r="JXK15" s="63">
        <f t="shared" si="117"/>
        <v>0</v>
      </c>
      <c r="JXL15" s="63">
        <f t="shared" si="117"/>
        <v>0</v>
      </c>
      <c r="JXM15" s="63">
        <f t="shared" si="117"/>
        <v>0</v>
      </c>
      <c r="JXN15" s="63">
        <f t="shared" si="117"/>
        <v>0</v>
      </c>
      <c r="JXO15" s="63">
        <f t="shared" si="117"/>
        <v>0</v>
      </c>
      <c r="JXP15" s="63">
        <f t="shared" si="117"/>
        <v>0</v>
      </c>
      <c r="JXQ15" s="63">
        <f t="shared" si="117"/>
        <v>0</v>
      </c>
      <c r="JXR15" s="63">
        <f t="shared" si="117"/>
        <v>0</v>
      </c>
      <c r="JXS15" s="63">
        <f t="shared" si="117"/>
        <v>0</v>
      </c>
      <c r="JXT15" s="63">
        <f t="shared" si="117"/>
        <v>0</v>
      </c>
      <c r="JXU15" s="63">
        <f t="shared" si="117"/>
        <v>0</v>
      </c>
      <c r="JXV15" s="63">
        <f t="shared" si="117"/>
        <v>0</v>
      </c>
      <c r="JXW15" s="63">
        <f t="shared" si="117"/>
        <v>0</v>
      </c>
      <c r="JXX15" s="63">
        <f t="shared" si="117"/>
        <v>0</v>
      </c>
      <c r="JXY15" s="63">
        <f t="shared" si="117"/>
        <v>0</v>
      </c>
      <c r="JXZ15" s="63">
        <f t="shared" si="117"/>
        <v>0</v>
      </c>
      <c r="JYA15" s="63">
        <f t="shared" si="117"/>
        <v>0</v>
      </c>
      <c r="JYB15" s="63">
        <f t="shared" si="117"/>
        <v>0</v>
      </c>
      <c r="JYC15" s="63">
        <f t="shared" si="117"/>
        <v>0</v>
      </c>
      <c r="JYD15" s="63">
        <f t="shared" si="117"/>
        <v>0</v>
      </c>
      <c r="JYE15" s="63">
        <f t="shared" si="117"/>
        <v>0</v>
      </c>
      <c r="JYF15" s="63">
        <f t="shared" si="117"/>
        <v>0</v>
      </c>
      <c r="JYG15" s="63">
        <f t="shared" si="117"/>
        <v>0</v>
      </c>
      <c r="JYH15" s="63">
        <f t="shared" si="117"/>
        <v>0</v>
      </c>
      <c r="JYI15" s="63">
        <f t="shared" si="117"/>
        <v>0</v>
      </c>
      <c r="JYJ15" s="63">
        <f t="shared" si="117"/>
        <v>0</v>
      </c>
      <c r="JYK15" s="63">
        <f t="shared" si="117"/>
        <v>0</v>
      </c>
      <c r="JYL15" s="63">
        <f t="shared" si="117"/>
        <v>0</v>
      </c>
      <c r="JYM15" s="63">
        <f t="shared" si="117"/>
        <v>0</v>
      </c>
      <c r="JYN15" s="63">
        <f t="shared" si="117"/>
        <v>0</v>
      </c>
      <c r="JYO15" s="63">
        <f t="shared" si="117"/>
        <v>0</v>
      </c>
      <c r="JYP15" s="63">
        <f t="shared" si="117"/>
        <v>0</v>
      </c>
      <c r="JYQ15" s="63">
        <f t="shared" si="117"/>
        <v>0</v>
      </c>
      <c r="JYR15" s="63">
        <f t="shared" ref="JYR15:KBC15" si="118">JYQ18</f>
        <v>0</v>
      </c>
      <c r="JYS15" s="63">
        <f t="shared" si="118"/>
        <v>0</v>
      </c>
      <c r="JYT15" s="63">
        <f t="shared" si="118"/>
        <v>0</v>
      </c>
      <c r="JYU15" s="63">
        <f t="shared" si="118"/>
        <v>0</v>
      </c>
      <c r="JYV15" s="63">
        <f t="shared" si="118"/>
        <v>0</v>
      </c>
      <c r="JYW15" s="63">
        <f t="shared" si="118"/>
        <v>0</v>
      </c>
      <c r="JYX15" s="63">
        <f t="shared" si="118"/>
        <v>0</v>
      </c>
      <c r="JYY15" s="63">
        <f t="shared" si="118"/>
        <v>0</v>
      </c>
      <c r="JYZ15" s="63">
        <f t="shared" si="118"/>
        <v>0</v>
      </c>
      <c r="JZA15" s="63">
        <f t="shared" si="118"/>
        <v>0</v>
      </c>
      <c r="JZB15" s="63">
        <f t="shared" si="118"/>
        <v>0</v>
      </c>
      <c r="JZC15" s="63">
        <f t="shared" si="118"/>
        <v>0</v>
      </c>
      <c r="JZD15" s="63">
        <f t="shared" si="118"/>
        <v>0</v>
      </c>
      <c r="JZE15" s="63">
        <f t="shared" si="118"/>
        <v>0</v>
      </c>
      <c r="JZF15" s="63">
        <f t="shared" si="118"/>
        <v>0</v>
      </c>
      <c r="JZG15" s="63">
        <f t="shared" si="118"/>
        <v>0</v>
      </c>
      <c r="JZH15" s="63">
        <f t="shared" si="118"/>
        <v>0</v>
      </c>
      <c r="JZI15" s="63">
        <f t="shared" si="118"/>
        <v>0</v>
      </c>
      <c r="JZJ15" s="63">
        <f t="shared" si="118"/>
        <v>0</v>
      </c>
      <c r="JZK15" s="63">
        <f t="shared" si="118"/>
        <v>0</v>
      </c>
      <c r="JZL15" s="63">
        <f t="shared" si="118"/>
        <v>0</v>
      </c>
      <c r="JZM15" s="63">
        <f t="shared" si="118"/>
        <v>0</v>
      </c>
      <c r="JZN15" s="63">
        <f t="shared" si="118"/>
        <v>0</v>
      </c>
      <c r="JZO15" s="63">
        <f t="shared" si="118"/>
        <v>0</v>
      </c>
      <c r="JZP15" s="63">
        <f t="shared" si="118"/>
        <v>0</v>
      </c>
      <c r="JZQ15" s="63">
        <f t="shared" si="118"/>
        <v>0</v>
      </c>
      <c r="JZR15" s="63">
        <f t="shared" si="118"/>
        <v>0</v>
      </c>
      <c r="JZS15" s="63">
        <f t="shared" si="118"/>
        <v>0</v>
      </c>
      <c r="JZT15" s="63">
        <f t="shared" si="118"/>
        <v>0</v>
      </c>
      <c r="JZU15" s="63">
        <f t="shared" si="118"/>
        <v>0</v>
      </c>
      <c r="JZV15" s="63">
        <f t="shared" si="118"/>
        <v>0</v>
      </c>
      <c r="JZW15" s="63">
        <f t="shared" si="118"/>
        <v>0</v>
      </c>
      <c r="JZX15" s="63">
        <f t="shared" si="118"/>
        <v>0</v>
      </c>
      <c r="JZY15" s="63">
        <f t="shared" si="118"/>
        <v>0</v>
      </c>
      <c r="JZZ15" s="63">
        <f t="shared" si="118"/>
        <v>0</v>
      </c>
      <c r="KAA15" s="63">
        <f t="shared" si="118"/>
        <v>0</v>
      </c>
      <c r="KAB15" s="63">
        <f t="shared" si="118"/>
        <v>0</v>
      </c>
      <c r="KAC15" s="63">
        <f t="shared" si="118"/>
        <v>0</v>
      </c>
      <c r="KAD15" s="63">
        <f t="shared" si="118"/>
        <v>0</v>
      </c>
      <c r="KAE15" s="63">
        <f t="shared" si="118"/>
        <v>0</v>
      </c>
      <c r="KAF15" s="63">
        <f t="shared" si="118"/>
        <v>0</v>
      </c>
      <c r="KAG15" s="63">
        <f t="shared" si="118"/>
        <v>0</v>
      </c>
      <c r="KAH15" s="63">
        <f t="shared" si="118"/>
        <v>0</v>
      </c>
      <c r="KAI15" s="63">
        <f t="shared" si="118"/>
        <v>0</v>
      </c>
      <c r="KAJ15" s="63">
        <f t="shared" si="118"/>
        <v>0</v>
      </c>
      <c r="KAK15" s="63">
        <f t="shared" si="118"/>
        <v>0</v>
      </c>
      <c r="KAL15" s="63">
        <f t="shared" si="118"/>
        <v>0</v>
      </c>
      <c r="KAM15" s="63">
        <f t="shared" si="118"/>
        <v>0</v>
      </c>
      <c r="KAN15" s="63">
        <f t="shared" si="118"/>
        <v>0</v>
      </c>
      <c r="KAO15" s="63">
        <f t="shared" si="118"/>
        <v>0</v>
      </c>
      <c r="KAP15" s="63">
        <f t="shared" si="118"/>
        <v>0</v>
      </c>
      <c r="KAQ15" s="63">
        <f t="shared" si="118"/>
        <v>0</v>
      </c>
      <c r="KAR15" s="63">
        <f t="shared" si="118"/>
        <v>0</v>
      </c>
      <c r="KAS15" s="63">
        <f t="shared" si="118"/>
        <v>0</v>
      </c>
      <c r="KAT15" s="63">
        <f t="shared" si="118"/>
        <v>0</v>
      </c>
      <c r="KAU15" s="63">
        <f t="shared" si="118"/>
        <v>0</v>
      </c>
      <c r="KAV15" s="63">
        <f t="shared" si="118"/>
        <v>0</v>
      </c>
      <c r="KAW15" s="63">
        <f t="shared" si="118"/>
        <v>0</v>
      </c>
      <c r="KAX15" s="63">
        <f t="shared" si="118"/>
        <v>0</v>
      </c>
      <c r="KAY15" s="63">
        <f t="shared" si="118"/>
        <v>0</v>
      </c>
      <c r="KAZ15" s="63">
        <f t="shared" si="118"/>
        <v>0</v>
      </c>
      <c r="KBA15" s="63">
        <f t="shared" si="118"/>
        <v>0</v>
      </c>
      <c r="KBB15" s="63">
        <f t="shared" si="118"/>
        <v>0</v>
      </c>
      <c r="KBC15" s="63">
        <f t="shared" si="118"/>
        <v>0</v>
      </c>
      <c r="KBD15" s="63">
        <f t="shared" ref="KBD15:KDO15" si="119">KBC18</f>
        <v>0</v>
      </c>
      <c r="KBE15" s="63">
        <f t="shared" si="119"/>
        <v>0</v>
      </c>
      <c r="KBF15" s="63">
        <f t="shared" si="119"/>
        <v>0</v>
      </c>
      <c r="KBG15" s="63">
        <f t="shared" si="119"/>
        <v>0</v>
      </c>
      <c r="KBH15" s="63">
        <f t="shared" si="119"/>
        <v>0</v>
      </c>
      <c r="KBI15" s="63">
        <f t="shared" si="119"/>
        <v>0</v>
      </c>
      <c r="KBJ15" s="63">
        <f t="shared" si="119"/>
        <v>0</v>
      </c>
      <c r="KBK15" s="63">
        <f t="shared" si="119"/>
        <v>0</v>
      </c>
      <c r="KBL15" s="63">
        <f t="shared" si="119"/>
        <v>0</v>
      </c>
      <c r="KBM15" s="63">
        <f t="shared" si="119"/>
        <v>0</v>
      </c>
      <c r="KBN15" s="63">
        <f t="shared" si="119"/>
        <v>0</v>
      </c>
      <c r="KBO15" s="63">
        <f t="shared" si="119"/>
        <v>0</v>
      </c>
      <c r="KBP15" s="63">
        <f t="shared" si="119"/>
        <v>0</v>
      </c>
      <c r="KBQ15" s="63">
        <f t="shared" si="119"/>
        <v>0</v>
      </c>
      <c r="KBR15" s="63">
        <f t="shared" si="119"/>
        <v>0</v>
      </c>
      <c r="KBS15" s="63">
        <f t="shared" si="119"/>
        <v>0</v>
      </c>
      <c r="KBT15" s="63">
        <f t="shared" si="119"/>
        <v>0</v>
      </c>
      <c r="KBU15" s="63">
        <f t="shared" si="119"/>
        <v>0</v>
      </c>
      <c r="KBV15" s="63">
        <f t="shared" si="119"/>
        <v>0</v>
      </c>
      <c r="KBW15" s="63">
        <f t="shared" si="119"/>
        <v>0</v>
      </c>
      <c r="KBX15" s="63">
        <f t="shared" si="119"/>
        <v>0</v>
      </c>
      <c r="KBY15" s="63">
        <f t="shared" si="119"/>
        <v>0</v>
      </c>
      <c r="KBZ15" s="63">
        <f t="shared" si="119"/>
        <v>0</v>
      </c>
      <c r="KCA15" s="63">
        <f t="shared" si="119"/>
        <v>0</v>
      </c>
      <c r="KCB15" s="63">
        <f t="shared" si="119"/>
        <v>0</v>
      </c>
      <c r="KCC15" s="63">
        <f t="shared" si="119"/>
        <v>0</v>
      </c>
      <c r="KCD15" s="63">
        <f t="shared" si="119"/>
        <v>0</v>
      </c>
      <c r="KCE15" s="63">
        <f t="shared" si="119"/>
        <v>0</v>
      </c>
      <c r="KCF15" s="63">
        <f t="shared" si="119"/>
        <v>0</v>
      </c>
      <c r="KCG15" s="63">
        <f t="shared" si="119"/>
        <v>0</v>
      </c>
      <c r="KCH15" s="63">
        <f t="shared" si="119"/>
        <v>0</v>
      </c>
      <c r="KCI15" s="63">
        <f t="shared" si="119"/>
        <v>0</v>
      </c>
      <c r="KCJ15" s="63">
        <f t="shared" si="119"/>
        <v>0</v>
      </c>
      <c r="KCK15" s="63">
        <f t="shared" si="119"/>
        <v>0</v>
      </c>
      <c r="KCL15" s="63">
        <f t="shared" si="119"/>
        <v>0</v>
      </c>
      <c r="KCM15" s="63">
        <f t="shared" si="119"/>
        <v>0</v>
      </c>
      <c r="KCN15" s="63">
        <f t="shared" si="119"/>
        <v>0</v>
      </c>
      <c r="KCO15" s="63">
        <f t="shared" si="119"/>
        <v>0</v>
      </c>
      <c r="KCP15" s="63">
        <f t="shared" si="119"/>
        <v>0</v>
      </c>
      <c r="KCQ15" s="63">
        <f t="shared" si="119"/>
        <v>0</v>
      </c>
      <c r="KCR15" s="63">
        <f t="shared" si="119"/>
        <v>0</v>
      </c>
      <c r="KCS15" s="63">
        <f t="shared" si="119"/>
        <v>0</v>
      </c>
      <c r="KCT15" s="63">
        <f t="shared" si="119"/>
        <v>0</v>
      </c>
      <c r="KCU15" s="63">
        <f t="shared" si="119"/>
        <v>0</v>
      </c>
      <c r="KCV15" s="63">
        <f t="shared" si="119"/>
        <v>0</v>
      </c>
      <c r="KCW15" s="63">
        <f t="shared" si="119"/>
        <v>0</v>
      </c>
      <c r="KCX15" s="63">
        <f t="shared" si="119"/>
        <v>0</v>
      </c>
      <c r="KCY15" s="63">
        <f t="shared" si="119"/>
        <v>0</v>
      </c>
      <c r="KCZ15" s="63">
        <f t="shared" si="119"/>
        <v>0</v>
      </c>
      <c r="KDA15" s="63">
        <f t="shared" si="119"/>
        <v>0</v>
      </c>
      <c r="KDB15" s="63">
        <f t="shared" si="119"/>
        <v>0</v>
      </c>
      <c r="KDC15" s="63">
        <f t="shared" si="119"/>
        <v>0</v>
      </c>
      <c r="KDD15" s="63">
        <f t="shared" si="119"/>
        <v>0</v>
      </c>
      <c r="KDE15" s="63">
        <f t="shared" si="119"/>
        <v>0</v>
      </c>
      <c r="KDF15" s="63">
        <f t="shared" si="119"/>
        <v>0</v>
      </c>
      <c r="KDG15" s="63">
        <f t="shared" si="119"/>
        <v>0</v>
      </c>
      <c r="KDH15" s="63">
        <f t="shared" si="119"/>
        <v>0</v>
      </c>
      <c r="KDI15" s="63">
        <f t="shared" si="119"/>
        <v>0</v>
      </c>
      <c r="KDJ15" s="63">
        <f t="shared" si="119"/>
        <v>0</v>
      </c>
      <c r="KDK15" s="63">
        <f t="shared" si="119"/>
        <v>0</v>
      </c>
      <c r="KDL15" s="63">
        <f t="shared" si="119"/>
        <v>0</v>
      </c>
      <c r="KDM15" s="63">
        <f t="shared" si="119"/>
        <v>0</v>
      </c>
      <c r="KDN15" s="63">
        <f t="shared" si="119"/>
        <v>0</v>
      </c>
      <c r="KDO15" s="63">
        <f t="shared" si="119"/>
        <v>0</v>
      </c>
      <c r="KDP15" s="63">
        <f t="shared" ref="KDP15:KGA15" si="120">KDO18</f>
        <v>0</v>
      </c>
      <c r="KDQ15" s="63">
        <f t="shared" si="120"/>
        <v>0</v>
      </c>
      <c r="KDR15" s="63">
        <f t="shared" si="120"/>
        <v>0</v>
      </c>
      <c r="KDS15" s="63">
        <f t="shared" si="120"/>
        <v>0</v>
      </c>
      <c r="KDT15" s="63">
        <f t="shared" si="120"/>
        <v>0</v>
      </c>
      <c r="KDU15" s="63">
        <f t="shared" si="120"/>
        <v>0</v>
      </c>
      <c r="KDV15" s="63">
        <f t="shared" si="120"/>
        <v>0</v>
      </c>
      <c r="KDW15" s="63">
        <f t="shared" si="120"/>
        <v>0</v>
      </c>
      <c r="KDX15" s="63">
        <f t="shared" si="120"/>
        <v>0</v>
      </c>
      <c r="KDY15" s="63">
        <f t="shared" si="120"/>
        <v>0</v>
      </c>
      <c r="KDZ15" s="63">
        <f t="shared" si="120"/>
        <v>0</v>
      </c>
      <c r="KEA15" s="63">
        <f t="shared" si="120"/>
        <v>0</v>
      </c>
      <c r="KEB15" s="63">
        <f t="shared" si="120"/>
        <v>0</v>
      </c>
      <c r="KEC15" s="63">
        <f t="shared" si="120"/>
        <v>0</v>
      </c>
      <c r="KED15" s="63">
        <f t="shared" si="120"/>
        <v>0</v>
      </c>
      <c r="KEE15" s="63">
        <f t="shared" si="120"/>
        <v>0</v>
      </c>
      <c r="KEF15" s="63">
        <f t="shared" si="120"/>
        <v>0</v>
      </c>
      <c r="KEG15" s="63">
        <f t="shared" si="120"/>
        <v>0</v>
      </c>
      <c r="KEH15" s="63">
        <f t="shared" si="120"/>
        <v>0</v>
      </c>
      <c r="KEI15" s="63">
        <f t="shared" si="120"/>
        <v>0</v>
      </c>
      <c r="KEJ15" s="63">
        <f t="shared" si="120"/>
        <v>0</v>
      </c>
      <c r="KEK15" s="63">
        <f t="shared" si="120"/>
        <v>0</v>
      </c>
      <c r="KEL15" s="63">
        <f t="shared" si="120"/>
        <v>0</v>
      </c>
      <c r="KEM15" s="63">
        <f t="shared" si="120"/>
        <v>0</v>
      </c>
      <c r="KEN15" s="63">
        <f t="shared" si="120"/>
        <v>0</v>
      </c>
      <c r="KEO15" s="63">
        <f t="shared" si="120"/>
        <v>0</v>
      </c>
      <c r="KEP15" s="63">
        <f t="shared" si="120"/>
        <v>0</v>
      </c>
      <c r="KEQ15" s="63">
        <f t="shared" si="120"/>
        <v>0</v>
      </c>
      <c r="KER15" s="63">
        <f t="shared" si="120"/>
        <v>0</v>
      </c>
      <c r="KES15" s="63">
        <f t="shared" si="120"/>
        <v>0</v>
      </c>
      <c r="KET15" s="63">
        <f t="shared" si="120"/>
        <v>0</v>
      </c>
      <c r="KEU15" s="63">
        <f t="shared" si="120"/>
        <v>0</v>
      </c>
      <c r="KEV15" s="63">
        <f t="shared" si="120"/>
        <v>0</v>
      </c>
      <c r="KEW15" s="63">
        <f t="shared" si="120"/>
        <v>0</v>
      </c>
      <c r="KEX15" s="63">
        <f t="shared" si="120"/>
        <v>0</v>
      </c>
      <c r="KEY15" s="63">
        <f t="shared" si="120"/>
        <v>0</v>
      </c>
      <c r="KEZ15" s="63">
        <f t="shared" si="120"/>
        <v>0</v>
      </c>
      <c r="KFA15" s="63">
        <f t="shared" si="120"/>
        <v>0</v>
      </c>
      <c r="KFB15" s="63">
        <f t="shared" si="120"/>
        <v>0</v>
      </c>
      <c r="KFC15" s="63">
        <f t="shared" si="120"/>
        <v>0</v>
      </c>
      <c r="KFD15" s="63">
        <f t="shared" si="120"/>
        <v>0</v>
      </c>
      <c r="KFE15" s="63">
        <f t="shared" si="120"/>
        <v>0</v>
      </c>
      <c r="KFF15" s="63">
        <f t="shared" si="120"/>
        <v>0</v>
      </c>
      <c r="KFG15" s="63">
        <f t="shared" si="120"/>
        <v>0</v>
      </c>
      <c r="KFH15" s="63">
        <f t="shared" si="120"/>
        <v>0</v>
      </c>
      <c r="KFI15" s="63">
        <f t="shared" si="120"/>
        <v>0</v>
      </c>
      <c r="KFJ15" s="63">
        <f t="shared" si="120"/>
        <v>0</v>
      </c>
      <c r="KFK15" s="63">
        <f t="shared" si="120"/>
        <v>0</v>
      </c>
      <c r="KFL15" s="63">
        <f t="shared" si="120"/>
        <v>0</v>
      </c>
      <c r="KFM15" s="63">
        <f t="shared" si="120"/>
        <v>0</v>
      </c>
      <c r="KFN15" s="63">
        <f t="shared" si="120"/>
        <v>0</v>
      </c>
      <c r="KFO15" s="63">
        <f t="shared" si="120"/>
        <v>0</v>
      </c>
      <c r="KFP15" s="63">
        <f t="shared" si="120"/>
        <v>0</v>
      </c>
      <c r="KFQ15" s="63">
        <f t="shared" si="120"/>
        <v>0</v>
      </c>
      <c r="KFR15" s="63">
        <f t="shared" si="120"/>
        <v>0</v>
      </c>
      <c r="KFS15" s="63">
        <f t="shared" si="120"/>
        <v>0</v>
      </c>
      <c r="KFT15" s="63">
        <f t="shared" si="120"/>
        <v>0</v>
      </c>
      <c r="KFU15" s="63">
        <f t="shared" si="120"/>
        <v>0</v>
      </c>
      <c r="KFV15" s="63">
        <f t="shared" si="120"/>
        <v>0</v>
      </c>
      <c r="KFW15" s="63">
        <f t="shared" si="120"/>
        <v>0</v>
      </c>
      <c r="KFX15" s="63">
        <f t="shared" si="120"/>
        <v>0</v>
      </c>
      <c r="KFY15" s="63">
        <f t="shared" si="120"/>
        <v>0</v>
      </c>
      <c r="KFZ15" s="63">
        <f t="shared" si="120"/>
        <v>0</v>
      </c>
      <c r="KGA15" s="63">
        <f t="shared" si="120"/>
        <v>0</v>
      </c>
      <c r="KGB15" s="63">
        <f t="shared" ref="KGB15:KIM15" si="121">KGA18</f>
        <v>0</v>
      </c>
      <c r="KGC15" s="63">
        <f t="shared" si="121"/>
        <v>0</v>
      </c>
      <c r="KGD15" s="63">
        <f t="shared" si="121"/>
        <v>0</v>
      </c>
      <c r="KGE15" s="63">
        <f t="shared" si="121"/>
        <v>0</v>
      </c>
      <c r="KGF15" s="63">
        <f t="shared" si="121"/>
        <v>0</v>
      </c>
      <c r="KGG15" s="63">
        <f t="shared" si="121"/>
        <v>0</v>
      </c>
      <c r="KGH15" s="63">
        <f t="shared" si="121"/>
        <v>0</v>
      </c>
      <c r="KGI15" s="63">
        <f t="shared" si="121"/>
        <v>0</v>
      </c>
      <c r="KGJ15" s="63">
        <f t="shared" si="121"/>
        <v>0</v>
      </c>
      <c r="KGK15" s="63">
        <f t="shared" si="121"/>
        <v>0</v>
      </c>
      <c r="KGL15" s="63">
        <f t="shared" si="121"/>
        <v>0</v>
      </c>
      <c r="KGM15" s="63">
        <f t="shared" si="121"/>
        <v>0</v>
      </c>
      <c r="KGN15" s="63">
        <f t="shared" si="121"/>
        <v>0</v>
      </c>
      <c r="KGO15" s="63">
        <f t="shared" si="121"/>
        <v>0</v>
      </c>
      <c r="KGP15" s="63">
        <f t="shared" si="121"/>
        <v>0</v>
      </c>
      <c r="KGQ15" s="63">
        <f t="shared" si="121"/>
        <v>0</v>
      </c>
      <c r="KGR15" s="63">
        <f t="shared" si="121"/>
        <v>0</v>
      </c>
      <c r="KGS15" s="63">
        <f t="shared" si="121"/>
        <v>0</v>
      </c>
      <c r="KGT15" s="63">
        <f t="shared" si="121"/>
        <v>0</v>
      </c>
      <c r="KGU15" s="63">
        <f t="shared" si="121"/>
        <v>0</v>
      </c>
      <c r="KGV15" s="63">
        <f t="shared" si="121"/>
        <v>0</v>
      </c>
      <c r="KGW15" s="63">
        <f t="shared" si="121"/>
        <v>0</v>
      </c>
      <c r="KGX15" s="63">
        <f t="shared" si="121"/>
        <v>0</v>
      </c>
      <c r="KGY15" s="63">
        <f t="shared" si="121"/>
        <v>0</v>
      </c>
      <c r="KGZ15" s="63">
        <f t="shared" si="121"/>
        <v>0</v>
      </c>
      <c r="KHA15" s="63">
        <f t="shared" si="121"/>
        <v>0</v>
      </c>
      <c r="KHB15" s="63">
        <f t="shared" si="121"/>
        <v>0</v>
      </c>
      <c r="KHC15" s="63">
        <f t="shared" si="121"/>
        <v>0</v>
      </c>
      <c r="KHD15" s="63">
        <f t="shared" si="121"/>
        <v>0</v>
      </c>
      <c r="KHE15" s="63">
        <f t="shared" si="121"/>
        <v>0</v>
      </c>
      <c r="KHF15" s="63">
        <f t="shared" si="121"/>
        <v>0</v>
      </c>
      <c r="KHG15" s="63">
        <f t="shared" si="121"/>
        <v>0</v>
      </c>
      <c r="KHH15" s="63">
        <f t="shared" si="121"/>
        <v>0</v>
      </c>
      <c r="KHI15" s="63">
        <f t="shared" si="121"/>
        <v>0</v>
      </c>
      <c r="KHJ15" s="63">
        <f t="shared" si="121"/>
        <v>0</v>
      </c>
      <c r="KHK15" s="63">
        <f t="shared" si="121"/>
        <v>0</v>
      </c>
      <c r="KHL15" s="63">
        <f t="shared" si="121"/>
        <v>0</v>
      </c>
      <c r="KHM15" s="63">
        <f t="shared" si="121"/>
        <v>0</v>
      </c>
      <c r="KHN15" s="63">
        <f t="shared" si="121"/>
        <v>0</v>
      </c>
      <c r="KHO15" s="63">
        <f t="shared" si="121"/>
        <v>0</v>
      </c>
      <c r="KHP15" s="63">
        <f t="shared" si="121"/>
        <v>0</v>
      </c>
      <c r="KHQ15" s="63">
        <f t="shared" si="121"/>
        <v>0</v>
      </c>
      <c r="KHR15" s="63">
        <f t="shared" si="121"/>
        <v>0</v>
      </c>
      <c r="KHS15" s="63">
        <f t="shared" si="121"/>
        <v>0</v>
      </c>
      <c r="KHT15" s="63">
        <f t="shared" si="121"/>
        <v>0</v>
      </c>
      <c r="KHU15" s="63">
        <f t="shared" si="121"/>
        <v>0</v>
      </c>
      <c r="KHV15" s="63">
        <f t="shared" si="121"/>
        <v>0</v>
      </c>
      <c r="KHW15" s="63">
        <f t="shared" si="121"/>
        <v>0</v>
      </c>
      <c r="KHX15" s="63">
        <f t="shared" si="121"/>
        <v>0</v>
      </c>
      <c r="KHY15" s="63">
        <f t="shared" si="121"/>
        <v>0</v>
      </c>
      <c r="KHZ15" s="63">
        <f t="shared" si="121"/>
        <v>0</v>
      </c>
      <c r="KIA15" s="63">
        <f t="shared" si="121"/>
        <v>0</v>
      </c>
      <c r="KIB15" s="63">
        <f t="shared" si="121"/>
        <v>0</v>
      </c>
      <c r="KIC15" s="63">
        <f t="shared" si="121"/>
        <v>0</v>
      </c>
      <c r="KID15" s="63">
        <f t="shared" si="121"/>
        <v>0</v>
      </c>
      <c r="KIE15" s="63">
        <f t="shared" si="121"/>
        <v>0</v>
      </c>
      <c r="KIF15" s="63">
        <f t="shared" si="121"/>
        <v>0</v>
      </c>
      <c r="KIG15" s="63">
        <f t="shared" si="121"/>
        <v>0</v>
      </c>
      <c r="KIH15" s="63">
        <f t="shared" si="121"/>
        <v>0</v>
      </c>
      <c r="KII15" s="63">
        <f t="shared" si="121"/>
        <v>0</v>
      </c>
      <c r="KIJ15" s="63">
        <f t="shared" si="121"/>
        <v>0</v>
      </c>
      <c r="KIK15" s="63">
        <f t="shared" si="121"/>
        <v>0</v>
      </c>
      <c r="KIL15" s="63">
        <f t="shared" si="121"/>
        <v>0</v>
      </c>
      <c r="KIM15" s="63">
        <f t="shared" si="121"/>
        <v>0</v>
      </c>
      <c r="KIN15" s="63">
        <f t="shared" ref="KIN15:KKY15" si="122">KIM18</f>
        <v>0</v>
      </c>
      <c r="KIO15" s="63">
        <f t="shared" si="122"/>
        <v>0</v>
      </c>
      <c r="KIP15" s="63">
        <f t="shared" si="122"/>
        <v>0</v>
      </c>
      <c r="KIQ15" s="63">
        <f t="shared" si="122"/>
        <v>0</v>
      </c>
      <c r="KIR15" s="63">
        <f t="shared" si="122"/>
        <v>0</v>
      </c>
      <c r="KIS15" s="63">
        <f t="shared" si="122"/>
        <v>0</v>
      </c>
      <c r="KIT15" s="63">
        <f t="shared" si="122"/>
        <v>0</v>
      </c>
      <c r="KIU15" s="63">
        <f t="shared" si="122"/>
        <v>0</v>
      </c>
      <c r="KIV15" s="63">
        <f t="shared" si="122"/>
        <v>0</v>
      </c>
      <c r="KIW15" s="63">
        <f t="shared" si="122"/>
        <v>0</v>
      </c>
      <c r="KIX15" s="63">
        <f t="shared" si="122"/>
        <v>0</v>
      </c>
      <c r="KIY15" s="63">
        <f t="shared" si="122"/>
        <v>0</v>
      </c>
      <c r="KIZ15" s="63">
        <f t="shared" si="122"/>
        <v>0</v>
      </c>
      <c r="KJA15" s="63">
        <f t="shared" si="122"/>
        <v>0</v>
      </c>
      <c r="KJB15" s="63">
        <f t="shared" si="122"/>
        <v>0</v>
      </c>
      <c r="KJC15" s="63">
        <f t="shared" si="122"/>
        <v>0</v>
      </c>
      <c r="KJD15" s="63">
        <f t="shared" si="122"/>
        <v>0</v>
      </c>
      <c r="KJE15" s="63">
        <f t="shared" si="122"/>
        <v>0</v>
      </c>
      <c r="KJF15" s="63">
        <f t="shared" si="122"/>
        <v>0</v>
      </c>
      <c r="KJG15" s="63">
        <f t="shared" si="122"/>
        <v>0</v>
      </c>
      <c r="KJH15" s="63">
        <f t="shared" si="122"/>
        <v>0</v>
      </c>
      <c r="KJI15" s="63">
        <f t="shared" si="122"/>
        <v>0</v>
      </c>
      <c r="KJJ15" s="63">
        <f t="shared" si="122"/>
        <v>0</v>
      </c>
      <c r="KJK15" s="63">
        <f t="shared" si="122"/>
        <v>0</v>
      </c>
      <c r="KJL15" s="63">
        <f t="shared" si="122"/>
        <v>0</v>
      </c>
      <c r="KJM15" s="63">
        <f t="shared" si="122"/>
        <v>0</v>
      </c>
      <c r="KJN15" s="63">
        <f t="shared" si="122"/>
        <v>0</v>
      </c>
      <c r="KJO15" s="63">
        <f t="shared" si="122"/>
        <v>0</v>
      </c>
      <c r="KJP15" s="63">
        <f t="shared" si="122"/>
        <v>0</v>
      </c>
      <c r="KJQ15" s="63">
        <f t="shared" si="122"/>
        <v>0</v>
      </c>
      <c r="KJR15" s="63">
        <f t="shared" si="122"/>
        <v>0</v>
      </c>
      <c r="KJS15" s="63">
        <f t="shared" si="122"/>
        <v>0</v>
      </c>
      <c r="KJT15" s="63">
        <f t="shared" si="122"/>
        <v>0</v>
      </c>
      <c r="KJU15" s="63">
        <f t="shared" si="122"/>
        <v>0</v>
      </c>
      <c r="KJV15" s="63">
        <f t="shared" si="122"/>
        <v>0</v>
      </c>
      <c r="KJW15" s="63">
        <f t="shared" si="122"/>
        <v>0</v>
      </c>
      <c r="KJX15" s="63">
        <f t="shared" si="122"/>
        <v>0</v>
      </c>
      <c r="KJY15" s="63">
        <f t="shared" si="122"/>
        <v>0</v>
      </c>
      <c r="KJZ15" s="63">
        <f t="shared" si="122"/>
        <v>0</v>
      </c>
      <c r="KKA15" s="63">
        <f t="shared" si="122"/>
        <v>0</v>
      </c>
      <c r="KKB15" s="63">
        <f t="shared" si="122"/>
        <v>0</v>
      </c>
      <c r="KKC15" s="63">
        <f t="shared" si="122"/>
        <v>0</v>
      </c>
      <c r="KKD15" s="63">
        <f t="shared" si="122"/>
        <v>0</v>
      </c>
      <c r="KKE15" s="63">
        <f t="shared" si="122"/>
        <v>0</v>
      </c>
      <c r="KKF15" s="63">
        <f t="shared" si="122"/>
        <v>0</v>
      </c>
      <c r="KKG15" s="63">
        <f t="shared" si="122"/>
        <v>0</v>
      </c>
      <c r="KKH15" s="63">
        <f t="shared" si="122"/>
        <v>0</v>
      </c>
      <c r="KKI15" s="63">
        <f t="shared" si="122"/>
        <v>0</v>
      </c>
      <c r="KKJ15" s="63">
        <f t="shared" si="122"/>
        <v>0</v>
      </c>
      <c r="KKK15" s="63">
        <f t="shared" si="122"/>
        <v>0</v>
      </c>
      <c r="KKL15" s="63">
        <f t="shared" si="122"/>
        <v>0</v>
      </c>
      <c r="KKM15" s="63">
        <f t="shared" si="122"/>
        <v>0</v>
      </c>
      <c r="KKN15" s="63">
        <f t="shared" si="122"/>
        <v>0</v>
      </c>
      <c r="KKO15" s="63">
        <f t="shared" si="122"/>
        <v>0</v>
      </c>
      <c r="KKP15" s="63">
        <f t="shared" si="122"/>
        <v>0</v>
      </c>
      <c r="KKQ15" s="63">
        <f t="shared" si="122"/>
        <v>0</v>
      </c>
      <c r="KKR15" s="63">
        <f t="shared" si="122"/>
        <v>0</v>
      </c>
      <c r="KKS15" s="63">
        <f t="shared" si="122"/>
        <v>0</v>
      </c>
      <c r="KKT15" s="63">
        <f t="shared" si="122"/>
        <v>0</v>
      </c>
      <c r="KKU15" s="63">
        <f t="shared" si="122"/>
        <v>0</v>
      </c>
      <c r="KKV15" s="63">
        <f t="shared" si="122"/>
        <v>0</v>
      </c>
      <c r="KKW15" s="63">
        <f t="shared" si="122"/>
        <v>0</v>
      </c>
      <c r="KKX15" s="63">
        <f t="shared" si="122"/>
        <v>0</v>
      </c>
      <c r="KKY15" s="63">
        <f t="shared" si="122"/>
        <v>0</v>
      </c>
      <c r="KKZ15" s="63">
        <f t="shared" ref="KKZ15:KNK15" si="123">KKY18</f>
        <v>0</v>
      </c>
      <c r="KLA15" s="63">
        <f t="shared" si="123"/>
        <v>0</v>
      </c>
      <c r="KLB15" s="63">
        <f t="shared" si="123"/>
        <v>0</v>
      </c>
      <c r="KLC15" s="63">
        <f t="shared" si="123"/>
        <v>0</v>
      </c>
      <c r="KLD15" s="63">
        <f t="shared" si="123"/>
        <v>0</v>
      </c>
      <c r="KLE15" s="63">
        <f t="shared" si="123"/>
        <v>0</v>
      </c>
      <c r="KLF15" s="63">
        <f t="shared" si="123"/>
        <v>0</v>
      </c>
      <c r="KLG15" s="63">
        <f t="shared" si="123"/>
        <v>0</v>
      </c>
      <c r="KLH15" s="63">
        <f t="shared" si="123"/>
        <v>0</v>
      </c>
      <c r="KLI15" s="63">
        <f t="shared" si="123"/>
        <v>0</v>
      </c>
      <c r="KLJ15" s="63">
        <f t="shared" si="123"/>
        <v>0</v>
      </c>
      <c r="KLK15" s="63">
        <f t="shared" si="123"/>
        <v>0</v>
      </c>
      <c r="KLL15" s="63">
        <f t="shared" si="123"/>
        <v>0</v>
      </c>
      <c r="KLM15" s="63">
        <f t="shared" si="123"/>
        <v>0</v>
      </c>
      <c r="KLN15" s="63">
        <f t="shared" si="123"/>
        <v>0</v>
      </c>
      <c r="KLO15" s="63">
        <f t="shared" si="123"/>
        <v>0</v>
      </c>
      <c r="KLP15" s="63">
        <f t="shared" si="123"/>
        <v>0</v>
      </c>
      <c r="KLQ15" s="63">
        <f t="shared" si="123"/>
        <v>0</v>
      </c>
      <c r="KLR15" s="63">
        <f t="shared" si="123"/>
        <v>0</v>
      </c>
      <c r="KLS15" s="63">
        <f t="shared" si="123"/>
        <v>0</v>
      </c>
      <c r="KLT15" s="63">
        <f t="shared" si="123"/>
        <v>0</v>
      </c>
      <c r="KLU15" s="63">
        <f t="shared" si="123"/>
        <v>0</v>
      </c>
      <c r="KLV15" s="63">
        <f t="shared" si="123"/>
        <v>0</v>
      </c>
      <c r="KLW15" s="63">
        <f t="shared" si="123"/>
        <v>0</v>
      </c>
      <c r="KLX15" s="63">
        <f t="shared" si="123"/>
        <v>0</v>
      </c>
      <c r="KLY15" s="63">
        <f t="shared" si="123"/>
        <v>0</v>
      </c>
      <c r="KLZ15" s="63">
        <f t="shared" si="123"/>
        <v>0</v>
      </c>
      <c r="KMA15" s="63">
        <f t="shared" si="123"/>
        <v>0</v>
      </c>
      <c r="KMB15" s="63">
        <f t="shared" si="123"/>
        <v>0</v>
      </c>
      <c r="KMC15" s="63">
        <f t="shared" si="123"/>
        <v>0</v>
      </c>
      <c r="KMD15" s="63">
        <f t="shared" si="123"/>
        <v>0</v>
      </c>
      <c r="KME15" s="63">
        <f t="shared" si="123"/>
        <v>0</v>
      </c>
      <c r="KMF15" s="63">
        <f t="shared" si="123"/>
        <v>0</v>
      </c>
      <c r="KMG15" s="63">
        <f t="shared" si="123"/>
        <v>0</v>
      </c>
      <c r="KMH15" s="63">
        <f t="shared" si="123"/>
        <v>0</v>
      </c>
      <c r="KMI15" s="63">
        <f t="shared" si="123"/>
        <v>0</v>
      </c>
      <c r="KMJ15" s="63">
        <f t="shared" si="123"/>
        <v>0</v>
      </c>
      <c r="KMK15" s="63">
        <f t="shared" si="123"/>
        <v>0</v>
      </c>
      <c r="KML15" s="63">
        <f t="shared" si="123"/>
        <v>0</v>
      </c>
      <c r="KMM15" s="63">
        <f t="shared" si="123"/>
        <v>0</v>
      </c>
      <c r="KMN15" s="63">
        <f t="shared" si="123"/>
        <v>0</v>
      </c>
      <c r="KMO15" s="63">
        <f t="shared" si="123"/>
        <v>0</v>
      </c>
      <c r="KMP15" s="63">
        <f t="shared" si="123"/>
        <v>0</v>
      </c>
      <c r="KMQ15" s="63">
        <f t="shared" si="123"/>
        <v>0</v>
      </c>
      <c r="KMR15" s="63">
        <f t="shared" si="123"/>
        <v>0</v>
      </c>
      <c r="KMS15" s="63">
        <f t="shared" si="123"/>
        <v>0</v>
      </c>
      <c r="KMT15" s="63">
        <f t="shared" si="123"/>
        <v>0</v>
      </c>
      <c r="KMU15" s="63">
        <f t="shared" si="123"/>
        <v>0</v>
      </c>
      <c r="KMV15" s="63">
        <f t="shared" si="123"/>
        <v>0</v>
      </c>
      <c r="KMW15" s="63">
        <f t="shared" si="123"/>
        <v>0</v>
      </c>
      <c r="KMX15" s="63">
        <f t="shared" si="123"/>
        <v>0</v>
      </c>
      <c r="KMY15" s="63">
        <f t="shared" si="123"/>
        <v>0</v>
      </c>
      <c r="KMZ15" s="63">
        <f t="shared" si="123"/>
        <v>0</v>
      </c>
      <c r="KNA15" s="63">
        <f t="shared" si="123"/>
        <v>0</v>
      </c>
      <c r="KNB15" s="63">
        <f t="shared" si="123"/>
        <v>0</v>
      </c>
      <c r="KNC15" s="63">
        <f t="shared" si="123"/>
        <v>0</v>
      </c>
      <c r="KND15" s="63">
        <f t="shared" si="123"/>
        <v>0</v>
      </c>
      <c r="KNE15" s="63">
        <f t="shared" si="123"/>
        <v>0</v>
      </c>
      <c r="KNF15" s="63">
        <f t="shared" si="123"/>
        <v>0</v>
      </c>
      <c r="KNG15" s="63">
        <f t="shared" si="123"/>
        <v>0</v>
      </c>
      <c r="KNH15" s="63">
        <f t="shared" si="123"/>
        <v>0</v>
      </c>
      <c r="KNI15" s="63">
        <f t="shared" si="123"/>
        <v>0</v>
      </c>
      <c r="KNJ15" s="63">
        <f t="shared" si="123"/>
        <v>0</v>
      </c>
      <c r="KNK15" s="63">
        <f t="shared" si="123"/>
        <v>0</v>
      </c>
      <c r="KNL15" s="63">
        <f t="shared" ref="KNL15:KPW15" si="124">KNK18</f>
        <v>0</v>
      </c>
      <c r="KNM15" s="63">
        <f t="shared" si="124"/>
        <v>0</v>
      </c>
      <c r="KNN15" s="63">
        <f t="shared" si="124"/>
        <v>0</v>
      </c>
      <c r="KNO15" s="63">
        <f t="shared" si="124"/>
        <v>0</v>
      </c>
      <c r="KNP15" s="63">
        <f t="shared" si="124"/>
        <v>0</v>
      </c>
      <c r="KNQ15" s="63">
        <f t="shared" si="124"/>
        <v>0</v>
      </c>
      <c r="KNR15" s="63">
        <f t="shared" si="124"/>
        <v>0</v>
      </c>
      <c r="KNS15" s="63">
        <f t="shared" si="124"/>
        <v>0</v>
      </c>
      <c r="KNT15" s="63">
        <f t="shared" si="124"/>
        <v>0</v>
      </c>
      <c r="KNU15" s="63">
        <f t="shared" si="124"/>
        <v>0</v>
      </c>
      <c r="KNV15" s="63">
        <f t="shared" si="124"/>
        <v>0</v>
      </c>
      <c r="KNW15" s="63">
        <f t="shared" si="124"/>
        <v>0</v>
      </c>
      <c r="KNX15" s="63">
        <f t="shared" si="124"/>
        <v>0</v>
      </c>
      <c r="KNY15" s="63">
        <f t="shared" si="124"/>
        <v>0</v>
      </c>
      <c r="KNZ15" s="63">
        <f t="shared" si="124"/>
        <v>0</v>
      </c>
      <c r="KOA15" s="63">
        <f t="shared" si="124"/>
        <v>0</v>
      </c>
      <c r="KOB15" s="63">
        <f t="shared" si="124"/>
        <v>0</v>
      </c>
      <c r="KOC15" s="63">
        <f t="shared" si="124"/>
        <v>0</v>
      </c>
      <c r="KOD15" s="63">
        <f t="shared" si="124"/>
        <v>0</v>
      </c>
      <c r="KOE15" s="63">
        <f t="shared" si="124"/>
        <v>0</v>
      </c>
      <c r="KOF15" s="63">
        <f t="shared" si="124"/>
        <v>0</v>
      </c>
      <c r="KOG15" s="63">
        <f t="shared" si="124"/>
        <v>0</v>
      </c>
      <c r="KOH15" s="63">
        <f t="shared" si="124"/>
        <v>0</v>
      </c>
      <c r="KOI15" s="63">
        <f t="shared" si="124"/>
        <v>0</v>
      </c>
      <c r="KOJ15" s="63">
        <f t="shared" si="124"/>
        <v>0</v>
      </c>
      <c r="KOK15" s="63">
        <f t="shared" si="124"/>
        <v>0</v>
      </c>
      <c r="KOL15" s="63">
        <f t="shared" si="124"/>
        <v>0</v>
      </c>
      <c r="KOM15" s="63">
        <f t="shared" si="124"/>
        <v>0</v>
      </c>
      <c r="KON15" s="63">
        <f t="shared" si="124"/>
        <v>0</v>
      </c>
      <c r="KOO15" s="63">
        <f t="shared" si="124"/>
        <v>0</v>
      </c>
      <c r="KOP15" s="63">
        <f t="shared" si="124"/>
        <v>0</v>
      </c>
      <c r="KOQ15" s="63">
        <f t="shared" si="124"/>
        <v>0</v>
      </c>
      <c r="KOR15" s="63">
        <f t="shared" si="124"/>
        <v>0</v>
      </c>
      <c r="KOS15" s="63">
        <f t="shared" si="124"/>
        <v>0</v>
      </c>
      <c r="KOT15" s="63">
        <f t="shared" si="124"/>
        <v>0</v>
      </c>
      <c r="KOU15" s="63">
        <f t="shared" si="124"/>
        <v>0</v>
      </c>
      <c r="KOV15" s="63">
        <f t="shared" si="124"/>
        <v>0</v>
      </c>
      <c r="KOW15" s="63">
        <f t="shared" si="124"/>
        <v>0</v>
      </c>
      <c r="KOX15" s="63">
        <f t="shared" si="124"/>
        <v>0</v>
      </c>
      <c r="KOY15" s="63">
        <f t="shared" si="124"/>
        <v>0</v>
      </c>
      <c r="KOZ15" s="63">
        <f t="shared" si="124"/>
        <v>0</v>
      </c>
      <c r="KPA15" s="63">
        <f t="shared" si="124"/>
        <v>0</v>
      </c>
      <c r="KPB15" s="63">
        <f t="shared" si="124"/>
        <v>0</v>
      </c>
      <c r="KPC15" s="63">
        <f t="shared" si="124"/>
        <v>0</v>
      </c>
      <c r="KPD15" s="63">
        <f t="shared" si="124"/>
        <v>0</v>
      </c>
      <c r="KPE15" s="63">
        <f t="shared" si="124"/>
        <v>0</v>
      </c>
      <c r="KPF15" s="63">
        <f t="shared" si="124"/>
        <v>0</v>
      </c>
      <c r="KPG15" s="63">
        <f t="shared" si="124"/>
        <v>0</v>
      </c>
      <c r="KPH15" s="63">
        <f t="shared" si="124"/>
        <v>0</v>
      </c>
      <c r="KPI15" s="63">
        <f t="shared" si="124"/>
        <v>0</v>
      </c>
      <c r="KPJ15" s="63">
        <f t="shared" si="124"/>
        <v>0</v>
      </c>
      <c r="KPK15" s="63">
        <f t="shared" si="124"/>
        <v>0</v>
      </c>
      <c r="KPL15" s="63">
        <f t="shared" si="124"/>
        <v>0</v>
      </c>
      <c r="KPM15" s="63">
        <f t="shared" si="124"/>
        <v>0</v>
      </c>
      <c r="KPN15" s="63">
        <f t="shared" si="124"/>
        <v>0</v>
      </c>
      <c r="KPO15" s="63">
        <f t="shared" si="124"/>
        <v>0</v>
      </c>
      <c r="KPP15" s="63">
        <f t="shared" si="124"/>
        <v>0</v>
      </c>
      <c r="KPQ15" s="63">
        <f t="shared" si="124"/>
        <v>0</v>
      </c>
      <c r="KPR15" s="63">
        <f t="shared" si="124"/>
        <v>0</v>
      </c>
      <c r="KPS15" s="63">
        <f t="shared" si="124"/>
        <v>0</v>
      </c>
      <c r="KPT15" s="63">
        <f t="shared" si="124"/>
        <v>0</v>
      </c>
      <c r="KPU15" s="63">
        <f t="shared" si="124"/>
        <v>0</v>
      </c>
      <c r="KPV15" s="63">
        <f t="shared" si="124"/>
        <v>0</v>
      </c>
      <c r="KPW15" s="63">
        <f t="shared" si="124"/>
        <v>0</v>
      </c>
      <c r="KPX15" s="63">
        <f t="shared" ref="KPX15:KSI15" si="125">KPW18</f>
        <v>0</v>
      </c>
      <c r="KPY15" s="63">
        <f t="shared" si="125"/>
        <v>0</v>
      </c>
      <c r="KPZ15" s="63">
        <f t="shared" si="125"/>
        <v>0</v>
      </c>
      <c r="KQA15" s="63">
        <f t="shared" si="125"/>
        <v>0</v>
      </c>
      <c r="KQB15" s="63">
        <f t="shared" si="125"/>
        <v>0</v>
      </c>
      <c r="KQC15" s="63">
        <f t="shared" si="125"/>
        <v>0</v>
      </c>
      <c r="KQD15" s="63">
        <f t="shared" si="125"/>
        <v>0</v>
      </c>
      <c r="KQE15" s="63">
        <f t="shared" si="125"/>
        <v>0</v>
      </c>
      <c r="KQF15" s="63">
        <f t="shared" si="125"/>
        <v>0</v>
      </c>
      <c r="KQG15" s="63">
        <f t="shared" si="125"/>
        <v>0</v>
      </c>
      <c r="KQH15" s="63">
        <f t="shared" si="125"/>
        <v>0</v>
      </c>
      <c r="KQI15" s="63">
        <f t="shared" si="125"/>
        <v>0</v>
      </c>
      <c r="KQJ15" s="63">
        <f t="shared" si="125"/>
        <v>0</v>
      </c>
      <c r="KQK15" s="63">
        <f t="shared" si="125"/>
        <v>0</v>
      </c>
      <c r="KQL15" s="63">
        <f t="shared" si="125"/>
        <v>0</v>
      </c>
      <c r="KQM15" s="63">
        <f t="shared" si="125"/>
        <v>0</v>
      </c>
      <c r="KQN15" s="63">
        <f t="shared" si="125"/>
        <v>0</v>
      </c>
      <c r="KQO15" s="63">
        <f t="shared" si="125"/>
        <v>0</v>
      </c>
      <c r="KQP15" s="63">
        <f t="shared" si="125"/>
        <v>0</v>
      </c>
      <c r="KQQ15" s="63">
        <f t="shared" si="125"/>
        <v>0</v>
      </c>
      <c r="KQR15" s="63">
        <f t="shared" si="125"/>
        <v>0</v>
      </c>
      <c r="KQS15" s="63">
        <f t="shared" si="125"/>
        <v>0</v>
      </c>
      <c r="KQT15" s="63">
        <f t="shared" si="125"/>
        <v>0</v>
      </c>
      <c r="KQU15" s="63">
        <f t="shared" si="125"/>
        <v>0</v>
      </c>
      <c r="KQV15" s="63">
        <f t="shared" si="125"/>
        <v>0</v>
      </c>
      <c r="KQW15" s="63">
        <f t="shared" si="125"/>
        <v>0</v>
      </c>
      <c r="KQX15" s="63">
        <f t="shared" si="125"/>
        <v>0</v>
      </c>
      <c r="KQY15" s="63">
        <f t="shared" si="125"/>
        <v>0</v>
      </c>
      <c r="KQZ15" s="63">
        <f t="shared" si="125"/>
        <v>0</v>
      </c>
      <c r="KRA15" s="63">
        <f t="shared" si="125"/>
        <v>0</v>
      </c>
      <c r="KRB15" s="63">
        <f t="shared" si="125"/>
        <v>0</v>
      </c>
      <c r="KRC15" s="63">
        <f t="shared" si="125"/>
        <v>0</v>
      </c>
      <c r="KRD15" s="63">
        <f t="shared" si="125"/>
        <v>0</v>
      </c>
      <c r="KRE15" s="63">
        <f t="shared" si="125"/>
        <v>0</v>
      </c>
      <c r="KRF15" s="63">
        <f t="shared" si="125"/>
        <v>0</v>
      </c>
      <c r="KRG15" s="63">
        <f t="shared" si="125"/>
        <v>0</v>
      </c>
      <c r="KRH15" s="63">
        <f t="shared" si="125"/>
        <v>0</v>
      </c>
      <c r="KRI15" s="63">
        <f t="shared" si="125"/>
        <v>0</v>
      </c>
      <c r="KRJ15" s="63">
        <f t="shared" si="125"/>
        <v>0</v>
      </c>
      <c r="KRK15" s="63">
        <f t="shared" si="125"/>
        <v>0</v>
      </c>
      <c r="KRL15" s="63">
        <f t="shared" si="125"/>
        <v>0</v>
      </c>
      <c r="KRM15" s="63">
        <f t="shared" si="125"/>
        <v>0</v>
      </c>
      <c r="KRN15" s="63">
        <f t="shared" si="125"/>
        <v>0</v>
      </c>
      <c r="KRO15" s="63">
        <f t="shared" si="125"/>
        <v>0</v>
      </c>
      <c r="KRP15" s="63">
        <f t="shared" si="125"/>
        <v>0</v>
      </c>
      <c r="KRQ15" s="63">
        <f t="shared" si="125"/>
        <v>0</v>
      </c>
      <c r="KRR15" s="63">
        <f t="shared" si="125"/>
        <v>0</v>
      </c>
      <c r="KRS15" s="63">
        <f t="shared" si="125"/>
        <v>0</v>
      </c>
      <c r="KRT15" s="63">
        <f t="shared" si="125"/>
        <v>0</v>
      </c>
      <c r="KRU15" s="63">
        <f t="shared" si="125"/>
        <v>0</v>
      </c>
      <c r="KRV15" s="63">
        <f t="shared" si="125"/>
        <v>0</v>
      </c>
      <c r="KRW15" s="63">
        <f t="shared" si="125"/>
        <v>0</v>
      </c>
      <c r="KRX15" s="63">
        <f t="shared" si="125"/>
        <v>0</v>
      </c>
      <c r="KRY15" s="63">
        <f t="shared" si="125"/>
        <v>0</v>
      </c>
      <c r="KRZ15" s="63">
        <f t="shared" si="125"/>
        <v>0</v>
      </c>
      <c r="KSA15" s="63">
        <f t="shared" si="125"/>
        <v>0</v>
      </c>
      <c r="KSB15" s="63">
        <f t="shared" si="125"/>
        <v>0</v>
      </c>
      <c r="KSC15" s="63">
        <f t="shared" si="125"/>
        <v>0</v>
      </c>
      <c r="KSD15" s="63">
        <f t="shared" si="125"/>
        <v>0</v>
      </c>
      <c r="KSE15" s="63">
        <f t="shared" si="125"/>
        <v>0</v>
      </c>
      <c r="KSF15" s="63">
        <f t="shared" si="125"/>
        <v>0</v>
      </c>
      <c r="KSG15" s="63">
        <f t="shared" si="125"/>
        <v>0</v>
      </c>
      <c r="KSH15" s="63">
        <f t="shared" si="125"/>
        <v>0</v>
      </c>
      <c r="KSI15" s="63">
        <f t="shared" si="125"/>
        <v>0</v>
      </c>
      <c r="KSJ15" s="63">
        <f t="shared" ref="KSJ15:KUU15" si="126">KSI18</f>
        <v>0</v>
      </c>
      <c r="KSK15" s="63">
        <f t="shared" si="126"/>
        <v>0</v>
      </c>
      <c r="KSL15" s="63">
        <f t="shared" si="126"/>
        <v>0</v>
      </c>
      <c r="KSM15" s="63">
        <f t="shared" si="126"/>
        <v>0</v>
      </c>
      <c r="KSN15" s="63">
        <f t="shared" si="126"/>
        <v>0</v>
      </c>
      <c r="KSO15" s="63">
        <f t="shared" si="126"/>
        <v>0</v>
      </c>
      <c r="KSP15" s="63">
        <f t="shared" si="126"/>
        <v>0</v>
      </c>
      <c r="KSQ15" s="63">
        <f t="shared" si="126"/>
        <v>0</v>
      </c>
      <c r="KSR15" s="63">
        <f t="shared" si="126"/>
        <v>0</v>
      </c>
      <c r="KSS15" s="63">
        <f t="shared" si="126"/>
        <v>0</v>
      </c>
      <c r="KST15" s="63">
        <f t="shared" si="126"/>
        <v>0</v>
      </c>
      <c r="KSU15" s="63">
        <f t="shared" si="126"/>
        <v>0</v>
      </c>
      <c r="KSV15" s="63">
        <f t="shared" si="126"/>
        <v>0</v>
      </c>
      <c r="KSW15" s="63">
        <f t="shared" si="126"/>
        <v>0</v>
      </c>
      <c r="KSX15" s="63">
        <f t="shared" si="126"/>
        <v>0</v>
      </c>
      <c r="KSY15" s="63">
        <f t="shared" si="126"/>
        <v>0</v>
      </c>
      <c r="KSZ15" s="63">
        <f t="shared" si="126"/>
        <v>0</v>
      </c>
      <c r="KTA15" s="63">
        <f t="shared" si="126"/>
        <v>0</v>
      </c>
      <c r="KTB15" s="63">
        <f t="shared" si="126"/>
        <v>0</v>
      </c>
      <c r="KTC15" s="63">
        <f t="shared" si="126"/>
        <v>0</v>
      </c>
      <c r="KTD15" s="63">
        <f t="shared" si="126"/>
        <v>0</v>
      </c>
      <c r="KTE15" s="63">
        <f t="shared" si="126"/>
        <v>0</v>
      </c>
      <c r="KTF15" s="63">
        <f t="shared" si="126"/>
        <v>0</v>
      </c>
      <c r="KTG15" s="63">
        <f t="shared" si="126"/>
        <v>0</v>
      </c>
      <c r="KTH15" s="63">
        <f t="shared" si="126"/>
        <v>0</v>
      </c>
      <c r="KTI15" s="63">
        <f t="shared" si="126"/>
        <v>0</v>
      </c>
      <c r="KTJ15" s="63">
        <f t="shared" si="126"/>
        <v>0</v>
      </c>
      <c r="KTK15" s="63">
        <f t="shared" si="126"/>
        <v>0</v>
      </c>
      <c r="KTL15" s="63">
        <f t="shared" si="126"/>
        <v>0</v>
      </c>
      <c r="KTM15" s="63">
        <f t="shared" si="126"/>
        <v>0</v>
      </c>
      <c r="KTN15" s="63">
        <f t="shared" si="126"/>
        <v>0</v>
      </c>
      <c r="KTO15" s="63">
        <f t="shared" si="126"/>
        <v>0</v>
      </c>
      <c r="KTP15" s="63">
        <f t="shared" si="126"/>
        <v>0</v>
      </c>
      <c r="KTQ15" s="63">
        <f t="shared" si="126"/>
        <v>0</v>
      </c>
      <c r="KTR15" s="63">
        <f t="shared" si="126"/>
        <v>0</v>
      </c>
      <c r="KTS15" s="63">
        <f t="shared" si="126"/>
        <v>0</v>
      </c>
      <c r="KTT15" s="63">
        <f t="shared" si="126"/>
        <v>0</v>
      </c>
      <c r="KTU15" s="63">
        <f t="shared" si="126"/>
        <v>0</v>
      </c>
      <c r="KTV15" s="63">
        <f t="shared" si="126"/>
        <v>0</v>
      </c>
      <c r="KTW15" s="63">
        <f t="shared" si="126"/>
        <v>0</v>
      </c>
      <c r="KTX15" s="63">
        <f t="shared" si="126"/>
        <v>0</v>
      </c>
      <c r="KTY15" s="63">
        <f t="shared" si="126"/>
        <v>0</v>
      </c>
      <c r="KTZ15" s="63">
        <f t="shared" si="126"/>
        <v>0</v>
      </c>
      <c r="KUA15" s="63">
        <f t="shared" si="126"/>
        <v>0</v>
      </c>
      <c r="KUB15" s="63">
        <f t="shared" si="126"/>
        <v>0</v>
      </c>
      <c r="KUC15" s="63">
        <f t="shared" si="126"/>
        <v>0</v>
      </c>
      <c r="KUD15" s="63">
        <f t="shared" si="126"/>
        <v>0</v>
      </c>
      <c r="KUE15" s="63">
        <f t="shared" si="126"/>
        <v>0</v>
      </c>
      <c r="KUF15" s="63">
        <f t="shared" si="126"/>
        <v>0</v>
      </c>
      <c r="KUG15" s="63">
        <f t="shared" si="126"/>
        <v>0</v>
      </c>
      <c r="KUH15" s="63">
        <f t="shared" si="126"/>
        <v>0</v>
      </c>
      <c r="KUI15" s="63">
        <f t="shared" si="126"/>
        <v>0</v>
      </c>
      <c r="KUJ15" s="63">
        <f t="shared" si="126"/>
        <v>0</v>
      </c>
      <c r="KUK15" s="63">
        <f t="shared" si="126"/>
        <v>0</v>
      </c>
      <c r="KUL15" s="63">
        <f t="shared" si="126"/>
        <v>0</v>
      </c>
      <c r="KUM15" s="63">
        <f t="shared" si="126"/>
        <v>0</v>
      </c>
      <c r="KUN15" s="63">
        <f t="shared" si="126"/>
        <v>0</v>
      </c>
      <c r="KUO15" s="63">
        <f t="shared" si="126"/>
        <v>0</v>
      </c>
      <c r="KUP15" s="63">
        <f t="shared" si="126"/>
        <v>0</v>
      </c>
      <c r="KUQ15" s="63">
        <f t="shared" si="126"/>
        <v>0</v>
      </c>
      <c r="KUR15" s="63">
        <f t="shared" si="126"/>
        <v>0</v>
      </c>
      <c r="KUS15" s="63">
        <f t="shared" si="126"/>
        <v>0</v>
      </c>
      <c r="KUT15" s="63">
        <f t="shared" si="126"/>
        <v>0</v>
      </c>
      <c r="KUU15" s="63">
        <f t="shared" si="126"/>
        <v>0</v>
      </c>
      <c r="KUV15" s="63">
        <f t="shared" ref="KUV15:KXG15" si="127">KUU18</f>
        <v>0</v>
      </c>
      <c r="KUW15" s="63">
        <f t="shared" si="127"/>
        <v>0</v>
      </c>
      <c r="KUX15" s="63">
        <f t="shared" si="127"/>
        <v>0</v>
      </c>
      <c r="KUY15" s="63">
        <f t="shared" si="127"/>
        <v>0</v>
      </c>
      <c r="KUZ15" s="63">
        <f t="shared" si="127"/>
        <v>0</v>
      </c>
      <c r="KVA15" s="63">
        <f t="shared" si="127"/>
        <v>0</v>
      </c>
      <c r="KVB15" s="63">
        <f t="shared" si="127"/>
        <v>0</v>
      </c>
      <c r="KVC15" s="63">
        <f t="shared" si="127"/>
        <v>0</v>
      </c>
      <c r="KVD15" s="63">
        <f t="shared" si="127"/>
        <v>0</v>
      </c>
      <c r="KVE15" s="63">
        <f t="shared" si="127"/>
        <v>0</v>
      </c>
      <c r="KVF15" s="63">
        <f t="shared" si="127"/>
        <v>0</v>
      </c>
      <c r="KVG15" s="63">
        <f t="shared" si="127"/>
        <v>0</v>
      </c>
      <c r="KVH15" s="63">
        <f t="shared" si="127"/>
        <v>0</v>
      </c>
      <c r="KVI15" s="63">
        <f t="shared" si="127"/>
        <v>0</v>
      </c>
      <c r="KVJ15" s="63">
        <f t="shared" si="127"/>
        <v>0</v>
      </c>
      <c r="KVK15" s="63">
        <f t="shared" si="127"/>
        <v>0</v>
      </c>
      <c r="KVL15" s="63">
        <f t="shared" si="127"/>
        <v>0</v>
      </c>
      <c r="KVM15" s="63">
        <f t="shared" si="127"/>
        <v>0</v>
      </c>
      <c r="KVN15" s="63">
        <f t="shared" si="127"/>
        <v>0</v>
      </c>
      <c r="KVO15" s="63">
        <f t="shared" si="127"/>
        <v>0</v>
      </c>
      <c r="KVP15" s="63">
        <f t="shared" si="127"/>
        <v>0</v>
      </c>
      <c r="KVQ15" s="63">
        <f t="shared" si="127"/>
        <v>0</v>
      </c>
      <c r="KVR15" s="63">
        <f t="shared" si="127"/>
        <v>0</v>
      </c>
      <c r="KVS15" s="63">
        <f t="shared" si="127"/>
        <v>0</v>
      </c>
      <c r="KVT15" s="63">
        <f t="shared" si="127"/>
        <v>0</v>
      </c>
      <c r="KVU15" s="63">
        <f t="shared" si="127"/>
        <v>0</v>
      </c>
      <c r="KVV15" s="63">
        <f t="shared" si="127"/>
        <v>0</v>
      </c>
      <c r="KVW15" s="63">
        <f t="shared" si="127"/>
        <v>0</v>
      </c>
      <c r="KVX15" s="63">
        <f t="shared" si="127"/>
        <v>0</v>
      </c>
      <c r="KVY15" s="63">
        <f t="shared" si="127"/>
        <v>0</v>
      </c>
      <c r="KVZ15" s="63">
        <f t="shared" si="127"/>
        <v>0</v>
      </c>
      <c r="KWA15" s="63">
        <f t="shared" si="127"/>
        <v>0</v>
      </c>
      <c r="KWB15" s="63">
        <f t="shared" si="127"/>
        <v>0</v>
      </c>
      <c r="KWC15" s="63">
        <f t="shared" si="127"/>
        <v>0</v>
      </c>
      <c r="KWD15" s="63">
        <f t="shared" si="127"/>
        <v>0</v>
      </c>
      <c r="KWE15" s="63">
        <f t="shared" si="127"/>
        <v>0</v>
      </c>
      <c r="KWF15" s="63">
        <f t="shared" si="127"/>
        <v>0</v>
      </c>
      <c r="KWG15" s="63">
        <f t="shared" si="127"/>
        <v>0</v>
      </c>
      <c r="KWH15" s="63">
        <f t="shared" si="127"/>
        <v>0</v>
      </c>
      <c r="KWI15" s="63">
        <f t="shared" si="127"/>
        <v>0</v>
      </c>
      <c r="KWJ15" s="63">
        <f t="shared" si="127"/>
        <v>0</v>
      </c>
      <c r="KWK15" s="63">
        <f t="shared" si="127"/>
        <v>0</v>
      </c>
      <c r="KWL15" s="63">
        <f t="shared" si="127"/>
        <v>0</v>
      </c>
      <c r="KWM15" s="63">
        <f t="shared" si="127"/>
        <v>0</v>
      </c>
      <c r="KWN15" s="63">
        <f t="shared" si="127"/>
        <v>0</v>
      </c>
      <c r="KWO15" s="63">
        <f t="shared" si="127"/>
        <v>0</v>
      </c>
      <c r="KWP15" s="63">
        <f t="shared" si="127"/>
        <v>0</v>
      </c>
      <c r="KWQ15" s="63">
        <f t="shared" si="127"/>
        <v>0</v>
      </c>
      <c r="KWR15" s="63">
        <f t="shared" si="127"/>
        <v>0</v>
      </c>
      <c r="KWS15" s="63">
        <f t="shared" si="127"/>
        <v>0</v>
      </c>
      <c r="KWT15" s="63">
        <f t="shared" si="127"/>
        <v>0</v>
      </c>
      <c r="KWU15" s="63">
        <f t="shared" si="127"/>
        <v>0</v>
      </c>
      <c r="KWV15" s="63">
        <f t="shared" si="127"/>
        <v>0</v>
      </c>
      <c r="KWW15" s="63">
        <f t="shared" si="127"/>
        <v>0</v>
      </c>
      <c r="KWX15" s="63">
        <f t="shared" si="127"/>
        <v>0</v>
      </c>
      <c r="KWY15" s="63">
        <f t="shared" si="127"/>
        <v>0</v>
      </c>
      <c r="KWZ15" s="63">
        <f t="shared" si="127"/>
        <v>0</v>
      </c>
      <c r="KXA15" s="63">
        <f t="shared" si="127"/>
        <v>0</v>
      </c>
      <c r="KXB15" s="63">
        <f t="shared" si="127"/>
        <v>0</v>
      </c>
      <c r="KXC15" s="63">
        <f t="shared" si="127"/>
        <v>0</v>
      </c>
      <c r="KXD15" s="63">
        <f t="shared" si="127"/>
        <v>0</v>
      </c>
      <c r="KXE15" s="63">
        <f t="shared" si="127"/>
        <v>0</v>
      </c>
      <c r="KXF15" s="63">
        <f t="shared" si="127"/>
        <v>0</v>
      </c>
      <c r="KXG15" s="63">
        <f t="shared" si="127"/>
        <v>0</v>
      </c>
      <c r="KXH15" s="63">
        <f t="shared" ref="KXH15:KZS15" si="128">KXG18</f>
        <v>0</v>
      </c>
      <c r="KXI15" s="63">
        <f t="shared" si="128"/>
        <v>0</v>
      </c>
      <c r="KXJ15" s="63">
        <f t="shared" si="128"/>
        <v>0</v>
      </c>
      <c r="KXK15" s="63">
        <f t="shared" si="128"/>
        <v>0</v>
      </c>
      <c r="KXL15" s="63">
        <f t="shared" si="128"/>
        <v>0</v>
      </c>
      <c r="KXM15" s="63">
        <f t="shared" si="128"/>
        <v>0</v>
      </c>
      <c r="KXN15" s="63">
        <f t="shared" si="128"/>
        <v>0</v>
      </c>
      <c r="KXO15" s="63">
        <f t="shared" si="128"/>
        <v>0</v>
      </c>
      <c r="KXP15" s="63">
        <f t="shared" si="128"/>
        <v>0</v>
      </c>
      <c r="KXQ15" s="63">
        <f t="shared" si="128"/>
        <v>0</v>
      </c>
      <c r="KXR15" s="63">
        <f t="shared" si="128"/>
        <v>0</v>
      </c>
      <c r="KXS15" s="63">
        <f t="shared" si="128"/>
        <v>0</v>
      </c>
      <c r="KXT15" s="63">
        <f t="shared" si="128"/>
        <v>0</v>
      </c>
      <c r="KXU15" s="63">
        <f t="shared" si="128"/>
        <v>0</v>
      </c>
      <c r="KXV15" s="63">
        <f t="shared" si="128"/>
        <v>0</v>
      </c>
      <c r="KXW15" s="63">
        <f t="shared" si="128"/>
        <v>0</v>
      </c>
      <c r="KXX15" s="63">
        <f t="shared" si="128"/>
        <v>0</v>
      </c>
      <c r="KXY15" s="63">
        <f t="shared" si="128"/>
        <v>0</v>
      </c>
      <c r="KXZ15" s="63">
        <f t="shared" si="128"/>
        <v>0</v>
      </c>
      <c r="KYA15" s="63">
        <f t="shared" si="128"/>
        <v>0</v>
      </c>
      <c r="KYB15" s="63">
        <f t="shared" si="128"/>
        <v>0</v>
      </c>
      <c r="KYC15" s="63">
        <f t="shared" si="128"/>
        <v>0</v>
      </c>
      <c r="KYD15" s="63">
        <f t="shared" si="128"/>
        <v>0</v>
      </c>
      <c r="KYE15" s="63">
        <f t="shared" si="128"/>
        <v>0</v>
      </c>
      <c r="KYF15" s="63">
        <f t="shared" si="128"/>
        <v>0</v>
      </c>
      <c r="KYG15" s="63">
        <f t="shared" si="128"/>
        <v>0</v>
      </c>
      <c r="KYH15" s="63">
        <f t="shared" si="128"/>
        <v>0</v>
      </c>
      <c r="KYI15" s="63">
        <f t="shared" si="128"/>
        <v>0</v>
      </c>
      <c r="KYJ15" s="63">
        <f t="shared" si="128"/>
        <v>0</v>
      </c>
      <c r="KYK15" s="63">
        <f t="shared" si="128"/>
        <v>0</v>
      </c>
      <c r="KYL15" s="63">
        <f t="shared" si="128"/>
        <v>0</v>
      </c>
      <c r="KYM15" s="63">
        <f t="shared" si="128"/>
        <v>0</v>
      </c>
      <c r="KYN15" s="63">
        <f t="shared" si="128"/>
        <v>0</v>
      </c>
      <c r="KYO15" s="63">
        <f t="shared" si="128"/>
        <v>0</v>
      </c>
      <c r="KYP15" s="63">
        <f t="shared" si="128"/>
        <v>0</v>
      </c>
      <c r="KYQ15" s="63">
        <f t="shared" si="128"/>
        <v>0</v>
      </c>
      <c r="KYR15" s="63">
        <f t="shared" si="128"/>
        <v>0</v>
      </c>
      <c r="KYS15" s="63">
        <f t="shared" si="128"/>
        <v>0</v>
      </c>
      <c r="KYT15" s="63">
        <f t="shared" si="128"/>
        <v>0</v>
      </c>
      <c r="KYU15" s="63">
        <f t="shared" si="128"/>
        <v>0</v>
      </c>
      <c r="KYV15" s="63">
        <f t="shared" si="128"/>
        <v>0</v>
      </c>
      <c r="KYW15" s="63">
        <f t="shared" si="128"/>
        <v>0</v>
      </c>
      <c r="KYX15" s="63">
        <f t="shared" si="128"/>
        <v>0</v>
      </c>
      <c r="KYY15" s="63">
        <f t="shared" si="128"/>
        <v>0</v>
      </c>
      <c r="KYZ15" s="63">
        <f t="shared" si="128"/>
        <v>0</v>
      </c>
      <c r="KZA15" s="63">
        <f t="shared" si="128"/>
        <v>0</v>
      </c>
      <c r="KZB15" s="63">
        <f t="shared" si="128"/>
        <v>0</v>
      </c>
      <c r="KZC15" s="63">
        <f t="shared" si="128"/>
        <v>0</v>
      </c>
      <c r="KZD15" s="63">
        <f t="shared" si="128"/>
        <v>0</v>
      </c>
      <c r="KZE15" s="63">
        <f t="shared" si="128"/>
        <v>0</v>
      </c>
      <c r="KZF15" s="63">
        <f t="shared" si="128"/>
        <v>0</v>
      </c>
      <c r="KZG15" s="63">
        <f t="shared" si="128"/>
        <v>0</v>
      </c>
      <c r="KZH15" s="63">
        <f t="shared" si="128"/>
        <v>0</v>
      </c>
      <c r="KZI15" s="63">
        <f t="shared" si="128"/>
        <v>0</v>
      </c>
      <c r="KZJ15" s="63">
        <f t="shared" si="128"/>
        <v>0</v>
      </c>
      <c r="KZK15" s="63">
        <f t="shared" si="128"/>
        <v>0</v>
      </c>
      <c r="KZL15" s="63">
        <f t="shared" si="128"/>
        <v>0</v>
      </c>
      <c r="KZM15" s="63">
        <f t="shared" si="128"/>
        <v>0</v>
      </c>
      <c r="KZN15" s="63">
        <f t="shared" si="128"/>
        <v>0</v>
      </c>
      <c r="KZO15" s="63">
        <f t="shared" si="128"/>
        <v>0</v>
      </c>
      <c r="KZP15" s="63">
        <f t="shared" si="128"/>
        <v>0</v>
      </c>
      <c r="KZQ15" s="63">
        <f t="shared" si="128"/>
        <v>0</v>
      </c>
      <c r="KZR15" s="63">
        <f t="shared" si="128"/>
        <v>0</v>
      </c>
      <c r="KZS15" s="63">
        <f t="shared" si="128"/>
        <v>0</v>
      </c>
      <c r="KZT15" s="63">
        <f t="shared" ref="KZT15:LCE15" si="129">KZS18</f>
        <v>0</v>
      </c>
      <c r="KZU15" s="63">
        <f t="shared" si="129"/>
        <v>0</v>
      </c>
      <c r="KZV15" s="63">
        <f t="shared" si="129"/>
        <v>0</v>
      </c>
      <c r="KZW15" s="63">
        <f t="shared" si="129"/>
        <v>0</v>
      </c>
      <c r="KZX15" s="63">
        <f t="shared" si="129"/>
        <v>0</v>
      </c>
      <c r="KZY15" s="63">
        <f t="shared" si="129"/>
        <v>0</v>
      </c>
      <c r="KZZ15" s="63">
        <f t="shared" si="129"/>
        <v>0</v>
      </c>
      <c r="LAA15" s="63">
        <f t="shared" si="129"/>
        <v>0</v>
      </c>
      <c r="LAB15" s="63">
        <f t="shared" si="129"/>
        <v>0</v>
      </c>
      <c r="LAC15" s="63">
        <f t="shared" si="129"/>
        <v>0</v>
      </c>
      <c r="LAD15" s="63">
        <f t="shared" si="129"/>
        <v>0</v>
      </c>
      <c r="LAE15" s="63">
        <f t="shared" si="129"/>
        <v>0</v>
      </c>
      <c r="LAF15" s="63">
        <f t="shared" si="129"/>
        <v>0</v>
      </c>
      <c r="LAG15" s="63">
        <f t="shared" si="129"/>
        <v>0</v>
      </c>
      <c r="LAH15" s="63">
        <f t="shared" si="129"/>
        <v>0</v>
      </c>
      <c r="LAI15" s="63">
        <f t="shared" si="129"/>
        <v>0</v>
      </c>
      <c r="LAJ15" s="63">
        <f t="shared" si="129"/>
        <v>0</v>
      </c>
      <c r="LAK15" s="63">
        <f t="shared" si="129"/>
        <v>0</v>
      </c>
      <c r="LAL15" s="63">
        <f t="shared" si="129"/>
        <v>0</v>
      </c>
      <c r="LAM15" s="63">
        <f t="shared" si="129"/>
        <v>0</v>
      </c>
      <c r="LAN15" s="63">
        <f t="shared" si="129"/>
        <v>0</v>
      </c>
      <c r="LAO15" s="63">
        <f t="shared" si="129"/>
        <v>0</v>
      </c>
      <c r="LAP15" s="63">
        <f t="shared" si="129"/>
        <v>0</v>
      </c>
      <c r="LAQ15" s="63">
        <f t="shared" si="129"/>
        <v>0</v>
      </c>
      <c r="LAR15" s="63">
        <f t="shared" si="129"/>
        <v>0</v>
      </c>
      <c r="LAS15" s="63">
        <f t="shared" si="129"/>
        <v>0</v>
      </c>
      <c r="LAT15" s="63">
        <f t="shared" si="129"/>
        <v>0</v>
      </c>
      <c r="LAU15" s="63">
        <f t="shared" si="129"/>
        <v>0</v>
      </c>
      <c r="LAV15" s="63">
        <f t="shared" si="129"/>
        <v>0</v>
      </c>
      <c r="LAW15" s="63">
        <f t="shared" si="129"/>
        <v>0</v>
      </c>
      <c r="LAX15" s="63">
        <f t="shared" si="129"/>
        <v>0</v>
      </c>
      <c r="LAY15" s="63">
        <f t="shared" si="129"/>
        <v>0</v>
      </c>
      <c r="LAZ15" s="63">
        <f t="shared" si="129"/>
        <v>0</v>
      </c>
      <c r="LBA15" s="63">
        <f t="shared" si="129"/>
        <v>0</v>
      </c>
      <c r="LBB15" s="63">
        <f t="shared" si="129"/>
        <v>0</v>
      </c>
      <c r="LBC15" s="63">
        <f t="shared" si="129"/>
        <v>0</v>
      </c>
      <c r="LBD15" s="63">
        <f t="shared" si="129"/>
        <v>0</v>
      </c>
      <c r="LBE15" s="63">
        <f t="shared" si="129"/>
        <v>0</v>
      </c>
      <c r="LBF15" s="63">
        <f t="shared" si="129"/>
        <v>0</v>
      </c>
      <c r="LBG15" s="63">
        <f t="shared" si="129"/>
        <v>0</v>
      </c>
      <c r="LBH15" s="63">
        <f t="shared" si="129"/>
        <v>0</v>
      </c>
      <c r="LBI15" s="63">
        <f t="shared" si="129"/>
        <v>0</v>
      </c>
      <c r="LBJ15" s="63">
        <f t="shared" si="129"/>
        <v>0</v>
      </c>
      <c r="LBK15" s="63">
        <f t="shared" si="129"/>
        <v>0</v>
      </c>
      <c r="LBL15" s="63">
        <f t="shared" si="129"/>
        <v>0</v>
      </c>
      <c r="LBM15" s="63">
        <f t="shared" si="129"/>
        <v>0</v>
      </c>
      <c r="LBN15" s="63">
        <f t="shared" si="129"/>
        <v>0</v>
      </c>
      <c r="LBO15" s="63">
        <f t="shared" si="129"/>
        <v>0</v>
      </c>
      <c r="LBP15" s="63">
        <f t="shared" si="129"/>
        <v>0</v>
      </c>
      <c r="LBQ15" s="63">
        <f t="shared" si="129"/>
        <v>0</v>
      </c>
      <c r="LBR15" s="63">
        <f t="shared" si="129"/>
        <v>0</v>
      </c>
      <c r="LBS15" s="63">
        <f t="shared" si="129"/>
        <v>0</v>
      </c>
      <c r="LBT15" s="63">
        <f t="shared" si="129"/>
        <v>0</v>
      </c>
      <c r="LBU15" s="63">
        <f t="shared" si="129"/>
        <v>0</v>
      </c>
      <c r="LBV15" s="63">
        <f t="shared" si="129"/>
        <v>0</v>
      </c>
      <c r="LBW15" s="63">
        <f t="shared" si="129"/>
        <v>0</v>
      </c>
      <c r="LBX15" s="63">
        <f t="shared" si="129"/>
        <v>0</v>
      </c>
      <c r="LBY15" s="63">
        <f t="shared" si="129"/>
        <v>0</v>
      </c>
      <c r="LBZ15" s="63">
        <f t="shared" si="129"/>
        <v>0</v>
      </c>
      <c r="LCA15" s="63">
        <f t="shared" si="129"/>
        <v>0</v>
      </c>
      <c r="LCB15" s="63">
        <f t="shared" si="129"/>
        <v>0</v>
      </c>
      <c r="LCC15" s="63">
        <f t="shared" si="129"/>
        <v>0</v>
      </c>
      <c r="LCD15" s="63">
        <f t="shared" si="129"/>
        <v>0</v>
      </c>
      <c r="LCE15" s="63">
        <f t="shared" si="129"/>
        <v>0</v>
      </c>
      <c r="LCF15" s="63">
        <f t="shared" ref="LCF15:LEQ15" si="130">LCE18</f>
        <v>0</v>
      </c>
      <c r="LCG15" s="63">
        <f t="shared" si="130"/>
        <v>0</v>
      </c>
      <c r="LCH15" s="63">
        <f t="shared" si="130"/>
        <v>0</v>
      </c>
      <c r="LCI15" s="63">
        <f t="shared" si="130"/>
        <v>0</v>
      </c>
      <c r="LCJ15" s="63">
        <f t="shared" si="130"/>
        <v>0</v>
      </c>
      <c r="LCK15" s="63">
        <f t="shared" si="130"/>
        <v>0</v>
      </c>
      <c r="LCL15" s="63">
        <f t="shared" si="130"/>
        <v>0</v>
      </c>
      <c r="LCM15" s="63">
        <f t="shared" si="130"/>
        <v>0</v>
      </c>
      <c r="LCN15" s="63">
        <f t="shared" si="130"/>
        <v>0</v>
      </c>
      <c r="LCO15" s="63">
        <f t="shared" si="130"/>
        <v>0</v>
      </c>
      <c r="LCP15" s="63">
        <f t="shared" si="130"/>
        <v>0</v>
      </c>
      <c r="LCQ15" s="63">
        <f t="shared" si="130"/>
        <v>0</v>
      </c>
      <c r="LCR15" s="63">
        <f t="shared" si="130"/>
        <v>0</v>
      </c>
      <c r="LCS15" s="63">
        <f t="shared" si="130"/>
        <v>0</v>
      </c>
      <c r="LCT15" s="63">
        <f t="shared" si="130"/>
        <v>0</v>
      </c>
      <c r="LCU15" s="63">
        <f t="shared" si="130"/>
        <v>0</v>
      </c>
      <c r="LCV15" s="63">
        <f t="shared" si="130"/>
        <v>0</v>
      </c>
      <c r="LCW15" s="63">
        <f t="shared" si="130"/>
        <v>0</v>
      </c>
      <c r="LCX15" s="63">
        <f t="shared" si="130"/>
        <v>0</v>
      </c>
      <c r="LCY15" s="63">
        <f t="shared" si="130"/>
        <v>0</v>
      </c>
      <c r="LCZ15" s="63">
        <f t="shared" si="130"/>
        <v>0</v>
      </c>
      <c r="LDA15" s="63">
        <f t="shared" si="130"/>
        <v>0</v>
      </c>
      <c r="LDB15" s="63">
        <f t="shared" si="130"/>
        <v>0</v>
      </c>
      <c r="LDC15" s="63">
        <f t="shared" si="130"/>
        <v>0</v>
      </c>
      <c r="LDD15" s="63">
        <f t="shared" si="130"/>
        <v>0</v>
      </c>
      <c r="LDE15" s="63">
        <f t="shared" si="130"/>
        <v>0</v>
      </c>
      <c r="LDF15" s="63">
        <f t="shared" si="130"/>
        <v>0</v>
      </c>
      <c r="LDG15" s="63">
        <f t="shared" si="130"/>
        <v>0</v>
      </c>
      <c r="LDH15" s="63">
        <f t="shared" si="130"/>
        <v>0</v>
      </c>
      <c r="LDI15" s="63">
        <f t="shared" si="130"/>
        <v>0</v>
      </c>
      <c r="LDJ15" s="63">
        <f t="shared" si="130"/>
        <v>0</v>
      </c>
      <c r="LDK15" s="63">
        <f t="shared" si="130"/>
        <v>0</v>
      </c>
      <c r="LDL15" s="63">
        <f t="shared" si="130"/>
        <v>0</v>
      </c>
      <c r="LDM15" s="63">
        <f t="shared" si="130"/>
        <v>0</v>
      </c>
      <c r="LDN15" s="63">
        <f t="shared" si="130"/>
        <v>0</v>
      </c>
      <c r="LDO15" s="63">
        <f t="shared" si="130"/>
        <v>0</v>
      </c>
      <c r="LDP15" s="63">
        <f t="shared" si="130"/>
        <v>0</v>
      </c>
      <c r="LDQ15" s="63">
        <f t="shared" si="130"/>
        <v>0</v>
      </c>
      <c r="LDR15" s="63">
        <f t="shared" si="130"/>
        <v>0</v>
      </c>
      <c r="LDS15" s="63">
        <f t="shared" si="130"/>
        <v>0</v>
      </c>
      <c r="LDT15" s="63">
        <f t="shared" si="130"/>
        <v>0</v>
      </c>
      <c r="LDU15" s="63">
        <f t="shared" si="130"/>
        <v>0</v>
      </c>
      <c r="LDV15" s="63">
        <f t="shared" si="130"/>
        <v>0</v>
      </c>
      <c r="LDW15" s="63">
        <f t="shared" si="130"/>
        <v>0</v>
      </c>
      <c r="LDX15" s="63">
        <f t="shared" si="130"/>
        <v>0</v>
      </c>
      <c r="LDY15" s="63">
        <f t="shared" si="130"/>
        <v>0</v>
      </c>
      <c r="LDZ15" s="63">
        <f t="shared" si="130"/>
        <v>0</v>
      </c>
      <c r="LEA15" s="63">
        <f t="shared" si="130"/>
        <v>0</v>
      </c>
      <c r="LEB15" s="63">
        <f t="shared" si="130"/>
        <v>0</v>
      </c>
      <c r="LEC15" s="63">
        <f t="shared" si="130"/>
        <v>0</v>
      </c>
      <c r="LED15" s="63">
        <f t="shared" si="130"/>
        <v>0</v>
      </c>
      <c r="LEE15" s="63">
        <f t="shared" si="130"/>
        <v>0</v>
      </c>
      <c r="LEF15" s="63">
        <f t="shared" si="130"/>
        <v>0</v>
      </c>
      <c r="LEG15" s="63">
        <f t="shared" si="130"/>
        <v>0</v>
      </c>
      <c r="LEH15" s="63">
        <f t="shared" si="130"/>
        <v>0</v>
      </c>
      <c r="LEI15" s="63">
        <f t="shared" si="130"/>
        <v>0</v>
      </c>
      <c r="LEJ15" s="63">
        <f t="shared" si="130"/>
        <v>0</v>
      </c>
      <c r="LEK15" s="63">
        <f t="shared" si="130"/>
        <v>0</v>
      </c>
      <c r="LEL15" s="63">
        <f t="shared" si="130"/>
        <v>0</v>
      </c>
      <c r="LEM15" s="63">
        <f t="shared" si="130"/>
        <v>0</v>
      </c>
      <c r="LEN15" s="63">
        <f t="shared" si="130"/>
        <v>0</v>
      </c>
      <c r="LEO15" s="63">
        <f t="shared" si="130"/>
        <v>0</v>
      </c>
      <c r="LEP15" s="63">
        <f t="shared" si="130"/>
        <v>0</v>
      </c>
      <c r="LEQ15" s="63">
        <f t="shared" si="130"/>
        <v>0</v>
      </c>
      <c r="LER15" s="63">
        <f t="shared" ref="LER15:LHC15" si="131">LEQ18</f>
        <v>0</v>
      </c>
      <c r="LES15" s="63">
        <f t="shared" si="131"/>
        <v>0</v>
      </c>
      <c r="LET15" s="63">
        <f t="shared" si="131"/>
        <v>0</v>
      </c>
      <c r="LEU15" s="63">
        <f t="shared" si="131"/>
        <v>0</v>
      </c>
      <c r="LEV15" s="63">
        <f t="shared" si="131"/>
        <v>0</v>
      </c>
      <c r="LEW15" s="63">
        <f t="shared" si="131"/>
        <v>0</v>
      </c>
      <c r="LEX15" s="63">
        <f t="shared" si="131"/>
        <v>0</v>
      </c>
      <c r="LEY15" s="63">
        <f t="shared" si="131"/>
        <v>0</v>
      </c>
      <c r="LEZ15" s="63">
        <f t="shared" si="131"/>
        <v>0</v>
      </c>
      <c r="LFA15" s="63">
        <f t="shared" si="131"/>
        <v>0</v>
      </c>
      <c r="LFB15" s="63">
        <f t="shared" si="131"/>
        <v>0</v>
      </c>
      <c r="LFC15" s="63">
        <f t="shared" si="131"/>
        <v>0</v>
      </c>
      <c r="LFD15" s="63">
        <f t="shared" si="131"/>
        <v>0</v>
      </c>
      <c r="LFE15" s="63">
        <f t="shared" si="131"/>
        <v>0</v>
      </c>
      <c r="LFF15" s="63">
        <f t="shared" si="131"/>
        <v>0</v>
      </c>
      <c r="LFG15" s="63">
        <f t="shared" si="131"/>
        <v>0</v>
      </c>
      <c r="LFH15" s="63">
        <f t="shared" si="131"/>
        <v>0</v>
      </c>
      <c r="LFI15" s="63">
        <f t="shared" si="131"/>
        <v>0</v>
      </c>
      <c r="LFJ15" s="63">
        <f t="shared" si="131"/>
        <v>0</v>
      </c>
      <c r="LFK15" s="63">
        <f t="shared" si="131"/>
        <v>0</v>
      </c>
      <c r="LFL15" s="63">
        <f t="shared" si="131"/>
        <v>0</v>
      </c>
      <c r="LFM15" s="63">
        <f t="shared" si="131"/>
        <v>0</v>
      </c>
      <c r="LFN15" s="63">
        <f t="shared" si="131"/>
        <v>0</v>
      </c>
      <c r="LFO15" s="63">
        <f t="shared" si="131"/>
        <v>0</v>
      </c>
      <c r="LFP15" s="63">
        <f t="shared" si="131"/>
        <v>0</v>
      </c>
      <c r="LFQ15" s="63">
        <f t="shared" si="131"/>
        <v>0</v>
      </c>
      <c r="LFR15" s="63">
        <f t="shared" si="131"/>
        <v>0</v>
      </c>
      <c r="LFS15" s="63">
        <f t="shared" si="131"/>
        <v>0</v>
      </c>
      <c r="LFT15" s="63">
        <f t="shared" si="131"/>
        <v>0</v>
      </c>
      <c r="LFU15" s="63">
        <f t="shared" si="131"/>
        <v>0</v>
      </c>
      <c r="LFV15" s="63">
        <f t="shared" si="131"/>
        <v>0</v>
      </c>
      <c r="LFW15" s="63">
        <f t="shared" si="131"/>
        <v>0</v>
      </c>
      <c r="LFX15" s="63">
        <f t="shared" si="131"/>
        <v>0</v>
      </c>
      <c r="LFY15" s="63">
        <f t="shared" si="131"/>
        <v>0</v>
      </c>
      <c r="LFZ15" s="63">
        <f t="shared" si="131"/>
        <v>0</v>
      </c>
      <c r="LGA15" s="63">
        <f t="shared" si="131"/>
        <v>0</v>
      </c>
      <c r="LGB15" s="63">
        <f t="shared" si="131"/>
        <v>0</v>
      </c>
      <c r="LGC15" s="63">
        <f t="shared" si="131"/>
        <v>0</v>
      </c>
      <c r="LGD15" s="63">
        <f t="shared" si="131"/>
        <v>0</v>
      </c>
      <c r="LGE15" s="63">
        <f t="shared" si="131"/>
        <v>0</v>
      </c>
      <c r="LGF15" s="63">
        <f t="shared" si="131"/>
        <v>0</v>
      </c>
      <c r="LGG15" s="63">
        <f t="shared" si="131"/>
        <v>0</v>
      </c>
      <c r="LGH15" s="63">
        <f t="shared" si="131"/>
        <v>0</v>
      </c>
      <c r="LGI15" s="63">
        <f t="shared" si="131"/>
        <v>0</v>
      </c>
      <c r="LGJ15" s="63">
        <f t="shared" si="131"/>
        <v>0</v>
      </c>
      <c r="LGK15" s="63">
        <f t="shared" si="131"/>
        <v>0</v>
      </c>
      <c r="LGL15" s="63">
        <f t="shared" si="131"/>
        <v>0</v>
      </c>
      <c r="LGM15" s="63">
        <f t="shared" si="131"/>
        <v>0</v>
      </c>
      <c r="LGN15" s="63">
        <f t="shared" si="131"/>
        <v>0</v>
      </c>
      <c r="LGO15" s="63">
        <f t="shared" si="131"/>
        <v>0</v>
      </c>
      <c r="LGP15" s="63">
        <f t="shared" si="131"/>
        <v>0</v>
      </c>
      <c r="LGQ15" s="63">
        <f t="shared" si="131"/>
        <v>0</v>
      </c>
      <c r="LGR15" s="63">
        <f t="shared" si="131"/>
        <v>0</v>
      </c>
      <c r="LGS15" s="63">
        <f t="shared" si="131"/>
        <v>0</v>
      </c>
      <c r="LGT15" s="63">
        <f t="shared" si="131"/>
        <v>0</v>
      </c>
      <c r="LGU15" s="63">
        <f t="shared" si="131"/>
        <v>0</v>
      </c>
      <c r="LGV15" s="63">
        <f t="shared" si="131"/>
        <v>0</v>
      </c>
      <c r="LGW15" s="63">
        <f t="shared" si="131"/>
        <v>0</v>
      </c>
      <c r="LGX15" s="63">
        <f t="shared" si="131"/>
        <v>0</v>
      </c>
      <c r="LGY15" s="63">
        <f t="shared" si="131"/>
        <v>0</v>
      </c>
      <c r="LGZ15" s="63">
        <f t="shared" si="131"/>
        <v>0</v>
      </c>
      <c r="LHA15" s="63">
        <f t="shared" si="131"/>
        <v>0</v>
      </c>
      <c r="LHB15" s="63">
        <f t="shared" si="131"/>
        <v>0</v>
      </c>
      <c r="LHC15" s="63">
        <f t="shared" si="131"/>
        <v>0</v>
      </c>
      <c r="LHD15" s="63">
        <f t="shared" ref="LHD15:LJO15" si="132">LHC18</f>
        <v>0</v>
      </c>
      <c r="LHE15" s="63">
        <f t="shared" si="132"/>
        <v>0</v>
      </c>
      <c r="LHF15" s="63">
        <f t="shared" si="132"/>
        <v>0</v>
      </c>
      <c r="LHG15" s="63">
        <f t="shared" si="132"/>
        <v>0</v>
      </c>
      <c r="LHH15" s="63">
        <f t="shared" si="132"/>
        <v>0</v>
      </c>
      <c r="LHI15" s="63">
        <f t="shared" si="132"/>
        <v>0</v>
      </c>
      <c r="LHJ15" s="63">
        <f t="shared" si="132"/>
        <v>0</v>
      </c>
      <c r="LHK15" s="63">
        <f t="shared" si="132"/>
        <v>0</v>
      </c>
      <c r="LHL15" s="63">
        <f t="shared" si="132"/>
        <v>0</v>
      </c>
      <c r="LHM15" s="63">
        <f t="shared" si="132"/>
        <v>0</v>
      </c>
      <c r="LHN15" s="63">
        <f t="shared" si="132"/>
        <v>0</v>
      </c>
      <c r="LHO15" s="63">
        <f t="shared" si="132"/>
        <v>0</v>
      </c>
      <c r="LHP15" s="63">
        <f t="shared" si="132"/>
        <v>0</v>
      </c>
      <c r="LHQ15" s="63">
        <f t="shared" si="132"/>
        <v>0</v>
      </c>
      <c r="LHR15" s="63">
        <f t="shared" si="132"/>
        <v>0</v>
      </c>
      <c r="LHS15" s="63">
        <f t="shared" si="132"/>
        <v>0</v>
      </c>
      <c r="LHT15" s="63">
        <f t="shared" si="132"/>
        <v>0</v>
      </c>
      <c r="LHU15" s="63">
        <f t="shared" si="132"/>
        <v>0</v>
      </c>
      <c r="LHV15" s="63">
        <f t="shared" si="132"/>
        <v>0</v>
      </c>
      <c r="LHW15" s="63">
        <f t="shared" si="132"/>
        <v>0</v>
      </c>
      <c r="LHX15" s="63">
        <f t="shared" si="132"/>
        <v>0</v>
      </c>
      <c r="LHY15" s="63">
        <f t="shared" si="132"/>
        <v>0</v>
      </c>
      <c r="LHZ15" s="63">
        <f t="shared" si="132"/>
        <v>0</v>
      </c>
      <c r="LIA15" s="63">
        <f t="shared" si="132"/>
        <v>0</v>
      </c>
      <c r="LIB15" s="63">
        <f t="shared" si="132"/>
        <v>0</v>
      </c>
      <c r="LIC15" s="63">
        <f t="shared" si="132"/>
        <v>0</v>
      </c>
      <c r="LID15" s="63">
        <f t="shared" si="132"/>
        <v>0</v>
      </c>
      <c r="LIE15" s="63">
        <f t="shared" si="132"/>
        <v>0</v>
      </c>
      <c r="LIF15" s="63">
        <f t="shared" si="132"/>
        <v>0</v>
      </c>
      <c r="LIG15" s="63">
        <f t="shared" si="132"/>
        <v>0</v>
      </c>
      <c r="LIH15" s="63">
        <f t="shared" si="132"/>
        <v>0</v>
      </c>
      <c r="LII15" s="63">
        <f t="shared" si="132"/>
        <v>0</v>
      </c>
      <c r="LIJ15" s="63">
        <f t="shared" si="132"/>
        <v>0</v>
      </c>
      <c r="LIK15" s="63">
        <f t="shared" si="132"/>
        <v>0</v>
      </c>
      <c r="LIL15" s="63">
        <f t="shared" si="132"/>
        <v>0</v>
      </c>
      <c r="LIM15" s="63">
        <f t="shared" si="132"/>
        <v>0</v>
      </c>
      <c r="LIN15" s="63">
        <f t="shared" si="132"/>
        <v>0</v>
      </c>
      <c r="LIO15" s="63">
        <f t="shared" si="132"/>
        <v>0</v>
      </c>
      <c r="LIP15" s="63">
        <f t="shared" si="132"/>
        <v>0</v>
      </c>
      <c r="LIQ15" s="63">
        <f t="shared" si="132"/>
        <v>0</v>
      </c>
      <c r="LIR15" s="63">
        <f t="shared" si="132"/>
        <v>0</v>
      </c>
      <c r="LIS15" s="63">
        <f t="shared" si="132"/>
        <v>0</v>
      </c>
      <c r="LIT15" s="63">
        <f t="shared" si="132"/>
        <v>0</v>
      </c>
      <c r="LIU15" s="63">
        <f t="shared" si="132"/>
        <v>0</v>
      </c>
      <c r="LIV15" s="63">
        <f t="shared" si="132"/>
        <v>0</v>
      </c>
      <c r="LIW15" s="63">
        <f t="shared" si="132"/>
        <v>0</v>
      </c>
      <c r="LIX15" s="63">
        <f t="shared" si="132"/>
        <v>0</v>
      </c>
      <c r="LIY15" s="63">
        <f t="shared" si="132"/>
        <v>0</v>
      </c>
      <c r="LIZ15" s="63">
        <f t="shared" si="132"/>
        <v>0</v>
      </c>
      <c r="LJA15" s="63">
        <f t="shared" si="132"/>
        <v>0</v>
      </c>
      <c r="LJB15" s="63">
        <f t="shared" si="132"/>
        <v>0</v>
      </c>
      <c r="LJC15" s="63">
        <f t="shared" si="132"/>
        <v>0</v>
      </c>
      <c r="LJD15" s="63">
        <f t="shared" si="132"/>
        <v>0</v>
      </c>
      <c r="LJE15" s="63">
        <f t="shared" si="132"/>
        <v>0</v>
      </c>
      <c r="LJF15" s="63">
        <f t="shared" si="132"/>
        <v>0</v>
      </c>
      <c r="LJG15" s="63">
        <f t="shared" si="132"/>
        <v>0</v>
      </c>
      <c r="LJH15" s="63">
        <f t="shared" si="132"/>
        <v>0</v>
      </c>
      <c r="LJI15" s="63">
        <f t="shared" si="132"/>
        <v>0</v>
      </c>
      <c r="LJJ15" s="63">
        <f t="shared" si="132"/>
        <v>0</v>
      </c>
      <c r="LJK15" s="63">
        <f t="shared" si="132"/>
        <v>0</v>
      </c>
      <c r="LJL15" s="63">
        <f t="shared" si="132"/>
        <v>0</v>
      </c>
      <c r="LJM15" s="63">
        <f t="shared" si="132"/>
        <v>0</v>
      </c>
      <c r="LJN15" s="63">
        <f t="shared" si="132"/>
        <v>0</v>
      </c>
      <c r="LJO15" s="63">
        <f t="shared" si="132"/>
        <v>0</v>
      </c>
      <c r="LJP15" s="63">
        <f t="shared" ref="LJP15:LMA15" si="133">LJO18</f>
        <v>0</v>
      </c>
      <c r="LJQ15" s="63">
        <f t="shared" si="133"/>
        <v>0</v>
      </c>
      <c r="LJR15" s="63">
        <f t="shared" si="133"/>
        <v>0</v>
      </c>
      <c r="LJS15" s="63">
        <f t="shared" si="133"/>
        <v>0</v>
      </c>
      <c r="LJT15" s="63">
        <f t="shared" si="133"/>
        <v>0</v>
      </c>
      <c r="LJU15" s="63">
        <f t="shared" si="133"/>
        <v>0</v>
      </c>
      <c r="LJV15" s="63">
        <f t="shared" si="133"/>
        <v>0</v>
      </c>
      <c r="LJW15" s="63">
        <f t="shared" si="133"/>
        <v>0</v>
      </c>
      <c r="LJX15" s="63">
        <f t="shared" si="133"/>
        <v>0</v>
      </c>
      <c r="LJY15" s="63">
        <f t="shared" si="133"/>
        <v>0</v>
      </c>
      <c r="LJZ15" s="63">
        <f t="shared" si="133"/>
        <v>0</v>
      </c>
      <c r="LKA15" s="63">
        <f t="shared" si="133"/>
        <v>0</v>
      </c>
      <c r="LKB15" s="63">
        <f t="shared" si="133"/>
        <v>0</v>
      </c>
      <c r="LKC15" s="63">
        <f t="shared" si="133"/>
        <v>0</v>
      </c>
      <c r="LKD15" s="63">
        <f t="shared" si="133"/>
        <v>0</v>
      </c>
      <c r="LKE15" s="63">
        <f t="shared" si="133"/>
        <v>0</v>
      </c>
      <c r="LKF15" s="63">
        <f t="shared" si="133"/>
        <v>0</v>
      </c>
      <c r="LKG15" s="63">
        <f t="shared" si="133"/>
        <v>0</v>
      </c>
      <c r="LKH15" s="63">
        <f t="shared" si="133"/>
        <v>0</v>
      </c>
      <c r="LKI15" s="63">
        <f t="shared" si="133"/>
        <v>0</v>
      </c>
      <c r="LKJ15" s="63">
        <f t="shared" si="133"/>
        <v>0</v>
      </c>
      <c r="LKK15" s="63">
        <f t="shared" si="133"/>
        <v>0</v>
      </c>
      <c r="LKL15" s="63">
        <f t="shared" si="133"/>
        <v>0</v>
      </c>
      <c r="LKM15" s="63">
        <f t="shared" si="133"/>
        <v>0</v>
      </c>
      <c r="LKN15" s="63">
        <f t="shared" si="133"/>
        <v>0</v>
      </c>
      <c r="LKO15" s="63">
        <f t="shared" si="133"/>
        <v>0</v>
      </c>
      <c r="LKP15" s="63">
        <f t="shared" si="133"/>
        <v>0</v>
      </c>
      <c r="LKQ15" s="63">
        <f t="shared" si="133"/>
        <v>0</v>
      </c>
      <c r="LKR15" s="63">
        <f t="shared" si="133"/>
        <v>0</v>
      </c>
      <c r="LKS15" s="63">
        <f t="shared" si="133"/>
        <v>0</v>
      </c>
      <c r="LKT15" s="63">
        <f t="shared" si="133"/>
        <v>0</v>
      </c>
      <c r="LKU15" s="63">
        <f t="shared" si="133"/>
        <v>0</v>
      </c>
      <c r="LKV15" s="63">
        <f t="shared" si="133"/>
        <v>0</v>
      </c>
      <c r="LKW15" s="63">
        <f t="shared" si="133"/>
        <v>0</v>
      </c>
      <c r="LKX15" s="63">
        <f t="shared" si="133"/>
        <v>0</v>
      </c>
      <c r="LKY15" s="63">
        <f t="shared" si="133"/>
        <v>0</v>
      </c>
      <c r="LKZ15" s="63">
        <f t="shared" si="133"/>
        <v>0</v>
      </c>
      <c r="LLA15" s="63">
        <f t="shared" si="133"/>
        <v>0</v>
      </c>
      <c r="LLB15" s="63">
        <f t="shared" si="133"/>
        <v>0</v>
      </c>
      <c r="LLC15" s="63">
        <f t="shared" si="133"/>
        <v>0</v>
      </c>
      <c r="LLD15" s="63">
        <f t="shared" si="133"/>
        <v>0</v>
      </c>
      <c r="LLE15" s="63">
        <f t="shared" si="133"/>
        <v>0</v>
      </c>
      <c r="LLF15" s="63">
        <f t="shared" si="133"/>
        <v>0</v>
      </c>
      <c r="LLG15" s="63">
        <f t="shared" si="133"/>
        <v>0</v>
      </c>
      <c r="LLH15" s="63">
        <f t="shared" si="133"/>
        <v>0</v>
      </c>
      <c r="LLI15" s="63">
        <f t="shared" si="133"/>
        <v>0</v>
      </c>
      <c r="LLJ15" s="63">
        <f t="shared" si="133"/>
        <v>0</v>
      </c>
      <c r="LLK15" s="63">
        <f t="shared" si="133"/>
        <v>0</v>
      </c>
      <c r="LLL15" s="63">
        <f t="shared" si="133"/>
        <v>0</v>
      </c>
      <c r="LLM15" s="63">
        <f t="shared" si="133"/>
        <v>0</v>
      </c>
      <c r="LLN15" s="63">
        <f t="shared" si="133"/>
        <v>0</v>
      </c>
      <c r="LLO15" s="63">
        <f t="shared" si="133"/>
        <v>0</v>
      </c>
      <c r="LLP15" s="63">
        <f t="shared" si="133"/>
        <v>0</v>
      </c>
      <c r="LLQ15" s="63">
        <f t="shared" si="133"/>
        <v>0</v>
      </c>
      <c r="LLR15" s="63">
        <f t="shared" si="133"/>
        <v>0</v>
      </c>
      <c r="LLS15" s="63">
        <f t="shared" si="133"/>
        <v>0</v>
      </c>
      <c r="LLT15" s="63">
        <f t="shared" si="133"/>
        <v>0</v>
      </c>
      <c r="LLU15" s="63">
        <f t="shared" si="133"/>
        <v>0</v>
      </c>
      <c r="LLV15" s="63">
        <f t="shared" si="133"/>
        <v>0</v>
      </c>
      <c r="LLW15" s="63">
        <f t="shared" si="133"/>
        <v>0</v>
      </c>
      <c r="LLX15" s="63">
        <f t="shared" si="133"/>
        <v>0</v>
      </c>
      <c r="LLY15" s="63">
        <f t="shared" si="133"/>
        <v>0</v>
      </c>
      <c r="LLZ15" s="63">
        <f t="shared" si="133"/>
        <v>0</v>
      </c>
      <c r="LMA15" s="63">
        <f t="shared" si="133"/>
        <v>0</v>
      </c>
      <c r="LMB15" s="63">
        <f t="shared" ref="LMB15:LOM15" si="134">LMA18</f>
        <v>0</v>
      </c>
      <c r="LMC15" s="63">
        <f t="shared" si="134"/>
        <v>0</v>
      </c>
      <c r="LMD15" s="63">
        <f t="shared" si="134"/>
        <v>0</v>
      </c>
      <c r="LME15" s="63">
        <f t="shared" si="134"/>
        <v>0</v>
      </c>
      <c r="LMF15" s="63">
        <f t="shared" si="134"/>
        <v>0</v>
      </c>
      <c r="LMG15" s="63">
        <f t="shared" si="134"/>
        <v>0</v>
      </c>
      <c r="LMH15" s="63">
        <f t="shared" si="134"/>
        <v>0</v>
      </c>
      <c r="LMI15" s="63">
        <f t="shared" si="134"/>
        <v>0</v>
      </c>
      <c r="LMJ15" s="63">
        <f t="shared" si="134"/>
        <v>0</v>
      </c>
      <c r="LMK15" s="63">
        <f t="shared" si="134"/>
        <v>0</v>
      </c>
      <c r="LML15" s="63">
        <f t="shared" si="134"/>
        <v>0</v>
      </c>
      <c r="LMM15" s="63">
        <f t="shared" si="134"/>
        <v>0</v>
      </c>
      <c r="LMN15" s="63">
        <f t="shared" si="134"/>
        <v>0</v>
      </c>
      <c r="LMO15" s="63">
        <f t="shared" si="134"/>
        <v>0</v>
      </c>
      <c r="LMP15" s="63">
        <f t="shared" si="134"/>
        <v>0</v>
      </c>
      <c r="LMQ15" s="63">
        <f t="shared" si="134"/>
        <v>0</v>
      </c>
      <c r="LMR15" s="63">
        <f t="shared" si="134"/>
        <v>0</v>
      </c>
      <c r="LMS15" s="63">
        <f t="shared" si="134"/>
        <v>0</v>
      </c>
      <c r="LMT15" s="63">
        <f t="shared" si="134"/>
        <v>0</v>
      </c>
      <c r="LMU15" s="63">
        <f t="shared" si="134"/>
        <v>0</v>
      </c>
      <c r="LMV15" s="63">
        <f t="shared" si="134"/>
        <v>0</v>
      </c>
      <c r="LMW15" s="63">
        <f t="shared" si="134"/>
        <v>0</v>
      </c>
      <c r="LMX15" s="63">
        <f t="shared" si="134"/>
        <v>0</v>
      </c>
      <c r="LMY15" s="63">
        <f t="shared" si="134"/>
        <v>0</v>
      </c>
      <c r="LMZ15" s="63">
        <f t="shared" si="134"/>
        <v>0</v>
      </c>
      <c r="LNA15" s="63">
        <f t="shared" si="134"/>
        <v>0</v>
      </c>
      <c r="LNB15" s="63">
        <f t="shared" si="134"/>
        <v>0</v>
      </c>
      <c r="LNC15" s="63">
        <f t="shared" si="134"/>
        <v>0</v>
      </c>
      <c r="LND15" s="63">
        <f t="shared" si="134"/>
        <v>0</v>
      </c>
      <c r="LNE15" s="63">
        <f t="shared" si="134"/>
        <v>0</v>
      </c>
      <c r="LNF15" s="63">
        <f t="shared" si="134"/>
        <v>0</v>
      </c>
      <c r="LNG15" s="63">
        <f t="shared" si="134"/>
        <v>0</v>
      </c>
      <c r="LNH15" s="63">
        <f t="shared" si="134"/>
        <v>0</v>
      </c>
      <c r="LNI15" s="63">
        <f t="shared" si="134"/>
        <v>0</v>
      </c>
      <c r="LNJ15" s="63">
        <f t="shared" si="134"/>
        <v>0</v>
      </c>
      <c r="LNK15" s="63">
        <f t="shared" si="134"/>
        <v>0</v>
      </c>
      <c r="LNL15" s="63">
        <f t="shared" si="134"/>
        <v>0</v>
      </c>
      <c r="LNM15" s="63">
        <f t="shared" si="134"/>
        <v>0</v>
      </c>
      <c r="LNN15" s="63">
        <f t="shared" si="134"/>
        <v>0</v>
      </c>
      <c r="LNO15" s="63">
        <f t="shared" si="134"/>
        <v>0</v>
      </c>
      <c r="LNP15" s="63">
        <f t="shared" si="134"/>
        <v>0</v>
      </c>
      <c r="LNQ15" s="63">
        <f t="shared" si="134"/>
        <v>0</v>
      </c>
      <c r="LNR15" s="63">
        <f t="shared" si="134"/>
        <v>0</v>
      </c>
      <c r="LNS15" s="63">
        <f t="shared" si="134"/>
        <v>0</v>
      </c>
      <c r="LNT15" s="63">
        <f t="shared" si="134"/>
        <v>0</v>
      </c>
      <c r="LNU15" s="63">
        <f t="shared" si="134"/>
        <v>0</v>
      </c>
      <c r="LNV15" s="63">
        <f t="shared" si="134"/>
        <v>0</v>
      </c>
      <c r="LNW15" s="63">
        <f t="shared" si="134"/>
        <v>0</v>
      </c>
      <c r="LNX15" s="63">
        <f t="shared" si="134"/>
        <v>0</v>
      </c>
      <c r="LNY15" s="63">
        <f t="shared" si="134"/>
        <v>0</v>
      </c>
      <c r="LNZ15" s="63">
        <f t="shared" si="134"/>
        <v>0</v>
      </c>
      <c r="LOA15" s="63">
        <f t="shared" si="134"/>
        <v>0</v>
      </c>
      <c r="LOB15" s="63">
        <f t="shared" si="134"/>
        <v>0</v>
      </c>
      <c r="LOC15" s="63">
        <f t="shared" si="134"/>
        <v>0</v>
      </c>
      <c r="LOD15" s="63">
        <f t="shared" si="134"/>
        <v>0</v>
      </c>
      <c r="LOE15" s="63">
        <f t="shared" si="134"/>
        <v>0</v>
      </c>
      <c r="LOF15" s="63">
        <f t="shared" si="134"/>
        <v>0</v>
      </c>
      <c r="LOG15" s="63">
        <f t="shared" si="134"/>
        <v>0</v>
      </c>
      <c r="LOH15" s="63">
        <f t="shared" si="134"/>
        <v>0</v>
      </c>
      <c r="LOI15" s="63">
        <f t="shared" si="134"/>
        <v>0</v>
      </c>
      <c r="LOJ15" s="63">
        <f t="shared" si="134"/>
        <v>0</v>
      </c>
      <c r="LOK15" s="63">
        <f t="shared" si="134"/>
        <v>0</v>
      </c>
      <c r="LOL15" s="63">
        <f t="shared" si="134"/>
        <v>0</v>
      </c>
      <c r="LOM15" s="63">
        <f t="shared" si="134"/>
        <v>0</v>
      </c>
      <c r="LON15" s="63">
        <f t="shared" ref="LON15:LQY15" si="135">LOM18</f>
        <v>0</v>
      </c>
      <c r="LOO15" s="63">
        <f t="shared" si="135"/>
        <v>0</v>
      </c>
      <c r="LOP15" s="63">
        <f t="shared" si="135"/>
        <v>0</v>
      </c>
      <c r="LOQ15" s="63">
        <f t="shared" si="135"/>
        <v>0</v>
      </c>
      <c r="LOR15" s="63">
        <f t="shared" si="135"/>
        <v>0</v>
      </c>
      <c r="LOS15" s="63">
        <f t="shared" si="135"/>
        <v>0</v>
      </c>
      <c r="LOT15" s="63">
        <f t="shared" si="135"/>
        <v>0</v>
      </c>
      <c r="LOU15" s="63">
        <f t="shared" si="135"/>
        <v>0</v>
      </c>
      <c r="LOV15" s="63">
        <f t="shared" si="135"/>
        <v>0</v>
      </c>
      <c r="LOW15" s="63">
        <f t="shared" si="135"/>
        <v>0</v>
      </c>
      <c r="LOX15" s="63">
        <f t="shared" si="135"/>
        <v>0</v>
      </c>
      <c r="LOY15" s="63">
        <f t="shared" si="135"/>
        <v>0</v>
      </c>
      <c r="LOZ15" s="63">
        <f t="shared" si="135"/>
        <v>0</v>
      </c>
      <c r="LPA15" s="63">
        <f t="shared" si="135"/>
        <v>0</v>
      </c>
      <c r="LPB15" s="63">
        <f t="shared" si="135"/>
        <v>0</v>
      </c>
      <c r="LPC15" s="63">
        <f t="shared" si="135"/>
        <v>0</v>
      </c>
      <c r="LPD15" s="63">
        <f t="shared" si="135"/>
        <v>0</v>
      </c>
      <c r="LPE15" s="63">
        <f t="shared" si="135"/>
        <v>0</v>
      </c>
      <c r="LPF15" s="63">
        <f t="shared" si="135"/>
        <v>0</v>
      </c>
      <c r="LPG15" s="63">
        <f t="shared" si="135"/>
        <v>0</v>
      </c>
      <c r="LPH15" s="63">
        <f t="shared" si="135"/>
        <v>0</v>
      </c>
      <c r="LPI15" s="63">
        <f t="shared" si="135"/>
        <v>0</v>
      </c>
      <c r="LPJ15" s="63">
        <f t="shared" si="135"/>
        <v>0</v>
      </c>
      <c r="LPK15" s="63">
        <f t="shared" si="135"/>
        <v>0</v>
      </c>
      <c r="LPL15" s="63">
        <f t="shared" si="135"/>
        <v>0</v>
      </c>
      <c r="LPM15" s="63">
        <f t="shared" si="135"/>
        <v>0</v>
      </c>
      <c r="LPN15" s="63">
        <f t="shared" si="135"/>
        <v>0</v>
      </c>
      <c r="LPO15" s="63">
        <f t="shared" si="135"/>
        <v>0</v>
      </c>
      <c r="LPP15" s="63">
        <f t="shared" si="135"/>
        <v>0</v>
      </c>
      <c r="LPQ15" s="63">
        <f t="shared" si="135"/>
        <v>0</v>
      </c>
      <c r="LPR15" s="63">
        <f t="shared" si="135"/>
        <v>0</v>
      </c>
      <c r="LPS15" s="63">
        <f t="shared" si="135"/>
        <v>0</v>
      </c>
      <c r="LPT15" s="63">
        <f t="shared" si="135"/>
        <v>0</v>
      </c>
      <c r="LPU15" s="63">
        <f t="shared" si="135"/>
        <v>0</v>
      </c>
      <c r="LPV15" s="63">
        <f t="shared" si="135"/>
        <v>0</v>
      </c>
      <c r="LPW15" s="63">
        <f t="shared" si="135"/>
        <v>0</v>
      </c>
      <c r="LPX15" s="63">
        <f t="shared" si="135"/>
        <v>0</v>
      </c>
      <c r="LPY15" s="63">
        <f t="shared" si="135"/>
        <v>0</v>
      </c>
      <c r="LPZ15" s="63">
        <f t="shared" si="135"/>
        <v>0</v>
      </c>
      <c r="LQA15" s="63">
        <f t="shared" si="135"/>
        <v>0</v>
      </c>
      <c r="LQB15" s="63">
        <f t="shared" si="135"/>
        <v>0</v>
      </c>
      <c r="LQC15" s="63">
        <f t="shared" si="135"/>
        <v>0</v>
      </c>
      <c r="LQD15" s="63">
        <f t="shared" si="135"/>
        <v>0</v>
      </c>
      <c r="LQE15" s="63">
        <f t="shared" si="135"/>
        <v>0</v>
      </c>
      <c r="LQF15" s="63">
        <f t="shared" si="135"/>
        <v>0</v>
      </c>
      <c r="LQG15" s="63">
        <f t="shared" si="135"/>
        <v>0</v>
      </c>
      <c r="LQH15" s="63">
        <f t="shared" si="135"/>
        <v>0</v>
      </c>
      <c r="LQI15" s="63">
        <f t="shared" si="135"/>
        <v>0</v>
      </c>
      <c r="LQJ15" s="63">
        <f t="shared" si="135"/>
        <v>0</v>
      </c>
      <c r="LQK15" s="63">
        <f t="shared" si="135"/>
        <v>0</v>
      </c>
      <c r="LQL15" s="63">
        <f t="shared" si="135"/>
        <v>0</v>
      </c>
      <c r="LQM15" s="63">
        <f t="shared" si="135"/>
        <v>0</v>
      </c>
      <c r="LQN15" s="63">
        <f t="shared" si="135"/>
        <v>0</v>
      </c>
      <c r="LQO15" s="63">
        <f t="shared" si="135"/>
        <v>0</v>
      </c>
      <c r="LQP15" s="63">
        <f t="shared" si="135"/>
        <v>0</v>
      </c>
      <c r="LQQ15" s="63">
        <f t="shared" si="135"/>
        <v>0</v>
      </c>
      <c r="LQR15" s="63">
        <f t="shared" si="135"/>
        <v>0</v>
      </c>
      <c r="LQS15" s="63">
        <f t="shared" si="135"/>
        <v>0</v>
      </c>
      <c r="LQT15" s="63">
        <f t="shared" si="135"/>
        <v>0</v>
      </c>
      <c r="LQU15" s="63">
        <f t="shared" si="135"/>
        <v>0</v>
      </c>
      <c r="LQV15" s="63">
        <f t="shared" si="135"/>
        <v>0</v>
      </c>
      <c r="LQW15" s="63">
        <f t="shared" si="135"/>
        <v>0</v>
      </c>
      <c r="LQX15" s="63">
        <f t="shared" si="135"/>
        <v>0</v>
      </c>
      <c r="LQY15" s="63">
        <f t="shared" si="135"/>
        <v>0</v>
      </c>
      <c r="LQZ15" s="63">
        <f t="shared" ref="LQZ15:LTK15" si="136">LQY18</f>
        <v>0</v>
      </c>
      <c r="LRA15" s="63">
        <f t="shared" si="136"/>
        <v>0</v>
      </c>
      <c r="LRB15" s="63">
        <f t="shared" si="136"/>
        <v>0</v>
      </c>
      <c r="LRC15" s="63">
        <f t="shared" si="136"/>
        <v>0</v>
      </c>
      <c r="LRD15" s="63">
        <f t="shared" si="136"/>
        <v>0</v>
      </c>
      <c r="LRE15" s="63">
        <f t="shared" si="136"/>
        <v>0</v>
      </c>
      <c r="LRF15" s="63">
        <f t="shared" si="136"/>
        <v>0</v>
      </c>
      <c r="LRG15" s="63">
        <f t="shared" si="136"/>
        <v>0</v>
      </c>
      <c r="LRH15" s="63">
        <f t="shared" si="136"/>
        <v>0</v>
      </c>
      <c r="LRI15" s="63">
        <f t="shared" si="136"/>
        <v>0</v>
      </c>
      <c r="LRJ15" s="63">
        <f t="shared" si="136"/>
        <v>0</v>
      </c>
      <c r="LRK15" s="63">
        <f t="shared" si="136"/>
        <v>0</v>
      </c>
      <c r="LRL15" s="63">
        <f t="shared" si="136"/>
        <v>0</v>
      </c>
      <c r="LRM15" s="63">
        <f t="shared" si="136"/>
        <v>0</v>
      </c>
      <c r="LRN15" s="63">
        <f t="shared" si="136"/>
        <v>0</v>
      </c>
      <c r="LRO15" s="63">
        <f t="shared" si="136"/>
        <v>0</v>
      </c>
      <c r="LRP15" s="63">
        <f t="shared" si="136"/>
        <v>0</v>
      </c>
      <c r="LRQ15" s="63">
        <f t="shared" si="136"/>
        <v>0</v>
      </c>
      <c r="LRR15" s="63">
        <f t="shared" si="136"/>
        <v>0</v>
      </c>
      <c r="LRS15" s="63">
        <f t="shared" si="136"/>
        <v>0</v>
      </c>
      <c r="LRT15" s="63">
        <f t="shared" si="136"/>
        <v>0</v>
      </c>
      <c r="LRU15" s="63">
        <f t="shared" si="136"/>
        <v>0</v>
      </c>
      <c r="LRV15" s="63">
        <f t="shared" si="136"/>
        <v>0</v>
      </c>
      <c r="LRW15" s="63">
        <f t="shared" si="136"/>
        <v>0</v>
      </c>
      <c r="LRX15" s="63">
        <f t="shared" si="136"/>
        <v>0</v>
      </c>
      <c r="LRY15" s="63">
        <f t="shared" si="136"/>
        <v>0</v>
      </c>
      <c r="LRZ15" s="63">
        <f t="shared" si="136"/>
        <v>0</v>
      </c>
      <c r="LSA15" s="63">
        <f t="shared" si="136"/>
        <v>0</v>
      </c>
      <c r="LSB15" s="63">
        <f t="shared" si="136"/>
        <v>0</v>
      </c>
      <c r="LSC15" s="63">
        <f t="shared" si="136"/>
        <v>0</v>
      </c>
      <c r="LSD15" s="63">
        <f t="shared" si="136"/>
        <v>0</v>
      </c>
      <c r="LSE15" s="63">
        <f t="shared" si="136"/>
        <v>0</v>
      </c>
      <c r="LSF15" s="63">
        <f t="shared" si="136"/>
        <v>0</v>
      </c>
      <c r="LSG15" s="63">
        <f t="shared" si="136"/>
        <v>0</v>
      </c>
      <c r="LSH15" s="63">
        <f t="shared" si="136"/>
        <v>0</v>
      </c>
      <c r="LSI15" s="63">
        <f t="shared" si="136"/>
        <v>0</v>
      </c>
      <c r="LSJ15" s="63">
        <f t="shared" si="136"/>
        <v>0</v>
      </c>
      <c r="LSK15" s="63">
        <f t="shared" si="136"/>
        <v>0</v>
      </c>
      <c r="LSL15" s="63">
        <f t="shared" si="136"/>
        <v>0</v>
      </c>
      <c r="LSM15" s="63">
        <f t="shared" si="136"/>
        <v>0</v>
      </c>
      <c r="LSN15" s="63">
        <f t="shared" si="136"/>
        <v>0</v>
      </c>
      <c r="LSO15" s="63">
        <f t="shared" si="136"/>
        <v>0</v>
      </c>
      <c r="LSP15" s="63">
        <f t="shared" si="136"/>
        <v>0</v>
      </c>
      <c r="LSQ15" s="63">
        <f t="shared" si="136"/>
        <v>0</v>
      </c>
      <c r="LSR15" s="63">
        <f t="shared" si="136"/>
        <v>0</v>
      </c>
      <c r="LSS15" s="63">
        <f t="shared" si="136"/>
        <v>0</v>
      </c>
      <c r="LST15" s="63">
        <f t="shared" si="136"/>
        <v>0</v>
      </c>
      <c r="LSU15" s="63">
        <f t="shared" si="136"/>
        <v>0</v>
      </c>
      <c r="LSV15" s="63">
        <f t="shared" si="136"/>
        <v>0</v>
      </c>
      <c r="LSW15" s="63">
        <f t="shared" si="136"/>
        <v>0</v>
      </c>
      <c r="LSX15" s="63">
        <f t="shared" si="136"/>
        <v>0</v>
      </c>
      <c r="LSY15" s="63">
        <f t="shared" si="136"/>
        <v>0</v>
      </c>
      <c r="LSZ15" s="63">
        <f t="shared" si="136"/>
        <v>0</v>
      </c>
      <c r="LTA15" s="63">
        <f t="shared" si="136"/>
        <v>0</v>
      </c>
      <c r="LTB15" s="63">
        <f t="shared" si="136"/>
        <v>0</v>
      </c>
      <c r="LTC15" s="63">
        <f t="shared" si="136"/>
        <v>0</v>
      </c>
      <c r="LTD15" s="63">
        <f t="shared" si="136"/>
        <v>0</v>
      </c>
      <c r="LTE15" s="63">
        <f t="shared" si="136"/>
        <v>0</v>
      </c>
      <c r="LTF15" s="63">
        <f t="shared" si="136"/>
        <v>0</v>
      </c>
      <c r="LTG15" s="63">
        <f t="shared" si="136"/>
        <v>0</v>
      </c>
      <c r="LTH15" s="63">
        <f t="shared" si="136"/>
        <v>0</v>
      </c>
      <c r="LTI15" s="63">
        <f t="shared" si="136"/>
        <v>0</v>
      </c>
      <c r="LTJ15" s="63">
        <f t="shared" si="136"/>
        <v>0</v>
      </c>
      <c r="LTK15" s="63">
        <f t="shared" si="136"/>
        <v>0</v>
      </c>
      <c r="LTL15" s="63">
        <f t="shared" ref="LTL15:LVW15" si="137">LTK18</f>
        <v>0</v>
      </c>
      <c r="LTM15" s="63">
        <f t="shared" si="137"/>
        <v>0</v>
      </c>
      <c r="LTN15" s="63">
        <f t="shared" si="137"/>
        <v>0</v>
      </c>
      <c r="LTO15" s="63">
        <f t="shared" si="137"/>
        <v>0</v>
      </c>
      <c r="LTP15" s="63">
        <f t="shared" si="137"/>
        <v>0</v>
      </c>
      <c r="LTQ15" s="63">
        <f t="shared" si="137"/>
        <v>0</v>
      </c>
      <c r="LTR15" s="63">
        <f t="shared" si="137"/>
        <v>0</v>
      </c>
      <c r="LTS15" s="63">
        <f t="shared" si="137"/>
        <v>0</v>
      </c>
      <c r="LTT15" s="63">
        <f t="shared" si="137"/>
        <v>0</v>
      </c>
      <c r="LTU15" s="63">
        <f t="shared" si="137"/>
        <v>0</v>
      </c>
      <c r="LTV15" s="63">
        <f t="shared" si="137"/>
        <v>0</v>
      </c>
      <c r="LTW15" s="63">
        <f t="shared" si="137"/>
        <v>0</v>
      </c>
      <c r="LTX15" s="63">
        <f t="shared" si="137"/>
        <v>0</v>
      </c>
      <c r="LTY15" s="63">
        <f t="shared" si="137"/>
        <v>0</v>
      </c>
      <c r="LTZ15" s="63">
        <f t="shared" si="137"/>
        <v>0</v>
      </c>
      <c r="LUA15" s="63">
        <f t="shared" si="137"/>
        <v>0</v>
      </c>
      <c r="LUB15" s="63">
        <f t="shared" si="137"/>
        <v>0</v>
      </c>
      <c r="LUC15" s="63">
        <f t="shared" si="137"/>
        <v>0</v>
      </c>
      <c r="LUD15" s="63">
        <f t="shared" si="137"/>
        <v>0</v>
      </c>
      <c r="LUE15" s="63">
        <f t="shared" si="137"/>
        <v>0</v>
      </c>
      <c r="LUF15" s="63">
        <f t="shared" si="137"/>
        <v>0</v>
      </c>
      <c r="LUG15" s="63">
        <f t="shared" si="137"/>
        <v>0</v>
      </c>
      <c r="LUH15" s="63">
        <f t="shared" si="137"/>
        <v>0</v>
      </c>
      <c r="LUI15" s="63">
        <f t="shared" si="137"/>
        <v>0</v>
      </c>
      <c r="LUJ15" s="63">
        <f t="shared" si="137"/>
        <v>0</v>
      </c>
      <c r="LUK15" s="63">
        <f t="shared" si="137"/>
        <v>0</v>
      </c>
      <c r="LUL15" s="63">
        <f t="shared" si="137"/>
        <v>0</v>
      </c>
      <c r="LUM15" s="63">
        <f t="shared" si="137"/>
        <v>0</v>
      </c>
      <c r="LUN15" s="63">
        <f t="shared" si="137"/>
        <v>0</v>
      </c>
      <c r="LUO15" s="63">
        <f t="shared" si="137"/>
        <v>0</v>
      </c>
      <c r="LUP15" s="63">
        <f t="shared" si="137"/>
        <v>0</v>
      </c>
      <c r="LUQ15" s="63">
        <f t="shared" si="137"/>
        <v>0</v>
      </c>
      <c r="LUR15" s="63">
        <f t="shared" si="137"/>
        <v>0</v>
      </c>
      <c r="LUS15" s="63">
        <f t="shared" si="137"/>
        <v>0</v>
      </c>
      <c r="LUT15" s="63">
        <f t="shared" si="137"/>
        <v>0</v>
      </c>
      <c r="LUU15" s="63">
        <f t="shared" si="137"/>
        <v>0</v>
      </c>
      <c r="LUV15" s="63">
        <f t="shared" si="137"/>
        <v>0</v>
      </c>
      <c r="LUW15" s="63">
        <f t="shared" si="137"/>
        <v>0</v>
      </c>
      <c r="LUX15" s="63">
        <f t="shared" si="137"/>
        <v>0</v>
      </c>
      <c r="LUY15" s="63">
        <f t="shared" si="137"/>
        <v>0</v>
      </c>
      <c r="LUZ15" s="63">
        <f t="shared" si="137"/>
        <v>0</v>
      </c>
      <c r="LVA15" s="63">
        <f t="shared" si="137"/>
        <v>0</v>
      </c>
      <c r="LVB15" s="63">
        <f t="shared" si="137"/>
        <v>0</v>
      </c>
      <c r="LVC15" s="63">
        <f t="shared" si="137"/>
        <v>0</v>
      </c>
      <c r="LVD15" s="63">
        <f t="shared" si="137"/>
        <v>0</v>
      </c>
      <c r="LVE15" s="63">
        <f t="shared" si="137"/>
        <v>0</v>
      </c>
      <c r="LVF15" s="63">
        <f t="shared" si="137"/>
        <v>0</v>
      </c>
      <c r="LVG15" s="63">
        <f t="shared" si="137"/>
        <v>0</v>
      </c>
      <c r="LVH15" s="63">
        <f t="shared" si="137"/>
        <v>0</v>
      </c>
      <c r="LVI15" s="63">
        <f t="shared" si="137"/>
        <v>0</v>
      </c>
      <c r="LVJ15" s="63">
        <f t="shared" si="137"/>
        <v>0</v>
      </c>
      <c r="LVK15" s="63">
        <f t="shared" si="137"/>
        <v>0</v>
      </c>
      <c r="LVL15" s="63">
        <f t="shared" si="137"/>
        <v>0</v>
      </c>
      <c r="LVM15" s="63">
        <f t="shared" si="137"/>
        <v>0</v>
      </c>
      <c r="LVN15" s="63">
        <f t="shared" si="137"/>
        <v>0</v>
      </c>
      <c r="LVO15" s="63">
        <f t="shared" si="137"/>
        <v>0</v>
      </c>
      <c r="LVP15" s="63">
        <f t="shared" si="137"/>
        <v>0</v>
      </c>
      <c r="LVQ15" s="63">
        <f t="shared" si="137"/>
        <v>0</v>
      </c>
      <c r="LVR15" s="63">
        <f t="shared" si="137"/>
        <v>0</v>
      </c>
      <c r="LVS15" s="63">
        <f t="shared" si="137"/>
        <v>0</v>
      </c>
      <c r="LVT15" s="63">
        <f t="shared" si="137"/>
        <v>0</v>
      </c>
      <c r="LVU15" s="63">
        <f t="shared" si="137"/>
        <v>0</v>
      </c>
      <c r="LVV15" s="63">
        <f t="shared" si="137"/>
        <v>0</v>
      </c>
      <c r="LVW15" s="63">
        <f t="shared" si="137"/>
        <v>0</v>
      </c>
      <c r="LVX15" s="63">
        <f t="shared" ref="LVX15:LYI15" si="138">LVW18</f>
        <v>0</v>
      </c>
      <c r="LVY15" s="63">
        <f t="shared" si="138"/>
        <v>0</v>
      </c>
      <c r="LVZ15" s="63">
        <f t="shared" si="138"/>
        <v>0</v>
      </c>
      <c r="LWA15" s="63">
        <f t="shared" si="138"/>
        <v>0</v>
      </c>
      <c r="LWB15" s="63">
        <f t="shared" si="138"/>
        <v>0</v>
      </c>
      <c r="LWC15" s="63">
        <f t="shared" si="138"/>
        <v>0</v>
      </c>
      <c r="LWD15" s="63">
        <f t="shared" si="138"/>
        <v>0</v>
      </c>
      <c r="LWE15" s="63">
        <f t="shared" si="138"/>
        <v>0</v>
      </c>
      <c r="LWF15" s="63">
        <f t="shared" si="138"/>
        <v>0</v>
      </c>
      <c r="LWG15" s="63">
        <f t="shared" si="138"/>
        <v>0</v>
      </c>
      <c r="LWH15" s="63">
        <f t="shared" si="138"/>
        <v>0</v>
      </c>
      <c r="LWI15" s="63">
        <f t="shared" si="138"/>
        <v>0</v>
      </c>
      <c r="LWJ15" s="63">
        <f t="shared" si="138"/>
        <v>0</v>
      </c>
      <c r="LWK15" s="63">
        <f t="shared" si="138"/>
        <v>0</v>
      </c>
      <c r="LWL15" s="63">
        <f t="shared" si="138"/>
        <v>0</v>
      </c>
      <c r="LWM15" s="63">
        <f t="shared" si="138"/>
        <v>0</v>
      </c>
      <c r="LWN15" s="63">
        <f t="shared" si="138"/>
        <v>0</v>
      </c>
      <c r="LWO15" s="63">
        <f t="shared" si="138"/>
        <v>0</v>
      </c>
      <c r="LWP15" s="63">
        <f t="shared" si="138"/>
        <v>0</v>
      </c>
      <c r="LWQ15" s="63">
        <f t="shared" si="138"/>
        <v>0</v>
      </c>
      <c r="LWR15" s="63">
        <f t="shared" si="138"/>
        <v>0</v>
      </c>
      <c r="LWS15" s="63">
        <f t="shared" si="138"/>
        <v>0</v>
      </c>
      <c r="LWT15" s="63">
        <f t="shared" si="138"/>
        <v>0</v>
      </c>
      <c r="LWU15" s="63">
        <f t="shared" si="138"/>
        <v>0</v>
      </c>
      <c r="LWV15" s="63">
        <f t="shared" si="138"/>
        <v>0</v>
      </c>
      <c r="LWW15" s="63">
        <f t="shared" si="138"/>
        <v>0</v>
      </c>
      <c r="LWX15" s="63">
        <f t="shared" si="138"/>
        <v>0</v>
      </c>
      <c r="LWY15" s="63">
        <f t="shared" si="138"/>
        <v>0</v>
      </c>
      <c r="LWZ15" s="63">
        <f t="shared" si="138"/>
        <v>0</v>
      </c>
      <c r="LXA15" s="63">
        <f t="shared" si="138"/>
        <v>0</v>
      </c>
      <c r="LXB15" s="63">
        <f t="shared" si="138"/>
        <v>0</v>
      </c>
      <c r="LXC15" s="63">
        <f t="shared" si="138"/>
        <v>0</v>
      </c>
      <c r="LXD15" s="63">
        <f t="shared" si="138"/>
        <v>0</v>
      </c>
      <c r="LXE15" s="63">
        <f t="shared" si="138"/>
        <v>0</v>
      </c>
      <c r="LXF15" s="63">
        <f t="shared" si="138"/>
        <v>0</v>
      </c>
      <c r="LXG15" s="63">
        <f t="shared" si="138"/>
        <v>0</v>
      </c>
      <c r="LXH15" s="63">
        <f t="shared" si="138"/>
        <v>0</v>
      </c>
      <c r="LXI15" s="63">
        <f t="shared" si="138"/>
        <v>0</v>
      </c>
      <c r="LXJ15" s="63">
        <f t="shared" si="138"/>
        <v>0</v>
      </c>
      <c r="LXK15" s="63">
        <f t="shared" si="138"/>
        <v>0</v>
      </c>
      <c r="LXL15" s="63">
        <f t="shared" si="138"/>
        <v>0</v>
      </c>
      <c r="LXM15" s="63">
        <f t="shared" si="138"/>
        <v>0</v>
      </c>
      <c r="LXN15" s="63">
        <f t="shared" si="138"/>
        <v>0</v>
      </c>
      <c r="LXO15" s="63">
        <f t="shared" si="138"/>
        <v>0</v>
      </c>
      <c r="LXP15" s="63">
        <f t="shared" si="138"/>
        <v>0</v>
      </c>
      <c r="LXQ15" s="63">
        <f t="shared" si="138"/>
        <v>0</v>
      </c>
      <c r="LXR15" s="63">
        <f t="shared" si="138"/>
        <v>0</v>
      </c>
      <c r="LXS15" s="63">
        <f t="shared" si="138"/>
        <v>0</v>
      </c>
      <c r="LXT15" s="63">
        <f t="shared" si="138"/>
        <v>0</v>
      </c>
      <c r="LXU15" s="63">
        <f t="shared" si="138"/>
        <v>0</v>
      </c>
      <c r="LXV15" s="63">
        <f t="shared" si="138"/>
        <v>0</v>
      </c>
      <c r="LXW15" s="63">
        <f t="shared" si="138"/>
        <v>0</v>
      </c>
      <c r="LXX15" s="63">
        <f t="shared" si="138"/>
        <v>0</v>
      </c>
      <c r="LXY15" s="63">
        <f t="shared" si="138"/>
        <v>0</v>
      </c>
      <c r="LXZ15" s="63">
        <f t="shared" si="138"/>
        <v>0</v>
      </c>
      <c r="LYA15" s="63">
        <f t="shared" si="138"/>
        <v>0</v>
      </c>
      <c r="LYB15" s="63">
        <f t="shared" si="138"/>
        <v>0</v>
      </c>
      <c r="LYC15" s="63">
        <f t="shared" si="138"/>
        <v>0</v>
      </c>
      <c r="LYD15" s="63">
        <f t="shared" si="138"/>
        <v>0</v>
      </c>
      <c r="LYE15" s="63">
        <f t="shared" si="138"/>
        <v>0</v>
      </c>
      <c r="LYF15" s="63">
        <f t="shared" si="138"/>
        <v>0</v>
      </c>
      <c r="LYG15" s="63">
        <f t="shared" si="138"/>
        <v>0</v>
      </c>
      <c r="LYH15" s="63">
        <f t="shared" si="138"/>
        <v>0</v>
      </c>
      <c r="LYI15" s="63">
        <f t="shared" si="138"/>
        <v>0</v>
      </c>
      <c r="LYJ15" s="63">
        <f t="shared" ref="LYJ15:MAU15" si="139">LYI18</f>
        <v>0</v>
      </c>
      <c r="LYK15" s="63">
        <f t="shared" si="139"/>
        <v>0</v>
      </c>
      <c r="LYL15" s="63">
        <f t="shared" si="139"/>
        <v>0</v>
      </c>
      <c r="LYM15" s="63">
        <f t="shared" si="139"/>
        <v>0</v>
      </c>
      <c r="LYN15" s="63">
        <f t="shared" si="139"/>
        <v>0</v>
      </c>
      <c r="LYO15" s="63">
        <f t="shared" si="139"/>
        <v>0</v>
      </c>
      <c r="LYP15" s="63">
        <f t="shared" si="139"/>
        <v>0</v>
      </c>
      <c r="LYQ15" s="63">
        <f t="shared" si="139"/>
        <v>0</v>
      </c>
      <c r="LYR15" s="63">
        <f t="shared" si="139"/>
        <v>0</v>
      </c>
      <c r="LYS15" s="63">
        <f t="shared" si="139"/>
        <v>0</v>
      </c>
      <c r="LYT15" s="63">
        <f t="shared" si="139"/>
        <v>0</v>
      </c>
      <c r="LYU15" s="63">
        <f t="shared" si="139"/>
        <v>0</v>
      </c>
      <c r="LYV15" s="63">
        <f t="shared" si="139"/>
        <v>0</v>
      </c>
      <c r="LYW15" s="63">
        <f t="shared" si="139"/>
        <v>0</v>
      </c>
      <c r="LYX15" s="63">
        <f t="shared" si="139"/>
        <v>0</v>
      </c>
      <c r="LYY15" s="63">
        <f t="shared" si="139"/>
        <v>0</v>
      </c>
      <c r="LYZ15" s="63">
        <f t="shared" si="139"/>
        <v>0</v>
      </c>
      <c r="LZA15" s="63">
        <f t="shared" si="139"/>
        <v>0</v>
      </c>
      <c r="LZB15" s="63">
        <f t="shared" si="139"/>
        <v>0</v>
      </c>
      <c r="LZC15" s="63">
        <f t="shared" si="139"/>
        <v>0</v>
      </c>
      <c r="LZD15" s="63">
        <f t="shared" si="139"/>
        <v>0</v>
      </c>
      <c r="LZE15" s="63">
        <f t="shared" si="139"/>
        <v>0</v>
      </c>
      <c r="LZF15" s="63">
        <f t="shared" si="139"/>
        <v>0</v>
      </c>
      <c r="LZG15" s="63">
        <f t="shared" si="139"/>
        <v>0</v>
      </c>
      <c r="LZH15" s="63">
        <f t="shared" si="139"/>
        <v>0</v>
      </c>
      <c r="LZI15" s="63">
        <f t="shared" si="139"/>
        <v>0</v>
      </c>
      <c r="LZJ15" s="63">
        <f t="shared" si="139"/>
        <v>0</v>
      </c>
      <c r="LZK15" s="63">
        <f t="shared" si="139"/>
        <v>0</v>
      </c>
      <c r="LZL15" s="63">
        <f t="shared" si="139"/>
        <v>0</v>
      </c>
      <c r="LZM15" s="63">
        <f t="shared" si="139"/>
        <v>0</v>
      </c>
      <c r="LZN15" s="63">
        <f t="shared" si="139"/>
        <v>0</v>
      </c>
      <c r="LZO15" s="63">
        <f t="shared" si="139"/>
        <v>0</v>
      </c>
      <c r="LZP15" s="63">
        <f t="shared" si="139"/>
        <v>0</v>
      </c>
      <c r="LZQ15" s="63">
        <f t="shared" si="139"/>
        <v>0</v>
      </c>
      <c r="LZR15" s="63">
        <f t="shared" si="139"/>
        <v>0</v>
      </c>
      <c r="LZS15" s="63">
        <f t="shared" si="139"/>
        <v>0</v>
      </c>
      <c r="LZT15" s="63">
        <f t="shared" si="139"/>
        <v>0</v>
      </c>
      <c r="LZU15" s="63">
        <f t="shared" si="139"/>
        <v>0</v>
      </c>
      <c r="LZV15" s="63">
        <f t="shared" si="139"/>
        <v>0</v>
      </c>
      <c r="LZW15" s="63">
        <f t="shared" si="139"/>
        <v>0</v>
      </c>
      <c r="LZX15" s="63">
        <f t="shared" si="139"/>
        <v>0</v>
      </c>
      <c r="LZY15" s="63">
        <f t="shared" si="139"/>
        <v>0</v>
      </c>
      <c r="LZZ15" s="63">
        <f t="shared" si="139"/>
        <v>0</v>
      </c>
      <c r="MAA15" s="63">
        <f t="shared" si="139"/>
        <v>0</v>
      </c>
      <c r="MAB15" s="63">
        <f t="shared" si="139"/>
        <v>0</v>
      </c>
      <c r="MAC15" s="63">
        <f t="shared" si="139"/>
        <v>0</v>
      </c>
      <c r="MAD15" s="63">
        <f t="shared" si="139"/>
        <v>0</v>
      </c>
      <c r="MAE15" s="63">
        <f t="shared" si="139"/>
        <v>0</v>
      </c>
      <c r="MAF15" s="63">
        <f t="shared" si="139"/>
        <v>0</v>
      </c>
      <c r="MAG15" s="63">
        <f t="shared" si="139"/>
        <v>0</v>
      </c>
      <c r="MAH15" s="63">
        <f t="shared" si="139"/>
        <v>0</v>
      </c>
      <c r="MAI15" s="63">
        <f t="shared" si="139"/>
        <v>0</v>
      </c>
      <c r="MAJ15" s="63">
        <f t="shared" si="139"/>
        <v>0</v>
      </c>
      <c r="MAK15" s="63">
        <f t="shared" si="139"/>
        <v>0</v>
      </c>
      <c r="MAL15" s="63">
        <f t="shared" si="139"/>
        <v>0</v>
      </c>
      <c r="MAM15" s="63">
        <f t="shared" si="139"/>
        <v>0</v>
      </c>
      <c r="MAN15" s="63">
        <f t="shared" si="139"/>
        <v>0</v>
      </c>
      <c r="MAO15" s="63">
        <f t="shared" si="139"/>
        <v>0</v>
      </c>
      <c r="MAP15" s="63">
        <f t="shared" si="139"/>
        <v>0</v>
      </c>
      <c r="MAQ15" s="63">
        <f t="shared" si="139"/>
        <v>0</v>
      </c>
      <c r="MAR15" s="63">
        <f t="shared" si="139"/>
        <v>0</v>
      </c>
      <c r="MAS15" s="63">
        <f t="shared" si="139"/>
        <v>0</v>
      </c>
      <c r="MAT15" s="63">
        <f t="shared" si="139"/>
        <v>0</v>
      </c>
      <c r="MAU15" s="63">
        <f t="shared" si="139"/>
        <v>0</v>
      </c>
      <c r="MAV15" s="63">
        <f t="shared" ref="MAV15:MDG15" si="140">MAU18</f>
        <v>0</v>
      </c>
      <c r="MAW15" s="63">
        <f t="shared" si="140"/>
        <v>0</v>
      </c>
      <c r="MAX15" s="63">
        <f t="shared" si="140"/>
        <v>0</v>
      </c>
      <c r="MAY15" s="63">
        <f t="shared" si="140"/>
        <v>0</v>
      </c>
      <c r="MAZ15" s="63">
        <f t="shared" si="140"/>
        <v>0</v>
      </c>
      <c r="MBA15" s="63">
        <f t="shared" si="140"/>
        <v>0</v>
      </c>
      <c r="MBB15" s="63">
        <f t="shared" si="140"/>
        <v>0</v>
      </c>
      <c r="MBC15" s="63">
        <f t="shared" si="140"/>
        <v>0</v>
      </c>
      <c r="MBD15" s="63">
        <f t="shared" si="140"/>
        <v>0</v>
      </c>
      <c r="MBE15" s="63">
        <f t="shared" si="140"/>
        <v>0</v>
      </c>
      <c r="MBF15" s="63">
        <f t="shared" si="140"/>
        <v>0</v>
      </c>
      <c r="MBG15" s="63">
        <f t="shared" si="140"/>
        <v>0</v>
      </c>
      <c r="MBH15" s="63">
        <f t="shared" si="140"/>
        <v>0</v>
      </c>
      <c r="MBI15" s="63">
        <f t="shared" si="140"/>
        <v>0</v>
      </c>
      <c r="MBJ15" s="63">
        <f t="shared" si="140"/>
        <v>0</v>
      </c>
      <c r="MBK15" s="63">
        <f t="shared" si="140"/>
        <v>0</v>
      </c>
      <c r="MBL15" s="63">
        <f t="shared" si="140"/>
        <v>0</v>
      </c>
      <c r="MBM15" s="63">
        <f t="shared" si="140"/>
        <v>0</v>
      </c>
      <c r="MBN15" s="63">
        <f t="shared" si="140"/>
        <v>0</v>
      </c>
      <c r="MBO15" s="63">
        <f t="shared" si="140"/>
        <v>0</v>
      </c>
      <c r="MBP15" s="63">
        <f t="shared" si="140"/>
        <v>0</v>
      </c>
      <c r="MBQ15" s="63">
        <f t="shared" si="140"/>
        <v>0</v>
      </c>
      <c r="MBR15" s="63">
        <f t="shared" si="140"/>
        <v>0</v>
      </c>
      <c r="MBS15" s="63">
        <f t="shared" si="140"/>
        <v>0</v>
      </c>
      <c r="MBT15" s="63">
        <f t="shared" si="140"/>
        <v>0</v>
      </c>
      <c r="MBU15" s="63">
        <f t="shared" si="140"/>
        <v>0</v>
      </c>
      <c r="MBV15" s="63">
        <f t="shared" si="140"/>
        <v>0</v>
      </c>
      <c r="MBW15" s="63">
        <f t="shared" si="140"/>
        <v>0</v>
      </c>
      <c r="MBX15" s="63">
        <f t="shared" si="140"/>
        <v>0</v>
      </c>
      <c r="MBY15" s="63">
        <f t="shared" si="140"/>
        <v>0</v>
      </c>
      <c r="MBZ15" s="63">
        <f t="shared" si="140"/>
        <v>0</v>
      </c>
      <c r="MCA15" s="63">
        <f t="shared" si="140"/>
        <v>0</v>
      </c>
      <c r="MCB15" s="63">
        <f t="shared" si="140"/>
        <v>0</v>
      </c>
      <c r="MCC15" s="63">
        <f t="shared" si="140"/>
        <v>0</v>
      </c>
      <c r="MCD15" s="63">
        <f t="shared" si="140"/>
        <v>0</v>
      </c>
      <c r="MCE15" s="63">
        <f t="shared" si="140"/>
        <v>0</v>
      </c>
      <c r="MCF15" s="63">
        <f t="shared" si="140"/>
        <v>0</v>
      </c>
      <c r="MCG15" s="63">
        <f t="shared" si="140"/>
        <v>0</v>
      </c>
      <c r="MCH15" s="63">
        <f t="shared" si="140"/>
        <v>0</v>
      </c>
      <c r="MCI15" s="63">
        <f t="shared" si="140"/>
        <v>0</v>
      </c>
      <c r="MCJ15" s="63">
        <f t="shared" si="140"/>
        <v>0</v>
      </c>
      <c r="MCK15" s="63">
        <f t="shared" si="140"/>
        <v>0</v>
      </c>
      <c r="MCL15" s="63">
        <f t="shared" si="140"/>
        <v>0</v>
      </c>
      <c r="MCM15" s="63">
        <f t="shared" si="140"/>
        <v>0</v>
      </c>
      <c r="MCN15" s="63">
        <f t="shared" si="140"/>
        <v>0</v>
      </c>
      <c r="MCO15" s="63">
        <f t="shared" si="140"/>
        <v>0</v>
      </c>
      <c r="MCP15" s="63">
        <f t="shared" si="140"/>
        <v>0</v>
      </c>
      <c r="MCQ15" s="63">
        <f t="shared" si="140"/>
        <v>0</v>
      </c>
      <c r="MCR15" s="63">
        <f t="shared" si="140"/>
        <v>0</v>
      </c>
      <c r="MCS15" s="63">
        <f t="shared" si="140"/>
        <v>0</v>
      </c>
      <c r="MCT15" s="63">
        <f t="shared" si="140"/>
        <v>0</v>
      </c>
      <c r="MCU15" s="63">
        <f t="shared" si="140"/>
        <v>0</v>
      </c>
      <c r="MCV15" s="63">
        <f t="shared" si="140"/>
        <v>0</v>
      </c>
      <c r="MCW15" s="63">
        <f t="shared" si="140"/>
        <v>0</v>
      </c>
      <c r="MCX15" s="63">
        <f t="shared" si="140"/>
        <v>0</v>
      </c>
      <c r="MCY15" s="63">
        <f t="shared" si="140"/>
        <v>0</v>
      </c>
      <c r="MCZ15" s="63">
        <f t="shared" si="140"/>
        <v>0</v>
      </c>
      <c r="MDA15" s="63">
        <f t="shared" si="140"/>
        <v>0</v>
      </c>
      <c r="MDB15" s="63">
        <f t="shared" si="140"/>
        <v>0</v>
      </c>
      <c r="MDC15" s="63">
        <f t="shared" si="140"/>
        <v>0</v>
      </c>
      <c r="MDD15" s="63">
        <f t="shared" si="140"/>
        <v>0</v>
      </c>
      <c r="MDE15" s="63">
        <f t="shared" si="140"/>
        <v>0</v>
      </c>
      <c r="MDF15" s="63">
        <f t="shared" si="140"/>
        <v>0</v>
      </c>
      <c r="MDG15" s="63">
        <f t="shared" si="140"/>
        <v>0</v>
      </c>
      <c r="MDH15" s="63">
        <f t="shared" ref="MDH15:MFS15" si="141">MDG18</f>
        <v>0</v>
      </c>
      <c r="MDI15" s="63">
        <f t="shared" si="141"/>
        <v>0</v>
      </c>
      <c r="MDJ15" s="63">
        <f t="shared" si="141"/>
        <v>0</v>
      </c>
      <c r="MDK15" s="63">
        <f t="shared" si="141"/>
        <v>0</v>
      </c>
      <c r="MDL15" s="63">
        <f t="shared" si="141"/>
        <v>0</v>
      </c>
      <c r="MDM15" s="63">
        <f t="shared" si="141"/>
        <v>0</v>
      </c>
      <c r="MDN15" s="63">
        <f t="shared" si="141"/>
        <v>0</v>
      </c>
      <c r="MDO15" s="63">
        <f t="shared" si="141"/>
        <v>0</v>
      </c>
      <c r="MDP15" s="63">
        <f t="shared" si="141"/>
        <v>0</v>
      </c>
      <c r="MDQ15" s="63">
        <f t="shared" si="141"/>
        <v>0</v>
      </c>
      <c r="MDR15" s="63">
        <f t="shared" si="141"/>
        <v>0</v>
      </c>
      <c r="MDS15" s="63">
        <f t="shared" si="141"/>
        <v>0</v>
      </c>
      <c r="MDT15" s="63">
        <f t="shared" si="141"/>
        <v>0</v>
      </c>
      <c r="MDU15" s="63">
        <f t="shared" si="141"/>
        <v>0</v>
      </c>
      <c r="MDV15" s="63">
        <f t="shared" si="141"/>
        <v>0</v>
      </c>
      <c r="MDW15" s="63">
        <f t="shared" si="141"/>
        <v>0</v>
      </c>
      <c r="MDX15" s="63">
        <f t="shared" si="141"/>
        <v>0</v>
      </c>
      <c r="MDY15" s="63">
        <f t="shared" si="141"/>
        <v>0</v>
      </c>
      <c r="MDZ15" s="63">
        <f t="shared" si="141"/>
        <v>0</v>
      </c>
      <c r="MEA15" s="63">
        <f t="shared" si="141"/>
        <v>0</v>
      </c>
      <c r="MEB15" s="63">
        <f t="shared" si="141"/>
        <v>0</v>
      </c>
      <c r="MEC15" s="63">
        <f t="shared" si="141"/>
        <v>0</v>
      </c>
      <c r="MED15" s="63">
        <f t="shared" si="141"/>
        <v>0</v>
      </c>
      <c r="MEE15" s="63">
        <f t="shared" si="141"/>
        <v>0</v>
      </c>
      <c r="MEF15" s="63">
        <f t="shared" si="141"/>
        <v>0</v>
      </c>
      <c r="MEG15" s="63">
        <f t="shared" si="141"/>
        <v>0</v>
      </c>
      <c r="MEH15" s="63">
        <f t="shared" si="141"/>
        <v>0</v>
      </c>
      <c r="MEI15" s="63">
        <f t="shared" si="141"/>
        <v>0</v>
      </c>
      <c r="MEJ15" s="63">
        <f t="shared" si="141"/>
        <v>0</v>
      </c>
      <c r="MEK15" s="63">
        <f t="shared" si="141"/>
        <v>0</v>
      </c>
      <c r="MEL15" s="63">
        <f t="shared" si="141"/>
        <v>0</v>
      </c>
      <c r="MEM15" s="63">
        <f t="shared" si="141"/>
        <v>0</v>
      </c>
      <c r="MEN15" s="63">
        <f t="shared" si="141"/>
        <v>0</v>
      </c>
      <c r="MEO15" s="63">
        <f t="shared" si="141"/>
        <v>0</v>
      </c>
      <c r="MEP15" s="63">
        <f t="shared" si="141"/>
        <v>0</v>
      </c>
      <c r="MEQ15" s="63">
        <f t="shared" si="141"/>
        <v>0</v>
      </c>
      <c r="MER15" s="63">
        <f t="shared" si="141"/>
        <v>0</v>
      </c>
      <c r="MES15" s="63">
        <f t="shared" si="141"/>
        <v>0</v>
      </c>
      <c r="MET15" s="63">
        <f t="shared" si="141"/>
        <v>0</v>
      </c>
      <c r="MEU15" s="63">
        <f t="shared" si="141"/>
        <v>0</v>
      </c>
      <c r="MEV15" s="63">
        <f t="shared" si="141"/>
        <v>0</v>
      </c>
      <c r="MEW15" s="63">
        <f t="shared" si="141"/>
        <v>0</v>
      </c>
      <c r="MEX15" s="63">
        <f t="shared" si="141"/>
        <v>0</v>
      </c>
      <c r="MEY15" s="63">
        <f t="shared" si="141"/>
        <v>0</v>
      </c>
      <c r="MEZ15" s="63">
        <f t="shared" si="141"/>
        <v>0</v>
      </c>
      <c r="MFA15" s="63">
        <f t="shared" si="141"/>
        <v>0</v>
      </c>
      <c r="MFB15" s="63">
        <f t="shared" si="141"/>
        <v>0</v>
      </c>
      <c r="MFC15" s="63">
        <f t="shared" si="141"/>
        <v>0</v>
      </c>
      <c r="MFD15" s="63">
        <f t="shared" si="141"/>
        <v>0</v>
      </c>
      <c r="MFE15" s="63">
        <f t="shared" si="141"/>
        <v>0</v>
      </c>
      <c r="MFF15" s="63">
        <f t="shared" si="141"/>
        <v>0</v>
      </c>
      <c r="MFG15" s="63">
        <f t="shared" si="141"/>
        <v>0</v>
      </c>
      <c r="MFH15" s="63">
        <f t="shared" si="141"/>
        <v>0</v>
      </c>
      <c r="MFI15" s="63">
        <f t="shared" si="141"/>
        <v>0</v>
      </c>
      <c r="MFJ15" s="63">
        <f t="shared" si="141"/>
        <v>0</v>
      </c>
      <c r="MFK15" s="63">
        <f t="shared" si="141"/>
        <v>0</v>
      </c>
      <c r="MFL15" s="63">
        <f t="shared" si="141"/>
        <v>0</v>
      </c>
      <c r="MFM15" s="63">
        <f t="shared" si="141"/>
        <v>0</v>
      </c>
      <c r="MFN15" s="63">
        <f t="shared" si="141"/>
        <v>0</v>
      </c>
      <c r="MFO15" s="63">
        <f t="shared" si="141"/>
        <v>0</v>
      </c>
      <c r="MFP15" s="63">
        <f t="shared" si="141"/>
        <v>0</v>
      </c>
      <c r="MFQ15" s="63">
        <f t="shared" si="141"/>
        <v>0</v>
      </c>
      <c r="MFR15" s="63">
        <f t="shared" si="141"/>
        <v>0</v>
      </c>
      <c r="MFS15" s="63">
        <f t="shared" si="141"/>
        <v>0</v>
      </c>
      <c r="MFT15" s="63">
        <f t="shared" ref="MFT15:MIE15" si="142">MFS18</f>
        <v>0</v>
      </c>
      <c r="MFU15" s="63">
        <f t="shared" si="142"/>
        <v>0</v>
      </c>
      <c r="MFV15" s="63">
        <f t="shared" si="142"/>
        <v>0</v>
      </c>
      <c r="MFW15" s="63">
        <f t="shared" si="142"/>
        <v>0</v>
      </c>
      <c r="MFX15" s="63">
        <f t="shared" si="142"/>
        <v>0</v>
      </c>
      <c r="MFY15" s="63">
        <f t="shared" si="142"/>
        <v>0</v>
      </c>
      <c r="MFZ15" s="63">
        <f t="shared" si="142"/>
        <v>0</v>
      </c>
      <c r="MGA15" s="63">
        <f t="shared" si="142"/>
        <v>0</v>
      </c>
      <c r="MGB15" s="63">
        <f t="shared" si="142"/>
        <v>0</v>
      </c>
      <c r="MGC15" s="63">
        <f t="shared" si="142"/>
        <v>0</v>
      </c>
      <c r="MGD15" s="63">
        <f t="shared" si="142"/>
        <v>0</v>
      </c>
      <c r="MGE15" s="63">
        <f t="shared" si="142"/>
        <v>0</v>
      </c>
      <c r="MGF15" s="63">
        <f t="shared" si="142"/>
        <v>0</v>
      </c>
      <c r="MGG15" s="63">
        <f t="shared" si="142"/>
        <v>0</v>
      </c>
      <c r="MGH15" s="63">
        <f t="shared" si="142"/>
        <v>0</v>
      </c>
      <c r="MGI15" s="63">
        <f t="shared" si="142"/>
        <v>0</v>
      </c>
      <c r="MGJ15" s="63">
        <f t="shared" si="142"/>
        <v>0</v>
      </c>
      <c r="MGK15" s="63">
        <f t="shared" si="142"/>
        <v>0</v>
      </c>
      <c r="MGL15" s="63">
        <f t="shared" si="142"/>
        <v>0</v>
      </c>
      <c r="MGM15" s="63">
        <f t="shared" si="142"/>
        <v>0</v>
      </c>
      <c r="MGN15" s="63">
        <f t="shared" si="142"/>
        <v>0</v>
      </c>
      <c r="MGO15" s="63">
        <f t="shared" si="142"/>
        <v>0</v>
      </c>
      <c r="MGP15" s="63">
        <f t="shared" si="142"/>
        <v>0</v>
      </c>
      <c r="MGQ15" s="63">
        <f t="shared" si="142"/>
        <v>0</v>
      </c>
      <c r="MGR15" s="63">
        <f t="shared" si="142"/>
        <v>0</v>
      </c>
      <c r="MGS15" s="63">
        <f t="shared" si="142"/>
        <v>0</v>
      </c>
      <c r="MGT15" s="63">
        <f t="shared" si="142"/>
        <v>0</v>
      </c>
      <c r="MGU15" s="63">
        <f t="shared" si="142"/>
        <v>0</v>
      </c>
      <c r="MGV15" s="63">
        <f t="shared" si="142"/>
        <v>0</v>
      </c>
      <c r="MGW15" s="63">
        <f t="shared" si="142"/>
        <v>0</v>
      </c>
      <c r="MGX15" s="63">
        <f t="shared" si="142"/>
        <v>0</v>
      </c>
      <c r="MGY15" s="63">
        <f t="shared" si="142"/>
        <v>0</v>
      </c>
      <c r="MGZ15" s="63">
        <f t="shared" si="142"/>
        <v>0</v>
      </c>
      <c r="MHA15" s="63">
        <f t="shared" si="142"/>
        <v>0</v>
      </c>
      <c r="MHB15" s="63">
        <f t="shared" si="142"/>
        <v>0</v>
      </c>
      <c r="MHC15" s="63">
        <f t="shared" si="142"/>
        <v>0</v>
      </c>
      <c r="MHD15" s="63">
        <f t="shared" si="142"/>
        <v>0</v>
      </c>
      <c r="MHE15" s="63">
        <f t="shared" si="142"/>
        <v>0</v>
      </c>
      <c r="MHF15" s="63">
        <f t="shared" si="142"/>
        <v>0</v>
      </c>
      <c r="MHG15" s="63">
        <f t="shared" si="142"/>
        <v>0</v>
      </c>
      <c r="MHH15" s="63">
        <f t="shared" si="142"/>
        <v>0</v>
      </c>
      <c r="MHI15" s="63">
        <f t="shared" si="142"/>
        <v>0</v>
      </c>
      <c r="MHJ15" s="63">
        <f t="shared" si="142"/>
        <v>0</v>
      </c>
      <c r="MHK15" s="63">
        <f t="shared" si="142"/>
        <v>0</v>
      </c>
      <c r="MHL15" s="63">
        <f t="shared" si="142"/>
        <v>0</v>
      </c>
      <c r="MHM15" s="63">
        <f t="shared" si="142"/>
        <v>0</v>
      </c>
      <c r="MHN15" s="63">
        <f t="shared" si="142"/>
        <v>0</v>
      </c>
      <c r="MHO15" s="63">
        <f t="shared" si="142"/>
        <v>0</v>
      </c>
      <c r="MHP15" s="63">
        <f t="shared" si="142"/>
        <v>0</v>
      </c>
      <c r="MHQ15" s="63">
        <f t="shared" si="142"/>
        <v>0</v>
      </c>
      <c r="MHR15" s="63">
        <f t="shared" si="142"/>
        <v>0</v>
      </c>
      <c r="MHS15" s="63">
        <f t="shared" si="142"/>
        <v>0</v>
      </c>
      <c r="MHT15" s="63">
        <f t="shared" si="142"/>
        <v>0</v>
      </c>
      <c r="MHU15" s="63">
        <f t="shared" si="142"/>
        <v>0</v>
      </c>
      <c r="MHV15" s="63">
        <f t="shared" si="142"/>
        <v>0</v>
      </c>
      <c r="MHW15" s="63">
        <f t="shared" si="142"/>
        <v>0</v>
      </c>
      <c r="MHX15" s="63">
        <f t="shared" si="142"/>
        <v>0</v>
      </c>
      <c r="MHY15" s="63">
        <f t="shared" si="142"/>
        <v>0</v>
      </c>
      <c r="MHZ15" s="63">
        <f t="shared" si="142"/>
        <v>0</v>
      </c>
      <c r="MIA15" s="63">
        <f t="shared" si="142"/>
        <v>0</v>
      </c>
      <c r="MIB15" s="63">
        <f t="shared" si="142"/>
        <v>0</v>
      </c>
      <c r="MIC15" s="63">
        <f t="shared" si="142"/>
        <v>0</v>
      </c>
      <c r="MID15" s="63">
        <f t="shared" si="142"/>
        <v>0</v>
      </c>
      <c r="MIE15" s="63">
        <f t="shared" si="142"/>
        <v>0</v>
      </c>
      <c r="MIF15" s="63">
        <f t="shared" ref="MIF15:MKQ15" si="143">MIE18</f>
        <v>0</v>
      </c>
      <c r="MIG15" s="63">
        <f t="shared" si="143"/>
        <v>0</v>
      </c>
      <c r="MIH15" s="63">
        <f t="shared" si="143"/>
        <v>0</v>
      </c>
      <c r="MII15" s="63">
        <f t="shared" si="143"/>
        <v>0</v>
      </c>
      <c r="MIJ15" s="63">
        <f t="shared" si="143"/>
        <v>0</v>
      </c>
      <c r="MIK15" s="63">
        <f t="shared" si="143"/>
        <v>0</v>
      </c>
      <c r="MIL15" s="63">
        <f t="shared" si="143"/>
        <v>0</v>
      </c>
      <c r="MIM15" s="63">
        <f t="shared" si="143"/>
        <v>0</v>
      </c>
      <c r="MIN15" s="63">
        <f t="shared" si="143"/>
        <v>0</v>
      </c>
      <c r="MIO15" s="63">
        <f t="shared" si="143"/>
        <v>0</v>
      </c>
      <c r="MIP15" s="63">
        <f t="shared" si="143"/>
        <v>0</v>
      </c>
      <c r="MIQ15" s="63">
        <f t="shared" si="143"/>
        <v>0</v>
      </c>
      <c r="MIR15" s="63">
        <f t="shared" si="143"/>
        <v>0</v>
      </c>
      <c r="MIS15" s="63">
        <f t="shared" si="143"/>
        <v>0</v>
      </c>
      <c r="MIT15" s="63">
        <f t="shared" si="143"/>
        <v>0</v>
      </c>
      <c r="MIU15" s="63">
        <f t="shared" si="143"/>
        <v>0</v>
      </c>
      <c r="MIV15" s="63">
        <f t="shared" si="143"/>
        <v>0</v>
      </c>
      <c r="MIW15" s="63">
        <f t="shared" si="143"/>
        <v>0</v>
      </c>
      <c r="MIX15" s="63">
        <f t="shared" si="143"/>
        <v>0</v>
      </c>
      <c r="MIY15" s="63">
        <f t="shared" si="143"/>
        <v>0</v>
      </c>
      <c r="MIZ15" s="63">
        <f t="shared" si="143"/>
        <v>0</v>
      </c>
      <c r="MJA15" s="63">
        <f t="shared" si="143"/>
        <v>0</v>
      </c>
      <c r="MJB15" s="63">
        <f t="shared" si="143"/>
        <v>0</v>
      </c>
      <c r="MJC15" s="63">
        <f t="shared" si="143"/>
        <v>0</v>
      </c>
      <c r="MJD15" s="63">
        <f t="shared" si="143"/>
        <v>0</v>
      </c>
      <c r="MJE15" s="63">
        <f t="shared" si="143"/>
        <v>0</v>
      </c>
      <c r="MJF15" s="63">
        <f t="shared" si="143"/>
        <v>0</v>
      </c>
      <c r="MJG15" s="63">
        <f t="shared" si="143"/>
        <v>0</v>
      </c>
      <c r="MJH15" s="63">
        <f t="shared" si="143"/>
        <v>0</v>
      </c>
      <c r="MJI15" s="63">
        <f t="shared" si="143"/>
        <v>0</v>
      </c>
      <c r="MJJ15" s="63">
        <f t="shared" si="143"/>
        <v>0</v>
      </c>
      <c r="MJK15" s="63">
        <f t="shared" si="143"/>
        <v>0</v>
      </c>
      <c r="MJL15" s="63">
        <f t="shared" si="143"/>
        <v>0</v>
      </c>
      <c r="MJM15" s="63">
        <f t="shared" si="143"/>
        <v>0</v>
      </c>
      <c r="MJN15" s="63">
        <f t="shared" si="143"/>
        <v>0</v>
      </c>
      <c r="MJO15" s="63">
        <f t="shared" si="143"/>
        <v>0</v>
      </c>
      <c r="MJP15" s="63">
        <f t="shared" si="143"/>
        <v>0</v>
      </c>
      <c r="MJQ15" s="63">
        <f t="shared" si="143"/>
        <v>0</v>
      </c>
      <c r="MJR15" s="63">
        <f t="shared" si="143"/>
        <v>0</v>
      </c>
      <c r="MJS15" s="63">
        <f t="shared" si="143"/>
        <v>0</v>
      </c>
      <c r="MJT15" s="63">
        <f t="shared" si="143"/>
        <v>0</v>
      </c>
      <c r="MJU15" s="63">
        <f t="shared" si="143"/>
        <v>0</v>
      </c>
      <c r="MJV15" s="63">
        <f t="shared" si="143"/>
        <v>0</v>
      </c>
      <c r="MJW15" s="63">
        <f t="shared" si="143"/>
        <v>0</v>
      </c>
      <c r="MJX15" s="63">
        <f t="shared" si="143"/>
        <v>0</v>
      </c>
      <c r="MJY15" s="63">
        <f t="shared" si="143"/>
        <v>0</v>
      </c>
      <c r="MJZ15" s="63">
        <f t="shared" si="143"/>
        <v>0</v>
      </c>
      <c r="MKA15" s="63">
        <f t="shared" si="143"/>
        <v>0</v>
      </c>
      <c r="MKB15" s="63">
        <f t="shared" si="143"/>
        <v>0</v>
      </c>
      <c r="MKC15" s="63">
        <f t="shared" si="143"/>
        <v>0</v>
      </c>
      <c r="MKD15" s="63">
        <f t="shared" si="143"/>
        <v>0</v>
      </c>
      <c r="MKE15" s="63">
        <f t="shared" si="143"/>
        <v>0</v>
      </c>
      <c r="MKF15" s="63">
        <f t="shared" si="143"/>
        <v>0</v>
      </c>
      <c r="MKG15" s="63">
        <f t="shared" si="143"/>
        <v>0</v>
      </c>
      <c r="MKH15" s="63">
        <f t="shared" si="143"/>
        <v>0</v>
      </c>
      <c r="MKI15" s="63">
        <f t="shared" si="143"/>
        <v>0</v>
      </c>
      <c r="MKJ15" s="63">
        <f t="shared" si="143"/>
        <v>0</v>
      </c>
      <c r="MKK15" s="63">
        <f t="shared" si="143"/>
        <v>0</v>
      </c>
      <c r="MKL15" s="63">
        <f t="shared" si="143"/>
        <v>0</v>
      </c>
      <c r="MKM15" s="63">
        <f t="shared" si="143"/>
        <v>0</v>
      </c>
      <c r="MKN15" s="63">
        <f t="shared" si="143"/>
        <v>0</v>
      </c>
      <c r="MKO15" s="63">
        <f t="shared" si="143"/>
        <v>0</v>
      </c>
      <c r="MKP15" s="63">
        <f t="shared" si="143"/>
        <v>0</v>
      </c>
      <c r="MKQ15" s="63">
        <f t="shared" si="143"/>
        <v>0</v>
      </c>
      <c r="MKR15" s="63">
        <f t="shared" ref="MKR15:MNC15" si="144">MKQ18</f>
        <v>0</v>
      </c>
      <c r="MKS15" s="63">
        <f t="shared" si="144"/>
        <v>0</v>
      </c>
      <c r="MKT15" s="63">
        <f t="shared" si="144"/>
        <v>0</v>
      </c>
      <c r="MKU15" s="63">
        <f t="shared" si="144"/>
        <v>0</v>
      </c>
      <c r="MKV15" s="63">
        <f t="shared" si="144"/>
        <v>0</v>
      </c>
      <c r="MKW15" s="63">
        <f t="shared" si="144"/>
        <v>0</v>
      </c>
      <c r="MKX15" s="63">
        <f t="shared" si="144"/>
        <v>0</v>
      </c>
      <c r="MKY15" s="63">
        <f t="shared" si="144"/>
        <v>0</v>
      </c>
      <c r="MKZ15" s="63">
        <f t="shared" si="144"/>
        <v>0</v>
      </c>
      <c r="MLA15" s="63">
        <f t="shared" si="144"/>
        <v>0</v>
      </c>
      <c r="MLB15" s="63">
        <f t="shared" si="144"/>
        <v>0</v>
      </c>
      <c r="MLC15" s="63">
        <f t="shared" si="144"/>
        <v>0</v>
      </c>
      <c r="MLD15" s="63">
        <f t="shared" si="144"/>
        <v>0</v>
      </c>
      <c r="MLE15" s="63">
        <f t="shared" si="144"/>
        <v>0</v>
      </c>
      <c r="MLF15" s="63">
        <f t="shared" si="144"/>
        <v>0</v>
      </c>
      <c r="MLG15" s="63">
        <f t="shared" si="144"/>
        <v>0</v>
      </c>
      <c r="MLH15" s="63">
        <f t="shared" si="144"/>
        <v>0</v>
      </c>
      <c r="MLI15" s="63">
        <f t="shared" si="144"/>
        <v>0</v>
      </c>
      <c r="MLJ15" s="63">
        <f t="shared" si="144"/>
        <v>0</v>
      </c>
      <c r="MLK15" s="63">
        <f t="shared" si="144"/>
        <v>0</v>
      </c>
      <c r="MLL15" s="63">
        <f t="shared" si="144"/>
        <v>0</v>
      </c>
      <c r="MLM15" s="63">
        <f t="shared" si="144"/>
        <v>0</v>
      </c>
      <c r="MLN15" s="63">
        <f t="shared" si="144"/>
        <v>0</v>
      </c>
      <c r="MLO15" s="63">
        <f t="shared" si="144"/>
        <v>0</v>
      </c>
      <c r="MLP15" s="63">
        <f t="shared" si="144"/>
        <v>0</v>
      </c>
      <c r="MLQ15" s="63">
        <f t="shared" si="144"/>
        <v>0</v>
      </c>
      <c r="MLR15" s="63">
        <f t="shared" si="144"/>
        <v>0</v>
      </c>
      <c r="MLS15" s="63">
        <f t="shared" si="144"/>
        <v>0</v>
      </c>
      <c r="MLT15" s="63">
        <f t="shared" si="144"/>
        <v>0</v>
      </c>
      <c r="MLU15" s="63">
        <f t="shared" si="144"/>
        <v>0</v>
      </c>
      <c r="MLV15" s="63">
        <f t="shared" si="144"/>
        <v>0</v>
      </c>
      <c r="MLW15" s="63">
        <f t="shared" si="144"/>
        <v>0</v>
      </c>
      <c r="MLX15" s="63">
        <f t="shared" si="144"/>
        <v>0</v>
      </c>
      <c r="MLY15" s="63">
        <f t="shared" si="144"/>
        <v>0</v>
      </c>
      <c r="MLZ15" s="63">
        <f t="shared" si="144"/>
        <v>0</v>
      </c>
      <c r="MMA15" s="63">
        <f t="shared" si="144"/>
        <v>0</v>
      </c>
      <c r="MMB15" s="63">
        <f t="shared" si="144"/>
        <v>0</v>
      </c>
      <c r="MMC15" s="63">
        <f t="shared" si="144"/>
        <v>0</v>
      </c>
      <c r="MMD15" s="63">
        <f t="shared" si="144"/>
        <v>0</v>
      </c>
      <c r="MME15" s="63">
        <f t="shared" si="144"/>
        <v>0</v>
      </c>
      <c r="MMF15" s="63">
        <f t="shared" si="144"/>
        <v>0</v>
      </c>
      <c r="MMG15" s="63">
        <f t="shared" si="144"/>
        <v>0</v>
      </c>
      <c r="MMH15" s="63">
        <f t="shared" si="144"/>
        <v>0</v>
      </c>
      <c r="MMI15" s="63">
        <f t="shared" si="144"/>
        <v>0</v>
      </c>
      <c r="MMJ15" s="63">
        <f t="shared" si="144"/>
        <v>0</v>
      </c>
      <c r="MMK15" s="63">
        <f t="shared" si="144"/>
        <v>0</v>
      </c>
      <c r="MML15" s="63">
        <f t="shared" si="144"/>
        <v>0</v>
      </c>
      <c r="MMM15" s="63">
        <f t="shared" si="144"/>
        <v>0</v>
      </c>
      <c r="MMN15" s="63">
        <f t="shared" si="144"/>
        <v>0</v>
      </c>
      <c r="MMO15" s="63">
        <f t="shared" si="144"/>
        <v>0</v>
      </c>
      <c r="MMP15" s="63">
        <f t="shared" si="144"/>
        <v>0</v>
      </c>
      <c r="MMQ15" s="63">
        <f t="shared" si="144"/>
        <v>0</v>
      </c>
      <c r="MMR15" s="63">
        <f t="shared" si="144"/>
        <v>0</v>
      </c>
      <c r="MMS15" s="63">
        <f t="shared" si="144"/>
        <v>0</v>
      </c>
      <c r="MMT15" s="63">
        <f t="shared" si="144"/>
        <v>0</v>
      </c>
      <c r="MMU15" s="63">
        <f t="shared" si="144"/>
        <v>0</v>
      </c>
      <c r="MMV15" s="63">
        <f t="shared" si="144"/>
        <v>0</v>
      </c>
      <c r="MMW15" s="63">
        <f t="shared" si="144"/>
        <v>0</v>
      </c>
      <c r="MMX15" s="63">
        <f t="shared" si="144"/>
        <v>0</v>
      </c>
      <c r="MMY15" s="63">
        <f t="shared" si="144"/>
        <v>0</v>
      </c>
      <c r="MMZ15" s="63">
        <f t="shared" si="144"/>
        <v>0</v>
      </c>
      <c r="MNA15" s="63">
        <f t="shared" si="144"/>
        <v>0</v>
      </c>
      <c r="MNB15" s="63">
        <f t="shared" si="144"/>
        <v>0</v>
      </c>
      <c r="MNC15" s="63">
        <f t="shared" si="144"/>
        <v>0</v>
      </c>
      <c r="MND15" s="63">
        <f t="shared" ref="MND15:MPO15" si="145">MNC18</f>
        <v>0</v>
      </c>
      <c r="MNE15" s="63">
        <f t="shared" si="145"/>
        <v>0</v>
      </c>
      <c r="MNF15" s="63">
        <f t="shared" si="145"/>
        <v>0</v>
      </c>
      <c r="MNG15" s="63">
        <f t="shared" si="145"/>
        <v>0</v>
      </c>
      <c r="MNH15" s="63">
        <f t="shared" si="145"/>
        <v>0</v>
      </c>
      <c r="MNI15" s="63">
        <f t="shared" si="145"/>
        <v>0</v>
      </c>
      <c r="MNJ15" s="63">
        <f t="shared" si="145"/>
        <v>0</v>
      </c>
      <c r="MNK15" s="63">
        <f t="shared" si="145"/>
        <v>0</v>
      </c>
      <c r="MNL15" s="63">
        <f t="shared" si="145"/>
        <v>0</v>
      </c>
      <c r="MNM15" s="63">
        <f t="shared" si="145"/>
        <v>0</v>
      </c>
      <c r="MNN15" s="63">
        <f t="shared" si="145"/>
        <v>0</v>
      </c>
      <c r="MNO15" s="63">
        <f t="shared" si="145"/>
        <v>0</v>
      </c>
      <c r="MNP15" s="63">
        <f t="shared" si="145"/>
        <v>0</v>
      </c>
      <c r="MNQ15" s="63">
        <f t="shared" si="145"/>
        <v>0</v>
      </c>
      <c r="MNR15" s="63">
        <f t="shared" si="145"/>
        <v>0</v>
      </c>
      <c r="MNS15" s="63">
        <f t="shared" si="145"/>
        <v>0</v>
      </c>
      <c r="MNT15" s="63">
        <f t="shared" si="145"/>
        <v>0</v>
      </c>
      <c r="MNU15" s="63">
        <f t="shared" si="145"/>
        <v>0</v>
      </c>
      <c r="MNV15" s="63">
        <f t="shared" si="145"/>
        <v>0</v>
      </c>
      <c r="MNW15" s="63">
        <f t="shared" si="145"/>
        <v>0</v>
      </c>
      <c r="MNX15" s="63">
        <f t="shared" si="145"/>
        <v>0</v>
      </c>
      <c r="MNY15" s="63">
        <f t="shared" si="145"/>
        <v>0</v>
      </c>
      <c r="MNZ15" s="63">
        <f t="shared" si="145"/>
        <v>0</v>
      </c>
      <c r="MOA15" s="63">
        <f t="shared" si="145"/>
        <v>0</v>
      </c>
      <c r="MOB15" s="63">
        <f t="shared" si="145"/>
        <v>0</v>
      </c>
      <c r="MOC15" s="63">
        <f t="shared" si="145"/>
        <v>0</v>
      </c>
      <c r="MOD15" s="63">
        <f t="shared" si="145"/>
        <v>0</v>
      </c>
      <c r="MOE15" s="63">
        <f t="shared" si="145"/>
        <v>0</v>
      </c>
      <c r="MOF15" s="63">
        <f t="shared" si="145"/>
        <v>0</v>
      </c>
      <c r="MOG15" s="63">
        <f t="shared" si="145"/>
        <v>0</v>
      </c>
      <c r="MOH15" s="63">
        <f t="shared" si="145"/>
        <v>0</v>
      </c>
      <c r="MOI15" s="63">
        <f t="shared" si="145"/>
        <v>0</v>
      </c>
      <c r="MOJ15" s="63">
        <f t="shared" si="145"/>
        <v>0</v>
      </c>
      <c r="MOK15" s="63">
        <f t="shared" si="145"/>
        <v>0</v>
      </c>
      <c r="MOL15" s="63">
        <f t="shared" si="145"/>
        <v>0</v>
      </c>
      <c r="MOM15" s="63">
        <f t="shared" si="145"/>
        <v>0</v>
      </c>
      <c r="MON15" s="63">
        <f t="shared" si="145"/>
        <v>0</v>
      </c>
      <c r="MOO15" s="63">
        <f t="shared" si="145"/>
        <v>0</v>
      </c>
      <c r="MOP15" s="63">
        <f t="shared" si="145"/>
        <v>0</v>
      </c>
      <c r="MOQ15" s="63">
        <f t="shared" si="145"/>
        <v>0</v>
      </c>
      <c r="MOR15" s="63">
        <f t="shared" si="145"/>
        <v>0</v>
      </c>
      <c r="MOS15" s="63">
        <f t="shared" si="145"/>
        <v>0</v>
      </c>
      <c r="MOT15" s="63">
        <f t="shared" si="145"/>
        <v>0</v>
      </c>
      <c r="MOU15" s="63">
        <f t="shared" si="145"/>
        <v>0</v>
      </c>
      <c r="MOV15" s="63">
        <f t="shared" si="145"/>
        <v>0</v>
      </c>
      <c r="MOW15" s="63">
        <f t="shared" si="145"/>
        <v>0</v>
      </c>
      <c r="MOX15" s="63">
        <f t="shared" si="145"/>
        <v>0</v>
      </c>
      <c r="MOY15" s="63">
        <f t="shared" si="145"/>
        <v>0</v>
      </c>
      <c r="MOZ15" s="63">
        <f t="shared" si="145"/>
        <v>0</v>
      </c>
      <c r="MPA15" s="63">
        <f t="shared" si="145"/>
        <v>0</v>
      </c>
      <c r="MPB15" s="63">
        <f t="shared" si="145"/>
        <v>0</v>
      </c>
      <c r="MPC15" s="63">
        <f t="shared" si="145"/>
        <v>0</v>
      </c>
      <c r="MPD15" s="63">
        <f t="shared" si="145"/>
        <v>0</v>
      </c>
      <c r="MPE15" s="63">
        <f t="shared" si="145"/>
        <v>0</v>
      </c>
      <c r="MPF15" s="63">
        <f t="shared" si="145"/>
        <v>0</v>
      </c>
      <c r="MPG15" s="63">
        <f t="shared" si="145"/>
        <v>0</v>
      </c>
      <c r="MPH15" s="63">
        <f t="shared" si="145"/>
        <v>0</v>
      </c>
      <c r="MPI15" s="63">
        <f t="shared" si="145"/>
        <v>0</v>
      </c>
      <c r="MPJ15" s="63">
        <f t="shared" si="145"/>
        <v>0</v>
      </c>
      <c r="MPK15" s="63">
        <f t="shared" si="145"/>
        <v>0</v>
      </c>
      <c r="MPL15" s="63">
        <f t="shared" si="145"/>
        <v>0</v>
      </c>
      <c r="MPM15" s="63">
        <f t="shared" si="145"/>
        <v>0</v>
      </c>
      <c r="MPN15" s="63">
        <f t="shared" si="145"/>
        <v>0</v>
      </c>
      <c r="MPO15" s="63">
        <f t="shared" si="145"/>
        <v>0</v>
      </c>
      <c r="MPP15" s="63">
        <f t="shared" ref="MPP15:MSA15" si="146">MPO18</f>
        <v>0</v>
      </c>
      <c r="MPQ15" s="63">
        <f t="shared" si="146"/>
        <v>0</v>
      </c>
      <c r="MPR15" s="63">
        <f t="shared" si="146"/>
        <v>0</v>
      </c>
      <c r="MPS15" s="63">
        <f t="shared" si="146"/>
        <v>0</v>
      </c>
      <c r="MPT15" s="63">
        <f t="shared" si="146"/>
        <v>0</v>
      </c>
      <c r="MPU15" s="63">
        <f t="shared" si="146"/>
        <v>0</v>
      </c>
      <c r="MPV15" s="63">
        <f t="shared" si="146"/>
        <v>0</v>
      </c>
      <c r="MPW15" s="63">
        <f t="shared" si="146"/>
        <v>0</v>
      </c>
      <c r="MPX15" s="63">
        <f t="shared" si="146"/>
        <v>0</v>
      </c>
      <c r="MPY15" s="63">
        <f t="shared" si="146"/>
        <v>0</v>
      </c>
      <c r="MPZ15" s="63">
        <f t="shared" si="146"/>
        <v>0</v>
      </c>
      <c r="MQA15" s="63">
        <f t="shared" si="146"/>
        <v>0</v>
      </c>
      <c r="MQB15" s="63">
        <f t="shared" si="146"/>
        <v>0</v>
      </c>
      <c r="MQC15" s="63">
        <f t="shared" si="146"/>
        <v>0</v>
      </c>
      <c r="MQD15" s="63">
        <f t="shared" si="146"/>
        <v>0</v>
      </c>
      <c r="MQE15" s="63">
        <f t="shared" si="146"/>
        <v>0</v>
      </c>
      <c r="MQF15" s="63">
        <f t="shared" si="146"/>
        <v>0</v>
      </c>
      <c r="MQG15" s="63">
        <f t="shared" si="146"/>
        <v>0</v>
      </c>
      <c r="MQH15" s="63">
        <f t="shared" si="146"/>
        <v>0</v>
      </c>
      <c r="MQI15" s="63">
        <f t="shared" si="146"/>
        <v>0</v>
      </c>
      <c r="MQJ15" s="63">
        <f t="shared" si="146"/>
        <v>0</v>
      </c>
      <c r="MQK15" s="63">
        <f t="shared" si="146"/>
        <v>0</v>
      </c>
      <c r="MQL15" s="63">
        <f t="shared" si="146"/>
        <v>0</v>
      </c>
      <c r="MQM15" s="63">
        <f t="shared" si="146"/>
        <v>0</v>
      </c>
      <c r="MQN15" s="63">
        <f t="shared" si="146"/>
        <v>0</v>
      </c>
      <c r="MQO15" s="63">
        <f t="shared" si="146"/>
        <v>0</v>
      </c>
      <c r="MQP15" s="63">
        <f t="shared" si="146"/>
        <v>0</v>
      </c>
      <c r="MQQ15" s="63">
        <f t="shared" si="146"/>
        <v>0</v>
      </c>
      <c r="MQR15" s="63">
        <f t="shared" si="146"/>
        <v>0</v>
      </c>
      <c r="MQS15" s="63">
        <f t="shared" si="146"/>
        <v>0</v>
      </c>
      <c r="MQT15" s="63">
        <f t="shared" si="146"/>
        <v>0</v>
      </c>
      <c r="MQU15" s="63">
        <f t="shared" si="146"/>
        <v>0</v>
      </c>
      <c r="MQV15" s="63">
        <f t="shared" si="146"/>
        <v>0</v>
      </c>
      <c r="MQW15" s="63">
        <f t="shared" si="146"/>
        <v>0</v>
      </c>
      <c r="MQX15" s="63">
        <f t="shared" si="146"/>
        <v>0</v>
      </c>
      <c r="MQY15" s="63">
        <f t="shared" si="146"/>
        <v>0</v>
      </c>
      <c r="MQZ15" s="63">
        <f t="shared" si="146"/>
        <v>0</v>
      </c>
      <c r="MRA15" s="63">
        <f t="shared" si="146"/>
        <v>0</v>
      </c>
      <c r="MRB15" s="63">
        <f t="shared" si="146"/>
        <v>0</v>
      </c>
      <c r="MRC15" s="63">
        <f t="shared" si="146"/>
        <v>0</v>
      </c>
      <c r="MRD15" s="63">
        <f t="shared" si="146"/>
        <v>0</v>
      </c>
      <c r="MRE15" s="63">
        <f t="shared" si="146"/>
        <v>0</v>
      </c>
      <c r="MRF15" s="63">
        <f t="shared" si="146"/>
        <v>0</v>
      </c>
      <c r="MRG15" s="63">
        <f t="shared" si="146"/>
        <v>0</v>
      </c>
      <c r="MRH15" s="63">
        <f t="shared" si="146"/>
        <v>0</v>
      </c>
      <c r="MRI15" s="63">
        <f t="shared" si="146"/>
        <v>0</v>
      </c>
      <c r="MRJ15" s="63">
        <f t="shared" si="146"/>
        <v>0</v>
      </c>
      <c r="MRK15" s="63">
        <f t="shared" si="146"/>
        <v>0</v>
      </c>
      <c r="MRL15" s="63">
        <f t="shared" si="146"/>
        <v>0</v>
      </c>
      <c r="MRM15" s="63">
        <f t="shared" si="146"/>
        <v>0</v>
      </c>
      <c r="MRN15" s="63">
        <f t="shared" si="146"/>
        <v>0</v>
      </c>
      <c r="MRO15" s="63">
        <f t="shared" si="146"/>
        <v>0</v>
      </c>
      <c r="MRP15" s="63">
        <f t="shared" si="146"/>
        <v>0</v>
      </c>
      <c r="MRQ15" s="63">
        <f t="shared" si="146"/>
        <v>0</v>
      </c>
      <c r="MRR15" s="63">
        <f t="shared" si="146"/>
        <v>0</v>
      </c>
      <c r="MRS15" s="63">
        <f t="shared" si="146"/>
        <v>0</v>
      </c>
      <c r="MRT15" s="63">
        <f t="shared" si="146"/>
        <v>0</v>
      </c>
      <c r="MRU15" s="63">
        <f t="shared" si="146"/>
        <v>0</v>
      </c>
      <c r="MRV15" s="63">
        <f t="shared" si="146"/>
        <v>0</v>
      </c>
      <c r="MRW15" s="63">
        <f t="shared" si="146"/>
        <v>0</v>
      </c>
      <c r="MRX15" s="63">
        <f t="shared" si="146"/>
        <v>0</v>
      </c>
      <c r="MRY15" s="63">
        <f t="shared" si="146"/>
        <v>0</v>
      </c>
      <c r="MRZ15" s="63">
        <f t="shared" si="146"/>
        <v>0</v>
      </c>
      <c r="MSA15" s="63">
        <f t="shared" si="146"/>
        <v>0</v>
      </c>
      <c r="MSB15" s="63">
        <f t="shared" ref="MSB15:MUM15" si="147">MSA18</f>
        <v>0</v>
      </c>
      <c r="MSC15" s="63">
        <f t="shared" si="147"/>
        <v>0</v>
      </c>
      <c r="MSD15" s="63">
        <f t="shared" si="147"/>
        <v>0</v>
      </c>
      <c r="MSE15" s="63">
        <f t="shared" si="147"/>
        <v>0</v>
      </c>
      <c r="MSF15" s="63">
        <f t="shared" si="147"/>
        <v>0</v>
      </c>
      <c r="MSG15" s="63">
        <f t="shared" si="147"/>
        <v>0</v>
      </c>
      <c r="MSH15" s="63">
        <f t="shared" si="147"/>
        <v>0</v>
      </c>
      <c r="MSI15" s="63">
        <f t="shared" si="147"/>
        <v>0</v>
      </c>
      <c r="MSJ15" s="63">
        <f t="shared" si="147"/>
        <v>0</v>
      </c>
      <c r="MSK15" s="63">
        <f t="shared" si="147"/>
        <v>0</v>
      </c>
      <c r="MSL15" s="63">
        <f t="shared" si="147"/>
        <v>0</v>
      </c>
      <c r="MSM15" s="63">
        <f t="shared" si="147"/>
        <v>0</v>
      </c>
      <c r="MSN15" s="63">
        <f t="shared" si="147"/>
        <v>0</v>
      </c>
      <c r="MSO15" s="63">
        <f t="shared" si="147"/>
        <v>0</v>
      </c>
      <c r="MSP15" s="63">
        <f t="shared" si="147"/>
        <v>0</v>
      </c>
      <c r="MSQ15" s="63">
        <f t="shared" si="147"/>
        <v>0</v>
      </c>
      <c r="MSR15" s="63">
        <f t="shared" si="147"/>
        <v>0</v>
      </c>
      <c r="MSS15" s="63">
        <f t="shared" si="147"/>
        <v>0</v>
      </c>
      <c r="MST15" s="63">
        <f t="shared" si="147"/>
        <v>0</v>
      </c>
      <c r="MSU15" s="63">
        <f t="shared" si="147"/>
        <v>0</v>
      </c>
      <c r="MSV15" s="63">
        <f t="shared" si="147"/>
        <v>0</v>
      </c>
      <c r="MSW15" s="63">
        <f t="shared" si="147"/>
        <v>0</v>
      </c>
      <c r="MSX15" s="63">
        <f t="shared" si="147"/>
        <v>0</v>
      </c>
      <c r="MSY15" s="63">
        <f t="shared" si="147"/>
        <v>0</v>
      </c>
      <c r="MSZ15" s="63">
        <f t="shared" si="147"/>
        <v>0</v>
      </c>
      <c r="MTA15" s="63">
        <f t="shared" si="147"/>
        <v>0</v>
      </c>
      <c r="MTB15" s="63">
        <f t="shared" si="147"/>
        <v>0</v>
      </c>
      <c r="MTC15" s="63">
        <f t="shared" si="147"/>
        <v>0</v>
      </c>
      <c r="MTD15" s="63">
        <f t="shared" si="147"/>
        <v>0</v>
      </c>
      <c r="MTE15" s="63">
        <f t="shared" si="147"/>
        <v>0</v>
      </c>
      <c r="MTF15" s="63">
        <f t="shared" si="147"/>
        <v>0</v>
      </c>
      <c r="MTG15" s="63">
        <f t="shared" si="147"/>
        <v>0</v>
      </c>
      <c r="MTH15" s="63">
        <f t="shared" si="147"/>
        <v>0</v>
      </c>
      <c r="MTI15" s="63">
        <f t="shared" si="147"/>
        <v>0</v>
      </c>
      <c r="MTJ15" s="63">
        <f t="shared" si="147"/>
        <v>0</v>
      </c>
      <c r="MTK15" s="63">
        <f t="shared" si="147"/>
        <v>0</v>
      </c>
      <c r="MTL15" s="63">
        <f t="shared" si="147"/>
        <v>0</v>
      </c>
      <c r="MTM15" s="63">
        <f t="shared" si="147"/>
        <v>0</v>
      </c>
      <c r="MTN15" s="63">
        <f t="shared" si="147"/>
        <v>0</v>
      </c>
      <c r="MTO15" s="63">
        <f t="shared" si="147"/>
        <v>0</v>
      </c>
      <c r="MTP15" s="63">
        <f t="shared" si="147"/>
        <v>0</v>
      </c>
      <c r="MTQ15" s="63">
        <f t="shared" si="147"/>
        <v>0</v>
      </c>
      <c r="MTR15" s="63">
        <f t="shared" si="147"/>
        <v>0</v>
      </c>
      <c r="MTS15" s="63">
        <f t="shared" si="147"/>
        <v>0</v>
      </c>
      <c r="MTT15" s="63">
        <f t="shared" si="147"/>
        <v>0</v>
      </c>
      <c r="MTU15" s="63">
        <f t="shared" si="147"/>
        <v>0</v>
      </c>
      <c r="MTV15" s="63">
        <f t="shared" si="147"/>
        <v>0</v>
      </c>
      <c r="MTW15" s="63">
        <f t="shared" si="147"/>
        <v>0</v>
      </c>
      <c r="MTX15" s="63">
        <f t="shared" si="147"/>
        <v>0</v>
      </c>
      <c r="MTY15" s="63">
        <f t="shared" si="147"/>
        <v>0</v>
      </c>
      <c r="MTZ15" s="63">
        <f t="shared" si="147"/>
        <v>0</v>
      </c>
      <c r="MUA15" s="63">
        <f t="shared" si="147"/>
        <v>0</v>
      </c>
      <c r="MUB15" s="63">
        <f t="shared" si="147"/>
        <v>0</v>
      </c>
      <c r="MUC15" s="63">
        <f t="shared" si="147"/>
        <v>0</v>
      </c>
      <c r="MUD15" s="63">
        <f t="shared" si="147"/>
        <v>0</v>
      </c>
      <c r="MUE15" s="63">
        <f t="shared" si="147"/>
        <v>0</v>
      </c>
      <c r="MUF15" s="63">
        <f t="shared" si="147"/>
        <v>0</v>
      </c>
      <c r="MUG15" s="63">
        <f t="shared" si="147"/>
        <v>0</v>
      </c>
      <c r="MUH15" s="63">
        <f t="shared" si="147"/>
        <v>0</v>
      </c>
      <c r="MUI15" s="63">
        <f t="shared" si="147"/>
        <v>0</v>
      </c>
      <c r="MUJ15" s="63">
        <f t="shared" si="147"/>
        <v>0</v>
      </c>
      <c r="MUK15" s="63">
        <f t="shared" si="147"/>
        <v>0</v>
      </c>
      <c r="MUL15" s="63">
        <f t="shared" si="147"/>
        <v>0</v>
      </c>
      <c r="MUM15" s="63">
        <f t="shared" si="147"/>
        <v>0</v>
      </c>
      <c r="MUN15" s="63">
        <f t="shared" ref="MUN15:MWY15" si="148">MUM18</f>
        <v>0</v>
      </c>
      <c r="MUO15" s="63">
        <f t="shared" si="148"/>
        <v>0</v>
      </c>
      <c r="MUP15" s="63">
        <f t="shared" si="148"/>
        <v>0</v>
      </c>
      <c r="MUQ15" s="63">
        <f t="shared" si="148"/>
        <v>0</v>
      </c>
      <c r="MUR15" s="63">
        <f t="shared" si="148"/>
        <v>0</v>
      </c>
      <c r="MUS15" s="63">
        <f t="shared" si="148"/>
        <v>0</v>
      </c>
      <c r="MUT15" s="63">
        <f t="shared" si="148"/>
        <v>0</v>
      </c>
      <c r="MUU15" s="63">
        <f t="shared" si="148"/>
        <v>0</v>
      </c>
      <c r="MUV15" s="63">
        <f t="shared" si="148"/>
        <v>0</v>
      </c>
      <c r="MUW15" s="63">
        <f t="shared" si="148"/>
        <v>0</v>
      </c>
      <c r="MUX15" s="63">
        <f t="shared" si="148"/>
        <v>0</v>
      </c>
      <c r="MUY15" s="63">
        <f t="shared" si="148"/>
        <v>0</v>
      </c>
      <c r="MUZ15" s="63">
        <f t="shared" si="148"/>
        <v>0</v>
      </c>
      <c r="MVA15" s="63">
        <f t="shared" si="148"/>
        <v>0</v>
      </c>
      <c r="MVB15" s="63">
        <f t="shared" si="148"/>
        <v>0</v>
      </c>
      <c r="MVC15" s="63">
        <f t="shared" si="148"/>
        <v>0</v>
      </c>
      <c r="MVD15" s="63">
        <f t="shared" si="148"/>
        <v>0</v>
      </c>
      <c r="MVE15" s="63">
        <f t="shared" si="148"/>
        <v>0</v>
      </c>
      <c r="MVF15" s="63">
        <f t="shared" si="148"/>
        <v>0</v>
      </c>
      <c r="MVG15" s="63">
        <f t="shared" si="148"/>
        <v>0</v>
      </c>
      <c r="MVH15" s="63">
        <f t="shared" si="148"/>
        <v>0</v>
      </c>
      <c r="MVI15" s="63">
        <f t="shared" si="148"/>
        <v>0</v>
      </c>
      <c r="MVJ15" s="63">
        <f t="shared" si="148"/>
        <v>0</v>
      </c>
      <c r="MVK15" s="63">
        <f t="shared" si="148"/>
        <v>0</v>
      </c>
      <c r="MVL15" s="63">
        <f t="shared" si="148"/>
        <v>0</v>
      </c>
      <c r="MVM15" s="63">
        <f t="shared" si="148"/>
        <v>0</v>
      </c>
      <c r="MVN15" s="63">
        <f t="shared" si="148"/>
        <v>0</v>
      </c>
      <c r="MVO15" s="63">
        <f t="shared" si="148"/>
        <v>0</v>
      </c>
      <c r="MVP15" s="63">
        <f t="shared" si="148"/>
        <v>0</v>
      </c>
      <c r="MVQ15" s="63">
        <f t="shared" si="148"/>
        <v>0</v>
      </c>
      <c r="MVR15" s="63">
        <f t="shared" si="148"/>
        <v>0</v>
      </c>
      <c r="MVS15" s="63">
        <f t="shared" si="148"/>
        <v>0</v>
      </c>
      <c r="MVT15" s="63">
        <f t="shared" si="148"/>
        <v>0</v>
      </c>
      <c r="MVU15" s="63">
        <f t="shared" si="148"/>
        <v>0</v>
      </c>
      <c r="MVV15" s="63">
        <f t="shared" si="148"/>
        <v>0</v>
      </c>
      <c r="MVW15" s="63">
        <f t="shared" si="148"/>
        <v>0</v>
      </c>
      <c r="MVX15" s="63">
        <f t="shared" si="148"/>
        <v>0</v>
      </c>
      <c r="MVY15" s="63">
        <f t="shared" si="148"/>
        <v>0</v>
      </c>
      <c r="MVZ15" s="63">
        <f t="shared" si="148"/>
        <v>0</v>
      </c>
      <c r="MWA15" s="63">
        <f t="shared" si="148"/>
        <v>0</v>
      </c>
      <c r="MWB15" s="63">
        <f t="shared" si="148"/>
        <v>0</v>
      </c>
      <c r="MWC15" s="63">
        <f t="shared" si="148"/>
        <v>0</v>
      </c>
      <c r="MWD15" s="63">
        <f t="shared" si="148"/>
        <v>0</v>
      </c>
      <c r="MWE15" s="63">
        <f t="shared" si="148"/>
        <v>0</v>
      </c>
      <c r="MWF15" s="63">
        <f t="shared" si="148"/>
        <v>0</v>
      </c>
      <c r="MWG15" s="63">
        <f t="shared" si="148"/>
        <v>0</v>
      </c>
      <c r="MWH15" s="63">
        <f t="shared" si="148"/>
        <v>0</v>
      </c>
      <c r="MWI15" s="63">
        <f t="shared" si="148"/>
        <v>0</v>
      </c>
      <c r="MWJ15" s="63">
        <f t="shared" si="148"/>
        <v>0</v>
      </c>
      <c r="MWK15" s="63">
        <f t="shared" si="148"/>
        <v>0</v>
      </c>
      <c r="MWL15" s="63">
        <f t="shared" si="148"/>
        <v>0</v>
      </c>
      <c r="MWM15" s="63">
        <f t="shared" si="148"/>
        <v>0</v>
      </c>
      <c r="MWN15" s="63">
        <f t="shared" si="148"/>
        <v>0</v>
      </c>
      <c r="MWO15" s="63">
        <f t="shared" si="148"/>
        <v>0</v>
      </c>
      <c r="MWP15" s="63">
        <f t="shared" si="148"/>
        <v>0</v>
      </c>
      <c r="MWQ15" s="63">
        <f t="shared" si="148"/>
        <v>0</v>
      </c>
      <c r="MWR15" s="63">
        <f t="shared" si="148"/>
        <v>0</v>
      </c>
      <c r="MWS15" s="63">
        <f t="shared" si="148"/>
        <v>0</v>
      </c>
      <c r="MWT15" s="63">
        <f t="shared" si="148"/>
        <v>0</v>
      </c>
      <c r="MWU15" s="63">
        <f t="shared" si="148"/>
        <v>0</v>
      </c>
      <c r="MWV15" s="63">
        <f t="shared" si="148"/>
        <v>0</v>
      </c>
      <c r="MWW15" s="63">
        <f t="shared" si="148"/>
        <v>0</v>
      </c>
      <c r="MWX15" s="63">
        <f t="shared" si="148"/>
        <v>0</v>
      </c>
      <c r="MWY15" s="63">
        <f t="shared" si="148"/>
        <v>0</v>
      </c>
      <c r="MWZ15" s="63">
        <f t="shared" ref="MWZ15:MZK15" si="149">MWY18</f>
        <v>0</v>
      </c>
      <c r="MXA15" s="63">
        <f t="shared" si="149"/>
        <v>0</v>
      </c>
      <c r="MXB15" s="63">
        <f t="shared" si="149"/>
        <v>0</v>
      </c>
      <c r="MXC15" s="63">
        <f t="shared" si="149"/>
        <v>0</v>
      </c>
      <c r="MXD15" s="63">
        <f t="shared" si="149"/>
        <v>0</v>
      </c>
      <c r="MXE15" s="63">
        <f t="shared" si="149"/>
        <v>0</v>
      </c>
      <c r="MXF15" s="63">
        <f t="shared" si="149"/>
        <v>0</v>
      </c>
      <c r="MXG15" s="63">
        <f t="shared" si="149"/>
        <v>0</v>
      </c>
      <c r="MXH15" s="63">
        <f t="shared" si="149"/>
        <v>0</v>
      </c>
      <c r="MXI15" s="63">
        <f t="shared" si="149"/>
        <v>0</v>
      </c>
      <c r="MXJ15" s="63">
        <f t="shared" si="149"/>
        <v>0</v>
      </c>
      <c r="MXK15" s="63">
        <f t="shared" si="149"/>
        <v>0</v>
      </c>
      <c r="MXL15" s="63">
        <f t="shared" si="149"/>
        <v>0</v>
      </c>
      <c r="MXM15" s="63">
        <f t="shared" si="149"/>
        <v>0</v>
      </c>
      <c r="MXN15" s="63">
        <f t="shared" si="149"/>
        <v>0</v>
      </c>
      <c r="MXO15" s="63">
        <f t="shared" si="149"/>
        <v>0</v>
      </c>
      <c r="MXP15" s="63">
        <f t="shared" si="149"/>
        <v>0</v>
      </c>
      <c r="MXQ15" s="63">
        <f t="shared" si="149"/>
        <v>0</v>
      </c>
      <c r="MXR15" s="63">
        <f t="shared" si="149"/>
        <v>0</v>
      </c>
      <c r="MXS15" s="63">
        <f t="shared" si="149"/>
        <v>0</v>
      </c>
      <c r="MXT15" s="63">
        <f t="shared" si="149"/>
        <v>0</v>
      </c>
      <c r="MXU15" s="63">
        <f t="shared" si="149"/>
        <v>0</v>
      </c>
      <c r="MXV15" s="63">
        <f t="shared" si="149"/>
        <v>0</v>
      </c>
      <c r="MXW15" s="63">
        <f t="shared" si="149"/>
        <v>0</v>
      </c>
      <c r="MXX15" s="63">
        <f t="shared" si="149"/>
        <v>0</v>
      </c>
      <c r="MXY15" s="63">
        <f t="shared" si="149"/>
        <v>0</v>
      </c>
      <c r="MXZ15" s="63">
        <f t="shared" si="149"/>
        <v>0</v>
      </c>
      <c r="MYA15" s="63">
        <f t="shared" si="149"/>
        <v>0</v>
      </c>
      <c r="MYB15" s="63">
        <f t="shared" si="149"/>
        <v>0</v>
      </c>
      <c r="MYC15" s="63">
        <f t="shared" si="149"/>
        <v>0</v>
      </c>
      <c r="MYD15" s="63">
        <f t="shared" si="149"/>
        <v>0</v>
      </c>
      <c r="MYE15" s="63">
        <f t="shared" si="149"/>
        <v>0</v>
      </c>
      <c r="MYF15" s="63">
        <f t="shared" si="149"/>
        <v>0</v>
      </c>
      <c r="MYG15" s="63">
        <f t="shared" si="149"/>
        <v>0</v>
      </c>
      <c r="MYH15" s="63">
        <f t="shared" si="149"/>
        <v>0</v>
      </c>
      <c r="MYI15" s="63">
        <f t="shared" si="149"/>
        <v>0</v>
      </c>
      <c r="MYJ15" s="63">
        <f t="shared" si="149"/>
        <v>0</v>
      </c>
      <c r="MYK15" s="63">
        <f t="shared" si="149"/>
        <v>0</v>
      </c>
      <c r="MYL15" s="63">
        <f t="shared" si="149"/>
        <v>0</v>
      </c>
      <c r="MYM15" s="63">
        <f t="shared" si="149"/>
        <v>0</v>
      </c>
      <c r="MYN15" s="63">
        <f t="shared" si="149"/>
        <v>0</v>
      </c>
      <c r="MYO15" s="63">
        <f t="shared" si="149"/>
        <v>0</v>
      </c>
      <c r="MYP15" s="63">
        <f t="shared" si="149"/>
        <v>0</v>
      </c>
      <c r="MYQ15" s="63">
        <f t="shared" si="149"/>
        <v>0</v>
      </c>
      <c r="MYR15" s="63">
        <f t="shared" si="149"/>
        <v>0</v>
      </c>
      <c r="MYS15" s="63">
        <f t="shared" si="149"/>
        <v>0</v>
      </c>
      <c r="MYT15" s="63">
        <f t="shared" si="149"/>
        <v>0</v>
      </c>
      <c r="MYU15" s="63">
        <f t="shared" si="149"/>
        <v>0</v>
      </c>
      <c r="MYV15" s="63">
        <f t="shared" si="149"/>
        <v>0</v>
      </c>
      <c r="MYW15" s="63">
        <f t="shared" si="149"/>
        <v>0</v>
      </c>
      <c r="MYX15" s="63">
        <f t="shared" si="149"/>
        <v>0</v>
      </c>
      <c r="MYY15" s="63">
        <f t="shared" si="149"/>
        <v>0</v>
      </c>
      <c r="MYZ15" s="63">
        <f t="shared" si="149"/>
        <v>0</v>
      </c>
      <c r="MZA15" s="63">
        <f t="shared" si="149"/>
        <v>0</v>
      </c>
      <c r="MZB15" s="63">
        <f t="shared" si="149"/>
        <v>0</v>
      </c>
      <c r="MZC15" s="63">
        <f t="shared" si="149"/>
        <v>0</v>
      </c>
      <c r="MZD15" s="63">
        <f t="shared" si="149"/>
        <v>0</v>
      </c>
      <c r="MZE15" s="63">
        <f t="shared" si="149"/>
        <v>0</v>
      </c>
      <c r="MZF15" s="63">
        <f t="shared" si="149"/>
        <v>0</v>
      </c>
      <c r="MZG15" s="63">
        <f t="shared" si="149"/>
        <v>0</v>
      </c>
      <c r="MZH15" s="63">
        <f t="shared" si="149"/>
        <v>0</v>
      </c>
      <c r="MZI15" s="63">
        <f t="shared" si="149"/>
        <v>0</v>
      </c>
      <c r="MZJ15" s="63">
        <f t="shared" si="149"/>
        <v>0</v>
      </c>
      <c r="MZK15" s="63">
        <f t="shared" si="149"/>
        <v>0</v>
      </c>
      <c r="MZL15" s="63">
        <f t="shared" ref="MZL15:NBW15" si="150">MZK18</f>
        <v>0</v>
      </c>
      <c r="MZM15" s="63">
        <f t="shared" si="150"/>
        <v>0</v>
      </c>
      <c r="MZN15" s="63">
        <f t="shared" si="150"/>
        <v>0</v>
      </c>
      <c r="MZO15" s="63">
        <f t="shared" si="150"/>
        <v>0</v>
      </c>
      <c r="MZP15" s="63">
        <f t="shared" si="150"/>
        <v>0</v>
      </c>
      <c r="MZQ15" s="63">
        <f t="shared" si="150"/>
        <v>0</v>
      </c>
      <c r="MZR15" s="63">
        <f t="shared" si="150"/>
        <v>0</v>
      </c>
      <c r="MZS15" s="63">
        <f t="shared" si="150"/>
        <v>0</v>
      </c>
      <c r="MZT15" s="63">
        <f t="shared" si="150"/>
        <v>0</v>
      </c>
      <c r="MZU15" s="63">
        <f t="shared" si="150"/>
        <v>0</v>
      </c>
      <c r="MZV15" s="63">
        <f t="shared" si="150"/>
        <v>0</v>
      </c>
      <c r="MZW15" s="63">
        <f t="shared" si="150"/>
        <v>0</v>
      </c>
      <c r="MZX15" s="63">
        <f t="shared" si="150"/>
        <v>0</v>
      </c>
      <c r="MZY15" s="63">
        <f t="shared" si="150"/>
        <v>0</v>
      </c>
      <c r="MZZ15" s="63">
        <f t="shared" si="150"/>
        <v>0</v>
      </c>
      <c r="NAA15" s="63">
        <f t="shared" si="150"/>
        <v>0</v>
      </c>
      <c r="NAB15" s="63">
        <f t="shared" si="150"/>
        <v>0</v>
      </c>
      <c r="NAC15" s="63">
        <f t="shared" si="150"/>
        <v>0</v>
      </c>
      <c r="NAD15" s="63">
        <f t="shared" si="150"/>
        <v>0</v>
      </c>
      <c r="NAE15" s="63">
        <f t="shared" si="150"/>
        <v>0</v>
      </c>
      <c r="NAF15" s="63">
        <f t="shared" si="150"/>
        <v>0</v>
      </c>
      <c r="NAG15" s="63">
        <f t="shared" si="150"/>
        <v>0</v>
      </c>
      <c r="NAH15" s="63">
        <f t="shared" si="150"/>
        <v>0</v>
      </c>
      <c r="NAI15" s="63">
        <f t="shared" si="150"/>
        <v>0</v>
      </c>
      <c r="NAJ15" s="63">
        <f t="shared" si="150"/>
        <v>0</v>
      </c>
      <c r="NAK15" s="63">
        <f t="shared" si="150"/>
        <v>0</v>
      </c>
      <c r="NAL15" s="63">
        <f t="shared" si="150"/>
        <v>0</v>
      </c>
      <c r="NAM15" s="63">
        <f t="shared" si="150"/>
        <v>0</v>
      </c>
      <c r="NAN15" s="63">
        <f t="shared" si="150"/>
        <v>0</v>
      </c>
      <c r="NAO15" s="63">
        <f t="shared" si="150"/>
        <v>0</v>
      </c>
      <c r="NAP15" s="63">
        <f t="shared" si="150"/>
        <v>0</v>
      </c>
      <c r="NAQ15" s="63">
        <f t="shared" si="150"/>
        <v>0</v>
      </c>
      <c r="NAR15" s="63">
        <f t="shared" si="150"/>
        <v>0</v>
      </c>
      <c r="NAS15" s="63">
        <f t="shared" si="150"/>
        <v>0</v>
      </c>
      <c r="NAT15" s="63">
        <f t="shared" si="150"/>
        <v>0</v>
      </c>
      <c r="NAU15" s="63">
        <f t="shared" si="150"/>
        <v>0</v>
      </c>
      <c r="NAV15" s="63">
        <f t="shared" si="150"/>
        <v>0</v>
      </c>
      <c r="NAW15" s="63">
        <f t="shared" si="150"/>
        <v>0</v>
      </c>
      <c r="NAX15" s="63">
        <f t="shared" si="150"/>
        <v>0</v>
      </c>
      <c r="NAY15" s="63">
        <f t="shared" si="150"/>
        <v>0</v>
      </c>
      <c r="NAZ15" s="63">
        <f t="shared" si="150"/>
        <v>0</v>
      </c>
      <c r="NBA15" s="63">
        <f t="shared" si="150"/>
        <v>0</v>
      </c>
      <c r="NBB15" s="63">
        <f t="shared" si="150"/>
        <v>0</v>
      </c>
      <c r="NBC15" s="63">
        <f t="shared" si="150"/>
        <v>0</v>
      </c>
      <c r="NBD15" s="63">
        <f t="shared" si="150"/>
        <v>0</v>
      </c>
      <c r="NBE15" s="63">
        <f t="shared" si="150"/>
        <v>0</v>
      </c>
      <c r="NBF15" s="63">
        <f t="shared" si="150"/>
        <v>0</v>
      </c>
      <c r="NBG15" s="63">
        <f t="shared" si="150"/>
        <v>0</v>
      </c>
      <c r="NBH15" s="63">
        <f t="shared" si="150"/>
        <v>0</v>
      </c>
      <c r="NBI15" s="63">
        <f t="shared" si="150"/>
        <v>0</v>
      </c>
      <c r="NBJ15" s="63">
        <f t="shared" si="150"/>
        <v>0</v>
      </c>
      <c r="NBK15" s="63">
        <f t="shared" si="150"/>
        <v>0</v>
      </c>
      <c r="NBL15" s="63">
        <f t="shared" si="150"/>
        <v>0</v>
      </c>
      <c r="NBM15" s="63">
        <f t="shared" si="150"/>
        <v>0</v>
      </c>
      <c r="NBN15" s="63">
        <f t="shared" si="150"/>
        <v>0</v>
      </c>
      <c r="NBO15" s="63">
        <f t="shared" si="150"/>
        <v>0</v>
      </c>
      <c r="NBP15" s="63">
        <f t="shared" si="150"/>
        <v>0</v>
      </c>
      <c r="NBQ15" s="63">
        <f t="shared" si="150"/>
        <v>0</v>
      </c>
      <c r="NBR15" s="63">
        <f t="shared" si="150"/>
        <v>0</v>
      </c>
      <c r="NBS15" s="63">
        <f t="shared" si="150"/>
        <v>0</v>
      </c>
      <c r="NBT15" s="63">
        <f t="shared" si="150"/>
        <v>0</v>
      </c>
      <c r="NBU15" s="63">
        <f t="shared" si="150"/>
        <v>0</v>
      </c>
      <c r="NBV15" s="63">
        <f t="shared" si="150"/>
        <v>0</v>
      </c>
      <c r="NBW15" s="63">
        <f t="shared" si="150"/>
        <v>0</v>
      </c>
      <c r="NBX15" s="63">
        <f t="shared" ref="NBX15:NEI15" si="151">NBW18</f>
        <v>0</v>
      </c>
      <c r="NBY15" s="63">
        <f t="shared" si="151"/>
        <v>0</v>
      </c>
      <c r="NBZ15" s="63">
        <f t="shared" si="151"/>
        <v>0</v>
      </c>
      <c r="NCA15" s="63">
        <f t="shared" si="151"/>
        <v>0</v>
      </c>
      <c r="NCB15" s="63">
        <f t="shared" si="151"/>
        <v>0</v>
      </c>
      <c r="NCC15" s="63">
        <f t="shared" si="151"/>
        <v>0</v>
      </c>
      <c r="NCD15" s="63">
        <f t="shared" si="151"/>
        <v>0</v>
      </c>
      <c r="NCE15" s="63">
        <f t="shared" si="151"/>
        <v>0</v>
      </c>
      <c r="NCF15" s="63">
        <f t="shared" si="151"/>
        <v>0</v>
      </c>
      <c r="NCG15" s="63">
        <f t="shared" si="151"/>
        <v>0</v>
      </c>
      <c r="NCH15" s="63">
        <f t="shared" si="151"/>
        <v>0</v>
      </c>
      <c r="NCI15" s="63">
        <f t="shared" si="151"/>
        <v>0</v>
      </c>
      <c r="NCJ15" s="63">
        <f t="shared" si="151"/>
        <v>0</v>
      </c>
      <c r="NCK15" s="63">
        <f t="shared" si="151"/>
        <v>0</v>
      </c>
      <c r="NCL15" s="63">
        <f t="shared" si="151"/>
        <v>0</v>
      </c>
      <c r="NCM15" s="63">
        <f t="shared" si="151"/>
        <v>0</v>
      </c>
      <c r="NCN15" s="63">
        <f t="shared" si="151"/>
        <v>0</v>
      </c>
      <c r="NCO15" s="63">
        <f t="shared" si="151"/>
        <v>0</v>
      </c>
      <c r="NCP15" s="63">
        <f t="shared" si="151"/>
        <v>0</v>
      </c>
      <c r="NCQ15" s="63">
        <f t="shared" si="151"/>
        <v>0</v>
      </c>
      <c r="NCR15" s="63">
        <f t="shared" si="151"/>
        <v>0</v>
      </c>
      <c r="NCS15" s="63">
        <f t="shared" si="151"/>
        <v>0</v>
      </c>
      <c r="NCT15" s="63">
        <f t="shared" si="151"/>
        <v>0</v>
      </c>
      <c r="NCU15" s="63">
        <f t="shared" si="151"/>
        <v>0</v>
      </c>
      <c r="NCV15" s="63">
        <f t="shared" si="151"/>
        <v>0</v>
      </c>
      <c r="NCW15" s="63">
        <f t="shared" si="151"/>
        <v>0</v>
      </c>
      <c r="NCX15" s="63">
        <f t="shared" si="151"/>
        <v>0</v>
      </c>
      <c r="NCY15" s="63">
        <f t="shared" si="151"/>
        <v>0</v>
      </c>
      <c r="NCZ15" s="63">
        <f t="shared" si="151"/>
        <v>0</v>
      </c>
      <c r="NDA15" s="63">
        <f t="shared" si="151"/>
        <v>0</v>
      </c>
      <c r="NDB15" s="63">
        <f t="shared" si="151"/>
        <v>0</v>
      </c>
      <c r="NDC15" s="63">
        <f t="shared" si="151"/>
        <v>0</v>
      </c>
      <c r="NDD15" s="63">
        <f t="shared" si="151"/>
        <v>0</v>
      </c>
      <c r="NDE15" s="63">
        <f t="shared" si="151"/>
        <v>0</v>
      </c>
      <c r="NDF15" s="63">
        <f t="shared" si="151"/>
        <v>0</v>
      </c>
      <c r="NDG15" s="63">
        <f t="shared" si="151"/>
        <v>0</v>
      </c>
      <c r="NDH15" s="63">
        <f t="shared" si="151"/>
        <v>0</v>
      </c>
      <c r="NDI15" s="63">
        <f t="shared" si="151"/>
        <v>0</v>
      </c>
      <c r="NDJ15" s="63">
        <f t="shared" si="151"/>
        <v>0</v>
      </c>
      <c r="NDK15" s="63">
        <f t="shared" si="151"/>
        <v>0</v>
      </c>
      <c r="NDL15" s="63">
        <f t="shared" si="151"/>
        <v>0</v>
      </c>
      <c r="NDM15" s="63">
        <f t="shared" si="151"/>
        <v>0</v>
      </c>
      <c r="NDN15" s="63">
        <f t="shared" si="151"/>
        <v>0</v>
      </c>
      <c r="NDO15" s="63">
        <f t="shared" si="151"/>
        <v>0</v>
      </c>
      <c r="NDP15" s="63">
        <f t="shared" si="151"/>
        <v>0</v>
      </c>
      <c r="NDQ15" s="63">
        <f t="shared" si="151"/>
        <v>0</v>
      </c>
      <c r="NDR15" s="63">
        <f t="shared" si="151"/>
        <v>0</v>
      </c>
      <c r="NDS15" s="63">
        <f t="shared" si="151"/>
        <v>0</v>
      </c>
      <c r="NDT15" s="63">
        <f t="shared" si="151"/>
        <v>0</v>
      </c>
      <c r="NDU15" s="63">
        <f t="shared" si="151"/>
        <v>0</v>
      </c>
      <c r="NDV15" s="63">
        <f t="shared" si="151"/>
        <v>0</v>
      </c>
      <c r="NDW15" s="63">
        <f t="shared" si="151"/>
        <v>0</v>
      </c>
      <c r="NDX15" s="63">
        <f t="shared" si="151"/>
        <v>0</v>
      </c>
      <c r="NDY15" s="63">
        <f t="shared" si="151"/>
        <v>0</v>
      </c>
      <c r="NDZ15" s="63">
        <f t="shared" si="151"/>
        <v>0</v>
      </c>
      <c r="NEA15" s="63">
        <f t="shared" si="151"/>
        <v>0</v>
      </c>
      <c r="NEB15" s="63">
        <f t="shared" si="151"/>
        <v>0</v>
      </c>
      <c r="NEC15" s="63">
        <f t="shared" si="151"/>
        <v>0</v>
      </c>
      <c r="NED15" s="63">
        <f t="shared" si="151"/>
        <v>0</v>
      </c>
      <c r="NEE15" s="63">
        <f t="shared" si="151"/>
        <v>0</v>
      </c>
      <c r="NEF15" s="63">
        <f t="shared" si="151"/>
        <v>0</v>
      </c>
      <c r="NEG15" s="63">
        <f t="shared" si="151"/>
        <v>0</v>
      </c>
      <c r="NEH15" s="63">
        <f t="shared" si="151"/>
        <v>0</v>
      </c>
      <c r="NEI15" s="63">
        <f t="shared" si="151"/>
        <v>0</v>
      </c>
      <c r="NEJ15" s="63">
        <f t="shared" ref="NEJ15:NGU15" si="152">NEI18</f>
        <v>0</v>
      </c>
      <c r="NEK15" s="63">
        <f t="shared" si="152"/>
        <v>0</v>
      </c>
      <c r="NEL15" s="63">
        <f t="shared" si="152"/>
        <v>0</v>
      </c>
      <c r="NEM15" s="63">
        <f t="shared" si="152"/>
        <v>0</v>
      </c>
      <c r="NEN15" s="63">
        <f t="shared" si="152"/>
        <v>0</v>
      </c>
      <c r="NEO15" s="63">
        <f t="shared" si="152"/>
        <v>0</v>
      </c>
      <c r="NEP15" s="63">
        <f t="shared" si="152"/>
        <v>0</v>
      </c>
      <c r="NEQ15" s="63">
        <f t="shared" si="152"/>
        <v>0</v>
      </c>
      <c r="NER15" s="63">
        <f t="shared" si="152"/>
        <v>0</v>
      </c>
      <c r="NES15" s="63">
        <f t="shared" si="152"/>
        <v>0</v>
      </c>
      <c r="NET15" s="63">
        <f t="shared" si="152"/>
        <v>0</v>
      </c>
      <c r="NEU15" s="63">
        <f t="shared" si="152"/>
        <v>0</v>
      </c>
      <c r="NEV15" s="63">
        <f t="shared" si="152"/>
        <v>0</v>
      </c>
      <c r="NEW15" s="63">
        <f t="shared" si="152"/>
        <v>0</v>
      </c>
      <c r="NEX15" s="63">
        <f t="shared" si="152"/>
        <v>0</v>
      </c>
      <c r="NEY15" s="63">
        <f t="shared" si="152"/>
        <v>0</v>
      </c>
      <c r="NEZ15" s="63">
        <f t="shared" si="152"/>
        <v>0</v>
      </c>
      <c r="NFA15" s="63">
        <f t="shared" si="152"/>
        <v>0</v>
      </c>
      <c r="NFB15" s="63">
        <f t="shared" si="152"/>
        <v>0</v>
      </c>
      <c r="NFC15" s="63">
        <f t="shared" si="152"/>
        <v>0</v>
      </c>
      <c r="NFD15" s="63">
        <f t="shared" si="152"/>
        <v>0</v>
      </c>
      <c r="NFE15" s="63">
        <f t="shared" si="152"/>
        <v>0</v>
      </c>
      <c r="NFF15" s="63">
        <f t="shared" si="152"/>
        <v>0</v>
      </c>
      <c r="NFG15" s="63">
        <f t="shared" si="152"/>
        <v>0</v>
      </c>
      <c r="NFH15" s="63">
        <f t="shared" si="152"/>
        <v>0</v>
      </c>
      <c r="NFI15" s="63">
        <f t="shared" si="152"/>
        <v>0</v>
      </c>
      <c r="NFJ15" s="63">
        <f t="shared" si="152"/>
        <v>0</v>
      </c>
      <c r="NFK15" s="63">
        <f t="shared" si="152"/>
        <v>0</v>
      </c>
      <c r="NFL15" s="63">
        <f t="shared" si="152"/>
        <v>0</v>
      </c>
      <c r="NFM15" s="63">
        <f t="shared" si="152"/>
        <v>0</v>
      </c>
      <c r="NFN15" s="63">
        <f t="shared" si="152"/>
        <v>0</v>
      </c>
      <c r="NFO15" s="63">
        <f t="shared" si="152"/>
        <v>0</v>
      </c>
      <c r="NFP15" s="63">
        <f t="shared" si="152"/>
        <v>0</v>
      </c>
      <c r="NFQ15" s="63">
        <f t="shared" si="152"/>
        <v>0</v>
      </c>
      <c r="NFR15" s="63">
        <f t="shared" si="152"/>
        <v>0</v>
      </c>
      <c r="NFS15" s="63">
        <f t="shared" si="152"/>
        <v>0</v>
      </c>
      <c r="NFT15" s="63">
        <f t="shared" si="152"/>
        <v>0</v>
      </c>
      <c r="NFU15" s="63">
        <f t="shared" si="152"/>
        <v>0</v>
      </c>
      <c r="NFV15" s="63">
        <f t="shared" si="152"/>
        <v>0</v>
      </c>
      <c r="NFW15" s="63">
        <f t="shared" si="152"/>
        <v>0</v>
      </c>
      <c r="NFX15" s="63">
        <f t="shared" si="152"/>
        <v>0</v>
      </c>
      <c r="NFY15" s="63">
        <f t="shared" si="152"/>
        <v>0</v>
      </c>
      <c r="NFZ15" s="63">
        <f t="shared" si="152"/>
        <v>0</v>
      </c>
      <c r="NGA15" s="63">
        <f t="shared" si="152"/>
        <v>0</v>
      </c>
      <c r="NGB15" s="63">
        <f t="shared" si="152"/>
        <v>0</v>
      </c>
      <c r="NGC15" s="63">
        <f t="shared" si="152"/>
        <v>0</v>
      </c>
      <c r="NGD15" s="63">
        <f t="shared" si="152"/>
        <v>0</v>
      </c>
      <c r="NGE15" s="63">
        <f t="shared" si="152"/>
        <v>0</v>
      </c>
      <c r="NGF15" s="63">
        <f t="shared" si="152"/>
        <v>0</v>
      </c>
      <c r="NGG15" s="63">
        <f t="shared" si="152"/>
        <v>0</v>
      </c>
      <c r="NGH15" s="63">
        <f t="shared" si="152"/>
        <v>0</v>
      </c>
      <c r="NGI15" s="63">
        <f t="shared" si="152"/>
        <v>0</v>
      </c>
      <c r="NGJ15" s="63">
        <f t="shared" si="152"/>
        <v>0</v>
      </c>
      <c r="NGK15" s="63">
        <f t="shared" si="152"/>
        <v>0</v>
      </c>
      <c r="NGL15" s="63">
        <f t="shared" si="152"/>
        <v>0</v>
      </c>
      <c r="NGM15" s="63">
        <f t="shared" si="152"/>
        <v>0</v>
      </c>
      <c r="NGN15" s="63">
        <f t="shared" si="152"/>
        <v>0</v>
      </c>
      <c r="NGO15" s="63">
        <f t="shared" si="152"/>
        <v>0</v>
      </c>
      <c r="NGP15" s="63">
        <f t="shared" si="152"/>
        <v>0</v>
      </c>
      <c r="NGQ15" s="63">
        <f t="shared" si="152"/>
        <v>0</v>
      </c>
      <c r="NGR15" s="63">
        <f t="shared" si="152"/>
        <v>0</v>
      </c>
      <c r="NGS15" s="63">
        <f t="shared" si="152"/>
        <v>0</v>
      </c>
      <c r="NGT15" s="63">
        <f t="shared" si="152"/>
        <v>0</v>
      </c>
      <c r="NGU15" s="63">
        <f t="shared" si="152"/>
        <v>0</v>
      </c>
      <c r="NGV15" s="63">
        <f t="shared" ref="NGV15:NJG15" si="153">NGU18</f>
        <v>0</v>
      </c>
      <c r="NGW15" s="63">
        <f t="shared" si="153"/>
        <v>0</v>
      </c>
      <c r="NGX15" s="63">
        <f t="shared" si="153"/>
        <v>0</v>
      </c>
      <c r="NGY15" s="63">
        <f t="shared" si="153"/>
        <v>0</v>
      </c>
      <c r="NGZ15" s="63">
        <f t="shared" si="153"/>
        <v>0</v>
      </c>
      <c r="NHA15" s="63">
        <f t="shared" si="153"/>
        <v>0</v>
      </c>
      <c r="NHB15" s="63">
        <f t="shared" si="153"/>
        <v>0</v>
      </c>
      <c r="NHC15" s="63">
        <f t="shared" si="153"/>
        <v>0</v>
      </c>
      <c r="NHD15" s="63">
        <f t="shared" si="153"/>
        <v>0</v>
      </c>
      <c r="NHE15" s="63">
        <f t="shared" si="153"/>
        <v>0</v>
      </c>
      <c r="NHF15" s="63">
        <f t="shared" si="153"/>
        <v>0</v>
      </c>
      <c r="NHG15" s="63">
        <f t="shared" si="153"/>
        <v>0</v>
      </c>
      <c r="NHH15" s="63">
        <f t="shared" si="153"/>
        <v>0</v>
      </c>
      <c r="NHI15" s="63">
        <f t="shared" si="153"/>
        <v>0</v>
      </c>
      <c r="NHJ15" s="63">
        <f t="shared" si="153"/>
        <v>0</v>
      </c>
      <c r="NHK15" s="63">
        <f t="shared" si="153"/>
        <v>0</v>
      </c>
      <c r="NHL15" s="63">
        <f t="shared" si="153"/>
        <v>0</v>
      </c>
      <c r="NHM15" s="63">
        <f t="shared" si="153"/>
        <v>0</v>
      </c>
      <c r="NHN15" s="63">
        <f t="shared" si="153"/>
        <v>0</v>
      </c>
      <c r="NHO15" s="63">
        <f t="shared" si="153"/>
        <v>0</v>
      </c>
      <c r="NHP15" s="63">
        <f t="shared" si="153"/>
        <v>0</v>
      </c>
      <c r="NHQ15" s="63">
        <f t="shared" si="153"/>
        <v>0</v>
      </c>
      <c r="NHR15" s="63">
        <f t="shared" si="153"/>
        <v>0</v>
      </c>
      <c r="NHS15" s="63">
        <f t="shared" si="153"/>
        <v>0</v>
      </c>
      <c r="NHT15" s="63">
        <f t="shared" si="153"/>
        <v>0</v>
      </c>
      <c r="NHU15" s="63">
        <f t="shared" si="153"/>
        <v>0</v>
      </c>
      <c r="NHV15" s="63">
        <f t="shared" si="153"/>
        <v>0</v>
      </c>
      <c r="NHW15" s="63">
        <f t="shared" si="153"/>
        <v>0</v>
      </c>
      <c r="NHX15" s="63">
        <f t="shared" si="153"/>
        <v>0</v>
      </c>
      <c r="NHY15" s="63">
        <f t="shared" si="153"/>
        <v>0</v>
      </c>
      <c r="NHZ15" s="63">
        <f t="shared" si="153"/>
        <v>0</v>
      </c>
      <c r="NIA15" s="63">
        <f t="shared" si="153"/>
        <v>0</v>
      </c>
      <c r="NIB15" s="63">
        <f t="shared" si="153"/>
        <v>0</v>
      </c>
      <c r="NIC15" s="63">
        <f t="shared" si="153"/>
        <v>0</v>
      </c>
      <c r="NID15" s="63">
        <f t="shared" si="153"/>
        <v>0</v>
      </c>
      <c r="NIE15" s="63">
        <f t="shared" si="153"/>
        <v>0</v>
      </c>
      <c r="NIF15" s="63">
        <f t="shared" si="153"/>
        <v>0</v>
      </c>
      <c r="NIG15" s="63">
        <f t="shared" si="153"/>
        <v>0</v>
      </c>
      <c r="NIH15" s="63">
        <f t="shared" si="153"/>
        <v>0</v>
      </c>
      <c r="NII15" s="63">
        <f t="shared" si="153"/>
        <v>0</v>
      </c>
      <c r="NIJ15" s="63">
        <f t="shared" si="153"/>
        <v>0</v>
      </c>
      <c r="NIK15" s="63">
        <f t="shared" si="153"/>
        <v>0</v>
      </c>
      <c r="NIL15" s="63">
        <f t="shared" si="153"/>
        <v>0</v>
      </c>
      <c r="NIM15" s="63">
        <f t="shared" si="153"/>
        <v>0</v>
      </c>
      <c r="NIN15" s="63">
        <f t="shared" si="153"/>
        <v>0</v>
      </c>
      <c r="NIO15" s="63">
        <f t="shared" si="153"/>
        <v>0</v>
      </c>
      <c r="NIP15" s="63">
        <f t="shared" si="153"/>
        <v>0</v>
      </c>
      <c r="NIQ15" s="63">
        <f t="shared" si="153"/>
        <v>0</v>
      </c>
      <c r="NIR15" s="63">
        <f t="shared" si="153"/>
        <v>0</v>
      </c>
      <c r="NIS15" s="63">
        <f t="shared" si="153"/>
        <v>0</v>
      </c>
      <c r="NIT15" s="63">
        <f t="shared" si="153"/>
        <v>0</v>
      </c>
      <c r="NIU15" s="63">
        <f t="shared" si="153"/>
        <v>0</v>
      </c>
      <c r="NIV15" s="63">
        <f t="shared" si="153"/>
        <v>0</v>
      </c>
      <c r="NIW15" s="63">
        <f t="shared" si="153"/>
        <v>0</v>
      </c>
      <c r="NIX15" s="63">
        <f t="shared" si="153"/>
        <v>0</v>
      </c>
      <c r="NIY15" s="63">
        <f t="shared" si="153"/>
        <v>0</v>
      </c>
      <c r="NIZ15" s="63">
        <f t="shared" si="153"/>
        <v>0</v>
      </c>
      <c r="NJA15" s="63">
        <f t="shared" si="153"/>
        <v>0</v>
      </c>
      <c r="NJB15" s="63">
        <f t="shared" si="153"/>
        <v>0</v>
      </c>
      <c r="NJC15" s="63">
        <f t="shared" si="153"/>
        <v>0</v>
      </c>
      <c r="NJD15" s="63">
        <f t="shared" si="153"/>
        <v>0</v>
      </c>
      <c r="NJE15" s="63">
        <f t="shared" si="153"/>
        <v>0</v>
      </c>
      <c r="NJF15" s="63">
        <f t="shared" si="153"/>
        <v>0</v>
      </c>
      <c r="NJG15" s="63">
        <f t="shared" si="153"/>
        <v>0</v>
      </c>
      <c r="NJH15" s="63">
        <f t="shared" ref="NJH15:NLS15" si="154">NJG18</f>
        <v>0</v>
      </c>
      <c r="NJI15" s="63">
        <f t="shared" si="154"/>
        <v>0</v>
      </c>
      <c r="NJJ15" s="63">
        <f t="shared" si="154"/>
        <v>0</v>
      </c>
      <c r="NJK15" s="63">
        <f t="shared" si="154"/>
        <v>0</v>
      </c>
      <c r="NJL15" s="63">
        <f t="shared" si="154"/>
        <v>0</v>
      </c>
      <c r="NJM15" s="63">
        <f t="shared" si="154"/>
        <v>0</v>
      </c>
      <c r="NJN15" s="63">
        <f t="shared" si="154"/>
        <v>0</v>
      </c>
      <c r="NJO15" s="63">
        <f t="shared" si="154"/>
        <v>0</v>
      </c>
      <c r="NJP15" s="63">
        <f t="shared" si="154"/>
        <v>0</v>
      </c>
      <c r="NJQ15" s="63">
        <f t="shared" si="154"/>
        <v>0</v>
      </c>
      <c r="NJR15" s="63">
        <f t="shared" si="154"/>
        <v>0</v>
      </c>
      <c r="NJS15" s="63">
        <f t="shared" si="154"/>
        <v>0</v>
      </c>
      <c r="NJT15" s="63">
        <f t="shared" si="154"/>
        <v>0</v>
      </c>
      <c r="NJU15" s="63">
        <f t="shared" si="154"/>
        <v>0</v>
      </c>
      <c r="NJV15" s="63">
        <f t="shared" si="154"/>
        <v>0</v>
      </c>
      <c r="NJW15" s="63">
        <f t="shared" si="154"/>
        <v>0</v>
      </c>
      <c r="NJX15" s="63">
        <f t="shared" si="154"/>
        <v>0</v>
      </c>
      <c r="NJY15" s="63">
        <f t="shared" si="154"/>
        <v>0</v>
      </c>
      <c r="NJZ15" s="63">
        <f t="shared" si="154"/>
        <v>0</v>
      </c>
      <c r="NKA15" s="63">
        <f t="shared" si="154"/>
        <v>0</v>
      </c>
      <c r="NKB15" s="63">
        <f t="shared" si="154"/>
        <v>0</v>
      </c>
      <c r="NKC15" s="63">
        <f t="shared" si="154"/>
        <v>0</v>
      </c>
      <c r="NKD15" s="63">
        <f t="shared" si="154"/>
        <v>0</v>
      </c>
      <c r="NKE15" s="63">
        <f t="shared" si="154"/>
        <v>0</v>
      </c>
      <c r="NKF15" s="63">
        <f t="shared" si="154"/>
        <v>0</v>
      </c>
      <c r="NKG15" s="63">
        <f t="shared" si="154"/>
        <v>0</v>
      </c>
      <c r="NKH15" s="63">
        <f t="shared" si="154"/>
        <v>0</v>
      </c>
      <c r="NKI15" s="63">
        <f t="shared" si="154"/>
        <v>0</v>
      </c>
      <c r="NKJ15" s="63">
        <f t="shared" si="154"/>
        <v>0</v>
      </c>
      <c r="NKK15" s="63">
        <f t="shared" si="154"/>
        <v>0</v>
      </c>
      <c r="NKL15" s="63">
        <f t="shared" si="154"/>
        <v>0</v>
      </c>
      <c r="NKM15" s="63">
        <f t="shared" si="154"/>
        <v>0</v>
      </c>
      <c r="NKN15" s="63">
        <f t="shared" si="154"/>
        <v>0</v>
      </c>
      <c r="NKO15" s="63">
        <f t="shared" si="154"/>
        <v>0</v>
      </c>
      <c r="NKP15" s="63">
        <f t="shared" si="154"/>
        <v>0</v>
      </c>
      <c r="NKQ15" s="63">
        <f t="shared" si="154"/>
        <v>0</v>
      </c>
      <c r="NKR15" s="63">
        <f t="shared" si="154"/>
        <v>0</v>
      </c>
      <c r="NKS15" s="63">
        <f t="shared" si="154"/>
        <v>0</v>
      </c>
      <c r="NKT15" s="63">
        <f t="shared" si="154"/>
        <v>0</v>
      </c>
      <c r="NKU15" s="63">
        <f t="shared" si="154"/>
        <v>0</v>
      </c>
      <c r="NKV15" s="63">
        <f t="shared" si="154"/>
        <v>0</v>
      </c>
      <c r="NKW15" s="63">
        <f t="shared" si="154"/>
        <v>0</v>
      </c>
      <c r="NKX15" s="63">
        <f t="shared" si="154"/>
        <v>0</v>
      </c>
      <c r="NKY15" s="63">
        <f t="shared" si="154"/>
        <v>0</v>
      </c>
      <c r="NKZ15" s="63">
        <f t="shared" si="154"/>
        <v>0</v>
      </c>
      <c r="NLA15" s="63">
        <f t="shared" si="154"/>
        <v>0</v>
      </c>
      <c r="NLB15" s="63">
        <f t="shared" si="154"/>
        <v>0</v>
      </c>
      <c r="NLC15" s="63">
        <f t="shared" si="154"/>
        <v>0</v>
      </c>
      <c r="NLD15" s="63">
        <f t="shared" si="154"/>
        <v>0</v>
      </c>
      <c r="NLE15" s="63">
        <f t="shared" si="154"/>
        <v>0</v>
      </c>
      <c r="NLF15" s="63">
        <f t="shared" si="154"/>
        <v>0</v>
      </c>
      <c r="NLG15" s="63">
        <f t="shared" si="154"/>
        <v>0</v>
      </c>
      <c r="NLH15" s="63">
        <f t="shared" si="154"/>
        <v>0</v>
      </c>
      <c r="NLI15" s="63">
        <f t="shared" si="154"/>
        <v>0</v>
      </c>
      <c r="NLJ15" s="63">
        <f t="shared" si="154"/>
        <v>0</v>
      </c>
      <c r="NLK15" s="63">
        <f t="shared" si="154"/>
        <v>0</v>
      </c>
      <c r="NLL15" s="63">
        <f t="shared" si="154"/>
        <v>0</v>
      </c>
      <c r="NLM15" s="63">
        <f t="shared" si="154"/>
        <v>0</v>
      </c>
      <c r="NLN15" s="63">
        <f t="shared" si="154"/>
        <v>0</v>
      </c>
      <c r="NLO15" s="63">
        <f t="shared" si="154"/>
        <v>0</v>
      </c>
      <c r="NLP15" s="63">
        <f t="shared" si="154"/>
        <v>0</v>
      </c>
      <c r="NLQ15" s="63">
        <f t="shared" si="154"/>
        <v>0</v>
      </c>
      <c r="NLR15" s="63">
        <f t="shared" si="154"/>
        <v>0</v>
      </c>
      <c r="NLS15" s="63">
        <f t="shared" si="154"/>
        <v>0</v>
      </c>
      <c r="NLT15" s="63">
        <f t="shared" ref="NLT15:NOE15" si="155">NLS18</f>
        <v>0</v>
      </c>
      <c r="NLU15" s="63">
        <f t="shared" si="155"/>
        <v>0</v>
      </c>
      <c r="NLV15" s="63">
        <f t="shared" si="155"/>
        <v>0</v>
      </c>
      <c r="NLW15" s="63">
        <f t="shared" si="155"/>
        <v>0</v>
      </c>
      <c r="NLX15" s="63">
        <f t="shared" si="155"/>
        <v>0</v>
      </c>
      <c r="NLY15" s="63">
        <f t="shared" si="155"/>
        <v>0</v>
      </c>
      <c r="NLZ15" s="63">
        <f t="shared" si="155"/>
        <v>0</v>
      </c>
      <c r="NMA15" s="63">
        <f t="shared" si="155"/>
        <v>0</v>
      </c>
      <c r="NMB15" s="63">
        <f t="shared" si="155"/>
        <v>0</v>
      </c>
      <c r="NMC15" s="63">
        <f t="shared" si="155"/>
        <v>0</v>
      </c>
      <c r="NMD15" s="63">
        <f t="shared" si="155"/>
        <v>0</v>
      </c>
      <c r="NME15" s="63">
        <f t="shared" si="155"/>
        <v>0</v>
      </c>
      <c r="NMF15" s="63">
        <f t="shared" si="155"/>
        <v>0</v>
      </c>
      <c r="NMG15" s="63">
        <f t="shared" si="155"/>
        <v>0</v>
      </c>
      <c r="NMH15" s="63">
        <f t="shared" si="155"/>
        <v>0</v>
      </c>
      <c r="NMI15" s="63">
        <f t="shared" si="155"/>
        <v>0</v>
      </c>
      <c r="NMJ15" s="63">
        <f t="shared" si="155"/>
        <v>0</v>
      </c>
      <c r="NMK15" s="63">
        <f t="shared" si="155"/>
        <v>0</v>
      </c>
      <c r="NML15" s="63">
        <f t="shared" si="155"/>
        <v>0</v>
      </c>
      <c r="NMM15" s="63">
        <f t="shared" si="155"/>
        <v>0</v>
      </c>
      <c r="NMN15" s="63">
        <f t="shared" si="155"/>
        <v>0</v>
      </c>
      <c r="NMO15" s="63">
        <f t="shared" si="155"/>
        <v>0</v>
      </c>
      <c r="NMP15" s="63">
        <f t="shared" si="155"/>
        <v>0</v>
      </c>
      <c r="NMQ15" s="63">
        <f t="shared" si="155"/>
        <v>0</v>
      </c>
      <c r="NMR15" s="63">
        <f t="shared" si="155"/>
        <v>0</v>
      </c>
      <c r="NMS15" s="63">
        <f t="shared" si="155"/>
        <v>0</v>
      </c>
      <c r="NMT15" s="63">
        <f t="shared" si="155"/>
        <v>0</v>
      </c>
      <c r="NMU15" s="63">
        <f t="shared" si="155"/>
        <v>0</v>
      </c>
      <c r="NMV15" s="63">
        <f t="shared" si="155"/>
        <v>0</v>
      </c>
      <c r="NMW15" s="63">
        <f t="shared" si="155"/>
        <v>0</v>
      </c>
      <c r="NMX15" s="63">
        <f t="shared" si="155"/>
        <v>0</v>
      </c>
      <c r="NMY15" s="63">
        <f t="shared" si="155"/>
        <v>0</v>
      </c>
      <c r="NMZ15" s="63">
        <f t="shared" si="155"/>
        <v>0</v>
      </c>
      <c r="NNA15" s="63">
        <f t="shared" si="155"/>
        <v>0</v>
      </c>
      <c r="NNB15" s="63">
        <f t="shared" si="155"/>
        <v>0</v>
      </c>
      <c r="NNC15" s="63">
        <f t="shared" si="155"/>
        <v>0</v>
      </c>
      <c r="NND15" s="63">
        <f t="shared" si="155"/>
        <v>0</v>
      </c>
      <c r="NNE15" s="63">
        <f t="shared" si="155"/>
        <v>0</v>
      </c>
      <c r="NNF15" s="63">
        <f t="shared" si="155"/>
        <v>0</v>
      </c>
      <c r="NNG15" s="63">
        <f t="shared" si="155"/>
        <v>0</v>
      </c>
      <c r="NNH15" s="63">
        <f t="shared" si="155"/>
        <v>0</v>
      </c>
      <c r="NNI15" s="63">
        <f t="shared" si="155"/>
        <v>0</v>
      </c>
      <c r="NNJ15" s="63">
        <f t="shared" si="155"/>
        <v>0</v>
      </c>
      <c r="NNK15" s="63">
        <f t="shared" si="155"/>
        <v>0</v>
      </c>
      <c r="NNL15" s="63">
        <f t="shared" si="155"/>
        <v>0</v>
      </c>
      <c r="NNM15" s="63">
        <f t="shared" si="155"/>
        <v>0</v>
      </c>
      <c r="NNN15" s="63">
        <f t="shared" si="155"/>
        <v>0</v>
      </c>
      <c r="NNO15" s="63">
        <f t="shared" si="155"/>
        <v>0</v>
      </c>
      <c r="NNP15" s="63">
        <f t="shared" si="155"/>
        <v>0</v>
      </c>
      <c r="NNQ15" s="63">
        <f t="shared" si="155"/>
        <v>0</v>
      </c>
      <c r="NNR15" s="63">
        <f t="shared" si="155"/>
        <v>0</v>
      </c>
      <c r="NNS15" s="63">
        <f t="shared" si="155"/>
        <v>0</v>
      </c>
      <c r="NNT15" s="63">
        <f t="shared" si="155"/>
        <v>0</v>
      </c>
      <c r="NNU15" s="63">
        <f t="shared" si="155"/>
        <v>0</v>
      </c>
      <c r="NNV15" s="63">
        <f t="shared" si="155"/>
        <v>0</v>
      </c>
      <c r="NNW15" s="63">
        <f t="shared" si="155"/>
        <v>0</v>
      </c>
      <c r="NNX15" s="63">
        <f t="shared" si="155"/>
        <v>0</v>
      </c>
      <c r="NNY15" s="63">
        <f t="shared" si="155"/>
        <v>0</v>
      </c>
      <c r="NNZ15" s="63">
        <f t="shared" si="155"/>
        <v>0</v>
      </c>
      <c r="NOA15" s="63">
        <f t="shared" si="155"/>
        <v>0</v>
      </c>
      <c r="NOB15" s="63">
        <f t="shared" si="155"/>
        <v>0</v>
      </c>
      <c r="NOC15" s="63">
        <f t="shared" si="155"/>
        <v>0</v>
      </c>
      <c r="NOD15" s="63">
        <f t="shared" si="155"/>
        <v>0</v>
      </c>
      <c r="NOE15" s="63">
        <f t="shared" si="155"/>
        <v>0</v>
      </c>
      <c r="NOF15" s="63">
        <f t="shared" ref="NOF15:NQQ15" si="156">NOE18</f>
        <v>0</v>
      </c>
      <c r="NOG15" s="63">
        <f t="shared" si="156"/>
        <v>0</v>
      </c>
      <c r="NOH15" s="63">
        <f t="shared" si="156"/>
        <v>0</v>
      </c>
      <c r="NOI15" s="63">
        <f t="shared" si="156"/>
        <v>0</v>
      </c>
      <c r="NOJ15" s="63">
        <f t="shared" si="156"/>
        <v>0</v>
      </c>
      <c r="NOK15" s="63">
        <f t="shared" si="156"/>
        <v>0</v>
      </c>
      <c r="NOL15" s="63">
        <f t="shared" si="156"/>
        <v>0</v>
      </c>
      <c r="NOM15" s="63">
        <f t="shared" si="156"/>
        <v>0</v>
      </c>
      <c r="NON15" s="63">
        <f t="shared" si="156"/>
        <v>0</v>
      </c>
      <c r="NOO15" s="63">
        <f t="shared" si="156"/>
        <v>0</v>
      </c>
      <c r="NOP15" s="63">
        <f t="shared" si="156"/>
        <v>0</v>
      </c>
      <c r="NOQ15" s="63">
        <f t="shared" si="156"/>
        <v>0</v>
      </c>
      <c r="NOR15" s="63">
        <f t="shared" si="156"/>
        <v>0</v>
      </c>
      <c r="NOS15" s="63">
        <f t="shared" si="156"/>
        <v>0</v>
      </c>
      <c r="NOT15" s="63">
        <f t="shared" si="156"/>
        <v>0</v>
      </c>
      <c r="NOU15" s="63">
        <f t="shared" si="156"/>
        <v>0</v>
      </c>
      <c r="NOV15" s="63">
        <f t="shared" si="156"/>
        <v>0</v>
      </c>
      <c r="NOW15" s="63">
        <f t="shared" si="156"/>
        <v>0</v>
      </c>
      <c r="NOX15" s="63">
        <f t="shared" si="156"/>
        <v>0</v>
      </c>
      <c r="NOY15" s="63">
        <f t="shared" si="156"/>
        <v>0</v>
      </c>
      <c r="NOZ15" s="63">
        <f t="shared" si="156"/>
        <v>0</v>
      </c>
      <c r="NPA15" s="63">
        <f t="shared" si="156"/>
        <v>0</v>
      </c>
      <c r="NPB15" s="63">
        <f t="shared" si="156"/>
        <v>0</v>
      </c>
      <c r="NPC15" s="63">
        <f t="shared" si="156"/>
        <v>0</v>
      </c>
      <c r="NPD15" s="63">
        <f t="shared" si="156"/>
        <v>0</v>
      </c>
      <c r="NPE15" s="63">
        <f t="shared" si="156"/>
        <v>0</v>
      </c>
      <c r="NPF15" s="63">
        <f t="shared" si="156"/>
        <v>0</v>
      </c>
      <c r="NPG15" s="63">
        <f t="shared" si="156"/>
        <v>0</v>
      </c>
      <c r="NPH15" s="63">
        <f t="shared" si="156"/>
        <v>0</v>
      </c>
      <c r="NPI15" s="63">
        <f t="shared" si="156"/>
        <v>0</v>
      </c>
      <c r="NPJ15" s="63">
        <f t="shared" si="156"/>
        <v>0</v>
      </c>
      <c r="NPK15" s="63">
        <f t="shared" si="156"/>
        <v>0</v>
      </c>
      <c r="NPL15" s="63">
        <f t="shared" si="156"/>
        <v>0</v>
      </c>
      <c r="NPM15" s="63">
        <f t="shared" si="156"/>
        <v>0</v>
      </c>
      <c r="NPN15" s="63">
        <f t="shared" si="156"/>
        <v>0</v>
      </c>
      <c r="NPO15" s="63">
        <f t="shared" si="156"/>
        <v>0</v>
      </c>
      <c r="NPP15" s="63">
        <f t="shared" si="156"/>
        <v>0</v>
      </c>
      <c r="NPQ15" s="63">
        <f t="shared" si="156"/>
        <v>0</v>
      </c>
      <c r="NPR15" s="63">
        <f t="shared" si="156"/>
        <v>0</v>
      </c>
      <c r="NPS15" s="63">
        <f t="shared" si="156"/>
        <v>0</v>
      </c>
      <c r="NPT15" s="63">
        <f t="shared" si="156"/>
        <v>0</v>
      </c>
      <c r="NPU15" s="63">
        <f t="shared" si="156"/>
        <v>0</v>
      </c>
      <c r="NPV15" s="63">
        <f t="shared" si="156"/>
        <v>0</v>
      </c>
      <c r="NPW15" s="63">
        <f t="shared" si="156"/>
        <v>0</v>
      </c>
      <c r="NPX15" s="63">
        <f t="shared" si="156"/>
        <v>0</v>
      </c>
      <c r="NPY15" s="63">
        <f t="shared" si="156"/>
        <v>0</v>
      </c>
      <c r="NPZ15" s="63">
        <f t="shared" si="156"/>
        <v>0</v>
      </c>
      <c r="NQA15" s="63">
        <f t="shared" si="156"/>
        <v>0</v>
      </c>
      <c r="NQB15" s="63">
        <f t="shared" si="156"/>
        <v>0</v>
      </c>
      <c r="NQC15" s="63">
        <f t="shared" si="156"/>
        <v>0</v>
      </c>
      <c r="NQD15" s="63">
        <f t="shared" si="156"/>
        <v>0</v>
      </c>
      <c r="NQE15" s="63">
        <f t="shared" si="156"/>
        <v>0</v>
      </c>
      <c r="NQF15" s="63">
        <f t="shared" si="156"/>
        <v>0</v>
      </c>
      <c r="NQG15" s="63">
        <f t="shared" si="156"/>
        <v>0</v>
      </c>
      <c r="NQH15" s="63">
        <f t="shared" si="156"/>
        <v>0</v>
      </c>
      <c r="NQI15" s="63">
        <f t="shared" si="156"/>
        <v>0</v>
      </c>
      <c r="NQJ15" s="63">
        <f t="shared" si="156"/>
        <v>0</v>
      </c>
      <c r="NQK15" s="63">
        <f t="shared" si="156"/>
        <v>0</v>
      </c>
      <c r="NQL15" s="63">
        <f t="shared" si="156"/>
        <v>0</v>
      </c>
      <c r="NQM15" s="63">
        <f t="shared" si="156"/>
        <v>0</v>
      </c>
      <c r="NQN15" s="63">
        <f t="shared" si="156"/>
        <v>0</v>
      </c>
      <c r="NQO15" s="63">
        <f t="shared" si="156"/>
        <v>0</v>
      </c>
      <c r="NQP15" s="63">
        <f t="shared" si="156"/>
        <v>0</v>
      </c>
      <c r="NQQ15" s="63">
        <f t="shared" si="156"/>
        <v>0</v>
      </c>
      <c r="NQR15" s="63">
        <f t="shared" ref="NQR15:NTC15" si="157">NQQ18</f>
        <v>0</v>
      </c>
      <c r="NQS15" s="63">
        <f t="shared" si="157"/>
        <v>0</v>
      </c>
      <c r="NQT15" s="63">
        <f t="shared" si="157"/>
        <v>0</v>
      </c>
      <c r="NQU15" s="63">
        <f t="shared" si="157"/>
        <v>0</v>
      </c>
      <c r="NQV15" s="63">
        <f t="shared" si="157"/>
        <v>0</v>
      </c>
      <c r="NQW15" s="63">
        <f t="shared" si="157"/>
        <v>0</v>
      </c>
      <c r="NQX15" s="63">
        <f t="shared" si="157"/>
        <v>0</v>
      </c>
      <c r="NQY15" s="63">
        <f t="shared" si="157"/>
        <v>0</v>
      </c>
      <c r="NQZ15" s="63">
        <f t="shared" si="157"/>
        <v>0</v>
      </c>
      <c r="NRA15" s="63">
        <f t="shared" si="157"/>
        <v>0</v>
      </c>
      <c r="NRB15" s="63">
        <f t="shared" si="157"/>
        <v>0</v>
      </c>
      <c r="NRC15" s="63">
        <f t="shared" si="157"/>
        <v>0</v>
      </c>
      <c r="NRD15" s="63">
        <f t="shared" si="157"/>
        <v>0</v>
      </c>
      <c r="NRE15" s="63">
        <f t="shared" si="157"/>
        <v>0</v>
      </c>
      <c r="NRF15" s="63">
        <f t="shared" si="157"/>
        <v>0</v>
      </c>
      <c r="NRG15" s="63">
        <f t="shared" si="157"/>
        <v>0</v>
      </c>
      <c r="NRH15" s="63">
        <f t="shared" si="157"/>
        <v>0</v>
      </c>
      <c r="NRI15" s="63">
        <f t="shared" si="157"/>
        <v>0</v>
      </c>
      <c r="NRJ15" s="63">
        <f t="shared" si="157"/>
        <v>0</v>
      </c>
      <c r="NRK15" s="63">
        <f t="shared" si="157"/>
        <v>0</v>
      </c>
      <c r="NRL15" s="63">
        <f t="shared" si="157"/>
        <v>0</v>
      </c>
      <c r="NRM15" s="63">
        <f t="shared" si="157"/>
        <v>0</v>
      </c>
      <c r="NRN15" s="63">
        <f t="shared" si="157"/>
        <v>0</v>
      </c>
      <c r="NRO15" s="63">
        <f t="shared" si="157"/>
        <v>0</v>
      </c>
      <c r="NRP15" s="63">
        <f t="shared" si="157"/>
        <v>0</v>
      </c>
      <c r="NRQ15" s="63">
        <f t="shared" si="157"/>
        <v>0</v>
      </c>
      <c r="NRR15" s="63">
        <f t="shared" si="157"/>
        <v>0</v>
      </c>
      <c r="NRS15" s="63">
        <f t="shared" si="157"/>
        <v>0</v>
      </c>
      <c r="NRT15" s="63">
        <f t="shared" si="157"/>
        <v>0</v>
      </c>
      <c r="NRU15" s="63">
        <f t="shared" si="157"/>
        <v>0</v>
      </c>
      <c r="NRV15" s="63">
        <f t="shared" si="157"/>
        <v>0</v>
      </c>
      <c r="NRW15" s="63">
        <f t="shared" si="157"/>
        <v>0</v>
      </c>
      <c r="NRX15" s="63">
        <f t="shared" si="157"/>
        <v>0</v>
      </c>
      <c r="NRY15" s="63">
        <f t="shared" si="157"/>
        <v>0</v>
      </c>
      <c r="NRZ15" s="63">
        <f t="shared" si="157"/>
        <v>0</v>
      </c>
      <c r="NSA15" s="63">
        <f t="shared" si="157"/>
        <v>0</v>
      </c>
      <c r="NSB15" s="63">
        <f t="shared" si="157"/>
        <v>0</v>
      </c>
      <c r="NSC15" s="63">
        <f t="shared" si="157"/>
        <v>0</v>
      </c>
      <c r="NSD15" s="63">
        <f t="shared" si="157"/>
        <v>0</v>
      </c>
      <c r="NSE15" s="63">
        <f t="shared" si="157"/>
        <v>0</v>
      </c>
      <c r="NSF15" s="63">
        <f t="shared" si="157"/>
        <v>0</v>
      </c>
      <c r="NSG15" s="63">
        <f t="shared" si="157"/>
        <v>0</v>
      </c>
      <c r="NSH15" s="63">
        <f t="shared" si="157"/>
        <v>0</v>
      </c>
      <c r="NSI15" s="63">
        <f t="shared" si="157"/>
        <v>0</v>
      </c>
      <c r="NSJ15" s="63">
        <f t="shared" si="157"/>
        <v>0</v>
      </c>
      <c r="NSK15" s="63">
        <f t="shared" si="157"/>
        <v>0</v>
      </c>
      <c r="NSL15" s="63">
        <f t="shared" si="157"/>
        <v>0</v>
      </c>
      <c r="NSM15" s="63">
        <f t="shared" si="157"/>
        <v>0</v>
      </c>
      <c r="NSN15" s="63">
        <f t="shared" si="157"/>
        <v>0</v>
      </c>
      <c r="NSO15" s="63">
        <f t="shared" si="157"/>
        <v>0</v>
      </c>
      <c r="NSP15" s="63">
        <f t="shared" si="157"/>
        <v>0</v>
      </c>
      <c r="NSQ15" s="63">
        <f t="shared" si="157"/>
        <v>0</v>
      </c>
      <c r="NSR15" s="63">
        <f t="shared" si="157"/>
        <v>0</v>
      </c>
      <c r="NSS15" s="63">
        <f t="shared" si="157"/>
        <v>0</v>
      </c>
      <c r="NST15" s="63">
        <f t="shared" si="157"/>
        <v>0</v>
      </c>
      <c r="NSU15" s="63">
        <f t="shared" si="157"/>
        <v>0</v>
      </c>
      <c r="NSV15" s="63">
        <f t="shared" si="157"/>
        <v>0</v>
      </c>
      <c r="NSW15" s="63">
        <f t="shared" si="157"/>
        <v>0</v>
      </c>
      <c r="NSX15" s="63">
        <f t="shared" si="157"/>
        <v>0</v>
      </c>
      <c r="NSY15" s="63">
        <f t="shared" si="157"/>
        <v>0</v>
      </c>
      <c r="NSZ15" s="63">
        <f t="shared" si="157"/>
        <v>0</v>
      </c>
      <c r="NTA15" s="63">
        <f t="shared" si="157"/>
        <v>0</v>
      </c>
      <c r="NTB15" s="63">
        <f t="shared" si="157"/>
        <v>0</v>
      </c>
      <c r="NTC15" s="63">
        <f t="shared" si="157"/>
        <v>0</v>
      </c>
      <c r="NTD15" s="63">
        <f t="shared" ref="NTD15:NVO15" si="158">NTC18</f>
        <v>0</v>
      </c>
      <c r="NTE15" s="63">
        <f t="shared" si="158"/>
        <v>0</v>
      </c>
      <c r="NTF15" s="63">
        <f t="shared" si="158"/>
        <v>0</v>
      </c>
      <c r="NTG15" s="63">
        <f t="shared" si="158"/>
        <v>0</v>
      </c>
      <c r="NTH15" s="63">
        <f t="shared" si="158"/>
        <v>0</v>
      </c>
      <c r="NTI15" s="63">
        <f t="shared" si="158"/>
        <v>0</v>
      </c>
      <c r="NTJ15" s="63">
        <f t="shared" si="158"/>
        <v>0</v>
      </c>
      <c r="NTK15" s="63">
        <f t="shared" si="158"/>
        <v>0</v>
      </c>
      <c r="NTL15" s="63">
        <f t="shared" si="158"/>
        <v>0</v>
      </c>
      <c r="NTM15" s="63">
        <f t="shared" si="158"/>
        <v>0</v>
      </c>
      <c r="NTN15" s="63">
        <f t="shared" si="158"/>
        <v>0</v>
      </c>
      <c r="NTO15" s="63">
        <f t="shared" si="158"/>
        <v>0</v>
      </c>
      <c r="NTP15" s="63">
        <f t="shared" si="158"/>
        <v>0</v>
      </c>
      <c r="NTQ15" s="63">
        <f t="shared" si="158"/>
        <v>0</v>
      </c>
      <c r="NTR15" s="63">
        <f t="shared" si="158"/>
        <v>0</v>
      </c>
      <c r="NTS15" s="63">
        <f t="shared" si="158"/>
        <v>0</v>
      </c>
      <c r="NTT15" s="63">
        <f t="shared" si="158"/>
        <v>0</v>
      </c>
      <c r="NTU15" s="63">
        <f t="shared" si="158"/>
        <v>0</v>
      </c>
      <c r="NTV15" s="63">
        <f t="shared" si="158"/>
        <v>0</v>
      </c>
      <c r="NTW15" s="63">
        <f t="shared" si="158"/>
        <v>0</v>
      </c>
      <c r="NTX15" s="63">
        <f t="shared" si="158"/>
        <v>0</v>
      </c>
      <c r="NTY15" s="63">
        <f t="shared" si="158"/>
        <v>0</v>
      </c>
      <c r="NTZ15" s="63">
        <f t="shared" si="158"/>
        <v>0</v>
      </c>
      <c r="NUA15" s="63">
        <f t="shared" si="158"/>
        <v>0</v>
      </c>
      <c r="NUB15" s="63">
        <f t="shared" si="158"/>
        <v>0</v>
      </c>
      <c r="NUC15" s="63">
        <f t="shared" si="158"/>
        <v>0</v>
      </c>
      <c r="NUD15" s="63">
        <f t="shared" si="158"/>
        <v>0</v>
      </c>
      <c r="NUE15" s="63">
        <f t="shared" si="158"/>
        <v>0</v>
      </c>
      <c r="NUF15" s="63">
        <f t="shared" si="158"/>
        <v>0</v>
      </c>
      <c r="NUG15" s="63">
        <f t="shared" si="158"/>
        <v>0</v>
      </c>
      <c r="NUH15" s="63">
        <f t="shared" si="158"/>
        <v>0</v>
      </c>
      <c r="NUI15" s="63">
        <f t="shared" si="158"/>
        <v>0</v>
      </c>
      <c r="NUJ15" s="63">
        <f t="shared" si="158"/>
        <v>0</v>
      </c>
      <c r="NUK15" s="63">
        <f t="shared" si="158"/>
        <v>0</v>
      </c>
      <c r="NUL15" s="63">
        <f t="shared" si="158"/>
        <v>0</v>
      </c>
      <c r="NUM15" s="63">
        <f t="shared" si="158"/>
        <v>0</v>
      </c>
      <c r="NUN15" s="63">
        <f t="shared" si="158"/>
        <v>0</v>
      </c>
      <c r="NUO15" s="63">
        <f t="shared" si="158"/>
        <v>0</v>
      </c>
      <c r="NUP15" s="63">
        <f t="shared" si="158"/>
        <v>0</v>
      </c>
      <c r="NUQ15" s="63">
        <f t="shared" si="158"/>
        <v>0</v>
      </c>
      <c r="NUR15" s="63">
        <f t="shared" si="158"/>
        <v>0</v>
      </c>
      <c r="NUS15" s="63">
        <f t="shared" si="158"/>
        <v>0</v>
      </c>
      <c r="NUT15" s="63">
        <f t="shared" si="158"/>
        <v>0</v>
      </c>
      <c r="NUU15" s="63">
        <f t="shared" si="158"/>
        <v>0</v>
      </c>
      <c r="NUV15" s="63">
        <f t="shared" si="158"/>
        <v>0</v>
      </c>
      <c r="NUW15" s="63">
        <f t="shared" si="158"/>
        <v>0</v>
      </c>
      <c r="NUX15" s="63">
        <f t="shared" si="158"/>
        <v>0</v>
      </c>
      <c r="NUY15" s="63">
        <f t="shared" si="158"/>
        <v>0</v>
      </c>
      <c r="NUZ15" s="63">
        <f t="shared" si="158"/>
        <v>0</v>
      </c>
      <c r="NVA15" s="63">
        <f t="shared" si="158"/>
        <v>0</v>
      </c>
      <c r="NVB15" s="63">
        <f t="shared" si="158"/>
        <v>0</v>
      </c>
      <c r="NVC15" s="63">
        <f t="shared" si="158"/>
        <v>0</v>
      </c>
      <c r="NVD15" s="63">
        <f t="shared" si="158"/>
        <v>0</v>
      </c>
      <c r="NVE15" s="63">
        <f t="shared" si="158"/>
        <v>0</v>
      </c>
      <c r="NVF15" s="63">
        <f t="shared" si="158"/>
        <v>0</v>
      </c>
      <c r="NVG15" s="63">
        <f t="shared" si="158"/>
        <v>0</v>
      </c>
      <c r="NVH15" s="63">
        <f t="shared" si="158"/>
        <v>0</v>
      </c>
      <c r="NVI15" s="63">
        <f t="shared" si="158"/>
        <v>0</v>
      </c>
      <c r="NVJ15" s="63">
        <f t="shared" si="158"/>
        <v>0</v>
      </c>
      <c r="NVK15" s="63">
        <f t="shared" si="158"/>
        <v>0</v>
      </c>
      <c r="NVL15" s="63">
        <f t="shared" si="158"/>
        <v>0</v>
      </c>
      <c r="NVM15" s="63">
        <f t="shared" si="158"/>
        <v>0</v>
      </c>
      <c r="NVN15" s="63">
        <f t="shared" si="158"/>
        <v>0</v>
      </c>
      <c r="NVO15" s="63">
        <f t="shared" si="158"/>
        <v>0</v>
      </c>
      <c r="NVP15" s="63">
        <f t="shared" ref="NVP15:NYA15" si="159">NVO18</f>
        <v>0</v>
      </c>
      <c r="NVQ15" s="63">
        <f t="shared" si="159"/>
        <v>0</v>
      </c>
      <c r="NVR15" s="63">
        <f t="shared" si="159"/>
        <v>0</v>
      </c>
      <c r="NVS15" s="63">
        <f t="shared" si="159"/>
        <v>0</v>
      </c>
      <c r="NVT15" s="63">
        <f t="shared" si="159"/>
        <v>0</v>
      </c>
      <c r="NVU15" s="63">
        <f t="shared" si="159"/>
        <v>0</v>
      </c>
      <c r="NVV15" s="63">
        <f t="shared" si="159"/>
        <v>0</v>
      </c>
      <c r="NVW15" s="63">
        <f t="shared" si="159"/>
        <v>0</v>
      </c>
      <c r="NVX15" s="63">
        <f t="shared" si="159"/>
        <v>0</v>
      </c>
      <c r="NVY15" s="63">
        <f t="shared" si="159"/>
        <v>0</v>
      </c>
      <c r="NVZ15" s="63">
        <f t="shared" si="159"/>
        <v>0</v>
      </c>
      <c r="NWA15" s="63">
        <f t="shared" si="159"/>
        <v>0</v>
      </c>
      <c r="NWB15" s="63">
        <f t="shared" si="159"/>
        <v>0</v>
      </c>
      <c r="NWC15" s="63">
        <f t="shared" si="159"/>
        <v>0</v>
      </c>
      <c r="NWD15" s="63">
        <f t="shared" si="159"/>
        <v>0</v>
      </c>
      <c r="NWE15" s="63">
        <f t="shared" si="159"/>
        <v>0</v>
      </c>
      <c r="NWF15" s="63">
        <f t="shared" si="159"/>
        <v>0</v>
      </c>
      <c r="NWG15" s="63">
        <f t="shared" si="159"/>
        <v>0</v>
      </c>
      <c r="NWH15" s="63">
        <f t="shared" si="159"/>
        <v>0</v>
      </c>
      <c r="NWI15" s="63">
        <f t="shared" si="159"/>
        <v>0</v>
      </c>
      <c r="NWJ15" s="63">
        <f t="shared" si="159"/>
        <v>0</v>
      </c>
      <c r="NWK15" s="63">
        <f t="shared" si="159"/>
        <v>0</v>
      </c>
      <c r="NWL15" s="63">
        <f t="shared" si="159"/>
        <v>0</v>
      </c>
      <c r="NWM15" s="63">
        <f t="shared" si="159"/>
        <v>0</v>
      </c>
      <c r="NWN15" s="63">
        <f t="shared" si="159"/>
        <v>0</v>
      </c>
      <c r="NWO15" s="63">
        <f t="shared" si="159"/>
        <v>0</v>
      </c>
      <c r="NWP15" s="63">
        <f t="shared" si="159"/>
        <v>0</v>
      </c>
      <c r="NWQ15" s="63">
        <f t="shared" si="159"/>
        <v>0</v>
      </c>
      <c r="NWR15" s="63">
        <f t="shared" si="159"/>
        <v>0</v>
      </c>
      <c r="NWS15" s="63">
        <f t="shared" si="159"/>
        <v>0</v>
      </c>
      <c r="NWT15" s="63">
        <f t="shared" si="159"/>
        <v>0</v>
      </c>
      <c r="NWU15" s="63">
        <f t="shared" si="159"/>
        <v>0</v>
      </c>
      <c r="NWV15" s="63">
        <f t="shared" si="159"/>
        <v>0</v>
      </c>
      <c r="NWW15" s="63">
        <f t="shared" si="159"/>
        <v>0</v>
      </c>
      <c r="NWX15" s="63">
        <f t="shared" si="159"/>
        <v>0</v>
      </c>
      <c r="NWY15" s="63">
        <f t="shared" si="159"/>
        <v>0</v>
      </c>
      <c r="NWZ15" s="63">
        <f t="shared" si="159"/>
        <v>0</v>
      </c>
      <c r="NXA15" s="63">
        <f t="shared" si="159"/>
        <v>0</v>
      </c>
      <c r="NXB15" s="63">
        <f t="shared" si="159"/>
        <v>0</v>
      </c>
      <c r="NXC15" s="63">
        <f t="shared" si="159"/>
        <v>0</v>
      </c>
      <c r="NXD15" s="63">
        <f t="shared" si="159"/>
        <v>0</v>
      </c>
      <c r="NXE15" s="63">
        <f t="shared" si="159"/>
        <v>0</v>
      </c>
      <c r="NXF15" s="63">
        <f t="shared" si="159"/>
        <v>0</v>
      </c>
      <c r="NXG15" s="63">
        <f t="shared" si="159"/>
        <v>0</v>
      </c>
      <c r="NXH15" s="63">
        <f t="shared" si="159"/>
        <v>0</v>
      </c>
      <c r="NXI15" s="63">
        <f t="shared" si="159"/>
        <v>0</v>
      </c>
      <c r="NXJ15" s="63">
        <f t="shared" si="159"/>
        <v>0</v>
      </c>
      <c r="NXK15" s="63">
        <f t="shared" si="159"/>
        <v>0</v>
      </c>
      <c r="NXL15" s="63">
        <f t="shared" si="159"/>
        <v>0</v>
      </c>
      <c r="NXM15" s="63">
        <f t="shared" si="159"/>
        <v>0</v>
      </c>
      <c r="NXN15" s="63">
        <f t="shared" si="159"/>
        <v>0</v>
      </c>
      <c r="NXO15" s="63">
        <f t="shared" si="159"/>
        <v>0</v>
      </c>
      <c r="NXP15" s="63">
        <f t="shared" si="159"/>
        <v>0</v>
      </c>
      <c r="NXQ15" s="63">
        <f t="shared" si="159"/>
        <v>0</v>
      </c>
      <c r="NXR15" s="63">
        <f t="shared" si="159"/>
        <v>0</v>
      </c>
      <c r="NXS15" s="63">
        <f t="shared" si="159"/>
        <v>0</v>
      </c>
      <c r="NXT15" s="63">
        <f t="shared" si="159"/>
        <v>0</v>
      </c>
      <c r="NXU15" s="63">
        <f t="shared" si="159"/>
        <v>0</v>
      </c>
      <c r="NXV15" s="63">
        <f t="shared" si="159"/>
        <v>0</v>
      </c>
      <c r="NXW15" s="63">
        <f t="shared" si="159"/>
        <v>0</v>
      </c>
      <c r="NXX15" s="63">
        <f t="shared" si="159"/>
        <v>0</v>
      </c>
      <c r="NXY15" s="63">
        <f t="shared" si="159"/>
        <v>0</v>
      </c>
      <c r="NXZ15" s="63">
        <f t="shared" si="159"/>
        <v>0</v>
      </c>
      <c r="NYA15" s="63">
        <f t="shared" si="159"/>
        <v>0</v>
      </c>
      <c r="NYB15" s="63">
        <f t="shared" ref="NYB15:OAM15" si="160">NYA18</f>
        <v>0</v>
      </c>
      <c r="NYC15" s="63">
        <f t="shared" si="160"/>
        <v>0</v>
      </c>
      <c r="NYD15" s="63">
        <f t="shared" si="160"/>
        <v>0</v>
      </c>
      <c r="NYE15" s="63">
        <f t="shared" si="160"/>
        <v>0</v>
      </c>
      <c r="NYF15" s="63">
        <f t="shared" si="160"/>
        <v>0</v>
      </c>
      <c r="NYG15" s="63">
        <f t="shared" si="160"/>
        <v>0</v>
      </c>
      <c r="NYH15" s="63">
        <f t="shared" si="160"/>
        <v>0</v>
      </c>
      <c r="NYI15" s="63">
        <f t="shared" si="160"/>
        <v>0</v>
      </c>
      <c r="NYJ15" s="63">
        <f t="shared" si="160"/>
        <v>0</v>
      </c>
      <c r="NYK15" s="63">
        <f t="shared" si="160"/>
        <v>0</v>
      </c>
      <c r="NYL15" s="63">
        <f t="shared" si="160"/>
        <v>0</v>
      </c>
      <c r="NYM15" s="63">
        <f t="shared" si="160"/>
        <v>0</v>
      </c>
      <c r="NYN15" s="63">
        <f t="shared" si="160"/>
        <v>0</v>
      </c>
      <c r="NYO15" s="63">
        <f t="shared" si="160"/>
        <v>0</v>
      </c>
      <c r="NYP15" s="63">
        <f t="shared" si="160"/>
        <v>0</v>
      </c>
      <c r="NYQ15" s="63">
        <f t="shared" si="160"/>
        <v>0</v>
      </c>
      <c r="NYR15" s="63">
        <f t="shared" si="160"/>
        <v>0</v>
      </c>
      <c r="NYS15" s="63">
        <f t="shared" si="160"/>
        <v>0</v>
      </c>
      <c r="NYT15" s="63">
        <f t="shared" si="160"/>
        <v>0</v>
      </c>
      <c r="NYU15" s="63">
        <f t="shared" si="160"/>
        <v>0</v>
      </c>
      <c r="NYV15" s="63">
        <f t="shared" si="160"/>
        <v>0</v>
      </c>
      <c r="NYW15" s="63">
        <f t="shared" si="160"/>
        <v>0</v>
      </c>
      <c r="NYX15" s="63">
        <f t="shared" si="160"/>
        <v>0</v>
      </c>
      <c r="NYY15" s="63">
        <f t="shared" si="160"/>
        <v>0</v>
      </c>
      <c r="NYZ15" s="63">
        <f t="shared" si="160"/>
        <v>0</v>
      </c>
      <c r="NZA15" s="63">
        <f t="shared" si="160"/>
        <v>0</v>
      </c>
      <c r="NZB15" s="63">
        <f t="shared" si="160"/>
        <v>0</v>
      </c>
      <c r="NZC15" s="63">
        <f t="shared" si="160"/>
        <v>0</v>
      </c>
      <c r="NZD15" s="63">
        <f t="shared" si="160"/>
        <v>0</v>
      </c>
      <c r="NZE15" s="63">
        <f t="shared" si="160"/>
        <v>0</v>
      </c>
      <c r="NZF15" s="63">
        <f t="shared" si="160"/>
        <v>0</v>
      </c>
      <c r="NZG15" s="63">
        <f t="shared" si="160"/>
        <v>0</v>
      </c>
      <c r="NZH15" s="63">
        <f t="shared" si="160"/>
        <v>0</v>
      </c>
      <c r="NZI15" s="63">
        <f t="shared" si="160"/>
        <v>0</v>
      </c>
      <c r="NZJ15" s="63">
        <f t="shared" si="160"/>
        <v>0</v>
      </c>
      <c r="NZK15" s="63">
        <f t="shared" si="160"/>
        <v>0</v>
      </c>
      <c r="NZL15" s="63">
        <f t="shared" si="160"/>
        <v>0</v>
      </c>
      <c r="NZM15" s="63">
        <f t="shared" si="160"/>
        <v>0</v>
      </c>
      <c r="NZN15" s="63">
        <f t="shared" si="160"/>
        <v>0</v>
      </c>
      <c r="NZO15" s="63">
        <f t="shared" si="160"/>
        <v>0</v>
      </c>
      <c r="NZP15" s="63">
        <f t="shared" si="160"/>
        <v>0</v>
      </c>
      <c r="NZQ15" s="63">
        <f t="shared" si="160"/>
        <v>0</v>
      </c>
      <c r="NZR15" s="63">
        <f t="shared" si="160"/>
        <v>0</v>
      </c>
      <c r="NZS15" s="63">
        <f t="shared" si="160"/>
        <v>0</v>
      </c>
      <c r="NZT15" s="63">
        <f t="shared" si="160"/>
        <v>0</v>
      </c>
      <c r="NZU15" s="63">
        <f t="shared" si="160"/>
        <v>0</v>
      </c>
      <c r="NZV15" s="63">
        <f t="shared" si="160"/>
        <v>0</v>
      </c>
      <c r="NZW15" s="63">
        <f t="shared" si="160"/>
        <v>0</v>
      </c>
      <c r="NZX15" s="63">
        <f t="shared" si="160"/>
        <v>0</v>
      </c>
      <c r="NZY15" s="63">
        <f t="shared" si="160"/>
        <v>0</v>
      </c>
      <c r="NZZ15" s="63">
        <f t="shared" si="160"/>
        <v>0</v>
      </c>
      <c r="OAA15" s="63">
        <f t="shared" si="160"/>
        <v>0</v>
      </c>
      <c r="OAB15" s="63">
        <f t="shared" si="160"/>
        <v>0</v>
      </c>
      <c r="OAC15" s="63">
        <f t="shared" si="160"/>
        <v>0</v>
      </c>
      <c r="OAD15" s="63">
        <f t="shared" si="160"/>
        <v>0</v>
      </c>
      <c r="OAE15" s="63">
        <f t="shared" si="160"/>
        <v>0</v>
      </c>
      <c r="OAF15" s="63">
        <f t="shared" si="160"/>
        <v>0</v>
      </c>
      <c r="OAG15" s="63">
        <f t="shared" si="160"/>
        <v>0</v>
      </c>
      <c r="OAH15" s="63">
        <f t="shared" si="160"/>
        <v>0</v>
      </c>
      <c r="OAI15" s="63">
        <f t="shared" si="160"/>
        <v>0</v>
      </c>
      <c r="OAJ15" s="63">
        <f t="shared" si="160"/>
        <v>0</v>
      </c>
      <c r="OAK15" s="63">
        <f t="shared" si="160"/>
        <v>0</v>
      </c>
      <c r="OAL15" s="63">
        <f t="shared" si="160"/>
        <v>0</v>
      </c>
      <c r="OAM15" s="63">
        <f t="shared" si="160"/>
        <v>0</v>
      </c>
      <c r="OAN15" s="63">
        <f t="shared" ref="OAN15:OCY15" si="161">OAM18</f>
        <v>0</v>
      </c>
      <c r="OAO15" s="63">
        <f t="shared" si="161"/>
        <v>0</v>
      </c>
      <c r="OAP15" s="63">
        <f t="shared" si="161"/>
        <v>0</v>
      </c>
      <c r="OAQ15" s="63">
        <f t="shared" si="161"/>
        <v>0</v>
      </c>
      <c r="OAR15" s="63">
        <f t="shared" si="161"/>
        <v>0</v>
      </c>
      <c r="OAS15" s="63">
        <f t="shared" si="161"/>
        <v>0</v>
      </c>
      <c r="OAT15" s="63">
        <f t="shared" si="161"/>
        <v>0</v>
      </c>
      <c r="OAU15" s="63">
        <f t="shared" si="161"/>
        <v>0</v>
      </c>
      <c r="OAV15" s="63">
        <f t="shared" si="161"/>
        <v>0</v>
      </c>
      <c r="OAW15" s="63">
        <f t="shared" si="161"/>
        <v>0</v>
      </c>
      <c r="OAX15" s="63">
        <f t="shared" si="161"/>
        <v>0</v>
      </c>
      <c r="OAY15" s="63">
        <f t="shared" si="161"/>
        <v>0</v>
      </c>
      <c r="OAZ15" s="63">
        <f t="shared" si="161"/>
        <v>0</v>
      </c>
      <c r="OBA15" s="63">
        <f t="shared" si="161"/>
        <v>0</v>
      </c>
      <c r="OBB15" s="63">
        <f t="shared" si="161"/>
        <v>0</v>
      </c>
      <c r="OBC15" s="63">
        <f t="shared" si="161"/>
        <v>0</v>
      </c>
      <c r="OBD15" s="63">
        <f t="shared" si="161"/>
        <v>0</v>
      </c>
      <c r="OBE15" s="63">
        <f t="shared" si="161"/>
        <v>0</v>
      </c>
      <c r="OBF15" s="63">
        <f t="shared" si="161"/>
        <v>0</v>
      </c>
      <c r="OBG15" s="63">
        <f t="shared" si="161"/>
        <v>0</v>
      </c>
      <c r="OBH15" s="63">
        <f t="shared" si="161"/>
        <v>0</v>
      </c>
      <c r="OBI15" s="63">
        <f t="shared" si="161"/>
        <v>0</v>
      </c>
      <c r="OBJ15" s="63">
        <f t="shared" si="161"/>
        <v>0</v>
      </c>
      <c r="OBK15" s="63">
        <f t="shared" si="161"/>
        <v>0</v>
      </c>
      <c r="OBL15" s="63">
        <f t="shared" si="161"/>
        <v>0</v>
      </c>
      <c r="OBM15" s="63">
        <f t="shared" si="161"/>
        <v>0</v>
      </c>
      <c r="OBN15" s="63">
        <f t="shared" si="161"/>
        <v>0</v>
      </c>
      <c r="OBO15" s="63">
        <f t="shared" si="161"/>
        <v>0</v>
      </c>
      <c r="OBP15" s="63">
        <f t="shared" si="161"/>
        <v>0</v>
      </c>
      <c r="OBQ15" s="63">
        <f t="shared" si="161"/>
        <v>0</v>
      </c>
      <c r="OBR15" s="63">
        <f t="shared" si="161"/>
        <v>0</v>
      </c>
      <c r="OBS15" s="63">
        <f t="shared" si="161"/>
        <v>0</v>
      </c>
      <c r="OBT15" s="63">
        <f t="shared" si="161"/>
        <v>0</v>
      </c>
      <c r="OBU15" s="63">
        <f t="shared" si="161"/>
        <v>0</v>
      </c>
      <c r="OBV15" s="63">
        <f t="shared" si="161"/>
        <v>0</v>
      </c>
      <c r="OBW15" s="63">
        <f t="shared" si="161"/>
        <v>0</v>
      </c>
      <c r="OBX15" s="63">
        <f t="shared" si="161"/>
        <v>0</v>
      </c>
      <c r="OBY15" s="63">
        <f t="shared" si="161"/>
        <v>0</v>
      </c>
      <c r="OBZ15" s="63">
        <f t="shared" si="161"/>
        <v>0</v>
      </c>
      <c r="OCA15" s="63">
        <f t="shared" si="161"/>
        <v>0</v>
      </c>
      <c r="OCB15" s="63">
        <f t="shared" si="161"/>
        <v>0</v>
      </c>
      <c r="OCC15" s="63">
        <f t="shared" si="161"/>
        <v>0</v>
      </c>
      <c r="OCD15" s="63">
        <f t="shared" si="161"/>
        <v>0</v>
      </c>
      <c r="OCE15" s="63">
        <f t="shared" si="161"/>
        <v>0</v>
      </c>
      <c r="OCF15" s="63">
        <f t="shared" si="161"/>
        <v>0</v>
      </c>
      <c r="OCG15" s="63">
        <f t="shared" si="161"/>
        <v>0</v>
      </c>
      <c r="OCH15" s="63">
        <f t="shared" si="161"/>
        <v>0</v>
      </c>
      <c r="OCI15" s="63">
        <f t="shared" si="161"/>
        <v>0</v>
      </c>
      <c r="OCJ15" s="63">
        <f t="shared" si="161"/>
        <v>0</v>
      </c>
      <c r="OCK15" s="63">
        <f t="shared" si="161"/>
        <v>0</v>
      </c>
      <c r="OCL15" s="63">
        <f t="shared" si="161"/>
        <v>0</v>
      </c>
      <c r="OCM15" s="63">
        <f t="shared" si="161"/>
        <v>0</v>
      </c>
      <c r="OCN15" s="63">
        <f t="shared" si="161"/>
        <v>0</v>
      </c>
      <c r="OCO15" s="63">
        <f t="shared" si="161"/>
        <v>0</v>
      </c>
      <c r="OCP15" s="63">
        <f t="shared" si="161"/>
        <v>0</v>
      </c>
      <c r="OCQ15" s="63">
        <f t="shared" si="161"/>
        <v>0</v>
      </c>
      <c r="OCR15" s="63">
        <f t="shared" si="161"/>
        <v>0</v>
      </c>
      <c r="OCS15" s="63">
        <f t="shared" si="161"/>
        <v>0</v>
      </c>
      <c r="OCT15" s="63">
        <f t="shared" si="161"/>
        <v>0</v>
      </c>
      <c r="OCU15" s="63">
        <f t="shared" si="161"/>
        <v>0</v>
      </c>
      <c r="OCV15" s="63">
        <f t="shared" si="161"/>
        <v>0</v>
      </c>
      <c r="OCW15" s="63">
        <f t="shared" si="161"/>
        <v>0</v>
      </c>
      <c r="OCX15" s="63">
        <f t="shared" si="161"/>
        <v>0</v>
      </c>
      <c r="OCY15" s="63">
        <f t="shared" si="161"/>
        <v>0</v>
      </c>
      <c r="OCZ15" s="63">
        <f t="shared" ref="OCZ15:OFK15" si="162">OCY18</f>
        <v>0</v>
      </c>
      <c r="ODA15" s="63">
        <f t="shared" si="162"/>
        <v>0</v>
      </c>
      <c r="ODB15" s="63">
        <f t="shared" si="162"/>
        <v>0</v>
      </c>
      <c r="ODC15" s="63">
        <f t="shared" si="162"/>
        <v>0</v>
      </c>
      <c r="ODD15" s="63">
        <f t="shared" si="162"/>
        <v>0</v>
      </c>
      <c r="ODE15" s="63">
        <f t="shared" si="162"/>
        <v>0</v>
      </c>
      <c r="ODF15" s="63">
        <f t="shared" si="162"/>
        <v>0</v>
      </c>
      <c r="ODG15" s="63">
        <f t="shared" si="162"/>
        <v>0</v>
      </c>
      <c r="ODH15" s="63">
        <f t="shared" si="162"/>
        <v>0</v>
      </c>
      <c r="ODI15" s="63">
        <f t="shared" si="162"/>
        <v>0</v>
      </c>
      <c r="ODJ15" s="63">
        <f t="shared" si="162"/>
        <v>0</v>
      </c>
      <c r="ODK15" s="63">
        <f t="shared" si="162"/>
        <v>0</v>
      </c>
      <c r="ODL15" s="63">
        <f t="shared" si="162"/>
        <v>0</v>
      </c>
      <c r="ODM15" s="63">
        <f t="shared" si="162"/>
        <v>0</v>
      </c>
      <c r="ODN15" s="63">
        <f t="shared" si="162"/>
        <v>0</v>
      </c>
      <c r="ODO15" s="63">
        <f t="shared" si="162"/>
        <v>0</v>
      </c>
      <c r="ODP15" s="63">
        <f t="shared" si="162"/>
        <v>0</v>
      </c>
      <c r="ODQ15" s="63">
        <f t="shared" si="162"/>
        <v>0</v>
      </c>
      <c r="ODR15" s="63">
        <f t="shared" si="162"/>
        <v>0</v>
      </c>
      <c r="ODS15" s="63">
        <f t="shared" si="162"/>
        <v>0</v>
      </c>
      <c r="ODT15" s="63">
        <f t="shared" si="162"/>
        <v>0</v>
      </c>
      <c r="ODU15" s="63">
        <f t="shared" si="162"/>
        <v>0</v>
      </c>
      <c r="ODV15" s="63">
        <f t="shared" si="162"/>
        <v>0</v>
      </c>
      <c r="ODW15" s="63">
        <f t="shared" si="162"/>
        <v>0</v>
      </c>
      <c r="ODX15" s="63">
        <f t="shared" si="162"/>
        <v>0</v>
      </c>
      <c r="ODY15" s="63">
        <f t="shared" si="162"/>
        <v>0</v>
      </c>
      <c r="ODZ15" s="63">
        <f t="shared" si="162"/>
        <v>0</v>
      </c>
      <c r="OEA15" s="63">
        <f t="shared" si="162"/>
        <v>0</v>
      </c>
      <c r="OEB15" s="63">
        <f t="shared" si="162"/>
        <v>0</v>
      </c>
      <c r="OEC15" s="63">
        <f t="shared" si="162"/>
        <v>0</v>
      </c>
      <c r="OED15" s="63">
        <f t="shared" si="162"/>
        <v>0</v>
      </c>
      <c r="OEE15" s="63">
        <f t="shared" si="162"/>
        <v>0</v>
      </c>
      <c r="OEF15" s="63">
        <f t="shared" si="162"/>
        <v>0</v>
      </c>
      <c r="OEG15" s="63">
        <f t="shared" si="162"/>
        <v>0</v>
      </c>
      <c r="OEH15" s="63">
        <f t="shared" si="162"/>
        <v>0</v>
      </c>
      <c r="OEI15" s="63">
        <f t="shared" si="162"/>
        <v>0</v>
      </c>
      <c r="OEJ15" s="63">
        <f t="shared" si="162"/>
        <v>0</v>
      </c>
      <c r="OEK15" s="63">
        <f t="shared" si="162"/>
        <v>0</v>
      </c>
      <c r="OEL15" s="63">
        <f t="shared" si="162"/>
        <v>0</v>
      </c>
      <c r="OEM15" s="63">
        <f t="shared" si="162"/>
        <v>0</v>
      </c>
      <c r="OEN15" s="63">
        <f t="shared" si="162"/>
        <v>0</v>
      </c>
      <c r="OEO15" s="63">
        <f t="shared" si="162"/>
        <v>0</v>
      </c>
      <c r="OEP15" s="63">
        <f t="shared" si="162"/>
        <v>0</v>
      </c>
      <c r="OEQ15" s="63">
        <f t="shared" si="162"/>
        <v>0</v>
      </c>
      <c r="OER15" s="63">
        <f t="shared" si="162"/>
        <v>0</v>
      </c>
      <c r="OES15" s="63">
        <f t="shared" si="162"/>
        <v>0</v>
      </c>
      <c r="OET15" s="63">
        <f t="shared" si="162"/>
        <v>0</v>
      </c>
      <c r="OEU15" s="63">
        <f t="shared" si="162"/>
        <v>0</v>
      </c>
      <c r="OEV15" s="63">
        <f t="shared" si="162"/>
        <v>0</v>
      </c>
      <c r="OEW15" s="63">
        <f t="shared" si="162"/>
        <v>0</v>
      </c>
      <c r="OEX15" s="63">
        <f t="shared" si="162"/>
        <v>0</v>
      </c>
      <c r="OEY15" s="63">
        <f t="shared" si="162"/>
        <v>0</v>
      </c>
      <c r="OEZ15" s="63">
        <f t="shared" si="162"/>
        <v>0</v>
      </c>
      <c r="OFA15" s="63">
        <f t="shared" si="162"/>
        <v>0</v>
      </c>
      <c r="OFB15" s="63">
        <f t="shared" si="162"/>
        <v>0</v>
      </c>
      <c r="OFC15" s="63">
        <f t="shared" si="162"/>
        <v>0</v>
      </c>
      <c r="OFD15" s="63">
        <f t="shared" si="162"/>
        <v>0</v>
      </c>
      <c r="OFE15" s="63">
        <f t="shared" si="162"/>
        <v>0</v>
      </c>
      <c r="OFF15" s="63">
        <f t="shared" si="162"/>
        <v>0</v>
      </c>
      <c r="OFG15" s="63">
        <f t="shared" si="162"/>
        <v>0</v>
      </c>
      <c r="OFH15" s="63">
        <f t="shared" si="162"/>
        <v>0</v>
      </c>
      <c r="OFI15" s="63">
        <f t="shared" si="162"/>
        <v>0</v>
      </c>
      <c r="OFJ15" s="63">
        <f t="shared" si="162"/>
        <v>0</v>
      </c>
      <c r="OFK15" s="63">
        <f t="shared" si="162"/>
        <v>0</v>
      </c>
      <c r="OFL15" s="63">
        <f t="shared" ref="OFL15:OHW15" si="163">OFK18</f>
        <v>0</v>
      </c>
      <c r="OFM15" s="63">
        <f t="shared" si="163"/>
        <v>0</v>
      </c>
      <c r="OFN15" s="63">
        <f t="shared" si="163"/>
        <v>0</v>
      </c>
      <c r="OFO15" s="63">
        <f t="shared" si="163"/>
        <v>0</v>
      </c>
      <c r="OFP15" s="63">
        <f t="shared" si="163"/>
        <v>0</v>
      </c>
      <c r="OFQ15" s="63">
        <f t="shared" si="163"/>
        <v>0</v>
      </c>
      <c r="OFR15" s="63">
        <f t="shared" si="163"/>
        <v>0</v>
      </c>
      <c r="OFS15" s="63">
        <f t="shared" si="163"/>
        <v>0</v>
      </c>
      <c r="OFT15" s="63">
        <f t="shared" si="163"/>
        <v>0</v>
      </c>
      <c r="OFU15" s="63">
        <f t="shared" si="163"/>
        <v>0</v>
      </c>
      <c r="OFV15" s="63">
        <f t="shared" si="163"/>
        <v>0</v>
      </c>
      <c r="OFW15" s="63">
        <f t="shared" si="163"/>
        <v>0</v>
      </c>
      <c r="OFX15" s="63">
        <f t="shared" si="163"/>
        <v>0</v>
      </c>
      <c r="OFY15" s="63">
        <f t="shared" si="163"/>
        <v>0</v>
      </c>
      <c r="OFZ15" s="63">
        <f t="shared" si="163"/>
        <v>0</v>
      </c>
      <c r="OGA15" s="63">
        <f t="shared" si="163"/>
        <v>0</v>
      </c>
      <c r="OGB15" s="63">
        <f t="shared" si="163"/>
        <v>0</v>
      </c>
      <c r="OGC15" s="63">
        <f t="shared" si="163"/>
        <v>0</v>
      </c>
      <c r="OGD15" s="63">
        <f t="shared" si="163"/>
        <v>0</v>
      </c>
      <c r="OGE15" s="63">
        <f t="shared" si="163"/>
        <v>0</v>
      </c>
      <c r="OGF15" s="63">
        <f t="shared" si="163"/>
        <v>0</v>
      </c>
      <c r="OGG15" s="63">
        <f t="shared" si="163"/>
        <v>0</v>
      </c>
      <c r="OGH15" s="63">
        <f t="shared" si="163"/>
        <v>0</v>
      </c>
      <c r="OGI15" s="63">
        <f t="shared" si="163"/>
        <v>0</v>
      </c>
      <c r="OGJ15" s="63">
        <f t="shared" si="163"/>
        <v>0</v>
      </c>
      <c r="OGK15" s="63">
        <f t="shared" si="163"/>
        <v>0</v>
      </c>
      <c r="OGL15" s="63">
        <f t="shared" si="163"/>
        <v>0</v>
      </c>
      <c r="OGM15" s="63">
        <f t="shared" si="163"/>
        <v>0</v>
      </c>
      <c r="OGN15" s="63">
        <f t="shared" si="163"/>
        <v>0</v>
      </c>
      <c r="OGO15" s="63">
        <f t="shared" si="163"/>
        <v>0</v>
      </c>
      <c r="OGP15" s="63">
        <f t="shared" si="163"/>
        <v>0</v>
      </c>
      <c r="OGQ15" s="63">
        <f t="shared" si="163"/>
        <v>0</v>
      </c>
      <c r="OGR15" s="63">
        <f t="shared" si="163"/>
        <v>0</v>
      </c>
      <c r="OGS15" s="63">
        <f t="shared" si="163"/>
        <v>0</v>
      </c>
      <c r="OGT15" s="63">
        <f t="shared" si="163"/>
        <v>0</v>
      </c>
      <c r="OGU15" s="63">
        <f t="shared" si="163"/>
        <v>0</v>
      </c>
      <c r="OGV15" s="63">
        <f t="shared" si="163"/>
        <v>0</v>
      </c>
      <c r="OGW15" s="63">
        <f t="shared" si="163"/>
        <v>0</v>
      </c>
      <c r="OGX15" s="63">
        <f t="shared" si="163"/>
        <v>0</v>
      </c>
      <c r="OGY15" s="63">
        <f t="shared" si="163"/>
        <v>0</v>
      </c>
      <c r="OGZ15" s="63">
        <f t="shared" si="163"/>
        <v>0</v>
      </c>
      <c r="OHA15" s="63">
        <f t="shared" si="163"/>
        <v>0</v>
      </c>
      <c r="OHB15" s="63">
        <f t="shared" si="163"/>
        <v>0</v>
      </c>
      <c r="OHC15" s="63">
        <f t="shared" si="163"/>
        <v>0</v>
      </c>
      <c r="OHD15" s="63">
        <f t="shared" si="163"/>
        <v>0</v>
      </c>
      <c r="OHE15" s="63">
        <f t="shared" si="163"/>
        <v>0</v>
      </c>
      <c r="OHF15" s="63">
        <f t="shared" si="163"/>
        <v>0</v>
      </c>
      <c r="OHG15" s="63">
        <f t="shared" si="163"/>
        <v>0</v>
      </c>
      <c r="OHH15" s="63">
        <f t="shared" si="163"/>
        <v>0</v>
      </c>
      <c r="OHI15" s="63">
        <f t="shared" si="163"/>
        <v>0</v>
      </c>
      <c r="OHJ15" s="63">
        <f t="shared" si="163"/>
        <v>0</v>
      </c>
      <c r="OHK15" s="63">
        <f t="shared" si="163"/>
        <v>0</v>
      </c>
      <c r="OHL15" s="63">
        <f t="shared" si="163"/>
        <v>0</v>
      </c>
      <c r="OHM15" s="63">
        <f t="shared" si="163"/>
        <v>0</v>
      </c>
      <c r="OHN15" s="63">
        <f t="shared" si="163"/>
        <v>0</v>
      </c>
      <c r="OHO15" s="63">
        <f t="shared" si="163"/>
        <v>0</v>
      </c>
      <c r="OHP15" s="63">
        <f t="shared" si="163"/>
        <v>0</v>
      </c>
      <c r="OHQ15" s="63">
        <f t="shared" si="163"/>
        <v>0</v>
      </c>
      <c r="OHR15" s="63">
        <f t="shared" si="163"/>
        <v>0</v>
      </c>
      <c r="OHS15" s="63">
        <f t="shared" si="163"/>
        <v>0</v>
      </c>
      <c r="OHT15" s="63">
        <f t="shared" si="163"/>
        <v>0</v>
      </c>
      <c r="OHU15" s="63">
        <f t="shared" si="163"/>
        <v>0</v>
      </c>
      <c r="OHV15" s="63">
        <f t="shared" si="163"/>
        <v>0</v>
      </c>
      <c r="OHW15" s="63">
        <f t="shared" si="163"/>
        <v>0</v>
      </c>
      <c r="OHX15" s="63">
        <f t="shared" ref="OHX15:OKI15" si="164">OHW18</f>
        <v>0</v>
      </c>
      <c r="OHY15" s="63">
        <f t="shared" si="164"/>
        <v>0</v>
      </c>
      <c r="OHZ15" s="63">
        <f t="shared" si="164"/>
        <v>0</v>
      </c>
      <c r="OIA15" s="63">
        <f t="shared" si="164"/>
        <v>0</v>
      </c>
      <c r="OIB15" s="63">
        <f t="shared" si="164"/>
        <v>0</v>
      </c>
      <c r="OIC15" s="63">
        <f t="shared" si="164"/>
        <v>0</v>
      </c>
      <c r="OID15" s="63">
        <f t="shared" si="164"/>
        <v>0</v>
      </c>
      <c r="OIE15" s="63">
        <f t="shared" si="164"/>
        <v>0</v>
      </c>
      <c r="OIF15" s="63">
        <f t="shared" si="164"/>
        <v>0</v>
      </c>
      <c r="OIG15" s="63">
        <f t="shared" si="164"/>
        <v>0</v>
      </c>
      <c r="OIH15" s="63">
        <f t="shared" si="164"/>
        <v>0</v>
      </c>
      <c r="OII15" s="63">
        <f t="shared" si="164"/>
        <v>0</v>
      </c>
      <c r="OIJ15" s="63">
        <f t="shared" si="164"/>
        <v>0</v>
      </c>
      <c r="OIK15" s="63">
        <f t="shared" si="164"/>
        <v>0</v>
      </c>
      <c r="OIL15" s="63">
        <f t="shared" si="164"/>
        <v>0</v>
      </c>
      <c r="OIM15" s="63">
        <f t="shared" si="164"/>
        <v>0</v>
      </c>
      <c r="OIN15" s="63">
        <f t="shared" si="164"/>
        <v>0</v>
      </c>
      <c r="OIO15" s="63">
        <f t="shared" si="164"/>
        <v>0</v>
      </c>
      <c r="OIP15" s="63">
        <f t="shared" si="164"/>
        <v>0</v>
      </c>
      <c r="OIQ15" s="63">
        <f t="shared" si="164"/>
        <v>0</v>
      </c>
      <c r="OIR15" s="63">
        <f t="shared" si="164"/>
        <v>0</v>
      </c>
      <c r="OIS15" s="63">
        <f t="shared" si="164"/>
        <v>0</v>
      </c>
      <c r="OIT15" s="63">
        <f t="shared" si="164"/>
        <v>0</v>
      </c>
      <c r="OIU15" s="63">
        <f t="shared" si="164"/>
        <v>0</v>
      </c>
      <c r="OIV15" s="63">
        <f t="shared" si="164"/>
        <v>0</v>
      </c>
      <c r="OIW15" s="63">
        <f t="shared" si="164"/>
        <v>0</v>
      </c>
      <c r="OIX15" s="63">
        <f t="shared" si="164"/>
        <v>0</v>
      </c>
      <c r="OIY15" s="63">
        <f t="shared" si="164"/>
        <v>0</v>
      </c>
      <c r="OIZ15" s="63">
        <f t="shared" si="164"/>
        <v>0</v>
      </c>
      <c r="OJA15" s="63">
        <f t="shared" si="164"/>
        <v>0</v>
      </c>
      <c r="OJB15" s="63">
        <f t="shared" si="164"/>
        <v>0</v>
      </c>
      <c r="OJC15" s="63">
        <f t="shared" si="164"/>
        <v>0</v>
      </c>
      <c r="OJD15" s="63">
        <f t="shared" si="164"/>
        <v>0</v>
      </c>
      <c r="OJE15" s="63">
        <f t="shared" si="164"/>
        <v>0</v>
      </c>
      <c r="OJF15" s="63">
        <f t="shared" si="164"/>
        <v>0</v>
      </c>
      <c r="OJG15" s="63">
        <f t="shared" si="164"/>
        <v>0</v>
      </c>
      <c r="OJH15" s="63">
        <f t="shared" si="164"/>
        <v>0</v>
      </c>
      <c r="OJI15" s="63">
        <f t="shared" si="164"/>
        <v>0</v>
      </c>
      <c r="OJJ15" s="63">
        <f t="shared" si="164"/>
        <v>0</v>
      </c>
      <c r="OJK15" s="63">
        <f t="shared" si="164"/>
        <v>0</v>
      </c>
      <c r="OJL15" s="63">
        <f t="shared" si="164"/>
        <v>0</v>
      </c>
      <c r="OJM15" s="63">
        <f t="shared" si="164"/>
        <v>0</v>
      </c>
      <c r="OJN15" s="63">
        <f t="shared" si="164"/>
        <v>0</v>
      </c>
      <c r="OJO15" s="63">
        <f t="shared" si="164"/>
        <v>0</v>
      </c>
      <c r="OJP15" s="63">
        <f t="shared" si="164"/>
        <v>0</v>
      </c>
      <c r="OJQ15" s="63">
        <f t="shared" si="164"/>
        <v>0</v>
      </c>
      <c r="OJR15" s="63">
        <f t="shared" si="164"/>
        <v>0</v>
      </c>
      <c r="OJS15" s="63">
        <f t="shared" si="164"/>
        <v>0</v>
      </c>
      <c r="OJT15" s="63">
        <f t="shared" si="164"/>
        <v>0</v>
      </c>
      <c r="OJU15" s="63">
        <f t="shared" si="164"/>
        <v>0</v>
      </c>
      <c r="OJV15" s="63">
        <f t="shared" si="164"/>
        <v>0</v>
      </c>
      <c r="OJW15" s="63">
        <f t="shared" si="164"/>
        <v>0</v>
      </c>
      <c r="OJX15" s="63">
        <f t="shared" si="164"/>
        <v>0</v>
      </c>
      <c r="OJY15" s="63">
        <f t="shared" si="164"/>
        <v>0</v>
      </c>
      <c r="OJZ15" s="63">
        <f t="shared" si="164"/>
        <v>0</v>
      </c>
      <c r="OKA15" s="63">
        <f t="shared" si="164"/>
        <v>0</v>
      </c>
      <c r="OKB15" s="63">
        <f t="shared" si="164"/>
        <v>0</v>
      </c>
      <c r="OKC15" s="63">
        <f t="shared" si="164"/>
        <v>0</v>
      </c>
      <c r="OKD15" s="63">
        <f t="shared" si="164"/>
        <v>0</v>
      </c>
      <c r="OKE15" s="63">
        <f t="shared" si="164"/>
        <v>0</v>
      </c>
      <c r="OKF15" s="63">
        <f t="shared" si="164"/>
        <v>0</v>
      </c>
      <c r="OKG15" s="63">
        <f t="shared" si="164"/>
        <v>0</v>
      </c>
      <c r="OKH15" s="63">
        <f t="shared" si="164"/>
        <v>0</v>
      </c>
      <c r="OKI15" s="63">
        <f t="shared" si="164"/>
        <v>0</v>
      </c>
      <c r="OKJ15" s="63">
        <f t="shared" ref="OKJ15:OMU15" si="165">OKI18</f>
        <v>0</v>
      </c>
      <c r="OKK15" s="63">
        <f t="shared" si="165"/>
        <v>0</v>
      </c>
      <c r="OKL15" s="63">
        <f t="shared" si="165"/>
        <v>0</v>
      </c>
      <c r="OKM15" s="63">
        <f t="shared" si="165"/>
        <v>0</v>
      </c>
      <c r="OKN15" s="63">
        <f t="shared" si="165"/>
        <v>0</v>
      </c>
      <c r="OKO15" s="63">
        <f t="shared" si="165"/>
        <v>0</v>
      </c>
      <c r="OKP15" s="63">
        <f t="shared" si="165"/>
        <v>0</v>
      </c>
      <c r="OKQ15" s="63">
        <f t="shared" si="165"/>
        <v>0</v>
      </c>
      <c r="OKR15" s="63">
        <f t="shared" si="165"/>
        <v>0</v>
      </c>
      <c r="OKS15" s="63">
        <f t="shared" si="165"/>
        <v>0</v>
      </c>
      <c r="OKT15" s="63">
        <f t="shared" si="165"/>
        <v>0</v>
      </c>
      <c r="OKU15" s="63">
        <f t="shared" si="165"/>
        <v>0</v>
      </c>
      <c r="OKV15" s="63">
        <f t="shared" si="165"/>
        <v>0</v>
      </c>
      <c r="OKW15" s="63">
        <f t="shared" si="165"/>
        <v>0</v>
      </c>
      <c r="OKX15" s="63">
        <f t="shared" si="165"/>
        <v>0</v>
      </c>
      <c r="OKY15" s="63">
        <f t="shared" si="165"/>
        <v>0</v>
      </c>
      <c r="OKZ15" s="63">
        <f t="shared" si="165"/>
        <v>0</v>
      </c>
      <c r="OLA15" s="63">
        <f t="shared" si="165"/>
        <v>0</v>
      </c>
      <c r="OLB15" s="63">
        <f t="shared" si="165"/>
        <v>0</v>
      </c>
      <c r="OLC15" s="63">
        <f t="shared" si="165"/>
        <v>0</v>
      </c>
      <c r="OLD15" s="63">
        <f t="shared" si="165"/>
        <v>0</v>
      </c>
      <c r="OLE15" s="63">
        <f t="shared" si="165"/>
        <v>0</v>
      </c>
      <c r="OLF15" s="63">
        <f t="shared" si="165"/>
        <v>0</v>
      </c>
      <c r="OLG15" s="63">
        <f t="shared" si="165"/>
        <v>0</v>
      </c>
      <c r="OLH15" s="63">
        <f t="shared" si="165"/>
        <v>0</v>
      </c>
      <c r="OLI15" s="63">
        <f t="shared" si="165"/>
        <v>0</v>
      </c>
      <c r="OLJ15" s="63">
        <f t="shared" si="165"/>
        <v>0</v>
      </c>
      <c r="OLK15" s="63">
        <f t="shared" si="165"/>
        <v>0</v>
      </c>
      <c r="OLL15" s="63">
        <f t="shared" si="165"/>
        <v>0</v>
      </c>
      <c r="OLM15" s="63">
        <f t="shared" si="165"/>
        <v>0</v>
      </c>
      <c r="OLN15" s="63">
        <f t="shared" si="165"/>
        <v>0</v>
      </c>
      <c r="OLO15" s="63">
        <f t="shared" si="165"/>
        <v>0</v>
      </c>
      <c r="OLP15" s="63">
        <f t="shared" si="165"/>
        <v>0</v>
      </c>
      <c r="OLQ15" s="63">
        <f t="shared" si="165"/>
        <v>0</v>
      </c>
      <c r="OLR15" s="63">
        <f t="shared" si="165"/>
        <v>0</v>
      </c>
      <c r="OLS15" s="63">
        <f t="shared" si="165"/>
        <v>0</v>
      </c>
      <c r="OLT15" s="63">
        <f t="shared" si="165"/>
        <v>0</v>
      </c>
      <c r="OLU15" s="63">
        <f t="shared" si="165"/>
        <v>0</v>
      </c>
      <c r="OLV15" s="63">
        <f t="shared" si="165"/>
        <v>0</v>
      </c>
      <c r="OLW15" s="63">
        <f t="shared" si="165"/>
        <v>0</v>
      </c>
      <c r="OLX15" s="63">
        <f t="shared" si="165"/>
        <v>0</v>
      </c>
      <c r="OLY15" s="63">
        <f t="shared" si="165"/>
        <v>0</v>
      </c>
      <c r="OLZ15" s="63">
        <f t="shared" si="165"/>
        <v>0</v>
      </c>
      <c r="OMA15" s="63">
        <f t="shared" si="165"/>
        <v>0</v>
      </c>
      <c r="OMB15" s="63">
        <f t="shared" si="165"/>
        <v>0</v>
      </c>
      <c r="OMC15" s="63">
        <f t="shared" si="165"/>
        <v>0</v>
      </c>
      <c r="OMD15" s="63">
        <f t="shared" si="165"/>
        <v>0</v>
      </c>
      <c r="OME15" s="63">
        <f t="shared" si="165"/>
        <v>0</v>
      </c>
      <c r="OMF15" s="63">
        <f t="shared" si="165"/>
        <v>0</v>
      </c>
      <c r="OMG15" s="63">
        <f t="shared" si="165"/>
        <v>0</v>
      </c>
      <c r="OMH15" s="63">
        <f t="shared" si="165"/>
        <v>0</v>
      </c>
      <c r="OMI15" s="63">
        <f t="shared" si="165"/>
        <v>0</v>
      </c>
      <c r="OMJ15" s="63">
        <f t="shared" si="165"/>
        <v>0</v>
      </c>
      <c r="OMK15" s="63">
        <f t="shared" si="165"/>
        <v>0</v>
      </c>
      <c r="OML15" s="63">
        <f t="shared" si="165"/>
        <v>0</v>
      </c>
      <c r="OMM15" s="63">
        <f t="shared" si="165"/>
        <v>0</v>
      </c>
      <c r="OMN15" s="63">
        <f t="shared" si="165"/>
        <v>0</v>
      </c>
      <c r="OMO15" s="63">
        <f t="shared" si="165"/>
        <v>0</v>
      </c>
      <c r="OMP15" s="63">
        <f t="shared" si="165"/>
        <v>0</v>
      </c>
      <c r="OMQ15" s="63">
        <f t="shared" si="165"/>
        <v>0</v>
      </c>
      <c r="OMR15" s="63">
        <f t="shared" si="165"/>
        <v>0</v>
      </c>
      <c r="OMS15" s="63">
        <f t="shared" si="165"/>
        <v>0</v>
      </c>
      <c r="OMT15" s="63">
        <f t="shared" si="165"/>
        <v>0</v>
      </c>
      <c r="OMU15" s="63">
        <f t="shared" si="165"/>
        <v>0</v>
      </c>
      <c r="OMV15" s="63">
        <f t="shared" ref="OMV15:OPG15" si="166">OMU18</f>
        <v>0</v>
      </c>
      <c r="OMW15" s="63">
        <f t="shared" si="166"/>
        <v>0</v>
      </c>
      <c r="OMX15" s="63">
        <f t="shared" si="166"/>
        <v>0</v>
      </c>
      <c r="OMY15" s="63">
        <f t="shared" si="166"/>
        <v>0</v>
      </c>
      <c r="OMZ15" s="63">
        <f t="shared" si="166"/>
        <v>0</v>
      </c>
      <c r="ONA15" s="63">
        <f t="shared" si="166"/>
        <v>0</v>
      </c>
      <c r="ONB15" s="63">
        <f t="shared" si="166"/>
        <v>0</v>
      </c>
      <c r="ONC15" s="63">
        <f t="shared" si="166"/>
        <v>0</v>
      </c>
      <c r="OND15" s="63">
        <f t="shared" si="166"/>
        <v>0</v>
      </c>
      <c r="ONE15" s="63">
        <f t="shared" si="166"/>
        <v>0</v>
      </c>
      <c r="ONF15" s="63">
        <f t="shared" si="166"/>
        <v>0</v>
      </c>
      <c r="ONG15" s="63">
        <f t="shared" si="166"/>
        <v>0</v>
      </c>
      <c r="ONH15" s="63">
        <f t="shared" si="166"/>
        <v>0</v>
      </c>
      <c r="ONI15" s="63">
        <f t="shared" si="166"/>
        <v>0</v>
      </c>
      <c r="ONJ15" s="63">
        <f t="shared" si="166"/>
        <v>0</v>
      </c>
      <c r="ONK15" s="63">
        <f t="shared" si="166"/>
        <v>0</v>
      </c>
      <c r="ONL15" s="63">
        <f t="shared" si="166"/>
        <v>0</v>
      </c>
      <c r="ONM15" s="63">
        <f t="shared" si="166"/>
        <v>0</v>
      </c>
      <c r="ONN15" s="63">
        <f t="shared" si="166"/>
        <v>0</v>
      </c>
      <c r="ONO15" s="63">
        <f t="shared" si="166"/>
        <v>0</v>
      </c>
      <c r="ONP15" s="63">
        <f t="shared" si="166"/>
        <v>0</v>
      </c>
      <c r="ONQ15" s="63">
        <f t="shared" si="166"/>
        <v>0</v>
      </c>
      <c r="ONR15" s="63">
        <f t="shared" si="166"/>
        <v>0</v>
      </c>
      <c r="ONS15" s="63">
        <f t="shared" si="166"/>
        <v>0</v>
      </c>
      <c r="ONT15" s="63">
        <f t="shared" si="166"/>
        <v>0</v>
      </c>
      <c r="ONU15" s="63">
        <f t="shared" si="166"/>
        <v>0</v>
      </c>
      <c r="ONV15" s="63">
        <f t="shared" si="166"/>
        <v>0</v>
      </c>
      <c r="ONW15" s="63">
        <f t="shared" si="166"/>
        <v>0</v>
      </c>
      <c r="ONX15" s="63">
        <f t="shared" si="166"/>
        <v>0</v>
      </c>
      <c r="ONY15" s="63">
        <f t="shared" si="166"/>
        <v>0</v>
      </c>
      <c r="ONZ15" s="63">
        <f t="shared" si="166"/>
        <v>0</v>
      </c>
      <c r="OOA15" s="63">
        <f t="shared" si="166"/>
        <v>0</v>
      </c>
      <c r="OOB15" s="63">
        <f t="shared" si="166"/>
        <v>0</v>
      </c>
      <c r="OOC15" s="63">
        <f t="shared" si="166"/>
        <v>0</v>
      </c>
      <c r="OOD15" s="63">
        <f t="shared" si="166"/>
        <v>0</v>
      </c>
      <c r="OOE15" s="63">
        <f t="shared" si="166"/>
        <v>0</v>
      </c>
      <c r="OOF15" s="63">
        <f t="shared" si="166"/>
        <v>0</v>
      </c>
      <c r="OOG15" s="63">
        <f t="shared" si="166"/>
        <v>0</v>
      </c>
      <c r="OOH15" s="63">
        <f t="shared" si="166"/>
        <v>0</v>
      </c>
      <c r="OOI15" s="63">
        <f t="shared" si="166"/>
        <v>0</v>
      </c>
      <c r="OOJ15" s="63">
        <f t="shared" si="166"/>
        <v>0</v>
      </c>
      <c r="OOK15" s="63">
        <f t="shared" si="166"/>
        <v>0</v>
      </c>
      <c r="OOL15" s="63">
        <f t="shared" si="166"/>
        <v>0</v>
      </c>
      <c r="OOM15" s="63">
        <f t="shared" si="166"/>
        <v>0</v>
      </c>
      <c r="OON15" s="63">
        <f t="shared" si="166"/>
        <v>0</v>
      </c>
      <c r="OOO15" s="63">
        <f t="shared" si="166"/>
        <v>0</v>
      </c>
      <c r="OOP15" s="63">
        <f t="shared" si="166"/>
        <v>0</v>
      </c>
      <c r="OOQ15" s="63">
        <f t="shared" si="166"/>
        <v>0</v>
      </c>
      <c r="OOR15" s="63">
        <f t="shared" si="166"/>
        <v>0</v>
      </c>
      <c r="OOS15" s="63">
        <f t="shared" si="166"/>
        <v>0</v>
      </c>
      <c r="OOT15" s="63">
        <f t="shared" si="166"/>
        <v>0</v>
      </c>
      <c r="OOU15" s="63">
        <f t="shared" si="166"/>
        <v>0</v>
      </c>
      <c r="OOV15" s="63">
        <f t="shared" si="166"/>
        <v>0</v>
      </c>
      <c r="OOW15" s="63">
        <f t="shared" si="166"/>
        <v>0</v>
      </c>
      <c r="OOX15" s="63">
        <f t="shared" si="166"/>
        <v>0</v>
      </c>
      <c r="OOY15" s="63">
        <f t="shared" si="166"/>
        <v>0</v>
      </c>
      <c r="OOZ15" s="63">
        <f t="shared" si="166"/>
        <v>0</v>
      </c>
      <c r="OPA15" s="63">
        <f t="shared" si="166"/>
        <v>0</v>
      </c>
      <c r="OPB15" s="63">
        <f t="shared" si="166"/>
        <v>0</v>
      </c>
      <c r="OPC15" s="63">
        <f t="shared" si="166"/>
        <v>0</v>
      </c>
      <c r="OPD15" s="63">
        <f t="shared" si="166"/>
        <v>0</v>
      </c>
      <c r="OPE15" s="63">
        <f t="shared" si="166"/>
        <v>0</v>
      </c>
      <c r="OPF15" s="63">
        <f t="shared" si="166"/>
        <v>0</v>
      </c>
      <c r="OPG15" s="63">
        <f t="shared" si="166"/>
        <v>0</v>
      </c>
      <c r="OPH15" s="63">
        <f t="shared" ref="OPH15:ORS15" si="167">OPG18</f>
        <v>0</v>
      </c>
      <c r="OPI15" s="63">
        <f t="shared" si="167"/>
        <v>0</v>
      </c>
      <c r="OPJ15" s="63">
        <f t="shared" si="167"/>
        <v>0</v>
      </c>
      <c r="OPK15" s="63">
        <f t="shared" si="167"/>
        <v>0</v>
      </c>
      <c r="OPL15" s="63">
        <f t="shared" si="167"/>
        <v>0</v>
      </c>
      <c r="OPM15" s="63">
        <f t="shared" si="167"/>
        <v>0</v>
      </c>
      <c r="OPN15" s="63">
        <f t="shared" si="167"/>
        <v>0</v>
      </c>
      <c r="OPO15" s="63">
        <f t="shared" si="167"/>
        <v>0</v>
      </c>
      <c r="OPP15" s="63">
        <f t="shared" si="167"/>
        <v>0</v>
      </c>
      <c r="OPQ15" s="63">
        <f t="shared" si="167"/>
        <v>0</v>
      </c>
      <c r="OPR15" s="63">
        <f t="shared" si="167"/>
        <v>0</v>
      </c>
      <c r="OPS15" s="63">
        <f t="shared" si="167"/>
        <v>0</v>
      </c>
      <c r="OPT15" s="63">
        <f t="shared" si="167"/>
        <v>0</v>
      </c>
      <c r="OPU15" s="63">
        <f t="shared" si="167"/>
        <v>0</v>
      </c>
      <c r="OPV15" s="63">
        <f t="shared" si="167"/>
        <v>0</v>
      </c>
      <c r="OPW15" s="63">
        <f t="shared" si="167"/>
        <v>0</v>
      </c>
      <c r="OPX15" s="63">
        <f t="shared" si="167"/>
        <v>0</v>
      </c>
      <c r="OPY15" s="63">
        <f t="shared" si="167"/>
        <v>0</v>
      </c>
      <c r="OPZ15" s="63">
        <f t="shared" si="167"/>
        <v>0</v>
      </c>
      <c r="OQA15" s="63">
        <f t="shared" si="167"/>
        <v>0</v>
      </c>
      <c r="OQB15" s="63">
        <f t="shared" si="167"/>
        <v>0</v>
      </c>
      <c r="OQC15" s="63">
        <f t="shared" si="167"/>
        <v>0</v>
      </c>
      <c r="OQD15" s="63">
        <f t="shared" si="167"/>
        <v>0</v>
      </c>
      <c r="OQE15" s="63">
        <f t="shared" si="167"/>
        <v>0</v>
      </c>
      <c r="OQF15" s="63">
        <f t="shared" si="167"/>
        <v>0</v>
      </c>
      <c r="OQG15" s="63">
        <f t="shared" si="167"/>
        <v>0</v>
      </c>
      <c r="OQH15" s="63">
        <f t="shared" si="167"/>
        <v>0</v>
      </c>
      <c r="OQI15" s="63">
        <f t="shared" si="167"/>
        <v>0</v>
      </c>
      <c r="OQJ15" s="63">
        <f t="shared" si="167"/>
        <v>0</v>
      </c>
      <c r="OQK15" s="63">
        <f t="shared" si="167"/>
        <v>0</v>
      </c>
      <c r="OQL15" s="63">
        <f t="shared" si="167"/>
        <v>0</v>
      </c>
      <c r="OQM15" s="63">
        <f t="shared" si="167"/>
        <v>0</v>
      </c>
      <c r="OQN15" s="63">
        <f t="shared" si="167"/>
        <v>0</v>
      </c>
      <c r="OQO15" s="63">
        <f t="shared" si="167"/>
        <v>0</v>
      </c>
      <c r="OQP15" s="63">
        <f t="shared" si="167"/>
        <v>0</v>
      </c>
      <c r="OQQ15" s="63">
        <f t="shared" si="167"/>
        <v>0</v>
      </c>
      <c r="OQR15" s="63">
        <f t="shared" si="167"/>
        <v>0</v>
      </c>
      <c r="OQS15" s="63">
        <f t="shared" si="167"/>
        <v>0</v>
      </c>
      <c r="OQT15" s="63">
        <f t="shared" si="167"/>
        <v>0</v>
      </c>
      <c r="OQU15" s="63">
        <f t="shared" si="167"/>
        <v>0</v>
      </c>
      <c r="OQV15" s="63">
        <f t="shared" si="167"/>
        <v>0</v>
      </c>
      <c r="OQW15" s="63">
        <f t="shared" si="167"/>
        <v>0</v>
      </c>
      <c r="OQX15" s="63">
        <f t="shared" si="167"/>
        <v>0</v>
      </c>
      <c r="OQY15" s="63">
        <f t="shared" si="167"/>
        <v>0</v>
      </c>
      <c r="OQZ15" s="63">
        <f t="shared" si="167"/>
        <v>0</v>
      </c>
      <c r="ORA15" s="63">
        <f t="shared" si="167"/>
        <v>0</v>
      </c>
      <c r="ORB15" s="63">
        <f t="shared" si="167"/>
        <v>0</v>
      </c>
      <c r="ORC15" s="63">
        <f t="shared" si="167"/>
        <v>0</v>
      </c>
      <c r="ORD15" s="63">
        <f t="shared" si="167"/>
        <v>0</v>
      </c>
      <c r="ORE15" s="63">
        <f t="shared" si="167"/>
        <v>0</v>
      </c>
      <c r="ORF15" s="63">
        <f t="shared" si="167"/>
        <v>0</v>
      </c>
      <c r="ORG15" s="63">
        <f t="shared" si="167"/>
        <v>0</v>
      </c>
      <c r="ORH15" s="63">
        <f t="shared" si="167"/>
        <v>0</v>
      </c>
      <c r="ORI15" s="63">
        <f t="shared" si="167"/>
        <v>0</v>
      </c>
      <c r="ORJ15" s="63">
        <f t="shared" si="167"/>
        <v>0</v>
      </c>
      <c r="ORK15" s="63">
        <f t="shared" si="167"/>
        <v>0</v>
      </c>
      <c r="ORL15" s="63">
        <f t="shared" si="167"/>
        <v>0</v>
      </c>
      <c r="ORM15" s="63">
        <f t="shared" si="167"/>
        <v>0</v>
      </c>
      <c r="ORN15" s="63">
        <f t="shared" si="167"/>
        <v>0</v>
      </c>
      <c r="ORO15" s="63">
        <f t="shared" si="167"/>
        <v>0</v>
      </c>
      <c r="ORP15" s="63">
        <f t="shared" si="167"/>
        <v>0</v>
      </c>
      <c r="ORQ15" s="63">
        <f t="shared" si="167"/>
        <v>0</v>
      </c>
      <c r="ORR15" s="63">
        <f t="shared" si="167"/>
        <v>0</v>
      </c>
      <c r="ORS15" s="63">
        <f t="shared" si="167"/>
        <v>0</v>
      </c>
      <c r="ORT15" s="63">
        <f t="shared" ref="ORT15:OUE15" si="168">ORS18</f>
        <v>0</v>
      </c>
      <c r="ORU15" s="63">
        <f t="shared" si="168"/>
        <v>0</v>
      </c>
      <c r="ORV15" s="63">
        <f t="shared" si="168"/>
        <v>0</v>
      </c>
      <c r="ORW15" s="63">
        <f t="shared" si="168"/>
        <v>0</v>
      </c>
      <c r="ORX15" s="63">
        <f t="shared" si="168"/>
        <v>0</v>
      </c>
      <c r="ORY15" s="63">
        <f t="shared" si="168"/>
        <v>0</v>
      </c>
      <c r="ORZ15" s="63">
        <f t="shared" si="168"/>
        <v>0</v>
      </c>
      <c r="OSA15" s="63">
        <f t="shared" si="168"/>
        <v>0</v>
      </c>
      <c r="OSB15" s="63">
        <f t="shared" si="168"/>
        <v>0</v>
      </c>
      <c r="OSC15" s="63">
        <f t="shared" si="168"/>
        <v>0</v>
      </c>
      <c r="OSD15" s="63">
        <f t="shared" si="168"/>
        <v>0</v>
      </c>
      <c r="OSE15" s="63">
        <f t="shared" si="168"/>
        <v>0</v>
      </c>
      <c r="OSF15" s="63">
        <f t="shared" si="168"/>
        <v>0</v>
      </c>
      <c r="OSG15" s="63">
        <f t="shared" si="168"/>
        <v>0</v>
      </c>
      <c r="OSH15" s="63">
        <f t="shared" si="168"/>
        <v>0</v>
      </c>
      <c r="OSI15" s="63">
        <f t="shared" si="168"/>
        <v>0</v>
      </c>
      <c r="OSJ15" s="63">
        <f t="shared" si="168"/>
        <v>0</v>
      </c>
      <c r="OSK15" s="63">
        <f t="shared" si="168"/>
        <v>0</v>
      </c>
      <c r="OSL15" s="63">
        <f t="shared" si="168"/>
        <v>0</v>
      </c>
      <c r="OSM15" s="63">
        <f t="shared" si="168"/>
        <v>0</v>
      </c>
      <c r="OSN15" s="63">
        <f t="shared" si="168"/>
        <v>0</v>
      </c>
      <c r="OSO15" s="63">
        <f t="shared" si="168"/>
        <v>0</v>
      </c>
      <c r="OSP15" s="63">
        <f t="shared" si="168"/>
        <v>0</v>
      </c>
      <c r="OSQ15" s="63">
        <f t="shared" si="168"/>
        <v>0</v>
      </c>
      <c r="OSR15" s="63">
        <f t="shared" si="168"/>
        <v>0</v>
      </c>
      <c r="OSS15" s="63">
        <f t="shared" si="168"/>
        <v>0</v>
      </c>
      <c r="OST15" s="63">
        <f t="shared" si="168"/>
        <v>0</v>
      </c>
      <c r="OSU15" s="63">
        <f t="shared" si="168"/>
        <v>0</v>
      </c>
      <c r="OSV15" s="63">
        <f t="shared" si="168"/>
        <v>0</v>
      </c>
      <c r="OSW15" s="63">
        <f t="shared" si="168"/>
        <v>0</v>
      </c>
      <c r="OSX15" s="63">
        <f t="shared" si="168"/>
        <v>0</v>
      </c>
      <c r="OSY15" s="63">
        <f t="shared" si="168"/>
        <v>0</v>
      </c>
      <c r="OSZ15" s="63">
        <f t="shared" si="168"/>
        <v>0</v>
      </c>
      <c r="OTA15" s="63">
        <f t="shared" si="168"/>
        <v>0</v>
      </c>
      <c r="OTB15" s="63">
        <f t="shared" si="168"/>
        <v>0</v>
      </c>
      <c r="OTC15" s="63">
        <f t="shared" si="168"/>
        <v>0</v>
      </c>
      <c r="OTD15" s="63">
        <f t="shared" si="168"/>
        <v>0</v>
      </c>
      <c r="OTE15" s="63">
        <f t="shared" si="168"/>
        <v>0</v>
      </c>
      <c r="OTF15" s="63">
        <f t="shared" si="168"/>
        <v>0</v>
      </c>
      <c r="OTG15" s="63">
        <f t="shared" si="168"/>
        <v>0</v>
      </c>
      <c r="OTH15" s="63">
        <f t="shared" si="168"/>
        <v>0</v>
      </c>
      <c r="OTI15" s="63">
        <f t="shared" si="168"/>
        <v>0</v>
      </c>
      <c r="OTJ15" s="63">
        <f t="shared" si="168"/>
        <v>0</v>
      </c>
      <c r="OTK15" s="63">
        <f t="shared" si="168"/>
        <v>0</v>
      </c>
      <c r="OTL15" s="63">
        <f t="shared" si="168"/>
        <v>0</v>
      </c>
      <c r="OTM15" s="63">
        <f t="shared" si="168"/>
        <v>0</v>
      </c>
      <c r="OTN15" s="63">
        <f t="shared" si="168"/>
        <v>0</v>
      </c>
      <c r="OTO15" s="63">
        <f t="shared" si="168"/>
        <v>0</v>
      </c>
      <c r="OTP15" s="63">
        <f t="shared" si="168"/>
        <v>0</v>
      </c>
      <c r="OTQ15" s="63">
        <f t="shared" si="168"/>
        <v>0</v>
      </c>
      <c r="OTR15" s="63">
        <f t="shared" si="168"/>
        <v>0</v>
      </c>
      <c r="OTS15" s="63">
        <f t="shared" si="168"/>
        <v>0</v>
      </c>
      <c r="OTT15" s="63">
        <f t="shared" si="168"/>
        <v>0</v>
      </c>
      <c r="OTU15" s="63">
        <f t="shared" si="168"/>
        <v>0</v>
      </c>
      <c r="OTV15" s="63">
        <f t="shared" si="168"/>
        <v>0</v>
      </c>
      <c r="OTW15" s="63">
        <f t="shared" si="168"/>
        <v>0</v>
      </c>
      <c r="OTX15" s="63">
        <f t="shared" si="168"/>
        <v>0</v>
      </c>
      <c r="OTY15" s="63">
        <f t="shared" si="168"/>
        <v>0</v>
      </c>
      <c r="OTZ15" s="63">
        <f t="shared" si="168"/>
        <v>0</v>
      </c>
      <c r="OUA15" s="63">
        <f t="shared" si="168"/>
        <v>0</v>
      </c>
      <c r="OUB15" s="63">
        <f t="shared" si="168"/>
        <v>0</v>
      </c>
      <c r="OUC15" s="63">
        <f t="shared" si="168"/>
        <v>0</v>
      </c>
      <c r="OUD15" s="63">
        <f t="shared" si="168"/>
        <v>0</v>
      </c>
      <c r="OUE15" s="63">
        <f t="shared" si="168"/>
        <v>0</v>
      </c>
      <c r="OUF15" s="63">
        <f t="shared" ref="OUF15:OWQ15" si="169">OUE18</f>
        <v>0</v>
      </c>
      <c r="OUG15" s="63">
        <f t="shared" si="169"/>
        <v>0</v>
      </c>
      <c r="OUH15" s="63">
        <f t="shared" si="169"/>
        <v>0</v>
      </c>
      <c r="OUI15" s="63">
        <f t="shared" si="169"/>
        <v>0</v>
      </c>
      <c r="OUJ15" s="63">
        <f t="shared" si="169"/>
        <v>0</v>
      </c>
      <c r="OUK15" s="63">
        <f t="shared" si="169"/>
        <v>0</v>
      </c>
      <c r="OUL15" s="63">
        <f t="shared" si="169"/>
        <v>0</v>
      </c>
      <c r="OUM15" s="63">
        <f t="shared" si="169"/>
        <v>0</v>
      </c>
      <c r="OUN15" s="63">
        <f t="shared" si="169"/>
        <v>0</v>
      </c>
      <c r="OUO15" s="63">
        <f t="shared" si="169"/>
        <v>0</v>
      </c>
      <c r="OUP15" s="63">
        <f t="shared" si="169"/>
        <v>0</v>
      </c>
      <c r="OUQ15" s="63">
        <f t="shared" si="169"/>
        <v>0</v>
      </c>
      <c r="OUR15" s="63">
        <f t="shared" si="169"/>
        <v>0</v>
      </c>
      <c r="OUS15" s="63">
        <f t="shared" si="169"/>
        <v>0</v>
      </c>
      <c r="OUT15" s="63">
        <f t="shared" si="169"/>
        <v>0</v>
      </c>
      <c r="OUU15" s="63">
        <f t="shared" si="169"/>
        <v>0</v>
      </c>
      <c r="OUV15" s="63">
        <f t="shared" si="169"/>
        <v>0</v>
      </c>
      <c r="OUW15" s="63">
        <f t="shared" si="169"/>
        <v>0</v>
      </c>
      <c r="OUX15" s="63">
        <f t="shared" si="169"/>
        <v>0</v>
      </c>
      <c r="OUY15" s="63">
        <f t="shared" si="169"/>
        <v>0</v>
      </c>
      <c r="OUZ15" s="63">
        <f t="shared" si="169"/>
        <v>0</v>
      </c>
      <c r="OVA15" s="63">
        <f t="shared" si="169"/>
        <v>0</v>
      </c>
      <c r="OVB15" s="63">
        <f t="shared" si="169"/>
        <v>0</v>
      </c>
      <c r="OVC15" s="63">
        <f t="shared" si="169"/>
        <v>0</v>
      </c>
      <c r="OVD15" s="63">
        <f t="shared" si="169"/>
        <v>0</v>
      </c>
      <c r="OVE15" s="63">
        <f t="shared" si="169"/>
        <v>0</v>
      </c>
      <c r="OVF15" s="63">
        <f t="shared" si="169"/>
        <v>0</v>
      </c>
      <c r="OVG15" s="63">
        <f t="shared" si="169"/>
        <v>0</v>
      </c>
      <c r="OVH15" s="63">
        <f t="shared" si="169"/>
        <v>0</v>
      </c>
      <c r="OVI15" s="63">
        <f t="shared" si="169"/>
        <v>0</v>
      </c>
      <c r="OVJ15" s="63">
        <f t="shared" si="169"/>
        <v>0</v>
      </c>
      <c r="OVK15" s="63">
        <f t="shared" si="169"/>
        <v>0</v>
      </c>
      <c r="OVL15" s="63">
        <f t="shared" si="169"/>
        <v>0</v>
      </c>
      <c r="OVM15" s="63">
        <f t="shared" si="169"/>
        <v>0</v>
      </c>
      <c r="OVN15" s="63">
        <f t="shared" si="169"/>
        <v>0</v>
      </c>
      <c r="OVO15" s="63">
        <f t="shared" si="169"/>
        <v>0</v>
      </c>
      <c r="OVP15" s="63">
        <f t="shared" si="169"/>
        <v>0</v>
      </c>
      <c r="OVQ15" s="63">
        <f t="shared" si="169"/>
        <v>0</v>
      </c>
      <c r="OVR15" s="63">
        <f t="shared" si="169"/>
        <v>0</v>
      </c>
      <c r="OVS15" s="63">
        <f t="shared" si="169"/>
        <v>0</v>
      </c>
      <c r="OVT15" s="63">
        <f t="shared" si="169"/>
        <v>0</v>
      </c>
      <c r="OVU15" s="63">
        <f t="shared" si="169"/>
        <v>0</v>
      </c>
      <c r="OVV15" s="63">
        <f t="shared" si="169"/>
        <v>0</v>
      </c>
      <c r="OVW15" s="63">
        <f t="shared" si="169"/>
        <v>0</v>
      </c>
      <c r="OVX15" s="63">
        <f t="shared" si="169"/>
        <v>0</v>
      </c>
      <c r="OVY15" s="63">
        <f t="shared" si="169"/>
        <v>0</v>
      </c>
      <c r="OVZ15" s="63">
        <f t="shared" si="169"/>
        <v>0</v>
      </c>
      <c r="OWA15" s="63">
        <f t="shared" si="169"/>
        <v>0</v>
      </c>
      <c r="OWB15" s="63">
        <f t="shared" si="169"/>
        <v>0</v>
      </c>
      <c r="OWC15" s="63">
        <f t="shared" si="169"/>
        <v>0</v>
      </c>
      <c r="OWD15" s="63">
        <f t="shared" si="169"/>
        <v>0</v>
      </c>
      <c r="OWE15" s="63">
        <f t="shared" si="169"/>
        <v>0</v>
      </c>
      <c r="OWF15" s="63">
        <f t="shared" si="169"/>
        <v>0</v>
      </c>
      <c r="OWG15" s="63">
        <f t="shared" si="169"/>
        <v>0</v>
      </c>
      <c r="OWH15" s="63">
        <f t="shared" si="169"/>
        <v>0</v>
      </c>
      <c r="OWI15" s="63">
        <f t="shared" si="169"/>
        <v>0</v>
      </c>
      <c r="OWJ15" s="63">
        <f t="shared" si="169"/>
        <v>0</v>
      </c>
      <c r="OWK15" s="63">
        <f t="shared" si="169"/>
        <v>0</v>
      </c>
      <c r="OWL15" s="63">
        <f t="shared" si="169"/>
        <v>0</v>
      </c>
      <c r="OWM15" s="63">
        <f t="shared" si="169"/>
        <v>0</v>
      </c>
      <c r="OWN15" s="63">
        <f t="shared" si="169"/>
        <v>0</v>
      </c>
      <c r="OWO15" s="63">
        <f t="shared" si="169"/>
        <v>0</v>
      </c>
      <c r="OWP15" s="63">
        <f t="shared" si="169"/>
        <v>0</v>
      </c>
      <c r="OWQ15" s="63">
        <f t="shared" si="169"/>
        <v>0</v>
      </c>
      <c r="OWR15" s="63">
        <f t="shared" ref="OWR15:OZC15" si="170">OWQ18</f>
        <v>0</v>
      </c>
      <c r="OWS15" s="63">
        <f t="shared" si="170"/>
        <v>0</v>
      </c>
      <c r="OWT15" s="63">
        <f t="shared" si="170"/>
        <v>0</v>
      </c>
      <c r="OWU15" s="63">
        <f t="shared" si="170"/>
        <v>0</v>
      </c>
      <c r="OWV15" s="63">
        <f t="shared" si="170"/>
        <v>0</v>
      </c>
      <c r="OWW15" s="63">
        <f t="shared" si="170"/>
        <v>0</v>
      </c>
      <c r="OWX15" s="63">
        <f t="shared" si="170"/>
        <v>0</v>
      </c>
      <c r="OWY15" s="63">
        <f t="shared" si="170"/>
        <v>0</v>
      </c>
      <c r="OWZ15" s="63">
        <f t="shared" si="170"/>
        <v>0</v>
      </c>
      <c r="OXA15" s="63">
        <f t="shared" si="170"/>
        <v>0</v>
      </c>
      <c r="OXB15" s="63">
        <f t="shared" si="170"/>
        <v>0</v>
      </c>
      <c r="OXC15" s="63">
        <f t="shared" si="170"/>
        <v>0</v>
      </c>
      <c r="OXD15" s="63">
        <f t="shared" si="170"/>
        <v>0</v>
      </c>
      <c r="OXE15" s="63">
        <f t="shared" si="170"/>
        <v>0</v>
      </c>
      <c r="OXF15" s="63">
        <f t="shared" si="170"/>
        <v>0</v>
      </c>
      <c r="OXG15" s="63">
        <f t="shared" si="170"/>
        <v>0</v>
      </c>
      <c r="OXH15" s="63">
        <f t="shared" si="170"/>
        <v>0</v>
      </c>
      <c r="OXI15" s="63">
        <f t="shared" si="170"/>
        <v>0</v>
      </c>
      <c r="OXJ15" s="63">
        <f t="shared" si="170"/>
        <v>0</v>
      </c>
      <c r="OXK15" s="63">
        <f t="shared" si="170"/>
        <v>0</v>
      </c>
      <c r="OXL15" s="63">
        <f t="shared" si="170"/>
        <v>0</v>
      </c>
      <c r="OXM15" s="63">
        <f t="shared" si="170"/>
        <v>0</v>
      </c>
      <c r="OXN15" s="63">
        <f t="shared" si="170"/>
        <v>0</v>
      </c>
      <c r="OXO15" s="63">
        <f t="shared" si="170"/>
        <v>0</v>
      </c>
      <c r="OXP15" s="63">
        <f t="shared" si="170"/>
        <v>0</v>
      </c>
      <c r="OXQ15" s="63">
        <f t="shared" si="170"/>
        <v>0</v>
      </c>
      <c r="OXR15" s="63">
        <f t="shared" si="170"/>
        <v>0</v>
      </c>
      <c r="OXS15" s="63">
        <f t="shared" si="170"/>
        <v>0</v>
      </c>
      <c r="OXT15" s="63">
        <f t="shared" si="170"/>
        <v>0</v>
      </c>
      <c r="OXU15" s="63">
        <f t="shared" si="170"/>
        <v>0</v>
      </c>
      <c r="OXV15" s="63">
        <f t="shared" si="170"/>
        <v>0</v>
      </c>
      <c r="OXW15" s="63">
        <f t="shared" si="170"/>
        <v>0</v>
      </c>
      <c r="OXX15" s="63">
        <f t="shared" si="170"/>
        <v>0</v>
      </c>
      <c r="OXY15" s="63">
        <f t="shared" si="170"/>
        <v>0</v>
      </c>
      <c r="OXZ15" s="63">
        <f t="shared" si="170"/>
        <v>0</v>
      </c>
      <c r="OYA15" s="63">
        <f t="shared" si="170"/>
        <v>0</v>
      </c>
      <c r="OYB15" s="63">
        <f t="shared" si="170"/>
        <v>0</v>
      </c>
      <c r="OYC15" s="63">
        <f t="shared" si="170"/>
        <v>0</v>
      </c>
      <c r="OYD15" s="63">
        <f t="shared" si="170"/>
        <v>0</v>
      </c>
      <c r="OYE15" s="63">
        <f t="shared" si="170"/>
        <v>0</v>
      </c>
      <c r="OYF15" s="63">
        <f t="shared" si="170"/>
        <v>0</v>
      </c>
      <c r="OYG15" s="63">
        <f t="shared" si="170"/>
        <v>0</v>
      </c>
      <c r="OYH15" s="63">
        <f t="shared" si="170"/>
        <v>0</v>
      </c>
      <c r="OYI15" s="63">
        <f t="shared" si="170"/>
        <v>0</v>
      </c>
      <c r="OYJ15" s="63">
        <f t="shared" si="170"/>
        <v>0</v>
      </c>
      <c r="OYK15" s="63">
        <f t="shared" si="170"/>
        <v>0</v>
      </c>
      <c r="OYL15" s="63">
        <f t="shared" si="170"/>
        <v>0</v>
      </c>
      <c r="OYM15" s="63">
        <f t="shared" si="170"/>
        <v>0</v>
      </c>
      <c r="OYN15" s="63">
        <f t="shared" si="170"/>
        <v>0</v>
      </c>
      <c r="OYO15" s="63">
        <f t="shared" si="170"/>
        <v>0</v>
      </c>
      <c r="OYP15" s="63">
        <f t="shared" si="170"/>
        <v>0</v>
      </c>
      <c r="OYQ15" s="63">
        <f t="shared" si="170"/>
        <v>0</v>
      </c>
      <c r="OYR15" s="63">
        <f t="shared" si="170"/>
        <v>0</v>
      </c>
      <c r="OYS15" s="63">
        <f t="shared" si="170"/>
        <v>0</v>
      </c>
      <c r="OYT15" s="63">
        <f t="shared" si="170"/>
        <v>0</v>
      </c>
      <c r="OYU15" s="63">
        <f t="shared" si="170"/>
        <v>0</v>
      </c>
      <c r="OYV15" s="63">
        <f t="shared" si="170"/>
        <v>0</v>
      </c>
      <c r="OYW15" s="63">
        <f t="shared" si="170"/>
        <v>0</v>
      </c>
      <c r="OYX15" s="63">
        <f t="shared" si="170"/>
        <v>0</v>
      </c>
      <c r="OYY15" s="63">
        <f t="shared" si="170"/>
        <v>0</v>
      </c>
      <c r="OYZ15" s="63">
        <f t="shared" si="170"/>
        <v>0</v>
      </c>
      <c r="OZA15" s="63">
        <f t="shared" si="170"/>
        <v>0</v>
      </c>
      <c r="OZB15" s="63">
        <f t="shared" si="170"/>
        <v>0</v>
      </c>
      <c r="OZC15" s="63">
        <f t="shared" si="170"/>
        <v>0</v>
      </c>
      <c r="OZD15" s="63">
        <f t="shared" ref="OZD15:PBO15" si="171">OZC18</f>
        <v>0</v>
      </c>
      <c r="OZE15" s="63">
        <f t="shared" si="171"/>
        <v>0</v>
      </c>
      <c r="OZF15" s="63">
        <f t="shared" si="171"/>
        <v>0</v>
      </c>
      <c r="OZG15" s="63">
        <f t="shared" si="171"/>
        <v>0</v>
      </c>
      <c r="OZH15" s="63">
        <f t="shared" si="171"/>
        <v>0</v>
      </c>
      <c r="OZI15" s="63">
        <f t="shared" si="171"/>
        <v>0</v>
      </c>
      <c r="OZJ15" s="63">
        <f t="shared" si="171"/>
        <v>0</v>
      </c>
      <c r="OZK15" s="63">
        <f t="shared" si="171"/>
        <v>0</v>
      </c>
      <c r="OZL15" s="63">
        <f t="shared" si="171"/>
        <v>0</v>
      </c>
      <c r="OZM15" s="63">
        <f t="shared" si="171"/>
        <v>0</v>
      </c>
      <c r="OZN15" s="63">
        <f t="shared" si="171"/>
        <v>0</v>
      </c>
      <c r="OZO15" s="63">
        <f t="shared" si="171"/>
        <v>0</v>
      </c>
      <c r="OZP15" s="63">
        <f t="shared" si="171"/>
        <v>0</v>
      </c>
      <c r="OZQ15" s="63">
        <f t="shared" si="171"/>
        <v>0</v>
      </c>
      <c r="OZR15" s="63">
        <f t="shared" si="171"/>
        <v>0</v>
      </c>
      <c r="OZS15" s="63">
        <f t="shared" si="171"/>
        <v>0</v>
      </c>
      <c r="OZT15" s="63">
        <f t="shared" si="171"/>
        <v>0</v>
      </c>
      <c r="OZU15" s="63">
        <f t="shared" si="171"/>
        <v>0</v>
      </c>
      <c r="OZV15" s="63">
        <f t="shared" si="171"/>
        <v>0</v>
      </c>
      <c r="OZW15" s="63">
        <f t="shared" si="171"/>
        <v>0</v>
      </c>
      <c r="OZX15" s="63">
        <f t="shared" si="171"/>
        <v>0</v>
      </c>
      <c r="OZY15" s="63">
        <f t="shared" si="171"/>
        <v>0</v>
      </c>
      <c r="OZZ15" s="63">
        <f t="shared" si="171"/>
        <v>0</v>
      </c>
      <c r="PAA15" s="63">
        <f t="shared" si="171"/>
        <v>0</v>
      </c>
      <c r="PAB15" s="63">
        <f t="shared" si="171"/>
        <v>0</v>
      </c>
      <c r="PAC15" s="63">
        <f t="shared" si="171"/>
        <v>0</v>
      </c>
      <c r="PAD15" s="63">
        <f t="shared" si="171"/>
        <v>0</v>
      </c>
      <c r="PAE15" s="63">
        <f t="shared" si="171"/>
        <v>0</v>
      </c>
      <c r="PAF15" s="63">
        <f t="shared" si="171"/>
        <v>0</v>
      </c>
      <c r="PAG15" s="63">
        <f t="shared" si="171"/>
        <v>0</v>
      </c>
      <c r="PAH15" s="63">
        <f t="shared" si="171"/>
        <v>0</v>
      </c>
      <c r="PAI15" s="63">
        <f t="shared" si="171"/>
        <v>0</v>
      </c>
      <c r="PAJ15" s="63">
        <f t="shared" si="171"/>
        <v>0</v>
      </c>
      <c r="PAK15" s="63">
        <f t="shared" si="171"/>
        <v>0</v>
      </c>
      <c r="PAL15" s="63">
        <f t="shared" si="171"/>
        <v>0</v>
      </c>
      <c r="PAM15" s="63">
        <f t="shared" si="171"/>
        <v>0</v>
      </c>
      <c r="PAN15" s="63">
        <f t="shared" si="171"/>
        <v>0</v>
      </c>
      <c r="PAO15" s="63">
        <f t="shared" si="171"/>
        <v>0</v>
      </c>
      <c r="PAP15" s="63">
        <f t="shared" si="171"/>
        <v>0</v>
      </c>
      <c r="PAQ15" s="63">
        <f t="shared" si="171"/>
        <v>0</v>
      </c>
      <c r="PAR15" s="63">
        <f t="shared" si="171"/>
        <v>0</v>
      </c>
      <c r="PAS15" s="63">
        <f t="shared" si="171"/>
        <v>0</v>
      </c>
      <c r="PAT15" s="63">
        <f t="shared" si="171"/>
        <v>0</v>
      </c>
      <c r="PAU15" s="63">
        <f t="shared" si="171"/>
        <v>0</v>
      </c>
      <c r="PAV15" s="63">
        <f t="shared" si="171"/>
        <v>0</v>
      </c>
      <c r="PAW15" s="63">
        <f t="shared" si="171"/>
        <v>0</v>
      </c>
      <c r="PAX15" s="63">
        <f t="shared" si="171"/>
        <v>0</v>
      </c>
      <c r="PAY15" s="63">
        <f t="shared" si="171"/>
        <v>0</v>
      </c>
      <c r="PAZ15" s="63">
        <f t="shared" si="171"/>
        <v>0</v>
      </c>
      <c r="PBA15" s="63">
        <f t="shared" si="171"/>
        <v>0</v>
      </c>
      <c r="PBB15" s="63">
        <f t="shared" si="171"/>
        <v>0</v>
      </c>
      <c r="PBC15" s="63">
        <f t="shared" si="171"/>
        <v>0</v>
      </c>
      <c r="PBD15" s="63">
        <f t="shared" si="171"/>
        <v>0</v>
      </c>
      <c r="PBE15" s="63">
        <f t="shared" si="171"/>
        <v>0</v>
      </c>
      <c r="PBF15" s="63">
        <f t="shared" si="171"/>
        <v>0</v>
      </c>
      <c r="PBG15" s="63">
        <f t="shared" si="171"/>
        <v>0</v>
      </c>
      <c r="PBH15" s="63">
        <f t="shared" si="171"/>
        <v>0</v>
      </c>
      <c r="PBI15" s="63">
        <f t="shared" si="171"/>
        <v>0</v>
      </c>
      <c r="PBJ15" s="63">
        <f t="shared" si="171"/>
        <v>0</v>
      </c>
      <c r="PBK15" s="63">
        <f t="shared" si="171"/>
        <v>0</v>
      </c>
      <c r="PBL15" s="63">
        <f t="shared" si="171"/>
        <v>0</v>
      </c>
      <c r="PBM15" s="63">
        <f t="shared" si="171"/>
        <v>0</v>
      </c>
      <c r="PBN15" s="63">
        <f t="shared" si="171"/>
        <v>0</v>
      </c>
      <c r="PBO15" s="63">
        <f t="shared" si="171"/>
        <v>0</v>
      </c>
      <c r="PBP15" s="63">
        <f t="shared" ref="PBP15:PEA15" si="172">PBO18</f>
        <v>0</v>
      </c>
      <c r="PBQ15" s="63">
        <f t="shared" si="172"/>
        <v>0</v>
      </c>
      <c r="PBR15" s="63">
        <f t="shared" si="172"/>
        <v>0</v>
      </c>
      <c r="PBS15" s="63">
        <f t="shared" si="172"/>
        <v>0</v>
      </c>
      <c r="PBT15" s="63">
        <f t="shared" si="172"/>
        <v>0</v>
      </c>
      <c r="PBU15" s="63">
        <f t="shared" si="172"/>
        <v>0</v>
      </c>
      <c r="PBV15" s="63">
        <f t="shared" si="172"/>
        <v>0</v>
      </c>
      <c r="PBW15" s="63">
        <f t="shared" si="172"/>
        <v>0</v>
      </c>
      <c r="PBX15" s="63">
        <f t="shared" si="172"/>
        <v>0</v>
      </c>
      <c r="PBY15" s="63">
        <f t="shared" si="172"/>
        <v>0</v>
      </c>
      <c r="PBZ15" s="63">
        <f t="shared" si="172"/>
        <v>0</v>
      </c>
      <c r="PCA15" s="63">
        <f t="shared" si="172"/>
        <v>0</v>
      </c>
      <c r="PCB15" s="63">
        <f t="shared" si="172"/>
        <v>0</v>
      </c>
      <c r="PCC15" s="63">
        <f t="shared" si="172"/>
        <v>0</v>
      </c>
      <c r="PCD15" s="63">
        <f t="shared" si="172"/>
        <v>0</v>
      </c>
      <c r="PCE15" s="63">
        <f t="shared" si="172"/>
        <v>0</v>
      </c>
      <c r="PCF15" s="63">
        <f t="shared" si="172"/>
        <v>0</v>
      </c>
      <c r="PCG15" s="63">
        <f t="shared" si="172"/>
        <v>0</v>
      </c>
      <c r="PCH15" s="63">
        <f t="shared" si="172"/>
        <v>0</v>
      </c>
      <c r="PCI15" s="63">
        <f t="shared" si="172"/>
        <v>0</v>
      </c>
      <c r="PCJ15" s="63">
        <f t="shared" si="172"/>
        <v>0</v>
      </c>
      <c r="PCK15" s="63">
        <f t="shared" si="172"/>
        <v>0</v>
      </c>
      <c r="PCL15" s="63">
        <f t="shared" si="172"/>
        <v>0</v>
      </c>
      <c r="PCM15" s="63">
        <f t="shared" si="172"/>
        <v>0</v>
      </c>
      <c r="PCN15" s="63">
        <f t="shared" si="172"/>
        <v>0</v>
      </c>
      <c r="PCO15" s="63">
        <f t="shared" si="172"/>
        <v>0</v>
      </c>
      <c r="PCP15" s="63">
        <f t="shared" si="172"/>
        <v>0</v>
      </c>
      <c r="PCQ15" s="63">
        <f t="shared" si="172"/>
        <v>0</v>
      </c>
      <c r="PCR15" s="63">
        <f t="shared" si="172"/>
        <v>0</v>
      </c>
      <c r="PCS15" s="63">
        <f t="shared" si="172"/>
        <v>0</v>
      </c>
      <c r="PCT15" s="63">
        <f t="shared" si="172"/>
        <v>0</v>
      </c>
      <c r="PCU15" s="63">
        <f t="shared" si="172"/>
        <v>0</v>
      </c>
      <c r="PCV15" s="63">
        <f t="shared" si="172"/>
        <v>0</v>
      </c>
      <c r="PCW15" s="63">
        <f t="shared" si="172"/>
        <v>0</v>
      </c>
      <c r="PCX15" s="63">
        <f t="shared" si="172"/>
        <v>0</v>
      </c>
      <c r="PCY15" s="63">
        <f t="shared" si="172"/>
        <v>0</v>
      </c>
      <c r="PCZ15" s="63">
        <f t="shared" si="172"/>
        <v>0</v>
      </c>
      <c r="PDA15" s="63">
        <f t="shared" si="172"/>
        <v>0</v>
      </c>
      <c r="PDB15" s="63">
        <f t="shared" si="172"/>
        <v>0</v>
      </c>
      <c r="PDC15" s="63">
        <f t="shared" si="172"/>
        <v>0</v>
      </c>
      <c r="PDD15" s="63">
        <f t="shared" si="172"/>
        <v>0</v>
      </c>
      <c r="PDE15" s="63">
        <f t="shared" si="172"/>
        <v>0</v>
      </c>
      <c r="PDF15" s="63">
        <f t="shared" si="172"/>
        <v>0</v>
      </c>
      <c r="PDG15" s="63">
        <f t="shared" si="172"/>
        <v>0</v>
      </c>
      <c r="PDH15" s="63">
        <f t="shared" si="172"/>
        <v>0</v>
      </c>
      <c r="PDI15" s="63">
        <f t="shared" si="172"/>
        <v>0</v>
      </c>
      <c r="PDJ15" s="63">
        <f t="shared" si="172"/>
        <v>0</v>
      </c>
      <c r="PDK15" s="63">
        <f t="shared" si="172"/>
        <v>0</v>
      </c>
      <c r="PDL15" s="63">
        <f t="shared" si="172"/>
        <v>0</v>
      </c>
      <c r="PDM15" s="63">
        <f t="shared" si="172"/>
        <v>0</v>
      </c>
      <c r="PDN15" s="63">
        <f t="shared" si="172"/>
        <v>0</v>
      </c>
      <c r="PDO15" s="63">
        <f t="shared" si="172"/>
        <v>0</v>
      </c>
      <c r="PDP15" s="63">
        <f t="shared" si="172"/>
        <v>0</v>
      </c>
      <c r="PDQ15" s="63">
        <f t="shared" si="172"/>
        <v>0</v>
      </c>
      <c r="PDR15" s="63">
        <f t="shared" si="172"/>
        <v>0</v>
      </c>
      <c r="PDS15" s="63">
        <f t="shared" si="172"/>
        <v>0</v>
      </c>
      <c r="PDT15" s="63">
        <f t="shared" si="172"/>
        <v>0</v>
      </c>
      <c r="PDU15" s="63">
        <f t="shared" si="172"/>
        <v>0</v>
      </c>
      <c r="PDV15" s="63">
        <f t="shared" si="172"/>
        <v>0</v>
      </c>
      <c r="PDW15" s="63">
        <f t="shared" si="172"/>
        <v>0</v>
      </c>
      <c r="PDX15" s="63">
        <f t="shared" si="172"/>
        <v>0</v>
      </c>
      <c r="PDY15" s="63">
        <f t="shared" si="172"/>
        <v>0</v>
      </c>
      <c r="PDZ15" s="63">
        <f t="shared" si="172"/>
        <v>0</v>
      </c>
      <c r="PEA15" s="63">
        <f t="shared" si="172"/>
        <v>0</v>
      </c>
      <c r="PEB15" s="63">
        <f t="shared" ref="PEB15:PGM15" si="173">PEA18</f>
        <v>0</v>
      </c>
      <c r="PEC15" s="63">
        <f t="shared" si="173"/>
        <v>0</v>
      </c>
      <c r="PED15" s="63">
        <f t="shared" si="173"/>
        <v>0</v>
      </c>
      <c r="PEE15" s="63">
        <f t="shared" si="173"/>
        <v>0</v>
      </c>
      <c r="PEF15" s="63">
        <f t="shared" si="173"/>
        <v>0</v>
      </c>
      <c r="PEG15" s="63">
        <f t="shared" si="173"/>
        <v>0</v>
      </c>
      <c r="PEH15" s="63">
        <f t="shared" si="173"/>
        <v>0</v>
      </c>
      <c r="PEI15" s="63">
        <f t="shared" si="173"/>
        <v>0</v>
      </c>
      <c r="PEJ15" s="63">
        <f t="shared" si="173"/>
        <v>0</v>
      </c>
      <c r="PEK15" s="63">
        <f t="shared" si="173"/>
        <v>0</v>
      </c>
      <c r="PEL15" s="63">
        <f t="shared" si="173"/>
        <v>0</v>
      </c>
      <c r="PEM15" s="63">
        <f t="shared" si="173"/>
        <v>0</v>
      </c>
      <c r="PEN15" s="63">
        <f t="shared" si="173"/>
        <v>0</v>
      </c>
      <c r="PEO15" s="63">
        <f t="shared" si="173"/>
        <v>0</v>
      </c>
      <c r="PEP15" s="63">
        <f t="shared" si="173"/>
        <v>0</v>
      </c>
      <c r="PEQ15" s="63">
        <f t="shared" si="173"/>
        <v>0</v>
      </c>
      <c r="PER15" s="63">
        <f t="shared" si="173"/>
        <v>0</v>
      </c>
      <c r="PES15" s="63">
        <f t="shared" si="173"/>
        <v>0</v>
      </c>
      <c r="PET15" s="63">
        <f t="shared" si="173"/>
        <v>0</v>
      </c>
      <c r="PEU15" s="63">
        <f t="shared" si="173"/>
        <v>0</v>
      </c>
      <c r="PEV15" s="63">
        <f t="shared" si="173"/>
        <v>0</v>
      </c>
      <c r="PEW15" s="63">
        <f t="shared" si="173"/>
        <v>0</v>
      </c>
      <c r="PEX15" s="63">
        <f t="shared" si="173"/>
        <v>0</v>
      </c>
      <c r="PEY15" s="63">
        <f t="shared" si="173"/>
        <v>0</v>
      </c>
      <c r="PEZ15" s="63">
        <f t="shared" si="173"/>
        <v>0</v>
      </c>
      <c r="PFA15" s="63">
        <f t="shared" si="173"/>
        <v>0</v>
      </c>
      <c r="PFB15" s="63">
        <f t="shared" si="173"/>
        <v>0</v>
      </c>
      <c r="PFC15" s="63">
        <f t="shared" si="173"/>
        <v>0</v>
      </c>
      <c r="PFD15" s="63">
        <f t="shared" si="173"/>
        <v>0</v>
      </c>
      <c r="PFE15" s="63">
        <f t="shared" si="173"/>
        <v>0</v>
      </c>
      <c r="PFF15" s="63">
        <f t="shared" si="173"/>
        <v>0</v>
      </c>
      <c r="PFG15" s="63">
        <f t="shared" si="173"/>
        <v>0</v>
      </c>
      <c r="PFH15" s="63">
        <f t="shared" si="173"/>
        <v>0</v>
      </c>
      <c r="PFI15" s="63">
        <f t="shared" si="173"/>
        <v>0</v>
      </c>
      <c r="PFJ15" s="63">
        <f t="shared" si="173"/>
        <v>0</v>
      </c>
      <c r="PFK15" s="63">
        <f t="shared" si="173"/>
        <v>0</v>
      </c>
      <c r="PFL15" s="63">
        <f t="shared" si="173"/>
        <v>0</v>
      </c>
      <c r="PFM15" s="63">
        <f t="shared" si="173"/>
        <v>0</v>
      </c>
      <c r="PFN15" s="63">
        <f t="shared" si="173"/>
        <v>0</v>
      </c>
      <c r="PFO15" s="63">
        <f t="shared" si="173"/>
        <v>0</v>
      </c>
      <c r="PFP15" s="63">
        <f t="shared" si="173"/>
        <v>0</v>
      </c>
      <c r="PFQ15" s="63">
        <f t="shared" si="173"/>
        <v>0</v>
      </c>
      <c r="PFR15" s="63">
        <f t="shared" si="173"/>
        <v>0</v>
      </c>
      <c r="PFS15" s="63">
        <f t="shared" si="173"/>
        <v>0</v>
      </c>
      <c r="PFT15" s="63">
        <f t="shared" si="173"/>
        <v>0</v>
      </c>
      <c r="PFU15" s="63">
        <f t="shared" si="173"/>
        <v>0</v>
      </c>
      <c r="PFV15" s="63">
        <f t="shared" si="173"/>
        <v>0</v>
      </c>
      <c r="PFW15" s="63">
        <f t="shared" si="173"/>
        <v>0</v>
      </c>
      <c r="PFX15" s="63">
        <f t="shared" si="173"/>
        <v>0</v>
      </c>
      <c r="PFY15" s="63">
        <f t="shared" si="173"/>
        <v>0</v>
      </c>
      <c r="PFZ15" s="63">
        <f t="shared" si="173"/>
        <v>0</v>
      </c>
      <c r="PGA15" s="63">
        <f t="shared" si="173"/>
        <v>0</v>
      </c>
      <c r="PGB15" s="63">
        <f t="shared" si="173"/>
        <v>0</v>
      </c>
      <c r="PGC15" s="63">
        <f t="shared" si="173"/>
        <v>0</v>
      </c>
      <c r="PGD15" s="63">
        <f t="shared" si="173"/>
        <v>0</v>
      </c>
      <c r="PGE15" s="63">
        <f t="shared" si="173"/>
        <v>0</v>
      </c>
      <c r="PGF15" s="63">
        <f t="shared" si="173"/>
        <v>0</v>
      </c>
      <c r="PGG15" s="63">
        <f t="shared" si="173"/>
        <v>0</v>
      </c>
      <c r="PGH15" s="63">
        <f t="shared" si="173"/>
        <v>0</v>
      </c>
      <c r="PGI15" s="63">
        <f t="shared" si="173"/>
        <v>0</v>
      </c>
      <c r="PGJ15" s="63">
        <f t="shared" si="173"/>
        <v>0</v>
      </c>
      <c r="PGK15" s="63">
        <f t="shared" si="173"/>
        <v>0</v>
      </c>
      <c r="PGL15" s="63">
        <f t="shared" si="173"/>
        <v>0</v>
      </c>
      <c r="PGM15" s="63">
        <f t="shared" si="173"/>
        <v>0</v>
      </c>
      <c r="PGN15" s="63">
        <f t="shared" ref="PGN15:PIY15" si="174">PGM18</f>
        <v>0</v>
      </c>
      <c r="PGO15" s="63">
        <f t="shared" si="174"/>
        <v>0</v>
      </c>
      <c r="PGP15" s="63">
        <f t="shared" si="174"/>
        <v>0</v>
      </c>
      <c r="PGQ15" s="63">
        <f t="shared" si="174"/>
        <v>0</v>
      </c>
      <c r="PGR15" s="63">
        <f t="shared" si="174"/>
        <v>0</v>
      </c>
      <c r="PGS15" s="63">
        <f t="shared" si="174"/>
        <v>0</v>
      </c>
      <c r="PGT15" s="63">
        <f t="shared" si="174"/>
        <v>0</v>
      </c>
      <c r="PGU15" s="63">
        <f t="shared" si="174"/>
        <v>0</v>
      </c>
      <c r="PGV15" s="63">
        <f t="shared" si="174"/>
        <v>0</v>
      </c>
      <c r="PGW15" s="63">
        <f t="shared" si="174"/>
        <v>0</v>
      </c>
      <c r="PGX15" s="63">
        <f t="shared" si="174"/>
        <v>0</v>
      </c>
      <c r="PGY15" s="63">
        <f t="shared" si="174"/>
        <v>0</v>
      </c>
      <c r="PGZ15" s="63">
        <f t="shared" si="174"/>
        <v>0</v>
      </c>
      <c r="PHA15" s="63">
        <f t="shared" si="174"/>
        <v>0</v>
      </c>
      <c r="PHB15" s="63">
        <f t="shared" si="174"/>
        <v>0</v>
      </c>
      <c r="PHC15" s="63">
        <f t="shared" si="174"/>
        <v>0</v>
      </c>
      <c r="PHD15" s="63">
        <f t="shared" si="174"/>
        <v>0</v>
      </c>
      <c r="PHE15" s="63">
        <f t="shared" si="174"/>
        <v>0</v>
      </c>
      <c r="PHF15" s="63">
        <f t="shared" si="174"/>
        <v>0</v>
      </c>
      <c r="PHG15" s="63">
        <f t="shared" si="174"/>
        <v>0</v>
      </c>
      <c r="PHH15" s="63">
        <f t="shared" si="174"/>
        <v>0</v>
      </c>
      <c r="PHI15" s="63">
        <f t="shared" si="174"/>
        <v>0</v>
      </c>
      <c r="PHJ15" s="63">
        <f t="shared" si="174"/>
        <v>0</v>
      </c>
      <c r="PHK15" s="63">
        <f t="shared" si="174"/>
        <v>0</v>
      </c>
      <c r="PHL15" s="63">
        <f t="shared" si="174"/>
        <v>0</v>
      </c>
      <c r="PHM15" s="63">
        <f t="shared" si="174"/>
        <v>0</v>
      </c>
      <c r="PHN15" s="63">
        <f t="shared" si="174"/>
        <v>0</v>
      </c>
      <c r="PHO15" s="63">
        <f t="shared" si="174"/>
        <v>0</v>
      </c>
      <c r="PHP15" s="63">
        <f t="shared" si="174"/>
        <v>0</v>
      </c>
      <c r="PHQ15" s="63">
        <f t="shared" si="174"/>
        <v>0</v>
      </c>
      <c r="PHR15" s="63">
        <f t="shared" si="174"/>
        <v>0</v>
      </c>
      <c r="PHS15" s="63">
        <f t="shared" si="174"/>
        <v>0</v>
      </c>
      <c r="PHT15" s="63">
        <f t="shared" si="174"/>
        <v>0</v>
      </c>
      <c r="PHU15" s="63">
        <f t="shared" si="174"/>
        <v>0</v>
      </c>
      <c r="PHV15" s="63">
        <f t="shared" si="174"/>
        <v>0</v>
      </c>
      <c r="PHW15" s="63">
        <f t="shared" si="174"/>
        <v>0</v>
      </c>
      <c r="PHX15" s="63">
        <f t="shared" si="174"/>
        <v>0</v>
      </c>
      <c r="PHY15" s="63">
        <f t="shared" si="174"/>
        <v>0</v>
      </c>
      <c r="PHZ15" s="63">
        <f t="shared" si="174"/>
        <v>0</v>
      </c>
      <c r="PIA15" s="63">
        <f t="shared" si="174"/>
        <v>0</v>
      </c>
      <c r="PIB15" s="63">
        <f t="shared" si="174"/>
        <v>0</v>
      </c>
      <c r="PIC15" s="63">
        <f t="shared" si="174"/>
        <v>0</v>
      </c>
      <c r="PID15" s="63">
        <f t="shared" si="174"/>
        <v>0</v>
      </c>
      <c r="PIE15" s="63">
        <f t="shared" si="174"/>
        <v>0</v>
      </c>
      <c r="PIF15" s="63">
        <f t="shared" si="174"/>
        <v>0</v>
      </c>
      <c r="PIG15" s="63">
        <f t="shared" si="174"/>
        <v>0</v>
      </c>
      <c r="PIH15" s="63">
        <f t="shared" si="174"/>
        <v>0</v>
      </c>
      <c r="PII15" s="63">
        <f t="shared" si="174"/>
        <v>0</v>
      </c>
      <c r="PIJ15" s="63">
        <f t="shared" si="174"/>
        <v>0</v>
      </c>
      <c r="PIK15" s="63">
        <f t="shared" si="174"/>
        <v>0</v>
      </c>
      <c r="PIL15" s="63">
        <f t="shared" si="174"/>
        <v>0</v>
      </c>
      <c r="PIM15" s="63">
        <f t="shared" si="174"/>
        <v>0</v>
      </c>
      <c r="PIN15" s="63">
        <f t="shared" si="174"/>
        <v>0</v>
      </c>
      <c r="PIO15" s="63">
        <f t="shared" si="174"/>
        <v>0</v>
      </c>
      <c r="PIP15" s="63">
        <f t="shared" si="174"/>
        <v>0</v>
      </c>
      <c r="PIQ15" s="63">
        <f t="shared" si="174"/>
        <v>0</v>
      </c>
      <c r="PIR15" s="63">
        <f t="shared" si="174"/>
        <v>0</v>
      </c>
      <c r="PIS15" s="63">
        <f t="shared" si="174"/>
        <v>0</v>
      </c>
      <c r="PIT15" s="63">
        <f t="shared" si="174"/>
        <v>0</v>
      </c>
      <c r="PIU15" s="63">
        <f t="shared" si="174"/>
        <v>0</v>
      </c>
      <c r="PIV15" s="63">
        <f t="shared" si="174"/>
        <v>0</v>
      </c>
      <c r="PIW15" s="63">
        <f t="shared" si="174"/>
        <v>0</v>
      </c>
      <c r="PIX15" s="63">
        <f t="shared" si="174"/>
        <v>0</v>
      </c>
      <c r="PIY15" s="63">
        <f t="shared" si="174"/>
        <v>0</v>
      </c>
      <c r="PIZ15" s="63">
        <f t="shared" ref="PIZ15:PLK15" si="175">PIY18</f>
        <v>0</v>
      </c>
      <c r="PJA15" s="63">
        <f t="shared" si="175"/>
        <v>0</v>
      </c>
      <c r="PJB15" s="63">
        <f t="shared" si="175"/>
        <v>0</v>
      </c>
      <c r="PJC15" s="63">
        <f t="shared" si="175"/>
        <v>0</v>
      </c>
      <c r="PJD15" s="63">
        <f t="shared" si="175"/>
        <v>0</v>
      </c>
      <c r="PJE15" s="63">
        <f t="shared" si="175"/>
        <v>0</v>
      </c>
      <c r="PJF15" s="63">
        <f t="shared" si="175"/>
        <v>0</v>
      </c>
      <c r="PJG15" s="63">
        <f t="shared" si="175"/>
        <v>0</v>
      </c>
      <c r="PJH15" s="63">
        <f t="shared" si="175"/>
        <v>0</v>
      </c>
      <c r="PJI15" s="63">
        <f t="shared" si="175"/>
        <v>0</v>
      </c>
      <c r="PJJ15" s="63">
        <f t="shared" si="175"/>
        <v>0</v>
      </c>
      <c r="PJK15" s="63">
        <f t="shared" si="175"/>
        <v>0</v>
      </c>
      <c r="PJL15" s="63">
        <f t="shared" si="175"/>
        <v>0</v>
      </c>
      <c r="PJM15" s="63">
        <f t="shared" si="175"/>
        <v>0</v>
      </c>
      <c r="PJN15" s="63">
        <f t="shared" si="175"/>
        <v>0</v>
      </c>
      <c r="PJO15" s="63">
        <f t="shared" si="175"/>
        <v>0</v>
      </c>
      <c r="PJP15" s="63">
        <f t="shared" si="175"/>
        <v>0</v>
      </c>
      <c r="PJQ15" s="63">
        <f t="shared" si="175"/>
        <v>0</v>
      </c>
      <c r="PJR15" s="63">
        <f t="shared" si="175"/>
        <v>0</v>
      </c>
      <c r="PJS15" s="63">
        <f t="shared" si="175"/>
        <v>0</v>
      </c>
      <c r="PJT15" s="63">
        <f t="shared" si="175"/>
        <v>0</v>
      </c>
      <c r="PJU15" s="63">
        <f t="shared" si="175"/>
        <v>0</v>
      </c>
      <c r="PJV15" s="63">
        <f t="shared" si="175"/>
        <v>0</v>
      </c>
      <c r="PJW15" s="63">
        <f t="shared" si="175"/>
        <v>0</v>
      </c>
      <c r="PJX15" s="63">
        <f t="shared" si="175"/>
        <v>0</v>
      </c>
      <c r="PJY15" s="63">
        <f t="shared" si="175"/>
        <v>0</v>
      </c>
      <c r="PJZ15" s="63">
        <f t="shared" si="175"/>
        <v>0</v>
      </c>
      <c r="PKA15" s="63">
        <f t="shared" si="175"/>
        <v>0</v>
      </c>
      <c r="PKB15" s="63">
        <f t="shared" si="175"/>
        <v>0</v>
      </c>
      <c r="PKC15" s="63">
        <f t="shared" si="175"/>
        <v>0</v>
      </c>
      <c r="PKD15" s="63">
        <f t="shared" si="175"/>
        <v>0</v>
      </c>
      <c r="PKE15" s="63">
        <f t="shared" si="175"/>
        <v>0</v>
      </c>
      <c r="PKF15" s="63">
        <f t="shared" si="175"/>
        <v>0</v>
      </c>
      <c r="PKG15" s="63">
        <f t="shared" si="175"/>
        <v>0</v>
      </c>
      <c r="PKH15" s="63">
        <f t="shared" si="175"/>
        <v>0</v>
      </c>
      <c r="PKI15" s="63">
        <f t="shared" si="175"/>
        <v>0</v>
      </c>
      <c r="PKJ15" s="63">
        <f t="shared" si="175"/>
        <v>0</v>
      </c>
      <c r="PKK15" s="63">
        <f t="shared" si="175"/>
        <v>0</v>
      </c>
      <c r="PKL15" s="63">
        <f t="shared" si="175"/>
        <v>0</v>
      </c>
      <c r="PKM15" s="63">
        <f t="shared" si="175"/>
        <v>0</v>
      </c>
      <c r="PKN15" s="63">
        <f t="shared" si="175"/>
        <v>0</v>
      </c>
      <c r="PKO15" s="63">
        <f t="shared" si="175"/>
        <v>0</v>
      </c>
      <c r="PKP15" s="63">
        <f t="shared" si="175"/>
        <v>0</v>
      </c>
      <c r="PKQ15" s="63">
        <f t="shared" si="175"/>
        <v>0</v>
      </c>
      <c r="PKR15" s="63">
        <f t="shared" si="175"/>
        <v>0</v>
      </c>
      <c r="PKS15" s="63">
        <f t="shared" si="175"/>
        <v>0</v>
      </c>
      <c r="PKT15" s="63">
        <f t="shared" si="175"/>
        <v>0</v>
      </c>
      <c r="PKU15" s="63">
        <f t="shared" si="175"/>
        <v>0</v>
      </c>
      <c r="PKV15" s="63">
        <f t="shared" si="175"/>
        <v>0</v>
      </c>
      <c r="PKW15" s="63">
        <f t="shared" si="175"/>
        <v>0</v>
      </c>
      <c r="PKX15" s="63">
        <f t="shared" si="175"/>
        <v>0</v>
      </c>
      <c r="PKY15" s="63">
        <f t="shared" si="175"/>
        <v>0</v>
      </c>
      <c r="PKZ15" s="63">
        <f t="shared" si="175"/>
        <v>0</v>
      </c>
      <c r="PLA15" s="63">
        <f t="shared" si="175"/>
        <v>0</v>
      </c>
      <c r="PLB15" s="63">
        <f t="shared" si="175"/>
        <v>0</v>
      </c>
      <c r="PLC15" s="63">
        <f t="shared" si="175"/>
        <v>0</v>
      </c>
      <c r="PLD15" s="63">
        <f t="shared" si="175"/>
        <v>0</v>
      </c>
      <c r="PLE15" s="63">
        <f t="shared" si="175"/>
        <v>0</v>
      </c>
      <c r="PLF15" s="63">
        <f t="shared" si="175"/>
        <v>0</v>
      </c>
      <c r="PLG15" s="63">
        <f t="shared" si="175"/>
        <v>0</v>
      </c>
      <c r="PLH15" s="63">
        <f t="shared" si="175"/>
        <v>0</v>
      </c>
      <c r="PLI15" s="63">
        <f t="shared" si="175"/>
        <v>0</v>
      </c>
      <c r="PLJ15" s="63">
        <f t="shared" si="175"/>
        <v>0</v>
      </c>
      <c r="PLK15" s="63">
        <f t="shared" si="175"/>
        <v>0</v>
      </c>
      <c r="PLL15" s="63">
        <f t="shared" ref="PLL15:PNW15" si="176">PLK18</f>
        <v>0</v>
      </c>
      <c r="PLM15" s="63">
        <f t="shared" si="176"/>
        <v>0</v>
      </c>
      <c r="PLN15" s="63">
        <f t="shared" si="176"/>
        <v>0</v>
      </c>
      <c r="PLO15" s="63">
        <f t="shared" si="176"/>
        <v>0</v>
      </c>
      <c r="PLP15" s="63">
        <f t="shared" si="176"/>
        <v>0</v>
      </c>
      <c r="PLQ15" s="63">
        <f t="shared" si="176"/>
        <v>0</v>
      </c>
      <c r="PLR15" s="63">
        <f t="shared" si="176"/>
        <v>0</v>
      </c>
      <c r="PLS15" s="63">
        <f t="shared" si="176"/>
        <v>0</v>
      </c>
      <c r="PLT15" s="63">
        <f t="shared" si="176"/>
        <v>0</v>
      </c>
      <c r="PLU15" s="63">
        <f t="shared" si="176"/>
        <v>0</v>
      </c>
      <c r="PLV15" s="63">
        <f t="shared" si="176"/>
        <v>0</v>
      </c>
      <c r="PLW15" s="63">
        <f t="shared" si="176"/>
        <v>0</v>
      </c>
      <c r="PLX15" s="63">
        <f t="shared" si="176"/>
        <v>0</v>
      </c>
      <c r="PLY15" s="63">
        <f t="shared" si="176"/>
        <v>0</v>
      </c>
      <c r="PLZ15" s="63">
        <f t="shared" si="176"/>
        <v>0</v>
      </c>
      <c r="PMA15" s="63">
        <f t="shared" si="176"/>
        <v>0</v>
      </c>
      <c r="PMB15" s="63">
        <f t="shared" si="176"/>
        <v>0</v>
      </c>
      <c r="PMC15" s="63">
        <f t="shared" si="176"/>
        <v>0</v>
      </c>
      <c r="PMD15" s="63">
        <f t="shared" si="176"/>
        <v>0</v>
      </c>
      <c r="PME15" s="63">
        <f t="shared" si="176"/>
        <v>0</v>
      </c>
      <c r="PMF15" s="63">
        <f t="shared" si="176"/>
        <v>0</v>
      </c>
      <c r="PMG15" s="63">
        <f t="shared" si="176"/>
        <v>0</v>
      </c>
      <c r="PMH15" s="63">
        <f t="shared" si="176"/>
        <v>0</v>
      </c>
      <c r="PMI15" s="63">
        <f t="shared" si="176"/>
        <v>0</v>
      </c>
      <c r="PMJ15" s="63">
        <f t="shared" si="176"/>
        <v>0</v>
      </c>
      <c r="PMK15" s="63">
        <f t="shared" si="176"/>
        <v>0</v>
      </c>
      <c r="PML15" s="63">
        <f t="shared" si="176"/>
        <v>0</v>
      </c>
      <c r="PMM15" s="63">
        <f t="shared" si="176"/>
        <v>0</v>
      </c>
      <c r="PMN15" s="63">
        <f t="shared" si="176"/>
        <v>0</v>
      </c>
      <c r="PMO15" s="63">
        <f t="shared" si="176"/>
        <v>0</v>
      </c>
      <c r="PMP15" s="63">
        <f t="shared" si="176"/>
        <v>0</v>
      </c>
      <c r="PMQ15" s="63">
        <f t="shared" si="176"/>
        <v>0</v>
      </c>
      <c r="PMR15" s="63">
        <f t="shared" si="176"/>
        <v>0</v>
      </c>
      <c r="PMS15" s="63">
        <f t="shared" si="176"/>
        <v>0</v>
      </c>
      <c r="PMT15" s="63">
        <f t="shared" si="176"/>
        <v>0</v>
      </c>
      <c r="PMU15" s="63">
        <f t="shared" si="176"/>
        <v>0</v>
      </c>
      <c r="PMV15" s="63">
        <f t="shared" si="176"/>
        <v>0</v>
      </c>
      <c r="PMW15" s="63">
        <f t="shared" si="176"/>
        <v>0</v>
      </c>
      <c r="PMX15" s="63">
        <f t="shared" si="176"/>
        <v>0</v>
      </c>
      <c r="PMY15" s="63">
        <f t="shared" si="176"/>
        <v>0</v>
      </c>
      <c r="PMZ15" s="63">
        <f t="shared" si="176"/>
        <v>0</v>
      </c>
      <c r="PNA15" s="63">
        <f t="shared" si="176"/>
        <v>0</v>
      </c>
      <c r="PNB15" s="63">
        <f t="shared" si="176"/>
        <v>0</v>
      </c>
      <c r="PNC15" s="63">
        <f t="shared" si="176"/>
        <v>0</v>
      </c>
      <c r="PND15" s="63">
        <f t="shared" si="176"/>
        <v>0</v>
      </c>
      <c r="PNE15" s="63">
        <f t="shared" si="176"/>
        <v>0</v>
      </c>
      <c r="PNF15" s="63">
        <f t="shared" si="176"/>
        <v>0</v>
      </c>
      <c r="PNG15" s="63">
        <f t="shared" si="176"/>
        <v>0</v>
      </c>
      <c r="PNH15" s="63">
        <f t="shared" si="176"/>
        <v>0</v>
      </c>
      <c r="PNI15" s="63">
        <f t="shared" si="176"/>
        <v>0</v>
      </c>
      <c r="PNJ15" s="63">
        <f t="shared" si="176"/>
        <v>0</v>
      </c>
      <c r="PNK15" s="63">
        <f t="shared" si="176"/>
        <v>0</v>
      </c>
      <c r="PNL15" s="63">
        <f t="shared" si="176"/>
        <v>0</v>
      </c>
      <c r="PNM15" s="63">
        <f t="shared" si="176"/>
        <v>0</v>
      </c>
      <c r="PNN15" s="63">
        <f t="shared" si="176"/>
        <v>0</v>
      </c>
      <c r="PNO15" s="63">
        <f t="shared" si="176"/>
        <v>0</v>
      </c>
      <c r="PNP15" s="63">
        <f t="shared" si="176"/>
        <v>0</v>
      </c>
      <c r="PNQ15" s="63">
        <f t="shared" si="176"/>
        <v>0</v>
      </c>
      <c r="PNR15" s="63">
        <f t="shared" si="176"/>
        <v>0</v>
      </c>
      <c r="PNS15" s="63">
        <f t="shared" si="176"/>
        <v>0</v>
      </c>
      <c r="PNT15" s="63">
        <f t="shared" si="176"/>
        <v>0</v>
      </c>
      <c r="PNU15" s="63">
        <f t="shared" si="176"/>
        <v>0</v>
      </c>
      <c r="PNV15" s="63">
        <f t="shared" si="176"/>
        <v>0</v>
      </c>
      <c r="PNW15" s="63">
        <f t="shared" si="176"/>
        <v>0</v>
      </c>
      <c r="PNX15" s="63">
        <f t="shared" ref="PNX15:PQI15" si="177">PNW18</f>
        <v>0</v>
      </c>
      <c r="PNY15" s="63">
        <f t="shared" si="177"/>
        <v>0</v>
      </c>
      <c r="PNZ15" s="63">
        <f t="shared" si="177"/>
        <v>0</v>
      </c>
      <c r="POA15" s="63">
        <f t="shared" si="177"/>
        <v>0</v>
      </c>
      <c r="POB15" s="63">
        <f t="shared" si="177"/>
        <v>0</v>
      </c>
      <c r="POC15" s="63">
        <f t="shared" si="177"/>
        <v>0</v>
      </c>
      <c r="POD15" s="63">
        <f t="shared" si="177"/>
        <v>0</v>
      </c>
      <c r="POE15" s="63">
        <f t="shared" si="177"/>
        <v>0</v>
      </c>
      <c r="POF15" s="63">
        <f t="shared" si="177"/>
        <v>0</v>
      </c>
      <c r="POG15" s="63">
        <f t="shared" si="177"/>
        <v>0</v>
      </c>
      <c r="POH15" s="63">
        <f t="shared" si="177"/>
        <v>0</v>
      </c>
      <c r="POI15" s="63">
        <f t="shared" si="177"/>
        <v>0</v>
      </c>
      <c r="POJ15" s="63">
        <f t="shared" si="177"/>
        <v>0</v>
      </c>
      <c r="POK15" s="63">
        <f t="shared" si="177"/>
        <v>0</v>
      </c>
      <c r="POL15" s="63">
        <f t="shared" si="177"/>
        <v>0</v>
      </c>
      <c r="POM15" s="63">
        <f t="shared" si="177"/>
        <v>0</v>
      </c>
      <c r="PON15" s="63">
        <f t="shared" si="177"/>
        <v>0</v>
      </c>
      <c r="POO15" s="63">
        <f t="shared" si="177"/>
        <v>0</v>
      </c>
      <c r="POP15" s="63">
        <f t="shared" si="177"/>
        <v>0</v>
      </c>
      <c r="POQ15" s="63">
        <f t="shared" si="177"/>
        <v>0</v>
      </c>
      <c r="POR15" s="63">
        <f t="shared" si="177"/>
        <v>0</v>
      </c>
      <c r="POS15" s="63">
        <f t="shared" si="177"/>
        <v>0</v>
      </c>
      <c r="POT15" s="63">
        <f t="shared" si="177"/>
        <v>0</v>
      </c>
      <c r="POU15" s="63">
        <f t="shared" si="177"/>
        <v>0</v>
      </c>
      <c r="POV15" s="63">
        <f t="shared" si="177"/>
        <v>0</v>
      </c>
      <c r="POW15" s="63">
        <f t="shared" si="177"/>
        <v>0</v>
      </c>
      <c r="POX15" s="63">
        <f t="shared" si="177"/>
        <v>0</v>
      </c>
      <c r="POY15" s="63">
        <f t="shared" si="177"/>
        <v>0</v>
      </c>
      <c r="POZ15" s="63">
        <f t="shared" si="177"/>
        <v>0</v>
      </c>
      <c r="PPA15" s="63">
        <f t="shared" si="177"/>
        <v>0</v>
      </c>
      <c r="PPB15" s="63">
        <f t="shared" si="177"/>
        <v>0</v>
      </c>
      <c r="PPC15" s="63">
        <f t="shared" si="177"/>
        <v>0</v>
      </c>
      <c r="PPD15" s="63">
        <f t="shared" si="177"/>
        <v>0</v>
      </c>
      <c r="PPE15" s="63">
        <f t="shared" si="177"/>
        <v>0</v>
      </c>
      <c r="PPF15" s="63">
        <f t="shared" si="177"/>
        <v>0</v>
      </c>
      <c r="PPG15" s="63">
        <f t="shared" si="177"/>
        <v>0</v>
      </c>
      <c r="PPH15" s="63">
        <f t="shared" si="177"/>
        <v>0</v>
      </c>
      <c r="PPI15" s="63">
        <f t="shared" si="177"/>
        <v>0</v>
      </c>
      <c r="PPJ15" s="63">
        <f t="shared" si="177"/>
        <v>0</v>
      </c>
      <c r="PPK15" s="63">
        <f t="shared" si="177"/>
        <v>0</v>
      </c>
      <c r="PPL15" s="63">
        <f t="shared" si="177"/>
        <v>0</v>
      </c>
      <c r="PPM15" s="63">
        <f t="shared" si="177"/>
        <v>0</v>
      </c>
      <c r="PPN15" s="63">
        <f t="shared" si="177"/>
        <v>0</v>
      </c>
      <c r="PPO15" s="63">
        <f t="shared" si="177"/>
        <v>0</v>
      </c>
      <c r="PPP15" s="63">
        <f t="shared" si="177"/>
        <v>0</v>
      </c>
      <c r="PPQ15" s="63">
        <f t="shared" si="177"/>
        <v>0</v>
      </c>
      <c r="PPR15" s="63">
        <f t="shared" si="177"/>
        <v>0</v>
      </c>
      <c r="PPS15" s="63">
        <f t="shared" si="177"/>
        <v>0</v>
      </c>
      <c r="PPT15" s="63">
        <f t="shared" si="177"/>
        <v>0</v>
      </c>
      <c r="PPU15" s="63">
        <f t="shared" si="177"/>
        <v>0</v>
      </c>
      <c r="PPV15" s="63">
        <f t="shared" si="177"/>
        <v>0</v>
      </c>
      <c r="PPW15" s="63">
        <f t="shared" si="177"/>
        <v>0</v>
      </c>
      <c r="PPX15" s="63">
        <f t="shared" si="177"/>
        <v>0</v>
      </c>
      <c r="PPY15" s="63">
        <f t="shared" si="177"/>
        <v>0</v>
      </c>
      <c r="PPZ15" s="63">
        <f t="shared" si="177"/>
        <v>0</v>
      </c>
      <c r="PQA15" s="63">
        <f t="shared" si="177"/>
        <v>0</v>
      </c>
      <c r="PQB15" s="63">
        <f t="shared" si="177"/>
        <v>0</v>
      </c>
      <c r="PQC15" s="63">
        <f t="shared" si="177"/>
        <v>0</v>
      </c>
      <c r="PQD15" s="63">
        <f t="shared" si="177"/>
        <v>0</v>
      </c>
      <c r="PQE15" s="63">
        <f t="shared" si="177"/>
        <v>0</v>
      </c>
      <c r="PQF15" s="63">
        <f t="shared" si="177"/>
        <v>0</v>
      </c>
      <c r="PQG15" s="63">
        <f t="shared" si="177"/>
        <v>0</v>
      </c>
      <c r="PQH15" s="63">
        <f t="shared" si="177"/>
        <v>0</v>
      </c>
      <c r="PQI15" s="63">
        <f t="shared" si="177"/>
        <v>0</v>
      </c>
      <c r="PQJ15" s="63">
        <f t="shared" ref="PQJ15:PSU15" si="178">PQI18</f>
        <v>0</v>
      </c>
      <c r="PQK15" s="63">
        <f t="shared" si="178"/>
        <v>0</v>
      </c>
      <c r="PQL15" s="63">
        <f t="shared" si="178"/>
        <v>0</v>
      </c>
      <c r="PQM15" s="63">
        <f t="shared" si="178"/>
        <v>0</v>
      </c>
      <c r="PQN15" s="63">
        <f t="shared" si="178"/>
        <v>0</v>
      </c>
      <c r="PQO15" s="63">
        <f t="shared" si="178"/>
        <v>0</v>
      </c>
      <c r="PQP15" s="63">
        <f t="shared" si="178"/>
        <v>0</v>
      </c>
      <c r="PQQ15" s="63">
        <f t="shared" si="178"/>
        <v>0</v>
      </c>
      <c r="PQR15" s="63">
        <f t="shared" si="178"/>
        <v>0</v>
      </c>
      <c r="PQS15" s="63">
        <f t="shared" si="178"/>
        <v>0</v>
      </c>
      <c r="PQT15" s="63">
        <f t="shared" si="178"/>
        <v>0</v>
      </c>
      <c r="PQU15" s="63">
        <f t="shared" si="178"/>
        <v>0</v>
      </c>
      <c r="PQV15" s="63">
        <f t="shared" si="178"/>
        <v>0</v>
      </c>
      <c r="PQW15" s="63">
        <f t="shared" si="178"/>
        <v>0</v>
      </c>
      <c r="PQX15" s="63">
        <f t="shared" si="178"/>
        <v>0</v>
      </c>
      <c r="PQY15" s="63">
        <f t="shared" si="178"/>
        <v>0</v>
      </c>
      <c r="PQZ15" s="63">
        <f t="shared" si="178"/>
        <v>0</v>
      </c>
      <c r="PRA15" s="63">
        <f t="shared" si="178"/>
        <v>0</v>
      </c>
      <c r="PRB15" s="63">
        <f t="shared" si="178"/>
        <v>0</v>
      </c>
      <c r="PRC15" s="63">
        <f t="shared" si="178"/>
        <v>0</v>
      </c>
      <c r="PRD15" s="63">
        <f t="shared" si="178"/>
        <v>0</v>
      </c>
      <c r="PRE15" s="63">
        <f t="shared" si="178"/>
        <v>0</v>
      </c>
      <c r="PRF15" s="63">
        <f t="shared" si="178"/>
        <v>0</v>
      </c>
      <c r="PRG15" s="63">
        <f t="shared" si="178"/>
        <v>0</v>
      </c>
      <c r="PRH15" s="63">
        <f t="shared" si="178"/>
        <v>0</v>
      </c>
      <c r="PRI15" s="63">
        <f t="shared" si="178"/>
        <v>0</v>
      </c>
      <c r="PRJ15" s="63">
        <f t="shared" si="178"/>
        <v>0</v>
      </c>
      <c r="PRK15" s="63">
        <f t="shared" si="178"/>
        <v>0</v>
      </c>
      <c r="PRL15" s="63">
        <f t="shared" si="178"/>
        <v>0</v>
      </c>
      <c r="PRM15" s="63">
        <f t="shared" si="178"/>
        <v>0</v>
      </c>
      <c r="PRN15" s="63">
        <f t="shared" si="178"/>
        <v>0</v>
      </c>
      <c r="PRO15" s="63">
        <f t="shared" si="178"/>
        <v>0</v>
      </c>
      <c r="PRP15" s="63">
        <f t="shared" si="178"/>
        <v>0</v>
      </c>
      <c r="PRQ15" s="63">
        <f t="shared" si="178"/>
        <v>0</v>
      </c>
      <c r="PRR15" s="63">
        <f t="shared" si="178"/>
        <v>0</v>
      </c>
      <c r="PRS15" s="63">
        <f t="shared" si="178"/>
        <v>0</v>
      </c>
      <c r="PRT15" s="63">
        <f t="shared" si="178"/>
        <v>0</v>
      </c>
      <c r="PRU15" s="63">
        <f t="shared" si="178"/>
        <v>0</v>
      </c>
      <c r="PRV15" s="63">
        <f t="shared" si="178"/>
        <v>0</v>
      </c>
      <c r="PRW15" s="63">
        <f t="shared" si="178"/>
        <v>0</v>
      </c>
      <c r="PRX15" s="63">
        <f t="shared" si="178"/>
        <v>0</v>
      </c>
      <c r="PRY15" s="63">
        <f t="shared" si="178"/>
        <v>0</v>
      </c>
      <c r="PRZ15" s="63">
        <f t="shared" si="178"/>
        <v>0</v>
      </c>
      <c r="PSA15" s="63">
        <f t="shared" si="178"/>
        <v>0</v>
      </c>
      <c r="PSB15" s="63">
        <f t="shared" si="178"/>
        <v>0</v>
      </c>
      <c r="PSC15" s="63">
        <f t="shared" si="178"/>
        <v>0</v>
      </c>
      <c r="PSD15" s="63">
        <f t="shared" si="178"/>
        <v>0</v>
      </c>
      <c r="PSE15" s="63">
        <f t="shared" si="178"/>
        <v>0</v>
      </c>
      <c r="PSF15" s="63">
        <f t="shared" si="178"/>
        <v>0</v>
      </c>
      <c r="PSG15" s="63">
        <f t="shared" si="178"/>
        <v>0</v>
      </c>
      <c r="PSH15" s="63">
        <f t="shared" si="178"/>
        <v>0</v>
      </c>
      <c r="PSI15" s="63">
        <f t="shared" si="178"/>
        <v>0</v>
      </c>
      <c r="PSJ15" s="63">
        <f t="shared" si="178"/>
        <v>0</v>
      </c>
      <c r="PSK15" s="63">
        <f t="shared" si="178"/>
        <v>0</v>
      </c>
      <c r="PSL15" s="63">
        <f t="shared" si="178"/>
        <v>0</v>
      </c>
      <c r="PSM15" s="63">
        <f t="shared" si="178"/>
        <v>0</v>
      </c>
      <c r="PSN15" s="63">
        <f t="shared" si="178"/>
        <v>0</v>
      </c>
      <c r="PSO15" s="63">
        <f t="shared" si="178"/>
        <v>0</v>
      </c>
      <c r="PSP15" s="63">
        <f t="shared" si="178"/>
        <v>0</v>
      </c>
      <c r="PSQ15" s="63">
        <f t="shared" si="178"/>
        <v>0</v>
      </c>
      <c r="PSR15" s="63">
        <f t="shared" si="178"/>
        <v>0</v>
      </c>
      <c r="PSS15" s="63">
        <f t="shared" si="178"/>
        <v>0</v>
      </c>
      <c r="PST15" s="63">
        <f t="shared" si="178"/>
        <v>0</v>
      </c>
      <c r="PSU15" s="63">
        <f t="shared" si="178"/>
        <v>0</v>
      </c>
      <c r="PSV15" s="63">
        <f t="shared" ref="PSV15:PVG15" si="179">PSU18</f>
        <v>0</v>
      </c>
      <c r="PSW15" s="63">
        <f t="shared" si="179"/>
        <v>0</v>
      </c>
      <c r="PSX15" s="63">
        <f t="shared" si="179"/>
        <v>0</v>
      </c>
      <c r="PSY15" s="63">
        <f t="shared" si="179"/>
        <v>0</v>
      </c>
      <c r="PSZ15" s="63">
        <f t="shared" si="179"/>
        <v>0</v>
      </c>
      <c r="PTA15" s="63">
        <f t="shared" si="179"/>
        <v>0</v>
      </c>
      <c r="PTB15" s="63">
        <f t="shared" si="179"/>
        <v>0</v>
      </c>
      <c r="PTC15" s="63">
        <f t="shared" si="179"/>
        <v>0</v>
      </c>
      <c r="PTD15" s="63">
        <f t="shared" si="179"/>
        <v>0</v>
      </c>
      <c r="PTE15" s="63">
        <f t="shared" si="179"/>
        <v>0</v>
      </c>
      <c r="PTF15" s="63">
        <f t="shared" si="179"/>
        <v>0</v>
      </c>
      <c r="PTG15" s="63">
        <f t="shared" si="179"/>
        <v>0</v>
      </c>
      <c r="PTH15" s="63">
        <f t="shared" si="179"/>
        <v>0</v>
      </c>
      <c r="PTI15" s="63">
        <f t="shared" si="179"/>
        <v>0</v>
      </c>
      <c r="PTJ15" s="63">
        <f t="shared" si="179"/>
        <v>0</v>
      </c>
      <c r="PTK15" s="63">
        <f t="shared" si="179"/>
        <v>0</v>
      </c>
      <c r="PTL15" s="63">
        <f t="shared" si="179"/>
        <v>0</v>
      </c>
      <c r="PTM15" s="63">
        <f t="shared" si="179"/>
        <v>0</v>
      </c>
      <c r="PTN15" s="63">
        <f t="shared" si="179"/>
        <v>0</v>
      </c>
      <c r="PTO15" s="63">
        <f t="shared" si="179"/>
        <v>0</v>
      </c>
      <c r="PTP15" s="63">
        <f t="shared" si="179"/>
        <v>0</v>
      </c>
      <c r="PTQ15" s="63">
        <f t="shared" si="179"/>
        <v>0</v>
      </c>
      <c r="PTR15" s="63">
        <f t="shared" si="179"/>
        <v>0</v>
      </c>
      <c r="PTS15" s="63">
        <f t="shared" si="179"/>
        <v>0</v>
      </c>
      <c r="PTT15" s="63">
        <f t="shared" si="179"/>
        <v>0</v>
      </c>
      <c r="PTU15" s="63">
        <f t="shared" si="179"/>
        <v>0</v>
      </c>
      <c r="PTV15" s="63">
        <f t="shared" si="179"/>
        <v>0</v>
      </c>
      <c r="PTW15" s="63">
        <f t="shared" si="179"/>
        <v>0</v>
      </c>
      <c r="PTX15" s="63">
        <f t="shared" si="179"/>
        <v>0</v>
      </c>
      <c r="PTY15" s="63">
        <f t="shared" si="179"/>
        <v>0</v>
      </c>
      <c r="PTZ15" s="63">
        <f t="shared" si="179"/>
        <v>0</v>
      </c>
      <c r="PUA15" s="63">
        <f t="shared" si="179"/>
        <v>0</v>
      </c>
      <c r="PUB15" s="63">
        <f t="shared" si="179"/>
        <v>0</v>
      </c>
      <c r="PUC15" s="63">
        <f t="shared" si="179"/>
        <v>0</v>
      </c>
      <c r="PUD15" s="63">
        <f t="shared" si="179"/>
        <v>0</v>
      </c>
      <c r="PUE15" s="63">
        <f t="shared" si="179"/>
        <v>0</v>
      </c>
      <c r="PUF15" s="63">
        <f t="shared" si="179"/>
        <v>0</v>
      </c>
      <c r="PUG15" s="63">
        <f t="shared" si="179"/>
        <v>0</v>
      </c>
      <c r="PUH15" s="63">
        <f t="shared" si="179"/>
        <v>0</v>
      </c>
      <c r="PUI15" s="63">
        <f t="shared" si="179"/>
        <v>0</v>
      </c>
      <c r="PUJ15" s="63">
        <f t="shared" si="179"/>
        <v>0</v>
      </c>
      <c r="PUK15" s="63">
        <f t="shared" si="179"/>
        <v>0</v>
      </c>
      <c r="PUL15" s="63">
        <f t="shared" si="179"/>
        <v>0</v>
      </c>
      <c r="PUM15" s="63">
        <f t="shared" si="179"/>
        <v>0</v>
      </c>
      <c r="PUN15" s="63">
        <f t="shared" si="179"/>
        <v>0</v>
      </c>
      <c r="PUO15" s="63">
        <f t="shared" si="179"/>
        <v>0</v>
      </c>
      <c r="PUP15" s="63">
        <f t="shared" si="179"/>
        <v>0</v>
      </c>
      <c r="PUQ15" s="63">
        <f t="shared" si="179"/>
        <v>0</v>
      </c>
      <c r="PUR15" s="63">
        <f t="shared" si="179"/>
        <v>0</v>
      </c>
      <c r="PUS15" s="63">
        <f t="shared" si="179"/>
        <v>0</v>
      </c>
      <c r="PUT15" s="63">
        <f t="shared" si="179"/>
        <v>0</v>
      </c>
      <c r="PUU15" s="63">
        <f t="shared" si="179"/>
        <v>0</v>
      </c>
      <c r="PUV15" s="63">
        <f t="shared" si="179"/>
        <v>0</v>
      </c>
      <c r="PUW15" s="63">
        <f t="shared" si="179"/>
        <v>0</v>
      </c>
      <c r="PUX15" s="63">
        <f t="shared" si="179"/>
        <v>0</v>
      </c>
      <c r="PUY15" s="63">
        <f t="shared" si="179"/>
        <v>0</v>
      </c>
      <c r="PUZ15" s="63">
        <f t="shared" si="179"/>
        <v>0</v>
      </c>
      <c r="PVA15" s="63">
        <f t="shared" si="179"/>
        <v>0</v>
      </c>
      <c r="PVB15" s="63">
        <f t="shared" si="179"/>
        <v>0</v>
      </c>
      <c r="PVC15" s="63">
        <f t="shared" si="179"/>
        <v>0</v>
      </c>
      <c r="PVD15" s="63">
        <f t="shared" si="179"/>
        <v>0</v>
      </c>
      <c r="PVE15" s="63">
        <f t="shared" si="179"/>
        <v>0</v>
      </c>
      <c r="PVF15" s="63">
        <f t="shared" si="179"/>
        <v>0</v>
      </c>
      <c r="PVG15" s="63">
        <f t="shared" si="179"/>
        <v>0</v>
      </c>
      <c r="PVH15" s="63">
        <f t="shared" ref="PVH15:PXS15" si="180">PVG18</f>
        <v>0</v>
      </c>
      <c r="PVI15" s="63">
        <f t="shared" si="180"/>
        <v>0</v>
      </c>
      <c r="PVJ15" s="63">
        <f t="shared" si="180"/>
        <v>0</v>
      </c>
      <c r="PVK15" s="63">
        <f t="shared" si="180"/>
        <v>0</v>
      </c>
      <c r="PVL15" s="63">
        <f t="shared" si="180"/>
        <v>0</v>
      </c>
      <c r="PVM15" s="63">
        <f t="shared" si="180"/>
        <v>0</v>
      </c>
      <c r="PVN15" s="63">
        <f t="shared" si="180"/>
        <v>0</v>
      </c>
      <c r="PVO15" s="63">
        <f t="shared" si="180"/>
        <v>0</v>
      </c>
      <c r="PVP15" s="63">
        <f t="shared" si="180"/>
        <v>0</v>
      </c>
      <c r="PVQ15" s="63">
        <f t="shared" si="180"/>
        <v>0</v>
      </c>
      <c r="PVR15" s="63">
        <f t="shared" si="180"/>
        <v>0</v>
      </c>
      <c r="PVS15" s="63">
        <f t="shared" si="180"/>
        <v>0</v>
      </c>
      <c r="PVT15" s="63">
        <f t="shared" si="180"/>
        <v>0</v>
      </c>
      <c r="PVU15" s="63">
        <f t="shared" si="180"/>
        <v>0</v>
      </c>
      <c r="PVV15" s="63">
        <f t="shared" si="180"/>
        <v>0</v>
      </c>
      <c r="PVW15" s="63">
        <f t="shared" si="180"/>
        <v>0</v>
      </c>
      <c r="PVX15" s="63">
        <f t="shared" si="180"/>
        <v>0</v>
      </c>
      <c r="PVY15" s="63">
        <f t="shared" si="180"/>
        <v>0</v>
      </c>
      <c r="PVZ15" s="63">
        <f t="shared" si="180"/>
        <v>0</v>
      </c>
      <c r="PWA15" s="63">
        <f t="shared" si="180"/>
        <v>0</v>
      </c>
      <c r="PWB15" s="63">
        <f t="shared" si="180"/>
        <v>0</v>
      </c>
      <c r="PWC15" s="63">
        <f t="shared" si="180"/>
        <v>0</v>
      </c>
      <c r="PWD15" s="63">
        <f t="shared" si="180"/>
        <v>0</v>
      </c>
      <c r="PWE15" s="63">
        <f t="shared" si="180"/>
        <v>0</v>
      </c>
      <c r="PWF15" s="63">
        <f t="shared" si="180"/>
        <v>0</v>
      </c>
      <c r="PWG15" s="63">
        <f t="shared" si="180"/>
        <v>0</v>
      </c>
      <c r="PWH15" s="63">
        <f t="shared" si="180"/>
        <v>0</v>
      </c>
      <c r="PWI15" s="63">
        <f t="shared" si="180"/>
        <v>0</v>
      </c>
      <c r="PWJ15" s="63">
        <f t="shared" si="180"/>
        <v>0</v>
      </c>
      <c r="PWK15" s="63">
        <f t="shared" si="180"/>
        <v>0</v>
      </c>
      <c r="PWL15" s="63">
        <f t="shared" si="180"/>
        <v>0</v>
      </c>
      <c r="PWM15" s="63">
        <f t="shared" si="180"/>
        <v>0</v>
      </c>
      <c r="PWN15" s="63">
        <f t="shared" si="180"/>
        <v>0</v>
      </c>
      <c r="PWO15" s="63">
        <f t="shared" si="180"/>
        <v>0</v>
      </c>
      <c r="PWP15" s="63">
        <f t="shared" si="180"/>
        <v>0</v>
      </c>
      <c r="PWQ15" s="63">
        <f t="shared" si="180"/>
        <v>0</v>
      </c>
      <c r="PWR15" s="63">
        <f t="shared" si="180"/>
        <v>0</v>
      </c>
      <c r="PWS15" s="63">
        <f t="shared" si="180"/>
        <v>0</v>
      </c>
      <c r="PWT15" s="63">
        <f t="shared" si="180"/>
        <v>0</v>
      </c>
      <c r="PWU15" s="63">
        <f t="shared" si="180"/>
        <v>0</v>
      </c>
      <c r="PWV15" s="63">
        <f t="shared" si="180"/>
        <v>0</v>
      </c>
      <c r="PWW15" s="63">
        <f t="shared" si="180"/>
        <v>0</v>
      </c>
      <c r="PWX15" s="63">
        <f t="shared" si="180"/>
        <v>0</v>
      </c>
      <c r="PWY15" s="63">
        <f t="shared" si="180"/>
        <v>0</v>
      </c>
      <c r="PWZ15" s="63">
        <f t="shared" si="180"/>
        <v>0</v>
      </c>
      <c r="PXA15" s="63">
        <f t="shared" si="180"/>
        <v>0</v>
      </c>
      <c r="PXB15" s="63">
        <f t="shared" si="180"/>
        <v>0</v>
      </c>
      <c r="PXC15" s="63">
        <f t="shared" si="180"/>
        <v>0</v>
      </c>
      <c r="PXD15" s="63">
        <f t="shared" si="180"/>
        <v>0</v>
      </c>
      <c r="PXE15" s="63">
        <f t="shared" si="180"/>
        <v>0</v>
      </c>
      <c r="PXF15" s="63">
        <f t="shared" si="180"/>
        <v>0</v>
      </c>
      <c r="PXG15" s="63">
        <f t="shared" si="180"/>
        <v>0</v>
      </c>
      <c r="PXH15" s="63">
        <f t="shared" si="180"/>
        <v>0</v>
      </c>
      <c r="PXI15" s="63">
        <f t="shared" si="180"/>
        <v>0</v>
      </c>
      <c r="PXJ15" s="63">
        <f t="shared" si="180"/>
        <v>0</v>
      </c>
      <c r="PXK15" s="63">
        <f t="shared" si="180"/>
        <v>0</v>
      </c>
      <c r="PXL15" s="63">
        <f t="shared" si="180"/>
        <v>0</v>
      </c>
      <c r="PXM15" s="63">
        <f t="shared" si="180"/>
        <v>0</v>
      </c>
      <c r="PXN15" s="63">
        <f t="shared" si="180"/>
        <v>0</v>
      </c>
      <c r="PXO15" s="63">
        <f t="shared" si="180"/>
        <v>0</v>
      </c>
      <c r="PXP15" s="63">
        <f t="shared" si="180"/>
        <v>0</v>
      </c>
      <c r="PXQ15" s="63">
        <f t="shared" si="180"/>
        <v>0</v>
      </c>
      <c r="PXR15" s="63">
        <f t="shared" si="180"/>
        <v>0</v>
      </c>
      <c r="PXS15" s="63">
        <f t="shared" si="180"/>
        <v>0</v>
      </c>
      <c r="PXT15" s="63">
        <f t="shared" ref="PXT15:QAE15" si="181">PXS18</f>
        <v>0</v>
      </c>
      <c r="PXU15" s="63">
        <f t="shared" si="181"/>
        <v>0</v>
      </c>
      <c r="PXV15" s="63">
        <f t="shared" si="181"/>
        <v>0</v>
      </c>
      <c r="PXW15" s="63">
        <f t="shared" si="181"/>
        <v>0</v>
      </c>
      <c r="PXX15" s="63">
        <f t="shared" si="181"/>
        <v>0</v>
      </c>
      <c r="PXY15" s="63">
        <f t="shared" si="181"/>
        <v>0</v>
      </c>
      <c r="PXZ15" s="63">
        <f t="shared" si="181"/>
        <v>0</v>
      </c>
      <c r="PYA15" s="63">
        <f t="shared" si="181"/>
        <v>0</v>
      </c>
      <c r="PYB15" s="63">
        <f t="shared" si="181"/>
        <v>0</v>
      </c>
      <c r="PYC15" s="63">
        <f t="shared" si="181"/>
        <v>0</v>
      </c>
      <c r="PYD15" s="63">
        <f t="shared" si="181"/>
        <v>0</v>
      </c>
      <c r="PYE15" s="63">
        <f t="shared" si="181"/>
        <v>0</v>
      </c>
      <c r="PYF15" s="63">
        <f t="shared" si="181"/>
        <v>0</v>
      </c>
      <c r="PYG15" s="63">
        <f t="shared" si="181"/>
        <v>0</v>
      </c>
      <c r="PYH15" s="63">
        <f t="shared" si="181"/>
        <v>0</v>
      </c>
      <c r="PYI15" s="63">
        <f t="shared" si="181"/>
        <v>0</v>
      </c>
      <c r="PYJ15" s="63">
        <f t="shared" si="181"/>
        <v>0</v>
      </c>
      <c r="PYK15" s="63">
        <f t="shared" si="181"/>
        <v>0</v>
      </c>
      <c r="PYL15" s="63">
        <f t="shared" si="181"/>
        <v>0</v>
      </c>
      <c r="PYM15" s="63">
        <f t="shared" si="181"/>
        <v>0</v>
      </c>
      <c r="PYN15" s="63">
        <f t="shared" si="181"/>
        <v>0</v>
      </c>
      <c r="PYO15" s="63">
        <f t="shared" si="181"/>
        <v>0</v>
      </c>
      <c r="PYP15" s="63">
        <f t="shared" si="181"/>
        <v>0</v>
      </c>
      <c r="PYQ15" s="63">
        <f t="shared" si="181"/>
        <v>0</v>
      </c>
      <c r="PYR15" s="63">
        <f t="shared" si="181"/>
        <v>0</v>
      </c>
      <c r="PYS15" s="63">
        <f t="shared" si="181"/>
        <v>0</v>
      </c>
      <c r="PYT15" s="63">
        <f t="shared" si="181"/>
        <v>0</v>
      </c>
      <c r="PYU15" s="63">
        <f t="shared" si="181"/>
        <v>0</v>
      </c>
      <c r="PYV15" s="63">
        <f t="shared" si="181"/>
        <v>0</v>
      </c>
      <c r="PYW15" s="63">
        <f t="shared" si="181"/>
        <v>0</v>
      </c>
      <c r="PYX15" s="63">
        <f t="shared" si="181"/>
        <v>0</v>
      </c>
      <c r="PYY15" s="63">
        <f t="shared" si="181"/>
        <v>0</v>
      </c>
      <c r="PYZ15" s="63">
        <f t="shared" si="181"/>
        <v>0</v>
      </c>
      <c r="PZA15" s="63">
        <f t="shared" si="181"/>
        <v>0</v>
      </c>
      <c r="PZB15" s="63">
        <f t="shared" si="181"/>
        <v>0</v>
      </c>
      <c r="PZC15" s="63">
        <f t="shared" si="181"/>
        <v>0</v>
      </c>
      <c r="PZD15" s="63">
        <f t="shared" si="181"/>
        <v>0</v>
      </c>
      <c r="PZE15" s="63">
        <f t="shared" si="181"/>
        <v>0</v>
      </c>
      <c r="PZF15" s="63">
        <f t="shared" si="181"/>
        <v>0</v>
      </c>
      <c r="PZG15" s="63">
        <f t="shared" si="181"/>
        <v>0</v>
      </c>
      <c r="PZH15" s="63">
        <f t="shared" si="181"/>
        <v>0</v>
      </c>
      <c r="PZI15" s="63">
        <f t="shared" si="181"/>
        <v>0</v>
      </c>
      <c r="PZJ15" s="63">
        <f t="shared" si="181"/>
        <v>0</v>
      </c>
      <c r="PZK15" s="63">
        <f t="shared" si="181"/>
        <v>0</v>
      </c>
      <c r="PZL15" s="63">
        <f t="shared" si="181"/>
        <v>0</v>
      </c>
      <c r="PZM15" s="63">
        <f t="shared" si="181"/>
        <v>0</v>
      </c>
      <c r="PZN15" s="63">
        <f t="shared" si="181"/>
        <v>0</v>
      </c>
      <c r="PZO15" s="63">
        <f t="shared" si="181"/>
        <v>0</v>
      </c>
      <c r="PZP15" s="63">
        <f t="shared" si="181"/>
        <v>0</v>
      </c>
      <c r="PZQ15" s="63">
        <f t="shared" si="181"/>
        <v>0</v>
      </c>
      <c r="PZR15" s="63">
        <f t="shared" si="181"/>
        <v>0</v>
      </c>
      <c r="PZS15" s="63">
        <f t="shared" si="181"/>
        <v>0</v>
      </c>
      <c r="PZT15" s="63">
        <f t="shared" si="181"/>
        <v>0</v>
      </c>
      <c r="PZU15" s="63">
        <f t="shared" si="181"/>
        <v>0</v>
      </c>
      <c r="PZV15" s="63">
        <f t="shared" si="181"/>
        <v>0</v>
      </c>
      <c r="PZW15" s="63">
        <f t="shared" si="181"/>
        <v>0</v>
      </c>
      <c r="PZX15" s="63">
        <f t="shared" si="181"/>
        <v>0</v>
      </c>
      <c r="PZY15" s="63">
        <f t="shared" si="181"/>
        <v>0</v>
      </c>
      <c r="PZZ15" s="63">
        <f t="shared" si="181"/>
        <v>0</v>
      </c>
      <c r="QAA15" s="63">
        <f t="shared" si="181"/>
        <v>0</v>
      </c>
      <c r="QAB15" s="63">
        <f t="shared" si="181"/>
        <v>0</v>
      </c>
      <c r="QAC15" s="63">
        <f t="shared" si="181"/>
        <v>0</v>
      </c>
      <c r="QAD15" s="63">
        <f t="shared" si="181"/>
        <v>0</v>
      </c>
      <c r="QAE15" s="63">
        <f t="shared" si="181"/>
        <v>0</v>
      </c>
      <c r="QAF15" s="63">
        <f t="shared" ref="QAF15:QCQ15" si="182">QAE18</f>
        <v>0</v>
      </c>
      <c r="QAG15" s="63">
        <f t="shared" si="182"/>
        <v>0</v>
      </c>
      <c r="QAH15" s="63">
        <f t="shared" si="182"/>
        <v>0</v>
      </c>
      <c r="QAI15" s="63">
        <f t="shared" si="182"/>
        <v>0</v>
      </c>
      <c r="QAJ15" s="63">
        <f t="shared" si="182"/>
        <v>0</v>
      </c>
      <c r="QAK15" s="63">
        <f t="shared" si="182"/>
        <v>0</v>
      </c>
      <c r="QAL15" s="63">
        <f t="shared" si="182"/>
        <v>0</v>
      </c>
      <c r="QAM15" s="63">
        <f t="shared" si="182"/>
        <v>0</v>
      </c>
      <c r="QAN15" s="63">
        <f t="shared" si="182"/>
        <v>0</v>
      </c>
      <c r="QAO15" s="63">
        <f t="shared" si="182"/>
        <v>0</v>
      </c>
      <c r="QAP15" s="63">
        <f t="shared" si="182"/>
        <v>0</v>
      </c>
      <c r="QAQ15" s="63">
        <f t="shared" si="182"/>
        <v>0</v>
      </c>
      <c r="QAR15" s="63">
        <f t="shared" si="182"/>
        <v>0</v>
      </c>
      <c r="QAS15" s="63">
        <f t="shared" si="182"/>
        <v>0</v>
      </c>
      <c r="QAT15" s="63">
        <f t="shared" si="182"/>
        <v>0</v>
      </c>
      <c r="QAU15" s="63">
        <f t="shared" si="182"/>
        <v>0</v>
      </c>
      <c r="QAV15" s="63">
        <f t="shared" si="182"/>
        <v>0</v>
      </c>
      <c r="QAW15" s="63">
        <f t="shared" si="182"/>
        <v>0</v>
      </c>
      <c r="QAX15" s="63">
        <f t="shared" si="182"/>
        <v>0</v>
      </c>
      <c r="QAY15" s="63">
        <f t="shared" si="182"/>
        <v>0</v>
      </c>
      <c r="QAZ15" s="63">
        <f t="shared" si="182"/>
        <v>0</v>
      </c>
      <c r="QBA15" s="63">
        <f t="shared" si="182"/>
        <v>0</v>
      </c>
      <c r="QBB15" s="63">
        <f t="shared" si="182"/>
        <v>0</v>
      </c>
      <c r="QBC15" s="63">
        <f t="shared" si="182"/>
        <v>0</v>
      </c>
      <c r="QBD15" s="63">
        <f t="shared" si="182"/>
        <v>0</v>
      </c>
      <c r="QBE15" s="63">
        <f t="shared" si="182"/>
        <v>0</v>
      </c>
      <c r="QBF15" s="63">
        <f t="shared" si="182"/>
        <v>0</v>
      </c>
      <c r="QBG15" s="63">
        <f t="shared" si="182"/>
        <v>0</v>
      </c>
      <c r="QBH15" s="63">
        <f t="shared" si="182"/>
        <v>0</v>
      </c>
      <c r="QBI15" s="63">
        <f t="shared" si="182"/>
        <v>0</v>
      </c>
      <c r="QBJ15" s="63">
        <f t="shared" si="182"/>
        <v>0</v>
      </c>
      <c r="QBK15" s="63">
        <f t="shared" si="182"/>
        <v>0</v>
      </c>
      <c r="QBL15" s="63">
        <f t="shared" si="182"/>
        <v>0</v>
      </c>
      <c r="QBM15" s="63">
        <f t="shared" si="182"/>
        <v>0</v>
      </c>
      <c r="QBN15" s="63">
        <f t="shared" si="182"/>
        <v>0</v>
      </c>
      <c r="QBO15" s="63">
        <f t="shared" si="182"/>
        <v>0</v>
      </c>
      <c r="QBP15" s="63">
        <f t="shared" si="182"/>
        <v>0</v>
      </c>
      <c r="QBQ15" s="63">
        <f t="shared" si="182"/>
        <v>0</v>
      </c>
      <c r="QBR15" s="63">
        <f t="shared" si="182"/>
        <v>0</v>
      </c>
      <c r="QBS15" s="63">
        <f t="shared" si="182"/>
        <v>0</v>
      </c>
      <c r="QBT15" s="63">
        <f t="shared" si="182"/>
        <v>0</v>
      </c>
      <c r="QBU15" s="63">
        <f t="shared" si="182"/>
        <v>0</v>
      </c>
      <c r="QBV15" s="63">
        <f t="shared" si="182"/>
        <v>0</v>
      </c>
      <c r="QBW15" s="63">
        <f t="shared" si="182"/>
        <v>0</v>
      </c>
      <c r="QBX15" s="63">
        <f t="shared" si="182"/>
        <v>0</v>
      </c>
      <c r="QBY15" s="63">
        <f t="shared" si="182"/>
        <v>0</v>
      </c>
      <c r="QBZ15" s="63">
        <f t="shared" si="182"/>
        <v>0</v>
      </c>
      <c r="QCA15" s="63">
        <f t="shared" si="182"/>
        <v>0</v>
      </c>
      <c r="QCB15" s="63">
        <f t="shared" si="182"/>
        <v>0</v>
      </c>
      <c r="QCC15" s="63">
        <f t="shared" si="182"/>
        <v>0</v>
      </c>
      <c r="QCD15" s="63">
        <f t="shared" si="182"/>
        <v>0</v>
      </c>
      <c r="QCE15" s="63">
        <f t="shared" si="182"/>
        <v>0</v>
      </c>
      <c r="QCF15" s="63">
        <f t="shared" si="182"/>
        <v>0</v>
      </c>
      <c r="QCG15" s="63">
        <f t="shared" si="182"/>
        <v>0</v>
      </c>
      <c r="QCH15" s="63">
        <f t="shared" si="182"/>
        <v>0</v>
      </c>
      <c r="QCI15" s="63">
        <f t="shared" si="182"/>
        <v>0</v>
      </c>
      <c r="QCJ15" s="63">
        <f t="shared" si="182"/>
        <v>0</v>
      </c>
      <c r="QCK15" s="63">
        <f t="shared" si="182"/>
        <v>0</v>
      </c>
      <c r="QCL15" s="63">
        <f t="shared" si="182"/>
        <v>0</v>
      </c>
      <c r="QCM15" s="63">
        <f t="shared" si="182"/>
        <v>0</v>
      </c>
      <c r="QCN15" s="63">
        <f t="shared" si="182"/>
        <v>0</v>
      </c>
      <c r="QCO15" s="63">
        <f t="shared" si="182"/>
        <v>0</v>
      </c>
      <c r="QCP15" s="63">
        <f t="shared" si="182"/>
        <v>0</v>
      </c>
      <c r="QCQ15" s="63">
        <f t="shared" si="182"/>
        <v>0</v>
      </c>
      <c r="QCR15" s="63">
        <f t="shared" ref="QCR15:QFC15" si="183">QCQ18</f>
        <v>0</v>
      </c>
      <c r="QCS15" s="63">
        <f t="shared" si="183"/>
        <v>0</v>
      </c>
      <c r="QCT15" s="63">
        <f t="shared" si="183"/>
        <v>0</v>
      </c>
      <c r="QCU15" s="63">
        <f t="shared" si="183"/>
        <v>0</v>
      </c>
      <c r="QCV15" s="63">
        <f t="shared" si="183"/>
        <v>0</v>
      </c>
      <c r="QCW15" s="63">
        <f t="shared" si="183"/>
        <v>0</v>
      </c>
      <c r="QCX15" s="63">
        <f t="shared" si="183"/>
        <v>0</v>
      </c>
      <c r="QCY15" s="63">
        <f t="shared" si="183"/>
        <v>0</v>
      </c>
      <c r="QCZ15" s="63">
        <f t="shared" si="183"/>
        <v>0</v>
      </c>
      <c r="QDA15" s="63">
        <f t="shared" si="183"/>
        <v>0</v>
      </c>
      <c r="QDB15" s="63">
        <f t="shared" si="183"/>
        <v>0</v>
      </c>
      <c r="QDC15" s="63">
        <f t="shared" si="183"/>
        <v>0</v>
      </c>
      <c r="QDD15" s="63">
        <f t="shared" si="183"/>
        <v>0</v>
      </c>
      <c r="QDE15" s="63">
        <f t="shared" si="183"/>
        <v>0</v>
      </c>
      <c r="QDF15" s="63">
        <f t="shared" si="183"/>
        <v>0</v>
      </c>
      <c r="QDG15" s="63">
        <f t="shared" si="183"/>
        <v>0</v>
      </c>
      <c r="QDH15" s="63">
        <f t="shared" si="183"/>
        <v>0</v>
      </c>
      <c r="QDI15" s="63">
        <f t="shared" si="183"/>
        <v>0</v>
      </c>
      <c r="QDJ15" s="63">
        <f t="shared" si="183"/>
        <v>0</v>
      </c>
      <c r="QDK15" s="63">
        <f t="shared" si="183"/>
        <v>0</v>
      </c>
      <c r="QDL15" s="63">
        <f t="shared" si="183"/>
        <v>0</v>
      </c>
      <c r="QDM15" s="63">
        <f t="shared" si="183"/>
        <v>0</v>
      </c>
      <c r="QDN15" s="63">
        <f t="shared" si="183"/>
        <v>0</v>
      </c>
      <c r="QDO15" s="63">
        <f t="shared" si="183"/>
        <v>0</v>
      </c>
      <c r="QDP15" s="63">
        <f t="shared" si="183"/>
        <v>0</v>
      </c>
      <c r="QDQ15" s="63">
        <f t="shared" si="183"/>
        <v>0</v>
      </c>
      <c r="QDR15" s="63">
        <f t="shared" si="183"/>
        <v>0</v>
      </c>
      <c r="QDS15" s="63">
        <f t="shared" si="183"/>
        <v>0</v>
      </c>
      <c r="QDT15" s="63">
        <f t="shared" si="183"/>
        <v>0</v>
      </c>
      <c r="QDU15" s="63">
        <f t="shared" si="183"/>
        <v>0</v>
      </c>
      <c r="QDV15" s="63">
        <f t="shared" si="183"/>
        <v>0</v>
      </c>
      <c r="QDW15" s="63">
        <f t="shared" si="183"/>
        <v>0</v>
      </c>
      <c r="QDX15" s="63">
        <f t="shared" si="183"/>
        <v>0</v>
      </c>
      <c r="QDY15" s="63">
        <f t="shared" si="183"/>
        <v>0</v>
      </c>
      <c r="QDZ15" s="63">
        <f t="shared" si="183"/>
        <v>0</v>
      </c>
      <c r="QEA15" s="63">
        <f t="shared" si="183"/>
        <v>0</v>
      </c>
      <c r="QEB15" s="63">
        <f t="shared" si="183"/>
        <v>0</v>
      </c>
      <c r="QEC15" s="63">
        <f t="shared" si="183"/>
        <v>0</v>
      </c>
      <c r="QED15" s="63">
        <f t="shared" si="183"/>
        <v>0</v>
      </c>
      <c r="QEE15" s="63">
        <f t="shared" si="183"/>
        <v>0</v>
      </c>
      <c r="QEF15" s="63">
        <f t="shared" si="183"/>
        <v>0</v>
      </c>
      <c r="QEG15" s="63">
        <f t="shared" si="183"/>
        <v>0</v>
      </c>
      <c r="QEH15" s="63">
        <f t="shared" si="183"/>
        <v>0</v>
      </c>
      <c r="QEI15" s="63">
        <f t="shared" si="183"/>
        <v>0</v>
      </c>
      <c r="QEJ15" s="63">
        <f t="shared" si="183"/>
        <v>0</v>
      </c>
      <c r="QEK15" s="63">
        <f t="shared" si="183"/>
        <v>0</v>
      </c>
      <c r="QEL15" s="63">
        <f t="shared" si="183"/>
        <v>0</v>
      </c>
      <c r="QEM15" s="63">
        <f t="shared" si="183"/>
        <v>0</v>
      </c>
      <c r="QEN15" s="63">
        <f t="shared" si="183"/>
        <v>0</v>
      </c>
      <c r="QEO15" s="63">
        <f t="shared" si="183"/>
        <v>0</v>
      </c>
      <c r="QEP15" s="63">
        <f t="shared" si="183"/>
        <v>0</v>
      </c>
      <c r="QEQ15" s="63">
        <f t="shared" si="183"/>
        <v>0</v>
      </c>
      <c r="QER15" s="63">
        <f t="shared" si="183"/>
        <v>0</v>
      </c>
      <c r="QES15" s="63">
        <f t="shared" si="183"/>
        <v>0</v>
      </c>
      <c r="QET15" s="63">
        <f t="shared" si="183"/>
        <v>0</v>
      </c>
      <c r="QEU15" s="63">
        <f t="shared" si="183"/>
        <v>0</v>
      </c>
      <c r="QEV15" s="63">
        <f t="shared" si="183"/>
        <v>0</v>
      </c>
      <c r="QEW15" s="63">
        <f t="shared" si="183"/>
        <v>0</v>
      </c>
      <c r="QEX15" s="63">
        <f t="shared" si="183"/>
        <v>0</v>
      </c>
      <c r="QEY15" s="63">
        <f t="shared" si="183"/>
        <v>0</v>
      </c>
      <c r="QEZ15" s="63">
        <f t="shared" si="183"/>
        <v>0</v>
      </c>
      <c r="QFA15" s="63">
        <f t="shared" si="183"/>
        <v>0</v>
      </c>
      <c r="QFB15" s="63">
        <f t="shared" si="183"/>
        <v>0</v>
      </c>
      <c r="QFC15" s="63">
        <f t="shared" si="183"/>
        <v>0</v>
      </c>
      <c r="QFD15" s="63">
        <f t="shared" ref="QFD15:QHO15" si="184">QFC18</f>
        <v>0</v>
      </c>
      <c r="QFE15" s="63">
        <f t="shared" si="184"/>
        <v>0</v>
      </c>
      <c r="QFF15" s="63">
        <f t="shared" si="184"/>
        <v>0</v>
      </c>
      <c r="QFG15" s="63">
        <f t="shared" si="184"/>
        <v>0</v>
      </c>
      <c r="QFH15" s="63">
        <f t="shared" si="184"/>
        <v>0</v>
      </c>
      <c r="QFI15" s="63">
        <f t="shared" si="184"/>
        <v>0</v>
      </c>
      <c r="QFJ15" s="63">
        <f t="shared" si="184"/>
        <v>0</v>
      </c>
      <c r="QFK15" s="63">
        <f t="shared" si="184"/>
        <v>0</v>
      </c>
      <c r="QFL15" s="63">
        <f t="shared" si="184"/>
        <v>0</v>
      </c>
      <c r="QFM15" s="63">
        <f t="shared" si="184"/>
        <v>0</v>
      </c>
      <c r="QFN15" s="63">
        <f t="shared" si="184"/>
        <v>0</v>
      </c>
      <c r="QFO15" s="63">
        <f t="shared" si="184"/>
        <v>0</v>
      </c>
      <c r="QFP15" s="63">
        <f t="shared" si="184"/>
        <v>0</v>
      </c>
      <c r="QFQ15" s="63">
        <f t="shared" si="184"/>
        <v>0</v>
      </c>
      <c r="QFR15" s="63">
        <f t="shared" si="184"/>
        <v>0</v>
      </c>
      <c r="QFS15" s="63">
        <f t="shared" si="184"/>
        <v>0</v>
      </c>
      <c r="QFT15" s="63">
        <f t="shared" si="184"/>
        <v>0</v>
      </c>
      <c r="QFU15" s="63">
        <f t="shared" si="184"/>
        <v>0</v>
      </c>
      <c r="QFV15" s="63">
        <f t="shared" si="184"/>
        <v>0</v>
      </c>
      <c r="QFW15" s="63">
        <f t="shared" si="184"/>
        <v>0</v>
      </c>
      <c r="QFX15" s="63">
        <f t="shared" si="184"/>
        <v>0</v>
      </c>
      <c r="QFY15" s="63">
        <f t="shared" si="184"/>
        <v>0</v>
      </c>
      <c r="QFZ15" s="63">
        <f t="shared" si="184"/>
        <v>0</v>
      </c>
      <c r="QGA15" s="63">
        <f t="shared" si="184"/>
        <v>0</v>
      </c>
      <c r="QGB15" s="63">
        <f t="shared" si="184"/>
        <v>0</v>
      </c>
      <c r="QGC15" s="63">
        <f t="shared" si="184"/>
        <v>0</v>
      </c>
      <c r="QGD15" s="63">
        <f t="shared" si="184"/>
        <v>0</v>
      </c>
      <c r="QGE15" s="63">
        <f t="shared" si="184"/>
        <v>0</v>
      </c>
      <c r="QGF15" s="63">
        <f t="shared" si="184"/>
        <v>0</v>
      </c>
      <c r="QGG15" s="63">
        <f t="shared" si="184"/>
        <v>0</v>
      </c>
      <c r="QGH15" s="63">
        <f t="shared" si="184"/>
        <v>0</v>
      </c>
      <c r="QGI15" s="63">
        <f t="shared" si="184"/>
        <v>0</v>
      </c>
      <c r="QGJ15" s="63">
        <f t="shared" si="184"/>
        <v>0</v>
      </c>
      <c r="QGK15" s="63">
        <f t="shared" si="184"/>
        <v>0</v>
      </c>
      <c r="QGL15" s="63">
        <f t="shared" si="184"/>
        <v>0</v>
      </c>
      <c r="QGM15" s="63">
        <f t="shared" si="184"/>
        <v>0</v>
      </c>
      <c r="QGN15" s="63">
        <f t="shared" si="184"/>
        <v>0</v>
      </c>
      <c r="QGO15" s="63">
        <f t="shared" si="184"/>
        <v>0</v>
      </c>
      <c r="QGP15" s="63">
        <f t="shared" si="184"/>
        <v>0</v>
      </c>
      <c r="QGQ15" s="63">
        <f t="shared" si="184"/>
        <v>0</v>
      </c>
      <c r="QGR15" s="63">
        <f t="shared" si="184"/>
        <v>0</v>
      </c>
      <c r="QGS15" s="63">
        <f t="shared" si="184"/>
        <v>0</v>
      </c>
      <c r="QGT15" s="63">
        <f t="shared" si="184"/>
        <v>0</v>
      </c>
      <c r="QGU15" s="63">
        <f t="shared" si="184"/>
        <v>0</v>
      </c>
      <c r="QGV15" s="63">
        <f t="shared" si="184"/>
        <v>0</v>
      </c>
      <c r="QGW15" s="63">
        <f t="shared" si="184"/>
        <v>0</v>
      </c>
      <c r="QGX15" s="63">
        <f t="shared" si="184"/>
        <v>0</v>
      </c>
      <c r="QGY15" s="63">
        <f t="shared" si="184"/>
        <v>0</v>
      </c>
      <c r="QGZ15" s="63">
        <f t="shared" si="184"/>
        <v>0</v>
      </c>
      <c r="QHA15" s="63">
        <f t="shared" si="184"/>
        <v>0</v>
      </c>
      <c r="QHB15" s="63">
        <f t="shared" si="184"/>
        <v>0</v>
      </c>
      <c r="QHC15" s="63">
        <f t="shared" si="184"/>
        <v>0</v>
      </c>
      <c r="QHD15" s="63">
        <f t="shared" si="184"/>
        <v>0</v>
      </c>
      <c r="QHE15" s="63">
        <f t="shared" si="184"/>
        <v>0</v>
      </c>
      <c r="QHF15" s="63">
        <f t="shared" si="184"/>
        <v>0</v>
      </c>
      <c r="QHG15" s="63">
        <f t="shared" si="184"/>
        <v>0</v>
      </c>
      <c r="QHH15" s="63">
        <f t="shared" si="184"/>
        <v>0</v>
      </c>
      <c r="QHI15" s="63">
        <f t="shared" si="184"/>
        <v>0</v>
      </c>
      <c r="QHJ15" s="63">
        <f t="shared" si="184"/>
        <v>0</v>
      </c>
      <c r="QHK15" s="63">
        <f t="shared" si="184"/>
        <v>0</v>
      </c>
      <c r="QHL15" s="63">
        <f t="shared" si="184"/>
        <v>0</v>
      </c>
      <c r="QHM15" s="63">
        <f t="shared" si="184"/>
        <v>0</v>
      </c>
      <c r="QHN15" s="63">
        <f t="shared" si="184"/>
        <v>0</v>
      </c>
      <c r="QHO15" s="63">
        <f t="shared" si="184"/>
        <v>0</v>
      </c>
      <c r="QHP15" s="63">
        <f t="shared" ref="QHP15:QKA15" si="185">QHO18</f>
        <v>0</v>
      </c>
      <c r="QHQ15" s="63">
        <f t="shared" si="185"/>
        <v>0</v>
      </c>
      <c r="QHR15" s="63">
        <f t="shared" si="185"/>
        <v>0</v>
      </c>
      <c r="QHS15" s="63">
        <f t="shared" si="185"/>
        <v>0</v>
      </c>
      <c r="QHT15" s="63">
        <f t="shared" si="185"/>
        <v>0</v>
      </c>
      <c r="QHU15" s="63">
        <f t="shared" si="185"/>
        <v>0</v>
      </c>
      <c r="QHV15" s="63">
        <f t="shared" si="185"/>
        <v>0</v>
      </c>
      <c r="QHW15" s="63">
        <f t="shared" si="185"/>
        <v>0</v>
      </c>
      <c r="QHX15" s="63">
        <f t="shared" si="185"/>
        <v>0</v>
      </c>
      <c r="QHY15" s="63">
        <f t="shared" si="185"/>
        <v>0</v>
      </c>
      <c r="QHZ15" s="63">
        <f t="shared" si="185"/>
        <v>0</v>
      </c>
      <c r="QIA15" s="63">
        <f t="shared" si="185"/>
        <v>0</v>
      </c>
      <c r="QIB15" s="63">
        <f t="shared" si="185"/>
        <v>0</v>
      </c>
      <c r="QIC15" s="63">
        <f t="shared" si="185"/>
        <v>0</v>
      </c>
      <c r="QID15" s="63">
        <f t="shared" si="185"/>
        <v>0</v>
      </c>
      <c r="QIE15" s="63">
        <f t="shared" si="185"/>
        <v>0</v>
      </c>
      <c r="QIF15" s="63">
        <f t="shared" si="185"/>
        <v>0</v>
      </c>
      <c r="QIG15" s="63">
        <f t="shared" si="185"/>
        <v>0</v>
      </c>
      <c r="QIH15" s="63">
        <f t="shared" si="185"/>
        <v>0</v>
      </c>
      <c r="QII15" s="63">
        <f t="shared" si="185"/>
        <v>0</v>
      </c>
      <c r="QIJ15" s="63">
        <f t="shared" si="185"/>
        <v>0</v>
      </c>
      <c r="QIK15" s="63">
        <f t="shared" si="185"/>
        <v>0</v>
      </c>
      <c r="QIL15" s="63">
        <f t="shared" si="185"/>
        <v>0</v>
      </c>
      <c r="QIM15" s="63">
        <f t="shared" si="185"/>
        <v>0</v>
      </c>
      <c r="QIN15" s="63">
        <f t="shared" si="185"/>
        <v>0</v>
      </c>
      <c r="QIO15" s="63">
        <f t="shared" si="185"/>
        <v>0</v>
      </c>
      <c r="QIP15" s="63">
        <f t="shared" si="185"/>
        <v>0</v>
      </c>
      <c r="QIQ15" s="63">
        <f t="shared" si="185"/>
        <v>0</v>
      </c>
      <c r="QIR15" s="63">
        <f t="shared" si="185"/>
        <v>0</v>
      </c>
      <c r="QIS15" s="63">
        <f t="shared" si="185"/>
        <v>0</v>
      </c>
      <c r="QIT15" s="63">
        <f t="shared" si="185"/>
        <v>0</v>
      </c>
      <c r="QIU15" s="63">
        <f t="shared" si="185"/>
        <v>0</v>
      </c>
      <c r="QIV15" s="63">
        <f t="shared" si="185"/>
        <v>0</v>
      </c>
      <c r="QIW15" s="63">
        <f t="shared" si="185"/>
        <v>0</v>
      </c>
      <c r="QIX15" s="63">
        <f t="shared" si="185"/>
        <v>0</v>
      </c>
      <c r="QIY15" s="63">
        <f t="shared" si="185"/>
        <v>0</v>
      </c>
      <c r="QIZ15" s="63">
        <f t="shared" si="185"/>
        <v>0</v>
      </c>
      <c r="QJA15" s="63">
        <f t="shared" si="185"/>
        <v>0</v>
      </c>
      <c r="QJB15" s="63">
        <f t="shared" si="185"/>
        <v>0</v>
      </c>
      <c r="QJC15" s="63">
        <f t="shared" si="185"/>
        <v>0</v>
      </c>
      <c r="QJD15" s="63">
        <f t="shared" si="185"/>
        <v>0</v>
      </c>
      <c r="QJE15" s="63">
        <f t="shared" si="185"/>
        <v>0</v>
      </c>
      <c r="QJF15" s="63">
        <f t="shared" si="185"/>
        <v>0</v>
      </c>
      <c r="QJG15" s="63">
        <f t="shared" si="185"/>
        <v>0</v>
      </c>
      <c r="QJH15" s="63">
        <f t="shared" si="185"/>
        <v>0</v>
      </c>
      <c r="QJI15" s="63">
        <f t="shared" si="185"/>
        <v>0</v>
      </c>
      <c r="QJJ15" s="63">
        <f t="shared" si="185"/>
        <v>0</v>
      </c>
      <c r="QJK15" s="63">
        <f t="shared" si="185"/>
        <v>0</v>
      </c>
      <c r="QJL15" s="63">
        <f t="shared" si="185"/>
        <v>0</v>
      </c>
      <c r="QJM15" s="63">
        <f t="shared" si="185"/>
        <v>0</v>
      </c>
      <c r="QJN15" s="63">
        <f t="shared" si="185"/>
        <v>0</v>
      </c>
      <c r="QJO15" s="63">
        <f t="shared" si="185"/>
        <v>0</v>
      </c>
      <c r="QJP15" s="63">
        <f t="shared" si="185"/>
        <v>0</v>
      </c>
      <c r="QJQ15" s="63">
        <f t="shared" si="185"/>
        <v>0</v>
      </c>
      <c r="QJR15" s="63">
        <f t="shared" si="185"/>
        <v>0</v>
      </c>
      <c r="QJS15" s="63">
        <f t="shared" si="185"/>
        <v>0</v>
      </c>
      <c r="QJT15" s="63">
        <f t="shared" si="185"/>
        <v>0</v>
      </c>
      <c r="QJU15" s="63">
        <f t="shared" si="185"/>
        <v>0</v>
      </c>
      <c r="QJV15" s="63">
        <f t="shared" si="185"/>
        <v>0</v>
      </c>
      <c r="QJW15" s="63">
        <f t="shared" si="185"/>
        <v>0</v>
      </c>
      <c r="QJX15" s="63">
        <f t="shared" si="185"/>
        <v>0</v>
      </c>
      <c r="QJY15" s="63">
        <f t="shared" si="185"/>
        <v>0</v>
      </c>
      <c r="QJZ15" s="63">
        <f t="shared" si="185"/>
        <v>0</v>
      </c>
      <c r="QKA15" s="63">
        <f t="shared" si="185"/>
        <v>0</v>
      </c>
      <c r="QKB15" s="63">
        <f t="shared" ref="QKB15:QMM15" si="186">QKA18</f>
        <v>0</v>
      </c>
      <c r="QKC15" s="63">
        <f t="shared" si="186"/>
        <v>0</v>
      </c>
      <c r="QKD15" s="63">
        <f t="shared" si="186"/>
        <v>0</v>
      </c>
      <c r="QKE15" s="63">
        <f t="shared" si="186"/>
        <v>0</v>
      </c>
      <c r="QKF15" s="63">
        <f t="shared" si="186"/>
        <v>0</v>
      </c>
      <c r="QKG15" s="63">
        <f t="shared" si="186"/>
        <v>0</v>
      </c>
      <c r="QKH15" s="63">
        <f t="shared" si="186"/>
        <v>0</v>
      </c>
      <c r="QKI15" s="63">
        <f t="shared" si="186"/>
        <v>0</v>
      </c>
      <c r="QKJ15" s="63">
        <f t="shared" si="186"/>
        <v>0</v>
      </c>
      <c r="QKK15" s="63">
        <f t="shared" si="186"/>
        <v>0</v>
      </c>
      <c r="QKL15" s="63">
        <f t="shared" si="186"/>
        <v>0</v>
      </c>
      <c r="QKM15" s="63">
        <f t="shared" si="186"/>
        <v>0</v>
      </c>
      <c r="QKN15" s="63">
        <f t="shared" si="186"/>
        <v>0</v>
      </c>
      <c r="QKO15" s="63">
        <f t="shared" si="186"/>
        <v>0</v>
      </c>
      <c r="QKP15" s="63">
        <f t="shared" si="186"/>
        <v>0</v>
      </c>
      <c r="QKQ15" s="63">
        <f t="shared" si="186"/>
        <v>0</v>
      </c>
      <c r="QKR15" s="63">
        <f t="shared" si="186"/>
        <v>0</v>
      </c>
      <c r="QKS15" s="63">
        <f t="shared" si="186"/>
        <v>0</v>
      </c>
      <c r="QKT15" s="63">
        <f t="shared" si="186"/>
        <v>0</v>
      </c>
      <c r="QKU15" s="63">
        <f t="shared" si="186"/>
        <v>0</v>
      </c>
      <c r="QKV15" s="63">
        <f t="shared" si="186"/>
        <v>0</v>
      </c>
      <c r="QKW15" s="63">
        <f t="shared" si="186"/>
        <v>0</v>
      </c>
      <c r="QKX15" s="63">
        <f t="shared" si="186"/>
        <v>0</v>
      </c>
      <c r="QKY15" s="63">
        <f t="shared" si="186"/>
        <v>0</v>
      </c>
      <c r="QKZ15" s="63">
        <f t="shared" si="186"/>
        <v>0</v>
      </c>
      <c r="QLA15" s="63">
        <f t="shared" si="186"/>
        <v>0</v>
      </c>
      <c r="QLB15" s="63">
        <f t="shared" si="186"/>
        <v>0</v>
      </c>
      <c r="QLC15" s="63">
        <f t="shared" si="186"/>
        <v>0</v>
      </c>
      <c r="QLD15" s="63">
        <f t="shared" si="186"/>
        <v>0</v>
      </c>
      <c r="QLE15" s="63">
        <f t="shared" si="186"/>
        <v>0</v>
      </c>
      <c r="QLF15" s="63">
        <f t="shared" si="186"/>
        <v>0</v>
      </c>
      <c r="QLG15" s="63">
        <f t="shared" si="186"/>
        <v>0</v>
      </c>
      <c r="QLH15" s="63">
        <f t="shared" si="186"/>
        <v>0</v>
      </c>
      <c r="QLI15" s="63">
        <f t="shared" si="186"/>
        <v>0</v>
      </c>
      <c r="QLJ15" s="63">
        <f t="shared" si="186"/>
        <v>0</v>
      </c>
      <c r="QLK15" s="63">
        <f t="shared" si="186"/>
        <v>0</v>
      </c>
      <c r="QLL15" s="63">
        <f t="shared" si="186"/>
        <v>0</v>
      </c>
      <c r="QLM15" s="63">
        <f t="shared" si="186"/>
        <v>0</v>
      </c>
      <c r="QLN15" s="63">
        <f t="shared" si="186"/>
        <v>0</v>
      </c>
      <c r="QLO15" s="63">
        <f t="shared" si="186"/>
        <v>0</v>
      </c>
      <c r="QLP15" s="63">
        <f t="shared" si="186"/>
        <v>0</v>
      </c>
      <c r="QLQ15" s="63">
        <f t="shared" si="186"/>
        <v>0</v>
      </c>
      <c r="QLR15" s="63">
        <f t="shared" si="186"/>
        <v>0</v>
      </c>
      <c r="QLS15" s="63">
        <f t="shared" si="186"/>
        <v>0</v>
      </c>
      <c r="QLT15" s="63">
        <f t="shared" si="186"/>
        <v>0</v>
      </c>
      <c r="QLU15" s="63">
        <f t="shared" si="186"/>
        <v>0</v>
      </c>
      <c r="QLV15" s="63">
        <f t="shared" si="186"/>
        <v>0</v>
      </c>
      <c r="QLW15" s="63">
        <f t="shared" si="186"/>
        <v>0</v>
      </c>
      <c r="QLX15" s="63">
        <f t="shared" si="186"/>
        <v>0</v>
      </c>
      <c r="QLY15" s="63">
        <f t="shared" si="186"/>
        <v>0</v>
      </c>
      <c r="QLZ15" s="63">
        <f t="shared" si="186"/>
        <v>0</v>
      </c>
      <c r="QMA15" s="63">
        <f t="shared" si="186"/>
        <v>0</v>
      </c>
      <c r="QMB15" s="63">
        <f t="shared" si="186"/>
        <v>0</v>
      </c>
      <c r="QMC15" s="63">
        <f t="shared" si="186"/>
        <v>0</v>
      </c>
      <c r="QMD15" s="63">
        <f t="shared" si="186"/>
        <v>0</v>
      </c>
      <c r="QME15" s="63">
        <f t="shared" si="186"/>
        <v>0</v>
      </c>
      <c r="QMF15" s="63">
        <f t="shared" si="186"/>
        <v>0</v>
      </c>
      <c r="QMG15" s="63">
        <f t="shared" si="186"/>
        <v>0</v>
      </c>
      <c r="QMH15" s="63">
        <f t="shared" si="186"/>
        <v>0</v>
      </c>
      <c r="QMI15" s="63">
        <f t="shared" si="186"/>
        <v>0</v>
      </c>
      <c r="QMJ15" s="63">
        <f t="shared" si="186"/>
        <v>0</v>
      </c>
      <c r="QMK15" s="63">
        <f t="shared" si="186"/>
        <v>0</v>
      </c>
      <c r="QML15" s="63">
        <f t="shared" si="186"/>
        <v>0</v>
      </c>
      <c r="QMM15" s="63">
        <f t="shared" si="186"/>
        <v>0</v>
      </c>
      <c r="QMN15" s="63">
        <f t="shared" ref="QMN15:QOY15" si="187">QMM18</f>
        <v>0</v>
      </c>
      <c r="QMO15" s="63">
        <f t="shared" si="187"/>
        <v>0</v>
      </c>
      <c r="QMP15" s="63">
        <f t="shared" si="187"/>
        <v>0</v>
      </c>
      <c r="QMQ15" s="63">
        <f t="shared" si="187"/>
        <v>0</v>
      </c>
      <c r="QMR15" s="63">
        <f t="shared" si="187"/>
        <v>0</v>
      </c>
      <c r="QMS15" s="63">
        <f t="shared" si="187"/>
        <v>0</v>
      </c>
      <c r="QMT15" s="63">
        <f t="shared" si="187"/>
        <v>0</v>
      </c>
      <c r="QMU15" s="63">
        <f t="shared" si="187"/>
        <v>0</v>
      </c>
      <c r="QMV15" s="63">
        <f t="shared" si="187"/>
        <v>0</v>
      </c>
      <c r="QMW15" s="63">
        <f t="shared" si="187"/>
        <v>0</v>
      </c>
      <c r="QMX15" s="63">
        <f t="shared" si="187"/>
        <v>0</v>
      </c>
      <c r="QMY15" s="63">
        <f t="shared" si="187"/>
        <v>0</v>
      </c>
      <c r="QMZ15" s="63">
        <f t="shared" si="187"/>
        <v>0</v>
      </c>
      <c r="QNA15" s="63">
        <f t="shared" si="187"/>
        <v>0</v>
      </c>
      <c r="QNB15" s="63">
        <f t="shared" si="187"/>
        <v>0</v>
      </c>
      <c r="QNC15" s="63">
        <f t="shared" si="187"/>
        <v>0</v>
      </c>
      <c r="QND15" s="63">
        <f t="shared" si="187"/>
        <v>0</v>
      </c>
      <c r="QNE15" s="63">
        <f t="shared" si="187"/>
        <v>0</v>
      </c>
      <c r="QNF15" s="63">
        <f t="shared" si="187"/>
        <v>0</v>
      </c>
      <c r="QNG15" s="63">
        <f t="shared" si="187"/>
        <v>0</v>
      </c>
      <c r="QNH15" s="63">
        <f t="shared" si="187"/>
        <v>0</v>
      </c>
      <c r="QNI15" s="63">
        <f t="shared" si="187"/>
        <v>0</v>
      </c>
      <c r="QNJ15" s="63">
        <f t="shared" si="187"/>
        <v>0</v>
      </c>
      <c r="QNK15" s="63">
        <f t="shared" si="187"/>
        <v>0</v>
      </c>
      <c r="QNL15" s="63">
        <f t="shared" si="187"/>
        <v>0</v>
      </c>
      <c r="QNM15" s="63">
        <f t="shared" si="187"/>
        <v>0</v>
      </c>
      <c r="QNN15" s="63">
        <f t="shared" si="187"/>
        <v>0</v>
      </c>
      <c r="QNO15" s="63">
        <f t="shared" si="187"/>
        <v>0</v>
      </c>
      <c r="QNP15" s="63">
        <f t="shared" si="187"/>
        <v>0</v>
      </c>
      <c r="QNQ15" s="63">
        <f t="shared" si="187"/>
        <v>0</v>
      </c>
      <c r="QNR15" s="63">
        <f t="shared" si="187"/>
        <v>0</v>
      </c>
      <c r="QNS15" s="63">
        <f t="shared" si="187"/>
        <v>0</v>
      </c>
      <c r="QNT15" s="63">
        <f t="shared" si="187"/>
        <v>0</v>
      </c>
      <c r="QNU15" s="63">
        <f t="shared" si="187"/>
        <v>0</v>
      </c>
      <c r="QNV15" s="63">
        <f t="shared" si="187"/>
        <v>0</v>
      </c>
      <c r="QNW15" s="63">
        <f t="shared" si="187"/>
        <v>0</v>
      </c>
      <c r="QNX15" s="63">
        <f t="shared" si="187"/>
        <v>0</v>
      </c>
      <c r="QNY15" s="63">
        <f t="shared" si="187"/>
        <v>0</v>
      </c>
      <c r="QNZ15" s="63">
        <f t="shared" si="187"/>
        <v>0</v>
      </c>
      <c r="QOA15" s="63">
        <f t="shared" si="187"/>
        <v>0</v>
      </c>
      <c r="QOB15" s="63">
        <f t="shared" si="187"/>
        <v>0</v>
      </c>
      <c r="QOC15" s="63">
        <f t="shared" si="187"/>
        <v>0</v>
      </c>
      <c r="QOD15" s="63">
        <f t="shared" si="187"/>
        <v>0</v>
      </c>
      <c r="QOE15" s="63">
        <f t="shared" si="187"/>
        <v>0</v>
      </c>
      <c r="QOF15" s="63">
        <f t="shared" si="187"/>
        <v>0</v>
      </c>
      <c r="QOG15" s="63">
        <f t="shared" si="187"/>
        <v>0</v>
      </c>
      <c r="QOH15" s="63">
        <f t="shared" si="187"/>
        <v>0</v>
      </c>
      <c r="QOI15" s="63">
        <f t="shared" si="187"/>
        <v>0</v>
      </c>
      <c r="QOJ15" s="63">
        <f t="shared" si="187"/>
        <v>0</v>
      </c>
      <c r="QOK15" s="63">
        <f t="shared" si="187"/>
        <v>0</v>
      </c>
      <c r="QOL15" s="63">
        <f t="shared" si="187"/>
        <v>0</v>
      </c>
      <c r="QOM15" s="63">
        <f t="shared" si="187"/>
        <v>0</v>
      </c>
      <c r="QON15" s="63">
        <f t="shared" si="187"/>
        <v>0</v>
      </c>
      <c r="QOO15" s="63">
        <f t="shared" si="187"/>
        <v>0</v>
      </c>
      <c r="QOP15" s="63">
        <f t="shared" si="187"/>
        <v>0</v>
      </c>
      <c r="QOQ15" s="63">
        <f t="shared" si="187"/>
        <v>0</v>
      </c>
      <c r="QOR15" s="63">
        <f t="shared" si="187"/>
        <v>0</v>
      </c>
      <c r="QOS15" s="63">
        <f t="shared" si="187"/>
        <v>0</v>
      </c>
      <c r="QOT15" s="63">
        <f t="shared" si="187"/>
        <v>0</v>
      </c>
      <c r="QOU15" s="63">
        <f t="shared" si="187"/>
        <v>0</v>
      </c>
      <c r="QOV15" s="63">
        <f t="shared" si="187"/>
        <v>0</v>
      </c>
      <c r="QOW15" s="63">
        <f t="shared" si="187"/>
        <v>0</v>
      </c>
      <c r="QOX15" s="63">
        <f t="shared" si="187"/>
        <v>0</v>
      </c>
      <c r="QOY15" s="63">
        <f t="shared" si="187"/>
        <v>0</v>
      </c>
      <c r="QOZ15" s="63">
        <f t="shared" ref="QOZ15:QRK15" si="188">QOY18</f>
        <v>0</v>
      </c>
      <c r="QPA15" s="63">
        <f t="shared" si="188"/>
        <v>0</v>
      </c>
      <c r="QPB15" s="63">
        <f t="shared" si="188"/>
        <v>0</v>
      </c>
      <c r="QPC15" s="63">
        <f t="shared" si="188"/>
        <v>0</v>
      </c>
      <c r="QPD15" s="63">
        <f t="shared" si="188"/>
        <v>0</v>
      </c>
      <c r="QPE15" s="63">
        <f t="shared" si="188"/>
        <v>0</v>
      </c>
      <c r="QPF15" s="63">
        <f t="shared" si="188"/>
        <v>0</v>
      </c>
      <c r="QPG15" s="63">
        <f t="shared" si="188"/>
        <v>0</v>
      </c>
      <c r="QPH15" s="63">
        <f t="shared" si="188"/>
        <v>0</v>
      </c>
      <c r="QPI15" s="63">
        <f t="shared" si="188"/>
        <v>0</v>
      </c>
      <c r="QPJ15" s="63">
        <f t="shared" si="188"/>
        <v>0</v>
      </c>
      <c r="QPK15" s="63">
        <f t="shared" si="188"/>
        <v>0</v>
      </c>
      <c r="QPL15" s="63">
        <f t="shared" si="188"/>
        <v>0</v>
      </c>
      <c r="QPM15" s="63">
        <f t="shared" si="188"/>
        <v>0</v>
      </c>
      <c r="QPN15" s="63">
        <f t="shared" si="188"/>
        <v>0</v>
      </c>
      <c r="QPO15" s="63">
        <f t="shared" si="188"/>
        <v>0</v>
      </c>
      <c r="QPP15" s="63">
        <f t="shared" si="188"/>
        <v>0</v>
      </c>
      <c r="QPQ15" s="63">
        <f t="shared" si="188"/>
        <v>0</v>
      </c>
      <c r="QPR15" s="63">
        <f t="shared" si="188"/>
        <v>0</v>
      </c>
      <c r="QPS15" s="63">
        <f t="shared" si="188"/>
        <v>0</v>
      </c>
      <c r="QPT15" s="63">
        <f t="shared" si="188"/>
        <v>0</v>
      </c>
      <c r="QPU15" s="63">
        <f t="shared" si="188"/>
        <v>0</v>
      </c>
      <c r="QPV15" s="63">
        <f t="shared" si="188"/>
        <v>0</v>
      </c>
      <c r="QPW15" s="63">
        <f t="shared" si="188"/>
        <v>0</v>
      </c>
      <c r="QPX15" s="63">
        <f t="shared" si="188"/>
        <v>0</v>
      </c>
      <c r="QPY15" s="63">
        <f t="shared" si="188"/>
        <v>0</v>
      </c>
      <c r="QPZ15" s="63">
        <f t="shared" si="188"/>
        <v>0</v>
      </c>
      <c r="QQA15" s="63">
        <f t="shared" si="188"/>
        <v>0</v>
      </c>
      <c r="QQB15" s="63">
        <f t="shared" si="188"/>
        <v>0</v>
      </c>
      <c r="QQC15" s="63">
        <f t="shared" si="188"/>
        <v>0</v>
      </c>
      <c r="QQD15" s="63">
        <f t="shared" si="188"/>
        <v>0</v>
      </c>
      <c r="QQE15" s="63">
        <f t="shared" si="188"/>
        <v>0</v>
      </c>
      <c r="QQF15" s="63">
        <f t="shared" si="188"/>
        <v>0</v>
      </c>
      <c r="QQG15" s="63">
        <f t="shared" si="188"/>
        <v>0</v>
      </c>
      <c r="QQH15" s="63">
        <f t="shared" si="188"/>
        <v>0</v>
      </c>
      <c r="QQI15" s="63">
        <f t="shared" si="188"/>
        <v>0</v>
      </c>
      <c r="QQJ15" s="63">
        <f t="shared" si="188"/>
        <v>0</v>
      </c>
      <c r="QQK15" s="63">
        <f t="shared" si="188"/>
        <v>0</v>
      </c>
      <c r="QQL15" s="63">
        <f t="shared" si="188"/>
        <v>0</v>
      </c>
      <c r="QQM15" s="63">
        <f t="shared" si="188"/>
        <v>0</v>
      </c>
      <c r="QQN15" s="63">
        <f t="shared" si="188"/>
        <v>0</v>
      </c>
      <c r="QQO15" s="63">
        <f t="shared" si="188"/>
        <v>0</v>
      </c>
      <c r="QQP15" s="63">
        <f t="shared" si="188"/>
        <v>0</v>
      </c>
      <c r="QQQ15" s="63">
        <f t="shared" si="188"/>
        <v>0</v>
      </c>
      <c r="QQR15" s="63">
        <f t="shared" si="188"/>
        <v>0</v>
      </c>
      <c r="QQS15" s="63">
        <f t="shared" si="188"/>
        <v>0</v>
      </c>
      <c r="QQT15" s="63">
        <f t="shared" si="188"/>
        <v>0</v>
      </c>
      <c r="QQU15" s="63">
        <f t="shared" si="188"/>
        <v>0</v>
      </c>
      <c r="QQV15" s="63">
        <f t="shared" si="188"/>
        <v>0</v>
      </c>
      <c r="QQW15" s="63">
        <f t="shared" si="188"/>
        <v>0</v>
      </c>
      <c r="QQX15" s="63">
        <f t="shared" si="188"/>
        <v>0</v>
      </c>
      <c r="QQY15" s="63">
        <f t="shared" si="188"/>
        <v>0</v>
      </c>
      <c r="QQZ15" s="63">
        <f t="shared" si="188"/>
        <v>0</v>
      </c>
      <c r="QRA15" s="63">
        <f t="shared" si="188"/>
        <v>0</v>
      </c>
      <c r="QRB15" s="63">
        <f t="shared" si="188"/>
        <v>0</v>
      </c>
      <c r="QRC15" s="63">
        <f t="shared" si="188"/>
        <v>0</v>
      </c>
      <c r="QRD15" s="63">
        <f t="shared" si="188"/>
        <v>0</v>
      </c>
      <c r="QRE15" s="63">
        <f t="shared" si="188"/>
        <v>0</v>
      </c>
      <c r="QRF15" s="63">
        <f t="shared" si="188"/>
        <v>0</v>
      </c>
      <c r="QRG15" s="63">
        <f t="shared" si="188"/>
        <v>0</v>
      </c>
      <c r="QRH15" s="63">
        <f t="shared" si="188"/>
        <v>0</v>
      </c>
      <c r="QRI15" s="63">
        <f t="shared" si="188"/>
        <v>0</v>
      </c>
      <c r="QRJ15" s="63">
        <f t="shared" si="188"/>
        <v>0</v>
      </c>
      <c r="QRK15" s="63">
        <f t="shared" si="188"/>
        <v>0</v>
      </c>
      <c r="QRL15" s="63">
        <f t="shared" ref="QRL15:QTW15" si="189">QRK18</f>
        <v>0</v>
      </c>
      <c r="QRM15" s="63">
        <f t="shared" si="189"/>
        <v>0</v>
      </c>
      <c r="QRN15" s="63">
        <f t="shared" si="189"/>
        <v>0</v>
      </c>
      <c r="QRO15" s="63">
        <f t="shared" si="189"/>
        <v>0</v>
      </c>
      <c r="QRP15" s="63">
        <f t="shared" si="189"/>
        <v>0</v>
      </c>
      <c r="QRQ15" s="63">
        <f t="shared" si="189"/>
        <v>0</v>
      </c>
      <c r="QRR15" s="63">
        <f t="shared" si="189"/>
        <v>0</v>
      </c>
      <c r="QRS15" s="63">
        <f t="shared" si="189"/>
        <v>0</v>
      </c>
      <c r="QRT15" s="63">
        <f t="shared" si="189"/>
        <v>0</v>
      </c>
      <c r="QRU15" s="63">
        <f t="shared" si="189"/>
        <v>0</v>
      </c>
      <c r="QRV15" s="63">
        <f t="shared" si="189"/>
        <v>0</v>
      </c>
      <c r="QRW15" s="63">
        <f t="shared" si="189"/>
        <v>0</v>
      </c>
      <c r="QRX15" s="63">
        <f t="shared" si="189"/>
        <v>0</v>
      </c>
      <c r="QRY15" s="63">
        <f t="shared" si="189"/>
        <v>0</v>
      </c>
      <c r="QRZ15" s="63">
        <f t="shared" si="189"/>
        <v>0</v>
      </c>
      <c r="QSA15" s="63">
        <f t="shared" si="189"/>
        <v>0</v>
      </c>
      <c r="QSB15" s="63">
        <f t="shared" si="189"/>
        <v>0</v>
      </c>
      <c r="QSC15" s="63">
        <f t="shared" si="189"/>
        <v>0</v>
      </c>
      <c r="QSD15" s="63">
        <f t="shared" si="189"/>
        <v>0</v>
      </c>
      <c r="QSE15" s="63">
        <f t="shared" si="189"/>
        <v>0</v>
      </c>
      <c r="QSF15" s="63">
        <f t="shared" si="189"/>
        <v>0</v>
      </c>
      <c r="QSG15" s="63">
        <f t="shared" si="189"/>
        <v>0</v>
      </c>
      <c r="QSH15" s="63">
        <f t="shared" si="189"/>
        <v>0</v>
      </c>
      <c r="QSI15" s="63">
        <f t="shared" si="189"/>
        <v>0</v>
      </c>
      <c r="QSJ15" s="63">
        <f t="shared" si="189"/>
        <v>0</v>
      </c>
      <c r="QSK15" s="63">
        <f t="shared" si="189"/>
        <v>0</v>
      </c>
      <c r="QSL15" s="63">
        <f t="shared" si="189"/>
        <v>0</v>
      </c>
      <c r="QSM15" s="63">
        <f t="shared" si="189"/>
        <v>0</v>
      </c>
      <c r="QSN15" s="63">
        <f t="shared" si="189"/>
        <v>0</v>
      </c>
      <c r="QSO15" s="63">
        <f t="shared" si="189"/>
        <v>0</v>
      </c>
      <c r="QSP15" s="63">
        <f t="shared" si="189"/>
        <v>0</v>
      </c>
      <c r="QSQ15" s="63">
        <f t="shared" si="189"/>
        <v>0</v>
      </c>
      <c r="QSR15" s="63">
        <f t="shared" si="189"/>
        <v>0</v>
      </c>
      <c r="QSS15" s="63">
        <f t="shared" si="189"/>
        <v>0</v>
      </c>
      <c r="QST15" s="63">
        <f t="shared" si="189"/>
        <v>0</v>
      </c>
      <c r="QSU15" s="63">
        <f t="shared" si="189"/>
        <v>0</v>
      </c>
      <c r="QSV15" s="63">
        <f t="shared" si="189"/>
        <v>0</v>
      </c>
      <c r="QSW15" s="63">
        <f t="shared" si="189"/>
        <v>0</v>
      </c>
      <c r="QSX15" s="63">
        <f t="shared" si="189"/>
        <v>0</v>
      </c>
      <c r="QSY15" s="63">
        <f t="shared" si="189"/>
        <v>0</v>
      </c>
      <c r="QSZ15" s="63">
        <f t="shared" si="189"/>
        <v>0</v>
      </c>
      <c r="QTA15" s="63">
        <f t="shared" si="189"/>
        <v>0</v>
      </c>
      <c r="QTB15" s="63">
        <f t="shared" si="189"/>
        <v>0</v>
      </c>
      <c r="QTC15" s="63">
        <f t="shared" si="189"/>
        <v>0</v>
      </c>
      <c r="QTD15" s="63">
        <f t="shared" si="189"/>
        <v>0</v>
      </c>
      <c r="QTE15" s="63">
        <f t="shared" si="189"/>
        <v>0</v>
      </c>
      <c r="QTF15" s="63">
        <f t="shared" si="189"/>
        <v>0</v>
      </c>
      <c r="QTG15" s="63">
        <f t="shared" si="189"/>
        <v>0</v>
      </c>
      <c r="QTH15" s="63">
        <f t="shared" si="189"/>
        <v>0</v>
      </c>
      <c r="QTI15" s="63">
        <f t="shared" si="189"/>
        <v>0</v>
      </c>
      <c r="QTJ15" s="63">
        <f t="shared" si="189"/>
        <v>0</v>
      </c>
      <c r="QTK15" s="63">
        <f t="shared" si="189"/>
        <v>0</v>
      </c>
      <c r="QTL15" s="63">
        <f t="shared" si="189"/>
        <v>0</v>
      </c>
      <c r="QTM15" s="63">
        <f t="shared" si="189"/>
        <v>0</v>
      </c>
      <c r="QTN15" s="63">
        <f t="shared" si="189"/>
        <v>0</v>
      </c>
      <c r="QTO15" s="63">
        <f t="shared" si="189"/>
        <v>0</v>
      </c>
      <c r="QTP15" s="63">
        <f t="shared" si="189"/>
        <v>0</v>
      </c>
      <c r="QTQ15" s="63">
        <f t="shared" si="189"/>
        <v>0</v>
      </c>
      <c r="QTR15" s="63">
        <f t="shared" si="189"/>
        <v>0</v>
      </c>
      <c r="QTS15" s="63">
        <f t="shared" si="189"/>
        <v>0</v>
      </c>
      <c r="QTT15" s="63">
        <f t="shared" si="189"/>
        <v>0</v>
      </c>
      <c r="QTU15" s="63">
        <f t="shared" si="189"/>
        <v>0</v>
      </c>
      <c r="QTV15" s="63">
        <f t="shared" si="189"/>
        <v>0</v>
      </c>
      <c r="QTW15" s="63">
        <f t="shared" si="189"/>
        <v>0</v>
      </c>
      <c r="QTX15" s="63">
        <f t="shared" ref="QTX15:QWI15" si="190">QTW18</f>
        <v>0</v>
      </c>
      <c r="QTY15" s="63">
        <f t="shared" si="190"/>
        <v>0</v>
      </c>
      <c r="QTZ15" s="63">
        <f t="shared" si="190"/>
        <v>0</v>
      </c>
      <c r="QUA15" s="63">
        <f t="shared" si="190"/>
        <v>0</v>
      </c>
      <c r="QUB15" s="63">
        <f t="shared" si="190"/>
        <v>0</v>
      </c>
      <c r="QUC15" s="63">
        <f t="shared" si="190"/>
        <v>0</v>
      </c>
      <c r="QUD15" s="63">
        <f t="shared" si="190"/>
        <v>0</v>
      </c>
      <c r="QUE15" s="63">
        <f t="shared" si="190"/>
        <v>0</v>
      </c>
      <c r="QUF15" s="63">
        <f t="shared" si="190"/>
        <v>0</v>
      </c>
      <c r="QUG15" s="63">
        <f t="shared" si="190"/>
        <v>0</v>
      </c>
      <c r="QUH15" s="63">
        <f t="shared" si="190"/>
        <v>0</v>
      </c>
      <c r="QUI15" s="63">
        <f t="shared" si="190"/>
        <v>0</v>
      </c>
      <c r="QUJ15" s="63">
        <f t="shared" si="190"/>
        <v>0</v>
      </c>
      <c r="QUK15" s="63">
        <f t="shared" si="190"/>
        <v>0</v>
      </c>
      <c r="QUL15" s="63">
        <f t="shared" si="190"/>
        <v>0</v>
      </c>
      <c r="QUM15" s="63">
        <f t="shared" si="190"/>
        <v>0</v>
      </c>
      <c r="QUN15" s="63">
        <f t="shared" si="190"/>
        <v>0</v>
      </c>
      <c r="QUO15" s="63">
        <f t="shared" si="190"/>
        <v>0</v>
      </c>
      <c r="QUP15" s="63">
        <f t="shared" si="190"/>
        <v>0</v>
      </c>
      <c r="QUQ15" s="63">
        <f t="shared" si="190"/>
        <v>0</v>
      </c>
      <c r="QUR15" s="63">
        <f t="shared" si="190"/>
        <v>0</v>
      </c>
      <c r="QUS15" s="63">
        <f t="shared" si="190"/>
        <v>0</v>
      </c>
      <c r="QUT15" s="63">
        <f t="shared" si="190"/>
        <v>0</v>
      </c>
      <c r="QUU15" s="63">
        <f t="shared" si="190"/>
        <v>0</v>
      </c>
      <c r="QUV15" s="63">
        <f t="shared" si="190"/>
        <v>0</v>
      </c>
      <c r="QUW15" s="63">
        <f t="shared" si="190"/>
        <v>0</v>
      </c>
      <c r="QUX15" s="63">
        <f t="shared" si="190"/>
        <v>0</v>
      </c>
      <c r="QUY15" s="63">
        <f t="shared" si="190"/>
        <v>0</v>
      </c>
      <c r="QUZ15" s="63">
        <f t="shared" si="190"/>
        <v>0</v>
      </c>
      <c r="QVA15" s="63">
        <f t="shared" si="190"/>
        <v>0</v>
      </c>
      <c r="QVB15" s="63">
        <f t="shared" si="190"/>
        <v>0</v>
      </c>
      <c r="QVC15" s="63">
        <f t="shared" si="190"/>
        <v>0</v>
      </c>
      <c r="QVD15" s="63">
        <f t="shared" si="190"/>
        <v>0</v>
      </c>
      <c r="QVE15" s="63">
        <f t="shared" si="190"/>
        <v>0</v>
      </c>
      <c r="QVF15" s="63">
        <f t="shared" si="190"/>
        <v>0</v>
      </c>
      <c r="QVG15" s="63">
        <f t="shared" si="190"/>
        <v>0</v>
      </c>
      <c r="QVH15" s="63">
        <f t="shared" si="190"/>
        <v>0</v>
      </c>
      <c r="QVI15" s="63">
        <f t="shared" si="190"/>
        <v>0</v>
      </c>
      <c r="QVJ15" s="63">
        <f t="shared" si="190"/>
        <v>0</v>
      </c>
      <c r="QVK15" s="63">
        <f t="shared" si="190"/>
        <v>0</v>
      </c>
      <c r="QVL15" s="63">
        <f t="shared" si="190"/>
        <v>0</v>
      </c>
      <c r="QVM15" s="63">
        <f t="shared" si="190"/>
        <v>0</v>
      </c>
      <c r="QVN15" s="63">
        <f t="shared" si="190"/>
        <v>0</v>
      </c>
      <c r="QVO15" s="63">
        <f t="shared" si="190"/>
        <v>0</v>
      </c>
      <c r="QVP15" s="63">
        <f t="shared" si="190"/>
        <v>0</v>
      </c>
      <c r="QVQ15" s="63">
        <f t="shared" si="190"/>
        <v>0</v>
      </c>
      <c r="QVR15" s="63">
        <f t="shared" si="190"/>
        <v>0</v>
      </c>
      <c r="QVS15" s="63">
        <f t="shared" si="190"/>
        <v>0</v>
      </c>
      <c r="QVT15" s="63">
        <f t="shared" si="190"/>
        <v>0</v>
      </c>
      <c r="QVU15" s="63">
        <f t="shared" si="190"/>
        <v>0</v>
      </c>
      <c r="QVV15" s="63">
        <f t="shared" si="190"/>
        <v>0</v>
      </c>
      <c r="QVW15" s="63">
        <f t="shared" si="190"/>
        <v>0</v>
      </c>
      <c r="QVX15" s="63">
        <f t="shared" si="190"/>
        <v>0</v>
      </c>
      <c r="QVY15" s="63">
        <f t="shared" si="190"/>
        <v>0</v>
      </c>
      <c r="QVZ15" s="63">
        <f t="shared" si="190"/>
        <v>0</v>
      </c>
      <c r="QWA15" s="63">
        <f t="shared" si="190"/>
        <v>0</v>
      </c>
      <c r="QWB15" s="63">
        <f t="shared" si="190"/>
        <v>0</v>
      </c>
      <c r="QWC15" s="63">
        <f t="shared" si="190"/>
        <v>0</v>
      </c>
      <c r="QWD15" s="63">
        <f t="shared" si="190"/>
        <v>0</v>
      </c>
      <c r="QWE15" s="63">
        <f t="shared" si="190"/>
        <v>0</v>
      </c>
      <c r="QWF15" s="63">
        <f t="shared" si="190"/>
        <v>0</v>
      </c>
      <c r="QWG15" s="63">
        <f t="shared" si="190"/>
        <v>0</v>
      </c>
      <c r="QWH15" s="63">
        <f t="shared" si="190"/>
        <v>0</v>
      </c>
      <c r="QWI15" s="63">
        <f t="shared" si="190"/>
        <v>0</v>
      </c>
      <c r="QWJ15" s="63">
        <f t="shared" ref="QWJ15:QYU15" si="191">QWI18</f>
        <v>0</v>
      </c>
      <c r="QWK15" s="63">
        <f t="shared" si="191"/>
        <v>0</v>
      </c>
      <c r="QWL15" s="63">
        <f t="shared" si="191"/>
        <v>0</v>
      </c>
      <c r="QWM15" s="63">
        <f t="shared" si="191"/>
        <v>0</v>
      </c>
      <c r="QWN15" s="63">
        <f t="shared" si="191"/>
        <v>0</v>
      </c>
      <c r="QWO15" s="63">
        <f t="shared" si="191"/>
        <v>0</v>
      </c>
      <c r="QWP15" s="63">
        <f t="shared" si="191"/>
        <v>0</v>
      </c>
      <c r="QWQ15" s="63">
        <f t="shared" si="191"/>
        <v>0</v>
      </c>
      <c r="QWR15" s="63">
        <f t="shared" si="191"/>
        <v>0</v>
      </c>
      <c r="QWS15" s="63">
        <f t="shared" si="191"/>
        <v>0</v>
      </c>
      <c r="QWT15" s="63">
        <f t="shared" si="191"/>
        <v>0</v>
      </c>
      <c r="QWU15" s="63">
        <f t="shared" si="191"/>
        <v>0</v>
      </c>
      <c r="QWV15" s="63">
        <f t="shared" si="191"/>
        <v>0</v>
      </c>
      <c r="QWW15" s="63">
        <f t="shared" si="191"/>
        <v>0</v>
      </c>
      <c r="QWX15" s="63">
        <f t="shared" si="191"/>
        <v>0</v>
      </c>
      <c r="QWY15" s="63">
        <f t="shared" si="191"/>
        <v>0</v>
      </c>
      <c r="QWZ15" s="63">
        <f t="shared" si="191"/>
        <v>0</v>
      </c>
      <c r="QXA15" s="63">
        <f t="shared" si="191"/>
        <v>0</v>
      </c>
      <c r="QXB15" s="63">
        <f t="shared" si="191"/>
        <v>0</v>
      </c>
      <c r="QXC15" s="63">
        <f t="shared" si="191"/>
        <v>0</v>
      </c>
      <c r="QXD15" s="63">
        <f t="shared" si="191"/>
        <v>0</v>
      </c>
      <c r="QXE15" s="63">
        <f t="shared" si="191"/>
        <v>0</v>
      </c>
      <c r="QXF15" s="63">
        <f t="shared" si="191"/>
        <v>0</v>
      </c>
      <c r="QXG15" s="63">
        <f t="shared" si="191"/>
        <v>0</v>
      </c>
      <c r="QXH15" s="63">
        <f t="shared" si="191"/>
        <v>0</v>
      </c>
      <c r="QXI15" s="63">
        <f t="shared" si="191"/>
        <v>0</v>
      </c>
      <c r="QXJ15" s="63">
        <f t="shared" si="191"/>
        <v>0</v>
      </c>
      <c r="QXK15" s="63">
        <f t="shared" si="191"/>
        <v>0</v>
      </c>
      <c r="QXL15" s="63">
        <f t="shared" si="191"/>
        <v>0</v>
      </c>
      <c r="QXM15" s="63">
        <f t="shared" si="191"/>
        <v>0</v>
      </c>
      <c r="QXN15" s="63">
        <f t="shared" si="191"/>
        <v>0</v>
      </c>
      <c r="QXO15" s="63">
        <f t="shared" si="191"/>
        <v>0</v>
      </c>
      <c r="QXP15" s="63">
        <f t="shared" si="191"/>
        <v>0</v>
      </c>
      <c r="QXQ15" s="63">
        <f t="shared" si="191"/>
        <v>0</v>
      </c>
      <c r="QXR15" s="63">
        <f t="shared" si="191"/>
        <v>0</v>
      </c>
      <c r="QXS15" s="63">
        <f t="shared" si="191"/>
        <v>0</v>
      </c>
      <c r="QXT15" s="63">
        <f t="shared" si="191"/>
        <v>0</v>
      </c>
      <c r="QXU15" s="63">
        <f t="shared" si="191"/>
        <v>0</v>
      </c>
      <c r="QXV15" s="63">
        <f t="shared" si="191"/>
        <v>0</v>
      </c>
      <c r="QXW15" s="63">
        <f t="shared" si="191"/>
        <v>0</v>
      </c>
      <c r="QXX15" s="63">
        <f t="shared" si="191"/>
        <v>0</v>
      </c>
      <c r="QXY15" s="63">
        <f t="shared" si="191"/>
        <v>0</v>
      </c>
      <c r="QXZ15" s="63">
        <f t="shared" si="191"/>
        <v>0</v>
      </c>
      <c r="QYA15" s="63">
        <f t="shared" si="191"/>
        <v>0</v>
      </c>
      <c r="QYB15" s="63">
        <f t="shared" si="191"/>
        <v>0</v>
      </c>
      <c r="QYC15" s="63">
        <f t="shared" si="191"/>
        <v>0</v>
      </c>
      <c r="QYD15" s="63">
        <f t="shared" si="191"/>
        <v>0</v>
      </c>
      <c r="QYE15" s="63">
        <f t="shared" si="191"/>
        <v>0</v>
      </c>
      <c r="QYF15" s="63">
        <f t="shared" si="191"/>
        <v>0</v>
      </c>
      <c r="QYG15" s="63">
        <f t="shared" si="191"/>
        <v>0</v>
      </c>
      <c r="QYH15" s="63">
        <f t="shared" si="191"/>
        <v>0</v>
      </c>
      <c r="QYI15" s="63">
        <f t="shared" si="191"/>
        <v>0</v>
      </c>
      <c r="QYJ15" s="63">
        <f t="shared" si="191"/>
        <v>0</v>
      </c>
      <c r="QYK15" s="63">
        <f t="shared" si="191"/>
        <v>0</v>
      </c>
      <c r="QYL15" s="63">
        <f t="shared" si="191"/>
        <v>0</v>
      </c>
      <c r="QYM15" s="63">
        <f t="shared" si="191"/>
        <v>0</v>
      </c>
      <c r="QYN15" s="63">
        <f t="shared" si="191"/>
        <v>0</v>
      </c>
      <c r="QYO15" s="63">
        <f t="shared" si="191"/>
        <v>0</v>
      </c>
      <c r="QYP15" s="63">
        <f t="shared" si="191"/>
        <v>0</v>
      </c>
      <c r="QYQ15" s="63">
        <f t="shared" si="191"/>
        <v>0</v>
      </c>
      <c r="QYR15" s="63">
        <f t="shared" si="191"/>
        <v>0</v>
      </c>
      <c r="QYS15" s="63">
        <f t="shared" si="191"/>
        <v>0</v>
      </c>
      <c r="QYT15" s="63">
        <f t="shared" si="191"/>
        <v>0</v>
      </c>
      <c r="QYU15" s="63">
        <f t="shared" si="191"/>
        <v>0</v>
      </c>
      <c r="QYV15" s="63">
        <f t="shared" ref="QYV15:RBG15" si="192">QYU18</f>
        <v>0</v>
      </c>
      <c r="QYW15" s="63">
        <f t="shared" si="192"/>
        <v>0</v>
      </c>
      <c r="QYX15" s="63">
        <f t="shared" si="192"/>
        <v>0</v>
      </c>
      <c r="QYY15" s="63">
        <f t="shared" si="192"/>
        <v>0</v>
      </c>
      <c r="QYZ15" s="63">
        <f t="shared" si="192"/>
        <v>0</v>
      </c>
      <c r="QZA15" s="63">
        <f t="shared" si="192"/>
        <v>0</v>
      </c>
      <c r="QZB15" s="63">
        <f t="shared" si="192"/>
        <v>0</v>
      </c>
      <c r="QZC15" s="63">
        <f t="shared" si="192"/>
        <v>0</v>
      </c>
      <c r="QZD15" s="63">
        <f t="shared" si="192"/>
        <v>0</v>
      </c>
      <c r="QZE15" s="63">
        <f t="shared" si="192"/>
        <v>0</v>
      </c>
      <c r="QZF15" s="63">
        <f t="shared" si="192"/>
        <v>0</v>
      </c>
      <c r="QZG15" s="63">
        <f t="shared" si="192"/>
        <v>0</v>
      </c>
      <c r="QZH15" s="63">
        <f t="shared" si="192"/>
        <v>0</v>
      </c>
      <c r="QZI15" s="63">
        <f t="shared" si="192"/>
        <v>0</v>
      </c>
      <c r="QZJ15" s="63">
        <f t="shared" si="192"/>
        <v>0</v>
      </c>
      <c r="QZK15" s="63">
        <f t="shared" si="192"/>
        <v>0</v>
      </c>
      <c r="QZL15" s="63">
        <f t="shared" si="192"/>
        <v>0</v>
      </c>
      <c r="QZM15" s="63">
        <f t="shared" si="192"/>
        <v>0</v>
      </c>
      <c r="QZN15" s="63">
        <f t="shared" si="192"/>
        <v>0</v>
      </c>
      <c r="QZO15" s="63">
        <f t="shared" si="192"/>
        <v>0</v>
      </c>
      <c r="QZP15" s="63">
        <f t="shared" si="192"/>
        <v>0</v>
      </c>
      <c r="QZQ15" s="63">
        <f t="shared" si="192"/>
        <v>0</v>
      </c>
      <c r="QZR15" s="63">
        <f t="shared" si="192"/>
        <v>0</v>
      </c>
      <c r="QZS15" s="63">
        <f t="shared" si="192"/>
        <v>0</v>
      </c>
      <c r="QZT15" s="63">
        <f t="shared" si="192"/>
        <v>0</v>
      </c>
      <c r="QZU15" s="63">
        <f t="shared" si="192"/>
        <v>0</v>
      </c>
      <c r="QZV15" s="63">
        <f t="shared" si="192"/>
        <v>0</v>
      </c>
      <c r="QZW15" s="63">
        <f t="shared" si="192"/>
        <v>0</v>
      </c>
      <c r="QZX15" s="63">
        <f t="shared" si="192"/>
        <v>0</v>
      </c>
      <c r="QZY15" s="63">
        <f t="shared" si="192"/>
        <v>0</v>
      </c>
      <c r="QZZ15" s="63">
        <f t="shared" si="192"/>
        <v>0</v>
      </c>
      <c r="RAA15" s="63">
        <f t="shared" si="192"/>
        <v>0</v>
      </c>
      <c r="RAB15" s="63">
        <f t="shared" si="192"/>
        <v>0</v>
      </c>
      <c r="RAC15" s="63">
        <f t="shared" si="192"/>
        <v>0</v>
      </c>
      <c r="RAD15" s="63">
        <f t="shared" si="192"/>
        <v>0</v>
      </c>
      <c r="RAE15" s="63">
        <f t="shared" si="192"/>
        <v>0</v>
      </c>
      <c r="RAF15" s="63">
        <f t="shared" si="192"/>
        <v>0</v>
      </c>
      <c r="RAG15" s="63">
        <f t="shared" si="192"/>
        <v>0</v>
      </c>
      <c r="RAH15" s="63">
        <f t="shared" si="192"/>
        <v>0</v>
      </c>
      <c r="RAI15" s="63">
        <f t="shared" si="192"/>
        <v>0</v>
      </c>
      <c r="RAJ15" s="63">
        <f t="shared" si="192"/>
        <v>0</v>
      </c>
      <c r="RAK15" s="63">
        <f t="shared" si="192"/>
        <v>0</v>
      </c>
      <c r="RAL15" s="63">
        <f t="shared" si="192"/>
        <v>0</v>
      </c>
      <c r="RAM15" s="63">
        <f t="shared" si="192"/>
        <v>0</v>
      </c>
      <c r="RAN15" s="63">
        <f t="shared" si="192"/>
        <v>0</v>
      </c>
      <c r="RAO15" s="63">
        <f t="shared" si="192"/>
        <v>0</v>
      </c>
      <c r="RAP15" s="63">
        <f t="shared" si="192"/>
        <v>0</v>
      </c>
      <c r="RAQ15" s="63">
        <f t="shared" si="192"/>
        <v>0</v>
      </c>
      <c r="RAR15" s="63">
        <f t="shared" si="192"/>
        <v>0</v>
      </c>
      <c r="RAS15" s="63">
        <f t="shared" si="192"/>
        <v>0</v>
      </c>
      <c r="RAT15" s="63">
        <f t="shared" si="192"/>
        <v>0</v>
      </c>
      <c r="RAU15" s="63">
        <f t="shared" si="192"/>
        <v>0</v>
      </c>
      <c r="RAV15" s="63">
        <f t="shared" si="192"/>
        <v>0</v>
      </c>
      <c r="RAW15" s="63">
        <f t="shared" si="192"/>
        <v>0</v>
      </c>
      <c r="RAX15" s="63">
        <f t="shared" si="192"/>
        <v>0</v>
      </c>
      <c r="RAY15" s="63">
        <f t="shared" si="192"/>
        <v>0</v>
      </c>
      <c r="RAZ15" s="63">
        <f t="shared" si="192"/>
        <v>0</v>
      </c>
      <c r="RBA15" s="63">
        <f t="shared" si="192"/>
        <v>0</v>
      </c>
      <c r="RBB15" s="63">
        <f t="shared" si="192"/>
        <v>0</v>
      </c>
      <c r="RBC15" s="63">
        <f t="shared" si="192"/>
        <v>0</v>
      </c>
      <c r="RBD15" s="63">
        <f t="shared" si="192"/>
        <v>0</v>
      </c>
      <c r="RBE15" s="63">
        <f t="shared" si="192"/>
        <v>0</v>
      </c>
      <c r="RBF15" s="63">
        <f t="shared" si="192"/>
        <v>0</v>
      </c>
      <c r="RBG15" s="63">
        <f t="shared" si="192"/>
        <v>0</v>
      </c>
      <c r="RBH15" s="63">
        <f t="shared" ref="RBH15:RDS15" si="193">RBG18</f>
        <v>0</v>
      </c>
      <c r="RBI15" s="63">
        <f t="shared" si="193"/>
        <v>0</v>
      </c>
      <c r="RBJ15" s="63">
        <f t="shared" si="193"/>
        <v>0</v>
      </c>
      <c r="RBK15" s="63">
        <f t="shared" si="193"/>
        <v>0</v>
      </c>
      <c r="RBL15" s="63">
        <f t="shared" si="193"/>
        <v>0</v>
      </c>
      <c r="RBM15" s="63">
        <f t="shared" si="193"/>
        <v>0</v>
      </c>
      <c r="RBN15" s="63">
        <f t="shared" si="193"/>
        <v>0</v>
      </c>
      <c r="RBO15" s="63">
        <f t="shared" si="193"/>
        <v>0</v>
      </c>
      <c r="RBP15" s="63">
        <f t="shared" si="193"/>
        <v>0</v>
      </c>
      <c r="RBQ15" s="63">
        <f t="shared" si="193"/>
        <v>0</v>
      </c>
      <c r="RBR15" s="63">
        <f t="shared" si="193"/>
        <v>0</v>
      </c>
      <c r="RBS15" s="63">
        <f t="shared" si="193"/>
        <v>0</v>
      </c>
      <c r="RBT15" s="63">
        <f t="shared" si="193"/>
        <v>0</v>
      </c>
      <c r="RBU15" s="63">
        <f t="shared" si="193"/>
        <v>0</v>
      </c>
      <c r="RBV15" s="63">
        <f t="shared" si="193"/>
        <v>0</v>
      </c>
      <c r="RBW15" s="63">
        <f t="shared" si="193"/>
        <v>0</v>
      </c>
      <c r="RBX15" s="63">
        <f t="shared" si="193"/>
        <v>0</v>
      </c>
      <c r="RBY15" s="63">
        <f t="shared" si="193"/>
        <v>0</v>
      </c>
      <c r="RBZ15" s="63">
        <f t="shared" si="193"/>
        <v>0</v>
      </c>
      <c r="RCA15" s="63">
        <f t="shared" si="193"/>
        <v>0</v>
      </c>
      <c r="RCB15" s="63">
        <f t="shared" si="193"/>
        <v>0</v>
      </c>
      <c r="RCC15" s="63">
        <f t="shared" si="193"/>
        <v>0</v>
      </c>
      <c r="RCD15" s="63">
        <f t="shared" si="193"/>
        <v>0</v>
      </c>
      <c r="RCE15" s="63">
        <f t="shared" si="193"/>
        <v>0</v>
      </c>
      <c r="RCF15" s="63">
        <f t="shared" si="193"/>
        <v>0</v>
      </c>
      <c r="RCG15" s="63">
        <f t="shared" si="193"/>
        <v>0</v>
      </c>
      <c r="RCH15" s="63">
        <f t="shared" si="193"/>
        <v>0</v>
      </c>
      <c r="RCI15" s="63">
        <f t="shared" si="193"/>
        <v>0</v>
      </c>
      <c r="RCJ15" s="63">
        <f t="shared" si="193"/>
        <v>0</v>
      </c>
      <c r="RCK15" s="63">
        <f t="shared" si="193"/>
        <v>0</v>
      </c>
      <c r="RCL15" s="63">
        <f t="shared" si="193"/>
        <v>0</v>
      </c>
      <c r="RCM15" s="63">
        <f t="shared" si="193"/>
        <v>0</v>
      </c>
      <c r="RCN15" s="63">
        <f t="shared" si="193"/>
        <v>0</v>
      </c>
      <c r="RCO15" s="63">
        <f t="shared" si="193"/>
        <v>0</v>
      </c>
      <c r="RCP15" s="63">
        <f t="shared" si="193"/>
        <v>0</v>
      </c>
      <c r="RCQ15" s="63">
        <f t="shared" si="193"/>
        <v>0</v>
      </c>
      <c r="RCR15" s="63">
        <f t="shared" si="193"/>
        <v>0</v>
      </c>
      <c r="RCS15" s="63">
        <f t="shared" si="193"/>
        <v>0</v>
      </c>
      <c r="RCT15" s="63">
        <f t="shared" si="193"/>
        <v>0</v>
      </c>
      <c r="RCU15" s="63">
        <f t="shared" si="193"/>
        <v>0</v>
      </c>
      <c r="RCV15" s="63">
        <f t="shared" si="193"/>
        <v>0</v>
      </c>
      <c r="RCW15" s="63">
        <f t="shared" si="193"/>
        <v>0</v>
      </c>
      <c r="RCX15" s="63">
        <f t="shared" si="193"/>
        <v>0</v>
      </c>
      <c r="RCY15" s="63">
        <f t="shared" si="193"/>
        <v>0</v>
      </c>
      <c r="RCZ15" s="63">
        <f t="shared" si="193"/>
        <v>0</v>
      </c>
      <c r="RDA15" s="63">
        <f t="shared" si="193"/>
        <v>0</v>
      </c>
      <c r="RDB15" s="63">
        <f t="shared" si="193"/>
        <v>0</v>
      </c>
      <c r="RDC15" s="63">
        <f t="shared" si="193"/>
        <v>0</v>
      </c>
      <c r="RDD15" s="63">
        <f t="shared" si="193"/>
        <v>0</v>
      </c>
      <c r="RDE15" s="63">
        <f t="shared" si="193"/>
        <v>0</v>
      </c>
      <c r="RDF15" s="63">
        <f t="shared" si="193"/>
        <v>0</v>
      </c>
      <c r="RDG15" s="63">
        <f t="shared" si="193"/>
        <v>0</v>
      </c>
      <c r="RDH15" s="63">
        <f t="shared" si="193"/>
        <v>0</v>
      </c>
      <c r="RDI15" s="63">
        <f t="shared" si="193"/>
        <v>0</v>
      </c>
      <c r="RDJ15" s="63">
        <f t="shared" si="193"/>
        <v>0</v>
      </c>
      <c r="RDK15" s="63">
        <f t="shared" si="193"/>
        <v>0</v>
      </c>
      <c r="RDL15" s="63">
        <f t="shared" si="193"/>
        <v>0</v>
      </c>
      <c r="RDM15" s="63">
        <f t="shared" si="193"/>
        <v>0</v>
      </c>
      <c r="RDN15" s="63">
        <f t="shared" si="193"/>
        <v>0</v>
      </c>
      <c r="RDO15" s="63">
        <f t="shared" si="193"/>
        <v>0</v>
      </c>
      <c r="RDP15" s="63">
        <f t="shared" si="193"/>
        <v>0</v>
      </c>
      <c r="RDQ15" s="63">
        <f t="shared" si="193"/>
        <v>0</v>
      </c>
      <c r="RDR15" s="63">
        <f t="shared" si="193"/>
        <v>0</v>
      </c>
      <c r="RDS15" s="63">
        <f t="shared" si="193"/>
        <v>0</v>
      </c>
      <c r="RDT15" s="63">
        <f t="shared" ref="RDT15:RGE15" si="194">RDS18</f>
        <v>0</v>
      </c>
      <c r="RDU15" s="63">
        <f t="shared" si="194"/>
        <v>0</v>
      </c>
      <c r="RDV15" s="63">
        <f t="shared" si="194"/>
        <v>0</v>
      </c>
      <c r="RDW15" s="63">
        <f t="shared" si="194"/>
        <v>0</v>
      </c>
      <c r="RDX15" s="63">
        <f t="shared" si="194"/>
        <v>0</v>
      </c>
      <c r="RDY15" s="63">
        <f t="shared" si="194"/>
        <v>0</v>
      </c>
      <c r="RDZ15" s="63">
        <f t="shared" si="194"/>
        <v>0</v>
      </c>
      <c r="REA15" s="63">
        <f t="shared" si="194"/>
        <v>0</v>
      </c>
      <c r="REB15" s="63">
        <f t="shared" si="194"/>
        <v>0</v>
      </c>
      <c r="REC15" s="63">
        <f t="shared" si="194"/>
        <v>0</v>
      </c>
      <c r="RED15" s="63">
        <f t="shared" si="194"/>
        <v>0</v>
      </c>
      <c r="REE15" s="63">
        <f t="shared" si="194"/>
        <v>0</v>
      </c>
      <c r="REF15" s="63">
        <f t="shared" si="194"/>
        <v>0</v>
      </c>
      <c r="REG15" s="63">
        <f t="shared" si="194"/>
        <v>0</v>
      </c>
      <c r="REH15" s="63">
        <f t="shared" si="194"/>
        <v>0</v>
      </c>
      <c r="REI15" s="63">
        <f t="shared" si="194"/>
        <v>0</v>
      </c>
      <c r="REJ15" s="63">
        <f t="shared" si="194"/>
        <v>0</v>
      </c>
      <c r="REK15" s="63">
        <f t="shared" si="194"/>
        <v>0</v>
      </c>
      <c r="REL15" s="63">
        <f t="shared" si="194"/>
        <v>0</v>
      </c>
      <c r="REM15" s="63">
        <f t="shared" si="194"/>
        <v>0</v>
      </c>
      <c r="REN15" s="63">
        <f t="shared" si="194"/>
        <v>0</v>
      </c>
      <c r="REO15" s="63">
        <f t="shared" si="194"/>
        <v>0</v>
      </c>
      <c r="REP15" s="63">
        <f t="shared" si="194"/>
        <v>0</v>
      </c>
      <c r="REQ15" s="63">
        <f t="shared" si="194"/>
        <v>0</v>
      </c>
      <c r="RER15" s="63">
        <f t="shared" si="194"/>
        <v>0</v>
      </c>
      <c r="RES15" s="63">
        <f t="shared" si="194"/>
        <v>0</v>
      </c>
      <c r="RET15" s="63">
        <f t="shared" si="194"/>
        <v>0</v>
      </c>
      <c r="REU15" s="63">
        <f t="shared" si="194"/>
        <v>0</v>
      </c>
      <c r="REV15" s="63">
        <f t="shared" si="194"/>
        <v>0</v>
      </c>
      <c r="REW15" s="63">
        <f t="shared" si="194"/>
        <v>0</v>
      </c>
      <c r="REX15" s="63">
        <f t="shared" si="194"/>
        <v>0</v>
      </c>
      <c r="REY15" s="63">
        <f t="shared" si="194"/>
        <v>0</v>
      </c>
      <c r="REZ15" s="63">
        <f t="shared" si="194"/>
        <v>0</v>
      </c>
      <c r="RFA15" s="63">
        <f t="shared" si="194"/>
        <v>0</v>
      </c>
      <c r="RFB15" s="63">
        <f t="shared" si="194"/>
        <v>0</v>
      </c>
      <c r="RFC15" s="63">
        <f t="shared" si="194"/>
        <v>0</v>
      </c>
      <c r="RFD15" s="63">
        <f t="shared" si="194"/>
        <v>0</v>
      </c>
      <c r="RFE15" s="63">
        <f t="shared" si="194"/>
        <v>0</v>
      </c>
      <c r="RFF15" s="63">
        <f t="shared" si="194"/>
        <v>0</v>
      </c>
      <c r="RFG15" s="63">
        <f t="shared" si="194"/>
        <v>0</v>
      </c>
      <c r="RFH15" s="63">
        <f t="shared" si="194"/>
        <v>0</v>
      </c>
      <c r="RFI15" s="63">
        <f t="shared" si="194"/>
        <v>0</v>
      </c>
      <c r="RFJ15" s="63">
        <f t="shared" si="194"/>
        <v>0</v>
      </c>
      <c r="RFK15" s="63">
        <f t="shared" si="194"/>
        <v>0</v>
      </c>
      <c r="RFL15" s="63">
        <f t="shared" si="194"/>
        <v>0</v>
      </c>
      <c r="RFM15" s="63">
        <f t="shared" si="194"/>
        <v>0</v>
      </c>
      <c r="RFN15" s="63">
        <f t="shared" si="194"/>
        <v>0</v>
      </c>
      <c r="RFO15" s="63">
        <f t="shared" si="194"/>
        <v>0</v>
      </c>
      <c r="RFP15" s="63">
        <f t="shared" si="194"/>
        <v>0</v>
      </c>
      <c r="RFQ15" s="63">
        <f t="shared" si="194"/>
        <v>0</v>
      </c>
      <c r="RFR15" s="63">
        <f t="shared" si="194"/>
        <v>0</v>
      </c>
      <c r="RFS15" s="63">
        <f t="shared" si="194"/>
        <v>0</v>
      </c>
      <c r="RFT15" s="63">
        <f t="shared" si="194"/>
        <v>0</v>
      </c>
      <c r="RFU15" s="63">
        <f t="shared" si="194"/>
        <v>0</v>
      </c>
      <c r="RFV15" s="63">
        <f t="shared" si="194"/>
        <v>0</v>
      </c>
      <c r="RFW15" s="63">
        <f t="shared" si="194"/>
        <v>0</v>
      </c>
      <c r="RFX15" s="63">
        <f t="shared" si="194"/>
        <v>0</v>
      </c>
      <c r="RFY15" s="63">
        <f t="shared" si="194"/>
        <v>0</v>
      </c>
      <c r="RFZ15" s="63">
        <f t="shared" si="194"/>
        <v>0</v>
      </c>
      <c r="RGA15" s="63">
        <f t="shared" si="194"/>
        <v>0</v>
      </c>
      <c r="RGB15" s="63">
        <f t="shared" si="194"/>
        <v>0</v>
      </c>
      <c r="RGC15" s="63">
        <f t="shared" si="194"/>
        <v>0</v>
      </c>
      <c r="RGD15" s="63">
        <f t="shared" si="194"/>
        <v>0</v>
      </c>
      <c r="RGE15" s="63">
        <f t="shared" si="194"/>
        <v>0</v>
      </c>
      <c r="RGF15" s="63">
        <f t="shared" ref="RGF15:RIQ15" si="195">RGE18</f>
        <v>0</v>
      </c>
      <c r="RGG15" s="63">
        <f t="shared" si="195"/>
        <v>0</v>
      </c>
      <c r="RGH15" s="63">
        <f t="shared" si="195"/>
        <v>0</v>
      </c>
      <c r="RGI15" s="63">
        <f t="shared" si="195"/>
        <v>0</v>
      </c>
      <c r="RGJ15" s="63">
        <f t="shared" si="195"/>
        <v>0</v>
      </c>
      <c r="RGK15" s="63">
        <f t="shared" si="195"/>
        <v>0</v>
      </c>
      <c r="RGL15" s="63">
        <f t="shared" si="195"/>
        <v>0</v>
      </c>
      <c r="RGM15" s="63">
        <f t="shared" si="195"/>
        <v>0</v>
      </c>
      <c r="RGN15" s="63">
        <f t="shared" si="195"/>
        <v>0</v>
      </c>
      <c r="RGO15" s="63">
        <f t="shared" si="195"/>
        <v>0</v>
      </c>
      <c r="RGP15" s="63">
        <f t="shared" si="195"/>
        <v>0</v>
      </c>
      <c r="RGQ15" s="63">
        <f t="shared" si="195"/>
        <v>0</v>
      </c>
      <c r="RGR15" s="63">
        <f t="shared" si="195"/>
        <v>0</v>
      </c>
      <c r="RGS15" s="63">
        <f t="shared" si="195"/>
        <v>0</v>
      </c>
      <c r="RGT15" s="63">
        <f t="shared" si="195"/>
        <v>0</v>
      </c>
      <c r="RGU15" s="63">
        <f t="shared" si="195"/>
        <v>0</v>
      </c>
      <c r="RGV15" s="63">
        <f t="shared" si="195"/>
        <v>0</v>
      </c>
      <c r="RGW15" s="63">
        <f t="shared" si="195"/>
        <v>0</v>
      </c>
      <c r="RGX15" s="63">
        <f t="shared" si="195"/>
        <v>0</v>
      </c>
      <c r="RGY15" s="63">
        <f t="shared" si="195"/>
        <v>0</v>
      </c>
      <c r="RGZ15" s="63">
        <f t="shared" si="195"/>
        <v>0</v>
      </c>
      <c r="RHA15" s="63">
        <f t="shared" si="195"/>
        <v>0</v>
      </c>
      <c r="RHB15" s="63">
        <f t="shared" si="195"/>
        <v>0</v>
      </c>
      <c r="RHC15" s="63">
        <f t="shared" si="195"/>
        <v>0</v>
      </c>
      <c r="RHD15" s="63">
        <f t="shared" si="195"/>
        <v>0</v>
      </c>
      <c r="RHE15" s="63">
        <f t="shared" si="195"/>
        <v>0</v>
      </c>
      <c r="RHF15" s="63">
        <f t="shared" si="195"/>
        <v>0</v>
      </c>
      <c r="RHG15" s="63">
        <f t="shared" si="195"/>
        <v>0</v>
      </c>
      <c r="RHH15" s="63">
        <f t="shared" si="195"/>
        <v>0</v>
      </c>
      <c r="RHI15" s="63">
        <f t="shared" si="195"/>
        <v>0</v>
      </c>
      <c r="RHJ15" s="63">
        <f t="shared" si="195"/>
        <v>0</v>
      </c>
      <c r="RHK15" s="63">
        <f t="shared" si="195"/>
        <v>0</v>
      </c>
      <c r="RHL15" s="63">
        <f t="shared" si="195"/>
        <v>0</v>
      </c>
      <c r="RHM15" s="63">
        <f t="shared" si="195"/>
        <v>0</v>
      </c>
      <c r="RHN15" s="63">
        <f t="shared" si="195"/>
        <v>0</v>
      </c>
      <c r="RHO15" s="63">
        <f t="shared" si="195"/>
        <v>0</v>
      </c>
      <c r="RHP15" s="63">
        <f t="shared" si="195"/>
        <v>0</v>
      </c>
      <c r="RHQ15" s="63">
        <f t="shared" si="195"/>
        <v>0</v>
      </c>
      <c r="RHR15" s="63">
        <f t="shared" si="195"/>
        <v>0</v>
      </c>
      <c r="RHS15" s="63">
        <f t="shared" si="195"/>
        <v>0</v>
      </c>
      <c r="RHT15" s="63">
        <f t="shared" si="195"/>
        <v>0</v>
      </c>
      <c r="RHU15" s="63">
        <f t="shared" si="195"/>
        <v>0</v>
      </c>
      <c r="RHV15" s="63">
        <f t="shared" si="195"/>
        <v>0</v>
      </c>
      <c r="RHW15" s="63">
        <f t="shared" si="195"/>
        <v>0</v>
      </c>
      <c r="RHX15" s="63">
        <f t="shared" si="195"/>
        <v>0</v>
      </c>
      <c r="RHY15" s="63">
        <f t="shared" si="195"/>
        <v>0</v>
      </c>
      <c r="RHZ15" s="63">
        <f t="shared" si="195"/>
        <v>0</v>
      </c>
      <c r="RIA15" s="63">
        <f t="shared" si="195"/>
        <v>0</v>
      </c>
      <c r="RIB15" s="63">
        <f t="shared" si="195"/>
        <v>0</v>
      </c>
      <c r="RIC15" s="63">
        <f t="shared" si="195"/>
        <v>0</v>
      </c>
      <c r="RID15" s="63">
        <f t="shared" si="195"/>
        <v>0</v>
      </c>
      <c r="RIE15" s="63">
        <f t="shared" si="195"/>
        <v>0</v>
      </c>
      <c r="RIF15" s="63">
        <f t="shared" si="195"/>
        <v>0</v>
      </c>
      <c r="RIG15" s="63">
        <f t="shared" si="195"/>
        <v>0</v>
      </c>
      <c r="RIH15" s="63">
        <f t="shared" si="195"/>
        <v>0</v>
      </c>
      <c r="RII15" s="63">
        <f t="shared" si="195"/>
        <v>0</v>
      </c>
      <c r="RIJ15" s="63">
        <f t="shared" si="195"/>
        <v>0</v>
      </c>
      <c r="RIK15" s="63">
        <f t="shared" si="195"/>
        <v>0</v>
      </c>
      <c r="RIL15" s="63">
        <f t="shared" si="195"/>
        <v>0</v>
      </c>
      <c r="RIM15" s="63">
        <f t="shared" si="195"/>
        <v>0</v>
      </c>
      <c r="RIN15" s="63">
        <f t="shared" si="195"/>
        <v>0</v>
      </c>
      <c r="RIO15" s="63">
        <f t="shared" si="195"/>
        <v>0</v>
      </c>
      <c r="RIP15" s="63">
        <f t="shared" si="195"/>
        <v>0</v>
      </c>
      <c r="RIQ15" s="63">
        <f t="shared" si="195"/>
        <v>0</v>
      </c>
      <c r="RIR15" s="63">
        <f t="shared" ref="RIR15:RLC15" si="196">RIQ18</f>
        <v>0</v>
      </c>
      <c r="RIS15" s="63">
        <f t="shared" si="196"/>
        <v>0</v>
      </c>
      <c r="RIT15" s="63">
        <f t="shared" si="196"/>
        <v>0</v>
      </c>
      <c r="RIU15" s="63">
        <f t="shared" si="196"/>
        <v>0</v>
      </c>
      <c r="RIV15" s="63">
        <f t="shared" si="196"/>
        <v>0</v>
      </c>
      <c r="RIW15" s="63">
        <f t="shared" si="196"/>
        <v>0</v>
      </c>
      <c r="RIX15" s="63">
        <f t="shared" si="196"/>
        <v>0</v>
      </c>
      <c r="RIY15" s="63">
        <f t="shared" si="196"/>
        <v>0</v>
      </c>
      <c r="RIZ15" s="63">
        <f t="shared" si="196"/>
        <v>0</v>
      </c>
      <c r="RJA15" s="63">
        <f t="shared" si="196"/>
        <v>0</v>
      </c>
      <c r="RJB15" s="63">
        <f t="shared" si="196"/>
        <v>0</v>
      </c>
      <c r="RJC15" s="63">
        <f t="shared" si="196"/>
        <v>0</v>
      </c>
      <c r="RJD15" s="63">
        <f t="shared" si="196"/>
        <v>0</v>
      </c>
      <c r="RJE15" s="63">
        <f t="shared" si="196"/>
        <v>0</v>
      </c>
      <c r="RJF15" s="63">
        <f t="shared" si="196"/>
        <v>0</v>
      </c>
      <c r="RJG15" s="63">
        <f t="shared" si="196"/>
        <v>0</v>
      </c>
      <c r="RJH15" s="63">
        <f t="shared" si="196"/>
        <v>0</v>
      </c>
      <c r="RJI15" s="63">
        <f t="shared" si="196"/>
        <v>0</v>
      </c>
      <c r="RJJ15" s="63">
        <f t="shared" si="196"/>
        <v>0</v>
      </c>
      <c r="RJK15" s="63">
        <f t="shared" si="196"/>
        <v>0</v>
      </c>
      <c r="RJL15" s="63">
        <f t="shared" si="196"/>
        <v>0</v>
      </c>
      <c r="RJM15" s="63">
        <f t="shared" si="196"/>
        <v>0</v>
      </c>
      <c r="RJN15" s="63">
        <f t="shared" si="196"/>
        <v>0</v>
      </c>
      <c r="RJO15" s="63">
        <f t="shared" si="196"/>
        <v>0</v>
      </c>
      <c r="RJP15" s="63">
        <f t="shared" si="196"/>
        <v>0</v>
      </c>
      <c r="RJQ15" s="63">
        <f t="shared" si="196"/>
        <v>0</v>
      </c>
      <c r="RJR15" s="63">
        <f t="shared" si="196"/>
        <v>0</v>
      </c>
      <c r="RJS15" s="63">
        <f t="shared" si="196"/>
        <v>0</v>
      </c>
      <c r="RJT15" s="63">
        <f t="shared" si="196"/>
        <v>0</v>
      </c>
      <c r="RJU15" s="63">
        <f t="shared" si="196"/>
        <v>0</v>
      </c>
      <c r="RJV15" s="63">
        <f t="shared" si="196"/>
        <v>0</v>
      </c>
      <c r="RJW15" s="63">
        <f t="shared" si="196"/>
        <v>0</v>
      </c>
      <c r="RJX15" s="63">
        <f t="shared" si="196"/>
        <v>0</v>
      </c>
      <c r="RJY15" s="63">
        <f t="shared" si="196"/>
        <v>0</v>
      </c>
      <c r="RJZ15" s="63">
        <f t="shared" si="196"/>
        <v>0</v>
      </c>
      <c r="RKA15" s="63">
        <f t="shared" si="196"/>
        <v>0</v>
      </c>
      <c r="RKB15" s="63">
        <f t="shared" si="196"/>
        <v>0</v>
      </c>
      <c r="RKC15" s="63">
        <f t="shared" si="196"/>
        <v>0</v>
      </c>
      <c r="RKD15" s="63">
        <f t="shared" si="196"/>
        <v>0</v>
      </c>
      <c r="RKE15" s="63">
        <f t="shared" si="196"/>
        <v>0</v>
      </c>
      <c r="RKF15" s="63">
        <f t="shared" si="196"/>
        <v>0</v>
      </c>
      <c r="RKG15" s="63">
        <f t="shared" si="196"/>
        <v>0</v>
      </c>
      <c r="RKH15" s="63">
        <f t="shared" si="196"/>
        <v>0</v>
      </c>
      <c r="RKI15" s="63">
        <f t="shared" si="196"/>
        <v>0</v>
      </c>
      <c r="RKJ15" s="63">
        <f t="shared" si="196"/>
        <v>0</v>
      </c>
      <c r="RKK15" s="63">
        <f t="shared" si="196"/>
        <v>0</v>
      </c>
      <c r="RKL15" s="63">
        <f t="shared" si="196"/>
        <v>0</v>
      </c>
      <c r="RKM15" s="63">
        <f t="shared" si="196"/>
        <v>0</v>
      </c>
      <c r="RKN15" s="63">
        <f t="shared" si="196"/>
        <v>0</v>
      </c>
      <c r="RKO15" s="63">
        <f t="shared" si="196"/>
        <v>0</v>
      </c>
      <c r="RKP15" s="63">
        <f t="shared" si="196"/>
        <v>0</v>
      </c>
      <c r="RKQ15" s="63">
        <f t="shared" si="196"/>
        <v>0</v>
      </c>
      <c r="RKR15" s="63">
        <f t="shared" si="196"/>
        <v>0</v>
      </c>
      <c r="RKS15" s="63">
        <f t="shared" si="196"/>
        <v>0</v>
      </c>
      <c r="RKT15" s="63">
        <f t="shared" si="196"/>
        <v>0</v>
      </c>
      <c r="RKU15" s="63">
        <f t="shared" si="196"/>
        <v>0</v>
      </c>
      <c r="RKV15" s="63">
        <f t="shared" si="196"/>
        <v>0</v>
      </c>
      <c r="RKW15" s="63">
        <f t="shared" si="196"/>
        <v>0</v>
      </c>
      <c r="RKX15" s="63">
        <f t="shared" si="196"/>
        <v>0</v>
      </c>
      <c r="RKY15" s="63">
        <f t="shared" si="196"/>
        <v>0</v>
      </c>
      <c r="RKZ15" s="63">
        <f t="shared" si="196"/>
        <v>0</v>
      </c>
      <c r="RLA15" s="63">
        <f t="shared" si="196"/>
        <v>0</v>
      </c>
      <c r="RLB15" s="63">
        <f t="shared" si="196"/>
        <v>0</v>
      </c>
      <c r="RLC15" s="63">
        <f t="shared" si="196"/>
        <v>0</v>
      </c>
      <c r="RLD15" s="63">
        <f t="shared" ref="RLD15:RNO15" si="197">RLC18</f>
        <v>0</v>
      </c>
      <c r="RLE15" s="63">
        <f t="shared" si="197"/>
        <v>0</v>
      </c>
      <c r="RLF15" s="63">
        <f t="shared" si="197"/>
        <v>0</v>
      </c>
      <c r="RLG15" s="63">
        <f t="shared" si="197"/>
        <v>0</v>
      </c>
      <c r="RLH15" s="63">
        <f t="shared" si="197"/>
        <v>0</v>
      </c>
      <c r="RLI15" s="63">
        <f t="shared" si="197"/>
        <v>0</v>
      </c>
      <c r="RLJ15" s="63">
        <f t="shared" si="197"/>
        <v>0</v>
      </c>
      <c r="RLK15" s="63">
        <f t="shared" si="197"/>
        <v>0</v>
      </c>
      <c r="RLL15" s="63">
        <f t="shared" si="197"/>
        <v>0</v>
      </c>
      <c r="RLM15" s="63">
        <f t="shared" si="197"/>
        <v>0</v>
      </c>
      <c r="RLN15" s="63">
        <f t="shared" si="197"/>
        <v>0</v>
      </c>
      <c r="RLO15" s="63">
        <f t="shared" si="197"/>
        <v>0</v>
      </c>
      <c r="RLP15" s="63">
        <f t="shared" si="197"/>
        <v>0</v>
      </c>
      <c r="RLQ15" s="63">
        <f t="shared" si="197"/>
        <v>0</v>
      </c>
      <c r="RLR15" s="63">
        <f t="shared" si="197"/>
        <v>0</v>
      </c>
      <c r="RLS15" s="63">
        <f t="shared" si="197"/>
        <v>0</v>
      </c>
      <c r="RLT15" s="63">
        <f t="shared" si="197"/>
        <v>0</v>
      </c>
      <c r="RLU15" s="63">
        <f t="shared" si="197"/>
        <v>0</v>
      </c>
      <c r="RLV15" s="63">
        <f t="shared" si="197"/>
        <v>0</v>
      </c>
      <c r="RLW15" s="63">
        <f t="shared" si="197"/>
        <v>0</v>
      </c>
      <c r="RLX15" s="63">
        <f t="shared" si="197"/>
        <v>0</v>
      </c>
      <c r="RLY15" s="63">
        <f t="shared" si="197"/>
        <v>0</v>
      </c>
      <c r="RLZ15" s="63">
        <f t="shared" si="197"/>
        <v>0</v>
      </c>
      <c r="RMA15" s="63">
        <f t="shared" si="197"/>
        <v>0</v>
      </c>
      <c r="RMB15" s="63">
        <f t="shared" si="197"/>
        <v>0</v>
      </c>
      <c r="RMC15" s="63">
        <f t="shared" si="197"/>
        <v>0</v>
      </c>
      <c r="RMD15" s="63">
        <f t="shared" si="197"/>
        <v>0</v>
      </c>
      <c r="RME15" s="63">
        <f t="shared" si="197"/>
        <v>0</v>
      </c>
      <c r="RMF15" s="63">
        <f t="shared" si="197"/>
        <v>0</v>
      </c>
      <c r="RMG15" s="63">
        <f t="shared" si="197"/>
        <v>0</v>
      </c>
      <c r="RMH15" s="63">
        <f t="shared" si="197"/>
        <v>0</v>
      </c>
      <c r="RMI15" s="63">
        <f t="shared" si="197"/>
        <v>0</v>
      </c>
      <c r="RMJ15" s="63">
        <f t="shared" si="197"/>
        <v>0</v>
      </c>
      <c r="RMK15" s="63">
        <f t="shared" si="197"/>
        <v>0</v>
      </c>
      <c r="RML15" s="63">
        <f t="shared" si="197"/>
        <v>0</v>
      </c>
      <c r="RMM15" s="63">
        <f t="shared" si="197"/>
        <v>0</v>
      </c>
      <c r="RMN15" s="63">
        <f t="shared" si="197"/>
        <v>0</v>
      </c>
      <c r="RMO15" s="63">
        <f t="shared" si="197"/>
        <v>0</v>
      </c>
      <c r="RMP15" s="63">
        <f t="shared" si="197"/>
        <v>0</v>
      </c>
      <c r="RMQ15" s="63">
        <f t="shared" si="197"/>
        <v>0</v>
      </c>
      <c r="RMR15" s="63">
        <f t="shared" si="197"/>
        <v>0</v>
      </c>
      <c r="RMS15" s="63">
        <f t="shared" si="197"/>
        <v>0</v>
      </c>
      <c r="RMT15" s="63">
        <f t="shared" si="197"/>
        <v>0</v>
      </c>
      <c r="RMU15" s="63">
        <f t="shared" si="197"/>
        <v>0</v>
      </c>
      <c r="RMV15" s="63">
        <f t="shared" si="197"/>
        <v>0</v>
      </c>
      <c r="RMW15" s="63">
        <f t="shared" si="197"/>
        <v>0</v>
      </c>
      <c r="RMX15" s="63">
        <f t="shared" si="197"/>
        <v>0</v>
      </c>
      <c r="RMY15" s="63">
        <f t="shared" si="197"/>
        <v>0</v>
      </c>
      <c r="RMZ15" s="63">
        <f t="shared" si="197"/>
        <v>0</v>
      </c>
      <c r="RNA15" s="63">
        <f t="shared" si="197"/>
        <v>0</v>
      </c>
      <c r="RNB15" s="63">
        <f t="shared" si="197"/>
        <v>0</v>
      </c>
      <c r="RNC15" s="63">
        <f t="shared" si="197"/>
        <v>0</v>
      </c>
      <c r="RND15" s="63">
        <f t="shared" si="197"/>
        <v>0</v>
      </c>
      <c r="RNE15" s="63">
        <f t="shared" si="197"/>
        <v>0</v>
      </c>
      <c r="RNF15" s="63">
        <f t="shared" si="197"/>
        <v>0</v>
      </c>
      <c r="RNG15" s="63">
        <f t="shared" si="197"/>
        <v>0</v>
      </c>
      <c r="RNH15" s="63">
        <f t="shared" si="197"/>
        <v>0</v>
      </c>
      <c r="RNI15" s="63">
        <f t="shared" si="197"/>
        <v>0</v>
      </c>
      <c r="RNJ15" s="63">
        <f t="shared" si="197"/>
        <v>0</v>
      </c>
      <c r="RNK15" s="63">
        <f t="shared" si="197"/>
        <v>0</v>
      </c>
      <c r="RNL15" s="63">
        <f t="shared" si="197"/>
        <v>0</v>
      </c>
      <c r="RNM15" s="63">
        <f t="shared" si="197"/>
        <v>0</v>
      </c>
      <c r="RNN15" s="63">
        <f t="shared" si="197"/>
        <v>0</v>
      </c>
      <c r="RNO15" s="63">
        <f t="shared" si="197"/>
        <v>0</v>
      </c>
      <c r="RNP15" s="63">
        <f t="shared" ref="RNP15:RQA15" si="198">RNO18</f>
        <v>0</v>
      </c>
      <c r="RNQ15" s="63">
        <f t="shared" si="198"/>
        <v>0</v>
      </c>
      <c r="RNR15" s="63">
        <f t="shared" si="198"/>
        <v>0</v>
      </c>
      <c r="RNS15" s="63">
        <f t="shared" si="198"/>
        <v>0</v>
      </c>
      <c r="RNT15" s="63">
        <f t="shared" si="198"/>
        <v>0</v>
      </c>
      <c r="RNU15" s="63">
        <f t="shared" si="198"/>
        <v>0</v>
      </c>
      <c r="RNV15" s="63">
        <f t="shared" si="198"/>
        <v>0</v>
      </c>
      <c r="RNW15" s="63">
        <f t="shared" si="198"/>
        <v>0</v>
      </c>
      <c r="RNX15" s="63">
        <f t="shared" si="198"/>
        <v>0</v>
      </c>
      <c r="RNY15" s="63">
        <f t="shared" si="198"/>
        <v>0</v>
      </c>
      <c r="RNZ15" s="63">
        <f t="shared" si="198"/>
        <v>0</v>
      </c>
      <c r="ROA15" s="63">
        <f t="shared" si="198"/>
        <v>0</v>
      </c>
      <c r="ROB15" s="63">
        <f t="shared" si="198"/>
        <v>0</v>
      </c>
      <c r="ROC15" s="63">
        <f t="shared" si="198"/>
        <v>0</v>
      </c>
      <c r="ROD15" s="63">
        <f t="shared" si="198"/>
        <v>0</v>
      </c>
      <c r="ROE15" s="63">
        <f t="shared" si="198"/>
        <v>0</v>
      </c>
      <c r="ROF15" s="63">
        <f t="shared" si="198"/>
        <v>0</v>
      </c>
      <c r="ROG15" s="63">
        <f t="shared" si="198"/>
        <v>0</v>
      </c>
      <c r="ROH15" s="63">
        <f t="shared" si="198"/>
        <v>0</v>
      </c>
      <c r="ROI15" s="63">
        <f t="shared" si="198"/>
        <v>0</v>
      </c>
      <c r="ROJ15" s="63">
        <f t="shared" si="198"/>
        <v>0</v>
      </c>
      <c r="ROK15" s="63">
        <f t="shared" si="198"/>
        <v>0</v>
      </c>
      <c r="ROL15" s="63">
        <f t="shared" si="198"/>
        <v>0</v>
      </c>
      <c r="ROM15" s="63">
        <f t="shared" si="198"/>
        <v>0</v>
      </c>
      <c r="RON15" s="63">
        <f t="shared" si="198"/>
        <v>0</v>
      </c>
      <c r="ROO15" s="63">
        <f t="shared" si="198"/>
        <v>0</v>
      </c>
      <c r="ROP15" s="63">
        <f t="shared" si="198"/>
        <v>0</v>
      </c>
      <c r="ROQ15" s="63">
        <f t="shared" si="198"/>
        <v>0</v>
      </c>
      <c r="ROR15" s="63">
        <f t="shared" si="198"/>
        <v>0</v>
      </c>
      <c r="ROS15" s="63">
        <f t="shared" si="198"/>
        <v>0</v>
      </c>
      <c r="ROT15" s="63">
        <f t="shared" si="198"/>
        <v>0</v>
      </c>
      <c r="ROU15" s="63">
        <f t="shared" si="198"/>
        <v>0</v>
      </c>
      <c r="ROV15" s="63">
        <f t="shared" si="198"/>
        <v>0</v>
      </c>
      <c r="ROW15" s="63">
        <f t="shared" si="198"/>
        <v>0</v>
      </c>
      <c r="ROX15" s="63">
        <f t="shared" si="198"/>
        <v>0</v>
      </c>
      <c r="ROY15" s="63">
        <f t="shared" si="198"/>
        <v>0</v>
      </c>
      <c r="ROZ15" s="63">
        <f t="shared" si="198"/>
        <v>0</v>
      </c>
      <c r="RPA15" s="63">
        <f t="shared" si="198"/>
        <v>0</v>
      </c>
      <c r="RPB15" s="63">
        <f t="shared" si="198"/>
        <v>0</v>
      </c>
      <c r="RPC15" s="63">
        <f t="shared" si="198"/>
        <v>0</v>
      </c>
      <c r="RPD15" s="63">
        <f t="shared" si="198"/>
        <v>0</v>
      </c>
      <c r="RPE15" s="63">
        <f t="shared" si="198"/>
        <v>0</v>
      </c>
      <c r="RPF15" s="63">
        <f t="shared" si="198"/>
        <v>0</v>
      </c>
      <c r="RPG15" s="63">
        <f t="shared" si="198"/>
        <v>0</v>
      </c>
      <c r="RPH15" s="63">
        <f t="shared" si="198"/>
        <v>0</v>
      </c>
      <c r="RPI15" s="63">
        <f t="shared" si="198"/>
        <v>0</v>
      </c>
      <c r="RPJ15" s="63">
        <f t="shared" si="198"/>
        <v>0</v>
      </c>
      <c r="RPK15" s="63">
        <f t="shared" si="198"/>
        <v>0</v>
      </c>
      <c r="RPL15" s="63">
        <f t="shared" si="198"/>
        <v>0</v>
      </c>
      <c r="RPM15" s="63">
        <f t="shared" si="198"/>
        <v>0</v>
      </c>
      <c r="RPN15" s="63">
        <f t="shared" si="198"/>
        <v>0</v>
      </c>
      <c r="RPO15" s="63">
        <f t="shared" si="198"/>
        <v>0</v>
      </c>
      <c r="RPP15" s="63">
        <f t="shared" si="198"/>
        <v>0</v>
      </c>
      <c r="RPQ15" s="63">
        <f t="shared" si="198"/>
        <v>0</v>
      </c>
      <c r="RPR15" s="63">
        <f t="shared" si="198"/>
        <v>0</v>
      </c>
      <c r="RPS15" s="63">
        <f t="shared" si="198"/>
        <v>0</v>
      </c>
      <c r="RPT15" s="63">
        <f t="shared" si="198"/>
        <v>0</v>
      </c>
      <c r="RPU15" s="63">
        <f t="shared" si="198"/>
        <v>0</v>
      </c>
      <c r="RPV15" s="63">
        <f t="shared" si="198"/>
        <v>0</v>
      </c>
      <c r="RPW15" s="63">
        <f t="shared" si="198"/>
        <v>0</v>
      </c>
      <c r="RPX15" s="63">
        <f t="shared" si="198"/>
        <v>0</v>
      </c>
      <c r="RPY15" s="63">
        <f t="shared" si="198"/>
        <v>0</v>
      </c>
      <c r="RPZ15" s="63">
        <f t="shared" si="198"/>
        <v>0</v>
      </c>
      <c r="RQA15" s="63">
        <f t="shared" si="198"/>
        <v>0</v>
      </c>
      <c r="RQB15" s="63">
        <f t="shared" ref="RQB15:RSM15" si="199">RQA18</f>
        <v>0</v>
      </c>
      <c r="RQC15" s="63">
        <f t="shared" si="199"/>
        <v>0</v>
      </c>
      <c r="RQD15" s="63">
        <f t="shared" si="199"/>
        <v>0</v>
      </c>
      <c r="RQE15" s="63">
        <f t="shared" si="199"/>
        <v>0</v>
      </c>
      <c r="RQF15" s="63">
        <f t="shared" si="199"/>
        <v>0</v>
      </c>
      <c r="RQG15" s="63">
        <f t="shared" si="199"/>
        <v>0</v>
      </c>
      <c r="RQH15" s="63">
        <f t="shared" si="199"/>
        <v>0</v>
      </c>
      <c r="RQI15" s="63">
        <f t="shared" si="199"/>
        <v>0</v>
      </c>
      <c r="RQJ15" s="63">
        <f t="shared" si="199"/>
        <v>0</v>
      </c>
      <c r="RQK15" s="63">
        <f t="shared" si="199"/>
        <v>0</v>
      </c>
      <c r="RQL15" s="63">
        <f t="shared" si="199"/>
        <v>0</v>
      </c>
      <c r="RQM15" s="63">
        <f t="shared" si="199"/>
        <v>0</v>
      </c>
      <c r="RQN15" s="63">
        <f t="shared" si="199"/>
        <v>0</v>
      </c>
      <c r="RQO15" s="63">
        <f t="shared" si="199"/>
        <v>0</v>
      </c>
      <c r="RQP15" s="63">
        <f t="shared" si="199"/>
        <v>0</v>
      </c>
      <c r="RQQ15" s="63">
        <f t="shared" si="199"/>
        <v>0</v>
      </c>
      <c r="RQR15" s="63">
        <f t="shared" si="199"/>
        <v>0</v>
      </c>
      <c r="RQS15" s="63">
        <f t="shared" si="199"/>
        <v>0</v>
      </c>
      <c r="RQT15" s="63">
        <f t="shared" si="199"/>
        <v>0</v>
      </c>
      <c r="RQU15" s="63">
        <f t="shared" si="199"/>
        <v>0</v>
      </c>
      <c r="RQV15" s="63">
        <f t="shared" si="199"/>
        <v>0</v>
      </c>
      <c r="RQW15" s="63">
        <f t="shared" si="199"/>
        <v>0</v>
      </c>
      <c r="RQX15" s="63">
        <f t="shared" si="199"/>
        <v>0</v>
      </c>
      <c r="RQY15" s="63">
        <f t="shared" si="199"/>
        <v>0</v>
      </c>
      <c r="RQZ15" s="63">
        <f t="shared" si="199"/>
        <v>0</v>
      </c>
      <c r="RRA15" s="63">
        <f t="shared" si="199"/>
        <v>0</v>
      </c>
      <c r="RRB15" s="63">
        <f t="shared" si="199"/>
        <v>0</v>
      </c>
      <c r="RRC15" s="63">
        <f t="shared" si="199"/>
        <v>0</v>
      </c>
      <c r="RRD15" s="63">
        <f t="shared" si="199"/>
        <v>0</v>
      </c>
      <c r="RRE15" s="63">
        <f t="shared" si="199"/>
        <v>0</v>
      </c>
      <c r="RRF15" s="63">
        <f t="shared" si="199"/>
        <v>0</v>
      </c>
      <c r="RRG15" s="63">
        <f t="shared" si="199"/>
        <v>0</v>
      </c>
      <c r="RRH15" s="63">
        <f t="shared" si="199"/>
        <v>0</v>
      </c>
      <c r="RRI15" s="63">
        <f t="shared" si="199"/>
        <v>0</v>
      </c>
      <c r="RRJ15" s="63">
        <f t="shared" si="199"/>
        <v>0</v>
      </c>
      <c r="RRK15" s="63">
        <f t="shared" si="199"/>
        <v>0</v>
      </c>
      <c r="RRL15" s="63">
        <f t="shared" si="199"/>
        <v>0</v>
      </c>
      <c r="RRM15" s="63">
        <f t="shared" si="199"/>
        <v>0</v>
      </c>
      <c r="RRN15" s="63">
        <f t="shared" si="199"/>
        <v>0</v>
      </c>
      <c r="RRO15" s="63">
        <f t="shared" si="199"/>
        <v>0</v>
      </c>
      <c r="RRP15" s="63">
        <f t="shared" si="199"/>
        <v>0</v>
      </c>
      <c r="RRQ15" s="63">
        <f t="shared" si="199"/>
        <v>0</v>
      </c>
      <c r="RRR15" s="63">
        <f t="shared" si="199"/>
        <v>0</v>
      </c>
      <c r="RRS15" s="63">
        <f t="shared" si="199"/>
        <v>0</v>
      </c>
      <c r="RRT15" s="63">
        <f t="shared" si="199"/>
        <v>0</v>
      </c>
      <c r="RRU15" s="63">
        <f t="shared" si="199"/>
        <v>0</v>
      </c>
      <c r="RRV15" s="63">
        <f t="shared" si="199"/>
        <v>0</v>
      </c>
      <c r="RRW15" s="63">
        <f t="shared" si="199"/>
        <v>0</v>
      </c>
      <c r="RRX15" s="63">
        <f t="shared" si="199"/>
        <v>0</v>
      </c>
      <c r="RRY15" s="63">
        <f t="shared" si="199"/>
        <v>0</v>
      </c>
      <c r="RRZ15" s="63">
        <f t="shared" si="199"/>
        <v>0</v>
      </c>
      <c r="RSA15" s="63">
        <f t="shared" si="199"/>
        <v>0</v>
      </c>
      <c r="RSB15" s="63">
        <f t="shared" si="199"/>
        <v>0</v>
      </c>
      <c r="RSC15" s="63">
        <f t="shared" si="199"/>
        <v>0</v>
      </c>
      <c r="RSD15" s="63">
        <f t="shared" si="199"/>
        <v>0</v>
      </c>
      <c r="RSE15" s="63">
        <f t="shared" si="199"/>
        <v>0</v>
      </c>
      <c r="RSF15" s="63">
        <f t="shared" si="199"/>
        <v>0</v>
      </c>
      <c r="RSG15" s="63">
        <f t="shared" si="199"/>
        <v>0</v>
      </c>
      <c r="RSH15" s="63">
        <f t="shared" si="199"/>
        <v>0</v>
      </c>
      <c r="RSI15" s="63">
        <f t="shared" si="199"/>
        <v>0</v>
      </c>
      <c r="RSJ15" s="63">
        <f t="shared" si="199"/>
        <v>0</v>
      </c>
      <c r="RSK15" s="63">
        <f t="shared" si="199"/>
        <v>0</v>
      </c>
      <c r="RSL15" s="63">
        <f t="shared" si="199"/>
        <v>0</v>
      </c>
      <c r="RSM15" s="63">
        <f t="shared" si="199"/>
        <v>0</v>
      </c>
      <c r="RSN15" s="63">
        <f t="shared" ref="RSN15:RUY15" si="200">RSM18</f>
        <v>0</v>
      </c>
      <c r="RSO15" s="63">
        <f t="shared" si="200"/>
        <v>0</v>
      </c>
      <c r="RSP15" s="63">
        <f t="shared" si="200"/>
        <v>0</v>
      </c>
      <c r="RSQ15" s="63">
        <f t="shared" si="200"/>
        <v>0</v>
      </c>
      <c r="RSR15" s="63">
        <f t="shared" si="200"/>
        <v>0</v>
      </c>
      <c r="RSS15" s="63">
        <f t="shared" si="200"/>
        <v>0</v>
      </c>
      <c r="RST15" s="63">
        <f t="shared" si="200"/>
        <v>0</v>
      </c>
      <c r="RSU15" s="63">
        <f t="shared" si="200"/>
        <v>0</v>
      </c>
      <c r="RSV15" s="63">
        <f t="shared" si="200"/>
        <v>0</v>
      </c>
      <c r="RSW15" s="63">
        <f t="shared" si="200"/>
        <v>0</v>
      </c>
      <c r="RSX15" s="63">
        <f t="shared" si="200"/>
        <v>0</v>
      </c>
      <c r="RSY15" s="63">
        <f t="shared" si="200"/>
        <v>0</v>
      </c>
      <c r="RSZ15" s="63">
        <f t="shared" si="200"/>
        <v>0</v>
      </c>
      <c r="RTA15" s="63">
        <f t="shared" si="200"/>
        <v>0</v>
      </c>
      <c r="RTB15" s="63">
        <f t="shared" si="200"/>
        <v>0</v>
      </c>
      <c r="RTC15" s="63">
        <f t="shared" si="200"/>
        <v>0</v>
      </c>
      <c r="RTD15" s="63">
        <f t="shared" si="200"/>
        <v>0</v>
      </c>
      <c r="RTE15" s="63">
        <f t="shared" si="200"/>
        <v>0</v>
      </c>
      <c r="RTF15" s="63">
        <f t="shared" si="200"/>
        <v>0</v>
      </c>
      <c r="RTG15" s="63">
        <f t="shared" si="200"/>
        <v>0</v>
      </c>
      <c r="RTH15" s="63">
        <f t="shared" si="200"/>
        <v>0</v>
      </c>
      <c r="RTI15" s="63">
        <f t="shared" si="200"/>
        <v>0</v>
      </c>
      <c r="RTJ15" s="63">
        <f t="shared" si="200"/>
        <v>0</v>
      </c>
      <c r="RTK15" s="63">
        <f t="shared" si="200"/>
        <v>0</v>
      </c>
      <c r="RTL15" s="63">
        <f t="shared" si="200"/>
        <v>0</v>
      </c>
      <c r="RTM15" s="63">
        <f t="shared" si="200"/>
        <v>0</v>
      </c>
      <c r="RTN15" s="63">
        <f t="shared" si="200"/>
        <v>0</v>
      </c>
      <c r="RTO15" s="63">
        <f t="shared" si="200"/>
        <v>0</v>
      </c>
      <c r="RTP15" s="63">
        <f t="shared" si="200"/>
        <v>0</v>
      </c>
      <c r="RTQ15" s="63">
        <f t="shared" si="200"/>
        <v>0</v>
      </c>
      <c r="RTR15" s="63">
        <f t="shared" si="200"/>
        <v>0</v>
      </c>
      <c r="RTS15" s="63">
        <f t="shared" si="200"/>
        <v>0</v>
      </c>
      <c r="RTT15" s="63">
        <f t="shared" si="200"/>
        <v>0</v>
      </c>
      <c r="RTU15" s="63">
        <f t="shared" si="200"/>
        <v>0</v>
      </c>
      <c r="RTV15" s="63">
        <f t="shared" si="200"/>
        <v>0</v>
      </c>
      <c r="RTW15" s="63">
        <f t="shared" si="200"/>
        <v>0</v>
      </c>
      <c r="RTX15" s="63">
        <f t="shared" si="200"/>
        <v>0</v>
      </c>
      <c r="RTY15" s="63">
        <f t="shared" si="200"/>
        <v>0</v>
      </c>
      <c r="RTZ15" s="63">
        <f t="shared" si="200"/>
        <v>0</v>
      </c>
      <c r="RUA15" s="63">
        <f t="shared" si="200"/>
        <v>0</v>
      </c>
      <c r="RUB15" s="63">
        <f t="shared" si="200"/>
        <v>0</v>
      </c>
      <c r="RUC15" s="63">
        <f t="shared" si="200"/>
        <v>0</v>
      </c>
      <c r="RUD15" s="63">
        <f t="shared" si="200"/>
        <v>0</v>
      </c>
      <c r="RUE15" s="63">
        <f t="shared" si="200"/>
        <v>0</v>
      </c>
      <c r="RUF15" s="63">
        <f t="shared" si="200"/>
        <v>0</v>
      </c>
      <c r="RUG15" s="63">
        <f t="shared" si="200"/>
        <v>0</v>
      </c>
      <c r="RUH15" s="63">
        <f t="shared" si="200"/>
        <v>0</v>
      </c>
      <c r="RUI15" s="63">
        <f t="shared" si="200"/>
        <v>0</v>
      </c>
      <c r="RUJ15" s="63">
        <f t="shared" si="200"/>
        <v>0</v>
      </c>
      <c r="RUK15" s="63">
        <f t="shared" si="200"/>
        <v>0</v>
      </c>
      <c r="RUL15" s="63">
        <f t="shared" si="200"/>
        <v>0</v>
      </c>
      <c r="RUM15" s="63">
        <f t="shared" si="200"/>
        <v>0</v>
      </c>
      <c r="RUN15" s="63">
        <f t="shared" si="200"/>
        <v>0</v>
      </c>
      <c r="RUO15" s="63">
        <f t="shared" si="200"/>
        <v>0</v>
      </c>
      <c r="RUP15" s="63">
        <f t="shared" si="200"/>
        <v>0</v>
      </c>
      <c r="RUQ15" s="63">
        <f t="shared" si="200"/>
        <v>0</v>
      </c>
      <c r="RUR15" s="63">
        <f t="shared" si="200"/>
        <v>0</v>
      </c>
      <c r="RUS15" s="63">
        <f t="shared" si="200"/>
        <v>0</v>
      </c>
      <c r="RUT15" s="63">
        <f t="shared" si="200"/>
        <v>0</v>
      </c>
      <c r="RUU15" s="63">
        <f t="shared" si="200"/>
        <v>0</v>
      </c>
      <c r="RUV15" s="63">
        <f t="shared" si="200"/>
        <v>0</v>
      </c>
      <c r="RUW15" s="63">
        <f t="shared" si="200"/>
        <v>0</v>
      </c>
      <c r="RUX15" s="63">
        <f t="shared" si="200"/>
        <v>0</v>
      </c>
      <c r="RUY15" s="63">
        <f t="shared" si="200"/>
        <v>0</v>
      </c>
      <c r="RUZ15" s="63">
        <f t="shared" ref="RUZ15:RXK15" si="201">RUY18</f>
        <v>0</v>
      </c>
      <c r="RVA15" s="63">
        <f t="shared" si="201"/>
        <v>0</v>
      </c>
      <c r="RVB15" s="63">
        <f t="shared" si="201"/>
        <v>0</v>
      </c>
      <c r="RVC15" s="63">
        <f t="shared" si="201"/>
        <v>0</v>
      </c>
      <c r="RVD15" s="63">
        <f t="shared" si="201"/>
        <v>0</v>
      </c>
      <c r="RVE15" s="63">
        <f t="shared" si="201"/>
        <v>0</v>
      </c>
      <c r="RVF15" s="63">
        <f t="shared" si="201"/>
        <v>0</v>
      </c>
      <c r="RVG15" s="63">
        <f t="shared" si="201"/>
        <v>0</v>
      </c>
      <c r="RVH15" s="63">
        <f t="shared" si="201"/>
        <v>0</v>
      </c>
      <c r="RVI15" s="63">
        <f t="shared" si="201"/>
        <v>0</v>
      </c>
      <c r="RVJ15" s="63">
        <f t="shared" si="201"/>
        <v>0</v>
      </c>
      <c r="RVK15" s="63">
        <f t="shared" si="201"/>
        <v>0</v>
      </c>
      <c r="RVL15" s="63">
        <f t="shared" si="201"/>
        <v>0</v>
      </c>
      <c r="RVM15" s="63">
        <f t="shared" si="201"/>
        <v>0</v>
      </c>
      <c r="RVN15" s="63">
        <f t="shared" si="201"/>
        <v>0</v>
      </c>
      <c r="RVO15" s="63">
        <f t="shared" si="201"/>
        <v>0</v>
      </c>
      <c r="RVP15" s="63">
        <f t="shared" si="201"/>
        <v>0</v>
      </c>
      <c r="RVQ15" s="63">
        <f t="shared" si="201"/>
        <v>0</v>
      </c>
      <c r="RVR15" s="63">
        <f t="shared" si="201"/>
        <v>0</v>
      </c>
      <c r="RVS15" s="63">
        <f t="shared" si="201"/>
        <v>0</v>
      </c>
      <c r="RVT15" s="63">
        <f t="shared" si="201"/>
        <v>0</v>
      </c>
      <c r="RVU15" s="63">
        <f t="shared" si="201"/>
        <v>0</v>
      </c>
      <c r="RVV15" s="63">
        <f t="shared" si="201"/>
        <v>0</v>
      </c>
      <c r="RVW15" s="63">
        <f t="shared" si="201"/>
        <v>0</v>
      </c>
      <c r="RVX15" s="63">
        <f t="shared" si="201"/>
        <v>0</v>
      </c>
      <c r="RVY15" s="63">
        <f t="shared" si="201"/>
        <v>0</v>
      </c>
      <c r="RVZ15" s="63">
        <f t="shared" si="201"/>
        <v>0</v>
      </c>
      <c r="RWA15" s="63">
        <f t="shared" si="201"/>
        <v>0</v>
      </c>
      <c r="RWB15" s="63">
        <f t="shared" si="201"/>
        <v>0</v>
      </c>
      <c r="RWC15" s="63">
        <f t="shared" si="201"/>
        <v>0</v>
      </c>
      <c r="RWD15" s="63">
        <f t="shared" si="201"/>
        <v>0</v>
      </c>
      <c r="RWE15" s="63">
        <f t="shared" si="201"/>
        <v>0</v>
      </c>
      <c r="RWF15" s="63">
        <f t="shared" si="201"/>
        <v>0</v>
      </c>
      <c r="RWG15" s="63">
        <f t="shared" si="201"/>
        <v>0</v>
      </c>
      <c r="RWH15" s="63">
        <f t="shared" si="201"/>
        <v>0</v>
      </c>
      <c r="RWI15" s="63">
        <f t="shared" si="201"/>
        <v>0</v>
      </c>
      <c r="RWJ15" s="63">
        <f t="shared" si="201"/>
        <v>0</v>
      </c>
      <c r="RWK15" s="63">
        <f t="shared" si="201"/>
        <v>0</v>
      </c>
      <c r="RWL15" s="63">
        <f t="shared" si="201"/>
        <v>0</v>
      </c>
      <c r="RWM15" s="63">
        <f t="shared" si="201"/>
        <v>0</v>
      </c>
      <c r="RWN15" s="63">
        <f t="shared" si="201"/>
        <v>0</v>
      </c>
      <c r="RWO15" s="63">
        <f t="shared" si="201"/>
        <v>0</v>
      </c>
      <c r="RWP15" s="63">
        <f t="shared" si="201"/>
        <v>0</v>
      </c>
      <c r="RWQ15" s="63">
        <f t="shared" si="201"/>
        <v>0</v>
      </c>
      <c r="RWR15" s="63">
        <f t="shared" si="201"/>
        <v>0</v>
      </c>
      <c r="RWS15" s="63">
        <f t="shared" si="201"/>
        <v>0</v>
      </c>
      <c r="RWT15" s="63">
        <f t="shared" si="201"/>
        <v>0</v>
      </c>
      <c r="RWU15" s="63">
        <f t="shared" si="201"/>
        <v>0</v>
      </c>
      <c r="RWV15" s="63">
        <f t="shared" si="201"/>
        <v>0</v>
      </c>
      <c r="RWW15" s="63">
        <f t="shared" si="201"/>
        <v>0</v>
      </c>
      <c r="RWX15" s="63">
        <f t="shared" si="201"/>
        <v>0</v>
      </c>
      <c r="RWY15" s="63">
        <f t="shared" si="201"/>
        <v>0</v>
      </c>
      <c r="RWZ15" s="63">
        <f t="shared" si="201"/>
        <v>0</v>
      </c>
      <c r="RXA15" s="63">
        <f t="shared" si="201"/>
        <v>0</v>
      </c>
      <c r="RXB15" s="63">
        <f t="shared" si="201"/>
        <v>0</v>
      </c>
      <c r="RXC15" s="63">
        <f t="shared" si="201"/>
        <v>0</v>
      </c>
      <c r="RXD15" s="63">
        <f t="shared" si="201"/>
        <v>0</v>
      </c>
      <c r="RXE15" s="63">
        <f t="shared" si="201"/>
        <v>0</v>
      </c>
      <c r="RXF15" s="63">
        <f t="shared" si="201"/>
        <v>0</v>
      </c>
      <c r="RXG15" s="63">
        <f t="shared" si="201"/>
        <v>0</v>
      </c>
      <c r="RXH15" s="63">
        <f t="shared" si="201"/>
        <v>0</v>
      </c>
      <c r="RXI15" s="63">
        <f t="shared" si="201"/>
        <v>0</v>
      </c>
      <c r="RXJ15" s="63">
        <f t="shared" si="201"/>
        <v>0</v>
      </c>
      <c r="RXK15" s="63">
        <f t="shared" si="201"/>
        <v>0</v>
      </c>
      <c r="RXL15" s="63">
        <f t="shared" ref="RXL15:RZW15" si="202">RXK18</f>
        <v>0</v>
      </c>
      <c r="RXM15" s="63">
        <f t="shared" si="202"/>
        <v>0</v>
      </c>
      <c r="RXN15" s="63">
        <f t="shared" si="202"/>
        <v>0</v>
      </c>
      <c r="RXO15" s="63">
        <f t="shared" si="202"/>
        <v>0</v>
      </c>
      <c r="RXP15" s="63">
        <f t="shared" si="202"/>
        <v>0</v>
      </c>
      <c r="RXQ15" s="63">
        <f t="shared" si="202"/>
        <v>0</v>
      </c>
      <c r="RXR15" s="63">
        <f t="shared" si="202"/>
        <v>0</v>
      </c>
      <c r="RXS15" s="63">
        <f t="shared" si="202"/>
        <v>0</v>
      </c>
      <c r="RXT15" s="63">
        <f t="shared" si="202"/>
        <v>0</v>
      </c>
      <c r="RXU15" s="63">
        <f t="shared" si="202"/>
        <v>0</v>
      </c>
      <c r="RXV15" s="63">
        <f t="shared" si="202"/>
        <v>0</v>
      </c>
      <c r="RXW15" s="63">
        <f t="shared" si="202"/>
        <v>0</v>
      </c>
      <c r="RXX15" s="63">
        <f t="shared" si="202"/>
        <v>0</v>
      </c>
      <c r="RXY15" s="63">
        <f t="shared" si="202"/>
        <v>0</v>
      </c>
      <c r="RXZ15" s="63">
        <f t="shared" si="202"/>
        <v>0</v>
      </c>
      <c r="RYA15" s="63">
        <f t="shared" si="202"/>
        <v>0</v>
      </c>
      <c r="RYB15" s="63">
        <f t="shared" si="202"/>
        <v>0</v>
      </c>
      <c r="RYC15" s="63">
        <f t="shared" si="202"/>
        <v>0</v>
      </c>
      <c r="RYD15" s="63">
        <f t="shared" si="202"/>
        <v>0</v>
      </c>
      <c r="RYE15" s="63">
        <f t="shared" si="202"/>
        <v>0</v>
      </c>
      <c r="RYF15" s="63">
        <f t="shared" si="202"/>
        <v>0</v>
      </c>
      <c r="RYG15" s="63">
        <f t="shared" si="202"/>
        <v>0</v>
      </c>
      <c r="RYH15" s="63">
        <f t="shared" si="202"/>
        <v>0</v>
      </c>
      <c r="RYI15" s="63">
        <f t="shared" si="202"/>
        <v>0</v>
      </c>
      <c r="RYJ15" s="63">
        <f t="shared" si="202"/>
        <v>0</v>
      </c>
      <c r="RYK15" s="63">
        <f t="shared" si="202"/>
        <v>0</v>
      </c>
      <c r="RYL15" s="63">
        <f t="shared" si="202"/>
        <v>0</v>
      </c>
      <c r="RYM15" s="63">
        <f t="shared" si="202"/>
        <v>0</v>
      </c>
      <c r="RYN15" s="63">
        <f t="shared" si="202"/>
        <v>0</v>
      </c>
      <c r="RYO15" s="63">
        <f t="shared" si="202"/>
        <v>0</v>
      </c>
      <c r="RYP15" s="63">
        <f t="shared" si="202"/>
        <v>0</v>
      </c>
      <c r="RYQ15" s="63">
        <f t="shared" si="202"/>
        <v>0</v>
      </c>
      <c r="RYR15" s="63">
        <f t="shared" si="202"/>
        <v>0</v>
      </c>
      <c r="RYS15" s="63">
        <f t="shared" si="202"/>
        <v>0</v>
      </c>
      <c r="RYT15" s="63">
        <f t="shared" si="202"/>
        <v>0</v>
      </c>
      <c r="RYU15" s="63">
        <f t="shared" si="202"/>
        <v>0</v>
      </c>
      <c r="RYV15" s="63">
        <f t="shared" si="202"/>
        <v>0</v>
      </c>
      <c r="RYW15" s="63">
        <f t="shared" si="202"/>
        <v>0</v>
      </c>
      <c r="RYX15" s="63">
        <f t="shared" si="202"/>
        <v>0</v>
      </c>
      <c r="RYY15" s="63">
        <f t="shared" si="202"/>
        <v>0</v>
      </c>
      <c r="RYZ15" s="63">
        <f t="shared" si="202"/>
        <v>0</v>
      </c>
      <c r="RZA15" s="63">
        <f t="shared" si="202"/>
        <v>0</v>
      </c>
      <c r="RZB15" s="63">
        <f t="shared" si="202"/>
        <v>0</v>
      </c>
      <c r="RZC15" s="63">
        <f t="shared" si="202"/>
        <v>0</v>
      </c>
      <c r="RZD15" s="63">
        <f t="shared" si="202"/>
        <v>0</v>
      </c>
      <c r="RZE15" s="63">
        <f t="shared" si="202"/>
        <v>0</v>
      </c>
      <c r="RZF15" s="63">
        <f t="shared" si="202"/>
        <v>0</v>
      </c>
      <c r="RZG15" s="63">
        <f t="shared" si="202"/>
        <v>0</v>
      </c>
      <c r="RZH15" s="63">
        <f t="shared" si="202"/>
        <v>0</v>
      </c>
      <c r="RZI15" s="63">
        <f t="shared" si="202"/>
        <v>0</v>
      </c>
      <c r="RZJ15" s="63">
        <f t="shared" si="202"/>
        <v>0</v>
      </c>
      <c r="RZK15" s="63">
        <f t="shared" si="202"/>
        <v>0</v>
      </c>
      <c r="RZL15" s="63">
        <f t="shared" si="202"/>
        <v>0</v>
      </c>
      <c r="RZM15" s="63">
        <f t="shared" si="202"/>
        <v>0</v>
      </c>
      <c r="RZN15" s="63">
        <f t="shared" si="202"/>
        <v>0</v>
      </c>
      <c r="RZO15" s="63">
        <f t="shared" si="202"/>
        <v>0</v>
      </c>
      <c r="RZP15" s="63">
        <f t="shared" si="202"/>
        <v>0</v>
      </c>
      <c r="RZQ15" s="63">
        <f t="shared" si="202"/>
        <v>0</v>
      </c>
      <c r="RZR15" s="63">
        <f t="shared" si="202"/>
        <v>0</v>
      </c>
      <c r="RZS15" s="63">
        <f t="shared" si="202"/>
        <v>0</v>
      </c>
      <c r="RZT15" s="63">
        <f t="shared" si="202"/>
        <v>0</v>
      </c>
      <c r="RZU15" s="63">
        <f t="shared" si="202"/>
        <v>0</v>
      </c>
      <c r="RZV15" s="63">
        <f t="shared" si="202"/>
        <v>0</v>
      </c>
      <c r="RZW15" s="63">
        <f t="shared" si="202"/>
        <v>0</v>
      </c>
      <c r="RZX15" s="63">
        <f t="shared" ref="RZX15:SCI15" si="203">RZW18</f>
        <v>0</v>
      </c>
      <c r="RZY15" s="63">
        <f t="shared" si="203"/>
        <v>0</v>
      </c>
      <c r="RZZ15" s="63">
        <f t="shared" si="203"/>
        <v>0</v>
      </c>
      <c r="SAA15" s="63">
        <f t="shared" si="203"/>
        <v>0</v>
      </c>
      <c r="SAB15" s="63">
        <f t="shared" si="203"/>
        <v>0</v>
      </c>
      <c r="SAC15" s="63">
        <f t="shared" si="203"/>
        <v>0</v>
      </c>
      <c r="SAD15" s="63">
        <f t="shared" si="203"/>
        <v>0</v>
      </c>
      <c r="SAE15" s="63">
        <f t="shared" si="203"/>
        <v>0</v>
      </c>
      <c r="SAF15" s="63">
        <f t="shared" si="203"/>
        <v>0</v>
      </c>
      <c r="SAG15" s="63">
        <f t="shared" si="203"/>
        <v>0</v>
      </c>
      <c r="SAH15" s="63">
        <f t="shared" si="203"/>
        <v>0</v>
      </c>
      <c r="SAI15" s="63">
        <f t="shared" si="203"/>
        <v>0</v>
      </c>
      <c r="SAJ15" s="63">
        <f t="shared" si="203"/>
        <v>0</v>
      </c>
      <c r="SAK15" s="63">
        <f t="shared" si="203"/>
        <v>0</v>
      </c>
      <c r="SAL15" s="63">
        <f t="shared" si="203"/>
        <v>0</v>
      </c>
      <c r="SAM15" s="63">
        <f t="shared" si="203"/>
        <v>0</v>
      </c>
      <c r="SAN15" s="63">
        <f t="shared" si="203"/>
        <v>0</v>
      </c>
      <c r="SAO15" s="63">
        <f t="shared" si="203"/>
        <v>0</v>
      </c>
      <c r="SAP15" s="63">
        <f t="shared" si="203"/>
        <v>0</v>
      </c>
      <c r="SAQ15" s="63">
        <f t="shared" si="203"/>
        <v>0</v>
      </c>
      <c r="SAR15" s="63">
        <f t="shared" si="203"/>
        <v>0</v>
      </c>
      <c r="SAS15" s="63">
        <f t="shared" si="203"/>
        <v>0</v>
      </c>
      <c r="SAT15" s="63">
        <f t="shared" si="203"/>
        <v>0</v>
      </c>
      <c r="SAU15" s="63">
        <f t="shared" si="203"/>
        <v>0</v>
      </c>
      <c r="SAV15" s="63">
        <f t="shared" si="203"/>
        <v>0</v>
      </c>
      <c r="SAW15" s="63">
        <f t="shared" si="203"/>
        <v>0</v>
      </c>
      <c r="SAX15" s="63">
        <f t="shared" si="203"/>
        <v>0</v>
      </c>
      <c r="SAY15" s="63">
        <f t="shared" si="203"/>
        <v>0</v>
      </c>
      <c r="SAZ15" s="63">
        <f t="shared" si="203"/>
        <v>0</v>
      </c>
      <c r="SBA15" s="63">
        <f t="shared" si="203"/>
        <v>0</v>
      </c>
      <c r="SBB15" s="63">
        <f t="shared" si="203"/>
        <v>0</v>
      </c>
      <c r="SBC15" s="63">
        <f t="shared" si="203"/>
        <v>0</v>
      </c>
      <c r="SBD15" s="63">
        <f t="shared" si="203"/>
        <v>0</v>
      </c>
      <c r="SBE15" s="63">
        <f t="shared" si="203"/>
        <v>0</v>
      </c>
      <c r="SBF15" s="63">
        <f t="shared" si="203"/>
        <v>0</v>
      </c>
      <c r="SBG15" s="63">
        <f t="shared" si="203"/>
        <v>0</v>
      </c>
      <c r="SBH15" s="63">
        <f t="shared" si="203"/>
        <v>0</v>
      </c>
      <c r="SBI15" s="63">
        <f t="shared" si="203"/>
        <v>0</v>
      </c>
      <c r="SBJ15" s="63">
        <f t="shared" si="203"/>
        <v>0</v>
      </c>
      <c r="SBK15" s="63">
        <f t="shared" si="203"/>
        <v>0</v>
      </c>
      <c r="SBL15" s="63">
        <f t="shared" si="203"/>
        <v>0</v>
      </c>
      <c r="SBM15" s="63">
        <f t="shared" si="203"/>
        <v>0</v>
      </c>
      <c r="SBN15" s="63">
        <f t="shared" si="203"/>
        <v>0</v>
      </c>
      <c r="SBO15" s="63">
        <f t="shared" si="203"/>
        <v>0</v>
      </c>
      <c r="SBP15" s="63">
        <f t="shared" si="203"/>
        <v>0</v>
      </c>
      <c r="SBQ15" s="63">
        <f t="shared" si="203"/>
        <v>0</v>
      </c>
      <c r="SBR15" s="63">
        <f t="shared" si="203"/>
        <v>0</v>
      </c>
      <c r="SBS15" s="63">
        <f t="shared" si="203"/>
        <v>0</v>
      </c>
      <c r="SBT15" s="63">
        <f t="shared" si="203"/>
        <v>0</v>
      </c>
      <c r="SBU15" s="63">
        <f t="shared" si="203"/>
        <v>0</v>
      </c>
      <c r="SBV15" s="63">
        <f t="shared" si="203"/>
        <v>0</v>
      </c>
      <c r="SBW15" s="63">
        <f t="shared" si="203"/>
        <v>0</v>
      </c>
      <c r="SBX15" s="63">
        <f t="shared" si="203"/>
        <v>0</v>
      </c>
      <c r="SBY15" s="63">
        <f t="shared" si="203"/>
        <v>0</v>
      </c>
      <c r="SBZ15" s="63">
        <f t="shared" si="203"/>
        <v>0</v>
      </c>
      <c r="SCA15" s="63">
        <f t="shared" si="203"/>
        <v>0</v>
      </c>
      <c r="SCB15" s="63">
        <f t="shared" si="203"/>
        <v>0</v>
      </c>
      <c r="SCC15" s="63">
        <f t="shared" si="203"/>
        <v>0</v>
      </c>
      <c r="SCD15" s="63">
        <f t="shared" si="203"/>
        <v>0</v>
      </c>
      <c r="SCE15" s="63">
        <f t="shared" si="203"/>
        <v>0</v>
      </c>
      <c r="SCF15" s="63">
        <f t="shared" si="203"/>
        <v>0</v>
      </c>
      <c r="SCG15" s="63">
        <f t="shared" si="203"/>
        <v>0</v>
      </c>
      <c r="SCH15" s="63">
        <f t="shared" si="203"/>
        <v>0</v>
      </c>
      <c r="SCI15" s="63">
        <f t="shared" si="203"/>
        <v>0</v>
      </c>
      <c r="SCJ15" s="63">
        <f t="shared" ref="SCJ15:SEU15" si="204">SCI18</f>
        <v>0</v>
      </c>
      <c r="SCK15" s="63">
        <f t="shared" si="204"/>
        <v>0</v>
      </c>
      <c r="SCL15" s="63">
        <f t="shared" si="204"/>
        <v>0</v>
      </c>
      <c r="SCM15" s="63">
        <f t="shared" si="204"/>
        <v>0</v>
      </c>
      <c r="SCN15" s="63">
        <f t="shared" si="204"/>
        <v>0</v>
      </c>
      <c r="SCO15" s="63">
        <f t="shared" si="204"/>
        <v>0</v>
      </c>
      <c r="SCP15" s="63">
        <f t="shared" si="204"/>
        <v>0</v>
      </c>
      <c r="SCQ15" s="63">
        <f t="shared" si="204"/>
        <v>0</v>
      </c>
      <c r="SCR15" s="63">
        <f t="shared" si="204"/>
        <v>0</v>
      </c>
      <c r="SCS15" s="63">
        <f t="shared" si="204"/>
        <v>0</v>
      </c>
      <c r="SCT15" s="63">
        <f t="shared" si="204"/>
        <v>0</v>
      </c>
      <c r="SCU15" s="63">
        <f t="shared" si="204"/>
        <v>0</v>
      </c>
      <c r="SCV15" s="63">
        <f t="shared" si="204"/>
        <v>0</v>
      </c>
      <c r="SCW15" s="63">
        <f t="shared" si="204"/>
        <v>0</v>
      </c>
      <c r="SCX15" s="63">
        <f t="shared" si="204"/>
        <v>0</v>
      </c>
      <c r="SCY15" s="63">
        <f t="shared" si="204"/>
        <v>0</v>
      </c>
      <c r="SCZ15" s="63">
        <f t="shared" si="204"/>
        <v>0</v>
      </c>
      <c r="SDA15" s="63">
        <f t="shared" si="204"/>
        <v>0</v>
      </c>
      <c r="SDB15" s="63">
        <f t="shared" si="204"/>
        <v>0</v>
      </c>
      <c r="SDC15" s="63">
        <f t="shared" si="204"/>
        <v>0</v>
      </c>
      <c r="SDD15" s="63">
        <f t="shared" si="204"/>
        <v>0</v>
      </c>
      <c r="SDE15" s="63">
        <f t="shared" si="204"/>
        <v>0</v>
      </c>
      <c r="SDF15" s="63">
        <f t="shared" si="204"/>
        <v>0</v>
      </c>
      <c r="SDG15" s="63">
        <f t="shared" si="204"/>
        <v>0</v>
      </c>
      <c r="SDH15" s="63">
        <f t="shared" si="204"/>
        <v>0</v>
      </c>
      <c r="SDI15" s="63">
        <f t="shared" si="204"/>
        <v>0</v>
      </c>
      <c r="SDJ15" s="63">
        <f t="shared" si="204"/>
        <v>0</v>
      </c>
      <c r="SDK15" s="63">
        <f t="shared" si="204"/>
        <v>0</v>
      </c>
      <c r="SDL15" s="63">
        <f t="shared" si="204"/>
        <v>0</v>
      </c>
      <c r="SDM15" s="63">
        <f t="shared" si="204"/>
        <v>0</v>
      </c>
      <c r="SDN15" s="63">
        <f t="shared" si="204"/>
        <v>0</v>
      </c>
      <c r="SDO15" s="63">
        <f t="shared" si="204"/>
        <v>0</v>
      </c>
      <c r="SDP15" s="63">
        <f t="shared" si="204"/>
        <v>0</v>
      </c>
      <c r="SDQ15" s="63">
        <f t="shared" si="204"/>
        <v>0</v>
      </c>
      <c r="SDR15" s="63">
        <f t="shared" si="204"/>
        <v>0</v>
      </c>
      <c r="SDS15" s="63">
        <f t="shared" si="204"/>
        <v>0</v>
      </c>
      <c r="SDT15" s="63">
        <f t="shared" si="204"/>
        <v>0</v>
      </c>
      <c r="SDU15" s="63">
        <f t="shared" si="204"/>
        <v>0</v>
      </c>
      <c r="SDV15" s="63">
        <f t="shared" si="204"/>
        <v>0</v>
      </c>
      <c r="SDW15" s="63">
        <f t="shared" si="204"/>
        <v>0</v>
      </c>
      <c r="SDX15" s="63">
        <f t="shared" si="204"/>
        <v>0</v>
      </c>
      <c r="SDY15" s="63">
        <f t="shared" si="204"/>
        <v>0</v>
      </c>
      <c r="SDZ15" s="63">
        <f t="shared" si="204"/>
        <v>0</v>
      </c>
      <c r="SEA15" s="63">
        <f t="shared" si="204"/>
        <v>0</v>
      </c>
      <c r="SEB15" s="63">
        <f t="shared" si="204"/>
        <v>0</v>
      </c>
      <c r="SEC15" s="63">
        <f t="shared" si="204"/>
        <v>0</v>
      </c>
      <c r="SED15" s="63">
        <f t="shared" si="204"/>
        <v>0</v>
      </c>
      <c r="SEE15" s="63">
        <f t="shared" si="204"/>
        <v>0</v>
      </c>
      <c r="SEF15" s="63">
        <f t="shared" si="204"/>
        <v>0</v>
      </c>
      <c r="SEG15" s="63">
        <f t="shared" si="204"/>
        <v>0</v>
      </c>
      <c r="SEH15" s="63">
        <f t="shared" si="204"/>
        <v>0</v>
      </c>
      <c r="SEI15" s="63">
        <f t="shared" si="204"/>
        <v>0</v>
      </c>
      <c r="SEJ15" s="63">
        <f t="shared" si="204"/>
        <v>0</v>
      </c>
      <c r="SEK15" s="63">
        <f t="shared" si="204"/>
        <v>0</v>
      </c>
      <c r="SEL15" s="63">
        <f t="shared" si="204"/>
        <v>0</v>
      </c>
      <c r="SEM15" s="63">
        <f t="shared" si="204"/>
        <v>0</v>
      </c>
      <c r="SEN15" s="63">
        <f t="shared" si="204"/>
        <v>0</v>
      </c>
      <c r="SEO15" s="63">
        <f t="shared" si="204"/>
        <v>0</v>
      </c>
      <c r="SEP15" s="63">
        <f t="shared" si="204"/>
        <v>0</v>
      </c>
      <c r="SEQ15" s="63">
        <f t="shared" si="204"/>
        <v>0</v>
      </c>
      <c r="SER15" s="63">
        <f t="shared" si="204"/>
        <v>0</v>
      </c>
      <c r="SES15" s="63">
        <f t="shared" si="204"/>
        <v>0</v>
      </c>
      <c r="SET15" s="63">
        <f t="shared" si="204"/>
        <v>0</v>
      </c>
      <c r="SEU15" s="63">
        <f t="shared" si="204"/>
        <v>0</v>
      </c>
      <c r="SEV15" s="63">
        <f t="shared" ref="SEV15:SHG15" si="205">SEU18</f>
        <v>0</v>
      </c>
      <c r="SEW15" s="63">
        <f t="shared" si="205"/>
        <v>0</v>
      </c>
      <c r="SEX15" s="63">
        <f t="shared" si="205"/>
        <v>0</v>
      </c>
      <c r="SEY15" s="63">
        <f t="shared" si="205"/>
        <v>0</v>
      </c>
      <c r="SEZ15" s="63">
        <f t="shared" si="205"/>
        <v>0</v>
      </c>
      <c r="SFA15" s="63">
        <f t="shared" si="205"/>
        <v>0</v>
      </c>
      <c r="SFB15" s="63">
        <f t="shared" si="205"/>
        <v>0</v>
      </c>
      <c r="SFC15" s="63">
        <f t="shared" si="205"/>
        <v>0</v>
      </c>
      <c r="SFD15" s="63">
        <f t="shared" si="205"/>
        <v>0</v>
      </c>
      <c r="SFE15" s="63">
        <f t="shared" si="205"/>
        <v>0</v>
      </c>
      <c r="SFF15" s="63">
        <f t="shared" si="205"/>
        <v>0</v>
      </c>
      <c r="SFG15" s="63">
        <f t="shared" si="205"/>
        <v>0</v>
      </c>
      <c r="SFH15" s="63">
        <f t="shared" si="205"/>
        <v>0</v>
      </c>
      <c r="SFI15" s="63">
        <f t="shared" si="205"/>
        <v>0</v>
      </c>
      <c r="SFJ15" s="63">
        <f t="shared" si="205"/>
        <v>0</v>
      </c>
      <c r="SFK15" s="63">
        <f t="shared" si="205"/>
        <v>0</v>
      </c>
      <c r="SFL15" s="63">
        <f t="shared" si="205"/>
        <v>0</v>
      </c>
      <c r="SFM15" s="63">
        <f t="shared" si="205"/>
        <v>0</v>
      </c>
      <c r="SFN15" s="63">
        <f t="shared" si="205"/>
        <v>0</v>
      </c>
      <c r="SFO15" s="63">
        <f t="shared" si="205"/>
        <v>0</v>
      </c>
      <c r="SFP15" s="63">
        <f t="shared" si="205"/>
        <v>0</v>
      </c>
      <c r="SFQ15" s="63">
        <f t="shared" si="205"/>
        <v>0</v>
      </c>
      <c r="SFR15" s="63">
        <f t="shared" si="205"/>
        <v>0</v>
      </c>
      <c r="SFS15" s="63">
        <f t="shared" si="205"/>
        <v>0</v>
      </c>
      <c r="SFT15" s="63">
        <f t="shared" si="205"/>
        <v>0</v>
      </c>
      <c r="SFU15" s="63">
        <f t="shared" si="205"/>
        <v>0</v>
      </c>
      <c r="SFV15" s="63">
        <f t="shared" si="205"/>
        <v>0</v>
      </c>
      <c r="SFW15" s="63">
        <f t="shared" si="205"/>
        <v>0</v>
      </c>
      <c r="SFX15" s="63">
        <f t="shared" si="205"/>
        <v>0</v>
      </c>
      <c r="SFY15" s="63">
        <f t="shared" si="205"/>
        <v>0</v>
      </c>
      <c r="SFZ15" s="63">
        <f t="shared" si="205"/>
        <v>0</v>
      </c>
      <c r="SGA15" s="63">
        <f t="shared" si="205"/>
        <v>0</v>
      </c>
      <c r="SGB15" s="63">
        <f t="shared" si="205"/>
        <v>0</v>
      </c>
      <c r="SGC15" s="63">
        <f t="shared" si="205"/>
        <v>0</v>
      </c>
      <c r="SGD15" s="63">
        <f t="shared" si="205"/>
        <v>0</v>
      </c>
      <c r="SGE15" s="63">
        <f t="shared" si="205"/>
        <v>0</v>
      </c>
      <c r="SGF15" s="63">
        <f t="shared" si="205"/>
        <v>0</v>
      </c>
      <c r="SGG15" s="63">
        <f t="shared" si="205"/>
        <v>0</v>
      </c>
      <c r="SGH15" s="63">
        <f t="shared" si="205"/>
        <v>0</v>
      </c>
      <c r="SGI15" s="63">
        <f t="shared" si="205"/>
        <v>0</v>
      </c>
      <c r="SGJ15" s="63">
        <f t="shared" si="205"/>
        <v>0</v>
      </c>
      <c r="SGK15" s="63">
        <f t="shared" si="205"/>
        <v>0</v>
      </c>
      <c r="SGL15" s="63">
        <f t="shared" si="205"/>
        <v>0</v>
      </c>
      <c r="SGM15" s="63">
        <f t="shared" si="205"/>
        <v>0</v>
      </c>
      <c r="SGN15" s="63">
        <f t="shared" si="205"/>
        <v>0</v>
      </c>
      <c r="SGO15" s="63">
        <f t="shared" si="205"/>
        <v>0</v>
      </c>
      <c r="SGP15" s="63">
        <f t="shared" si="205"/>
        <v>0</v>
      </c>
      <c r="SGQ15" s="63">
        <f t="shared" si="205"/>
        <v>0</v>
      </c>
      <c r="SGR15" s="63">
        <f t="shared" si="205"/>
        <v>0</v>
      </c>
      <c r="SGS15" s="63">
        <f t="shared" si="205"/>
        <v>0</v>
      </c>
      <c r="SGT15" s="63">
        <f t="shared" si="205"/>
        <v>0</v>
      </c>
      <c r="SGU15" s="63">
        <f t="shared" si="205"/>
        <v>0</v>
      </c>
      <c r="SGV15" s="63">
        <f t="shared" si="205"/>
        <v>0</v>
      </c>
      <c r="SGW15" s="63">
        <f t="shared" si="205"/>
        <v>0</v>
      </c>
      <c r="SGX15" s="63">
        <f t="shared" si="205"/>
        <v>0</v>
      </c>
      <c r="SGY15" s="63">
        <f t="shared" si="205"/>
        <v>0</v>
      </c>
      <c r="SGZ15" s="63">
        <f t="shared" si="205"/>
        <v>0</v>
      </c>
      <c r="SHA15" s="63">
        <f t="shared" si="205"/>
        <v>0</v>
      </c>
      <c r="SHB15" s="63">
        <f t="shared" si="205"/>
        <v>0</v>
      </c>
      <c r="SHC15" s="63">
        <f t="shared" si="205"/>
        <v>0</v>
      </c>
      <c r="SHD15" s="63">
        <f t="shared" si="205"/>
        <v>0</v>
      </c>
      <c r="SHE15" s="63">
        <f t="shared" si="205"/>
        <v>0</v>
      </c>
      <c r="SHF15" s="63">
        <f t="shared" si="205"/>
        <v>0</v>
      </c>
      <c r="SHG15" s="63">
        <f t="shared" si="205"/>
        <v>0</v>
      </c>
      <c r="SHH15" s="63">
        <f t="shared" ref="SHH15:SJS15" si="206">SHG18</f>
        <v>0</v>
      </c>
      <c r="SHI15" s="63">
        <f t="shared" si="206"/>
        <v>0</v>
      </c>
      <c r="SHJ15" s="63">
        <f t="shared" si="206"/>
        <v>0</v>
      </c>
      <c r="SHK15" s="63">
        <f t="shared" si="206"/>
        <v>0</v>
      </c>
      <c r="SHL15" s="63">
        <f t="shared" si="206"/>
        <v>0</v>
      </c>
      <c r="SHM15" s="63">
        <f t="shared" si="206"/>
        <v>0</v>
      </c>
      <c r="SHN15" s="63">
        <f t="shared" si="206"/>
        <v>0</v>
      </c>
      <c r="SHO15" s="63">
        <f t="shared" si="206"/>
        <v>0</v>
      </c>
      <c r="SHP15" s="63">
        <f t="shared" si="206"/>
        <v>0</v>
      </c>
      <c r="SHQ15" s="63">
        <f t="shared" si="206"/>
        <v>0</v>
      </c>
      <c r="SHR15" s="63">
        <f t="shared" si="206"/>
        <v>0</v>
      </c>
      <c r="SHS15" s="63">
        <f t="shared" si="206"/>
        <v>0</v>
      </c>
      <c r="SHT15" s="63">
        <f t="shared" si="206"/>
        <v>0</v>
      </c>
      <c r="SHU15" s="63">
        <f t="shared" si="206"/>
        <v>0</v>
      </c>
      <c r="SHV15" s="63">
        <f t="shared" si="206"/>
        <v>0</v>
      </c>
      <c r="SHW15" s="63">
        <f t="shared" si="206"/>
        <v>0</v>
      </c>
      <c r="SHX15" s="63">
        <f t="shared" si="206"/>
        <v>0</v>
      </c>
      <c r="SHY15" s="63">
        <f t="shared" si="206"/>
        <v>0</v>
      </c>
      <c r="SHZ15" s="63">
        <f t="shared" si="206"/>
        <v>0</v>
      </c>
      <c r="SIA15" s="63">
        <f t="shared" si="206"/>
        <v>0</v>
      </c>
      <c r="SIB15" s="63">
        <f t="shared" si="206"/>
        <v>0</v>
      </c>
      <c r="SIC15" s="63">
        <f t="shared" si="206"/>
        <v>0</v>
      </c>
      <c r="SID15" s="63">
        <f t="shared" si="206"/>
        <v>0</v>
      </c>
      <c r="SIE15" s="63">
        <f t="shared" si="206"/>
        <v>0</v>
      </c>
      <c r="SIF15" s="63">
        <f t="shared" si="206"/>
        <v>0</v>
      </c>
      <c r="SIG15" s="63">
        <f t="shared" si="206"/>
        <v>0</v>
      </c>
      <c r="SIH15" s="63">
        <f t="shared" si="206"/>
        <v>0</v>
      </c>
      <c r="SII15" s="63">
        <f t="shared" si="206"/>
        <v>0</v>
      </c>
      <c r="SIJ15" s="63">
        <f t="shared" si="206"/>
        <v>0</v>
      </c>
      <c r="SIK15" s="63">
        <f t="shared" si="206"/>
        <v>0</v>
      </c>
      <c r="SIL15" s="63">
        <f t="shared" si="206"/>
        <v>0</v>
      </c>
      <c r="SIM15" s="63">
        <f t="shared" si="206"/>
        <v>0</v>
      </c>
      <c r="SIN15" s="63">
        <f t="shared" si="206"/>
        <v>0</v>
      </c>
      <c r="SIO15" s="63">
        <f t="shared" si="206"/>
        <v>0</v>
      </c>
      <c r="SIP15" s="63">
        <f t="shared" si="206"/>
        <v>0</v>
      </c>
      <c r="SIQ15" s="63">
        <f t="shared" si="206"/>
        <v>0</v>
      </c>
      <c r="SIR15" s="63">
        <f t="shared" si="206"/>
        <v>0</v>
      </c>
      <c r="SIS15" s="63">
        <f t="shared" si="206"/>
        <v>0</v>
      </c>
      <c r="SIT15" s="63">
        <f t="shared" si="206"/>
        <v>0</v>
      </c>
      <c r="SIU15" s="63">
        <f t="shared" si="206"/>
        <v>0</v>
      </c>
      <c r="SIV15" s="63">
        <f t="shared" si="206"/>
        <v>0</v>
      </c>
      <c r="SIW15" s="63">
        <f t="shared" si="206"/>
        <v>0</v>
      </c>
      <c r="SIX15" s="63">
        <f t="shared" si="206"/>
        <v>0</v>
      </c>
      <c r="SIY15" s="63">
        <f t="shared" si="206"/>
        <v>0</v>
      </c>
      <c r="SIZ15" s="63">
        <f t="shared" si="206"/>
        <v>0</v>
      </c>
      <c r="SJA15" s="63">
        <f t="shared" si="206"/>
        <v>0</v>
      </c>
      <c r="SJB15" s="63">
        <f t="shared" si="206"/>
        <v>0</v>
      </c>
      <c r="SJC15" s="63">
        <f t="shared" si="206"/>
        <v>0</v>
      </c>
      <c r="SJD15" s="63">
        <f t="shared" si="206"/>
        <v>0</v>
      </c>
      <c r="SJE15" s="63">
        <f t="shared" si="206"/>
        <v>0</v>
      </c>
      <c r="SJF15" s="63">
        <f t="shared" si="206"/>
        <v>0</v>
      </c>
      <c r="SJG15" s="63">
        <f t="shared" si="206"/>
        <v>0</v>
      </c>
      <c r="SJH15" s="63">
        <f t="shared" si="206"/>
        <v>0</v>
      </c>
      <c r="SJI15" s="63">
        <f t="shared" si="206"/>
        <v>0</v>
      </c>
      <c r="SJJ15" s="63">
        <f t="shared" si="206"/>
        <v>0</v>
      </c>
      <c r="SJK15" s="63">
        <f t="shared" si="206"/>
        <v>0</v>
      </c>
      <c r="SJL15" s="63">
        <f t="shared" si="206"/>
        <v>0</v>
      </c>
      <c r="SJM15" s="63">
        <f t="shared" si="206"/>
        <v>0</v>
      </c>
      <c r="SJN15" s="63">
        <f t="shared" si="206"/>
        <v>0</v>
      </c>
      <c r="SJO15" s="63">
        <f t="shared" si="206"/>
        <v>0</v>
      </c>
      <c r="SJP15" s="63">
        <f t="shared" si="206"/>
        <v>0</v>
      </c>
      <c r="SJQ15" s="63">
        <f t="shared" si="206"/>
        <v>0</v>
      </c>
      <c r="SJR15" s="63">
        <f t="shared" si="206"/>
        <v>0</v>
      </c>
      <c r="SJS15" s="63">
        <f t="shared" si="206"/>
        <v>0</v>
      </c>
      <c r="SJT15" s="63">
        <f t="shared" ref="SJT15:SME15" si="207">SJS18</f>
        <v>0</v>
      </c>
      <c r="SJU15" s="63">
        <f t="shared" si="207"/>
        <v>0</v>
      </c>
      <c r="SJV15" s="63">
        <f t="shared" si="207"/>
        <v>0</v>
      </c>
      <c r="SJW15" s="63">
        <f t="shared" si="207"/>
        <v>0</v>
      </c>
      <c r="SJX15" s="63">
        <f t="shared" si="207"/>
        <v>0</v>
      </c>
      <c r="SJY15" s="63">
        <f t="shared" si="207"/>
        <v>0</v>
      </c>
      <c r="SJZ15" s="63">
        <f t="shared" si="207"/>
        <v>0</v>
      </c>
      <c r="SKA15" s="63">
        <f t="shared" si="207"/>
        <v>0</v>
      </c>
      <c r="SKB15" s="63">
        <f t="shared" si="207"/>
        <v>0</v>
      </c>
      <c r="SKC15" s="63">
        <f t="shared" si="207"/>
        <v>0</v>
      </c>
      <c r="SKD15" s="63">
        <f t="shared" si="207"/>
        <v>0</v>
      </c>
      <c r="SKE15" s="63">
        <f t="shared" si="207"/>
        <v>0</v>
      </c>
      <c r="SKF15" s="63">
        <f t="shared" si="207"/>
        <v>0</v>
      </c>
      <c r="SKG15" s="63">
        <f t="shared" si="207"/>
        <v>0</v>
      </c>
      <c r="SKH15" s="63">
        <f t="shared" si="207"/>
        <v>0</v>
      </c>
      <c r="SKI15" s="63">
        <f t="shared" si="207"/>
        <v>0</v>
      </c>
      <c r="SKJ15" s="63">
        <f t="shared" si="207"/>
        <v>0</v>
      </c>
      <c r="SKK15" s="63">
        <f t="shared" si="207"/>
        <v>0</v>
      </c>
      <c r="SKL15" s="63">
        <f t="shared" si="207"/>
        <v>0</v>
      </c>
      <c r="SKM15" s="63">
        <f t="shared" si="207"/>
        <v>0</v>
      </c>
      <c r="SKN15" s="63">
        <f t="shared" si="207"/>
        <v>0</v>
      </c>
      <c r="SKO15" s="63">
        <f t="shared" si="207"/>
        <v>0</v>
      </c>
      <c r="SKP15" s="63">
        <f t="shared" si="207"/>
        <v>0</v>
      </c>
      <c r="SKQ15" s="63">
        <f t="shared" si="207"/>
        <v>0</v>
      </c>
      <c r="SKR15" s="63">
        <f t="shared" si="207"/>
        <v>0</v>
      </c>
      <c r="SKS15" s="63">
        <f t="shared" si="207"/>
        <v>0</v>
      </c>
      <c r="SKT15" s="63">
        <f t="shared" si="207"/>
        <v>0</v>
      </c>
      <c r="SKU15" s="63">
        <f t="shared" si="207"/>
        <v>0</v>
      </c>
      <c r="SKV15" s="63">
        <f t="shared" si="207"/>
        <v>0</v>
      </c>
      <c r="SKW15" s="63">
        <f t="shared" si="207"/>
        <v>0</v>
      </c>
      <c r="SKX15" s="63">
        <f t="shared" si="207"/>
        <v>0</v>
      </c>
      <c r="SKY15" s="63">
        <f t="shared" si="207"/>
        <v>0</v>
      </c>
      <c r="SKZ15" s="63">
        <f t="shared" si="207"/>
        <v>0</v>
      </c>
      <c r="SLA15" s="63">
        <f t="shared" si="207"/>
        <v>0</v>
      </c>
      <c r="SLB15" s="63">
        <f t="shared" si="207"/>
        <v>0</v>
      </c>
      <c r="SLC15" s="63">
        <f t="shared" si="207"/>
        <v>0</v>
      </c>
      <c r="SLD15" s="63">
        <f t="shared" si="207"/>
        <v>0</v>
      </c>
      <c r="SLE15" s="63">
        <f t="shared" si="207"/>
        <v>0</v>
      </c>
      <c r="SLF15" s="63">
        <f t="shared" si="207"/>
        <v>0</v>
      </c>
      <c r="SLG15" s="63">
        <f t="shared" si="207"/>
        <v>0</v>
      </c>
      <c r="SLH15" s="63">
        <f t="shared" si="207"/>
        <v>0</v>
      </c>
      <c r="SLI15" s="63">
        <f t="shared" si="207"/>
        <v>0</v>
      </c>
      <c r="SLJ15" s="63">
        <f t="shared" si="207"/>
        <v>0</v>
      </c>
      <c r="SLK15" s="63">
        <f t="shared" si="207"/>
        <v>0</v>
      </c>
      <c r="SLL15" s="63">
        <f t="shared" si="207"/>
        <v>0</v>
      </c>
      <c r="SLM15" s="63">
        <f t="shared" si="207"/>
        <v>0</v>
      </c>
      <c r="SLN15" s="63">
        <f t="shared" si="207"/>
        <v>0</v>
      </c>
      <c r="SLO15" s="63">
        <f t="shared" si="207"/>
        <v>0</v>
      </c>
      <c r="SLP15" s="63">
        <f t="shared" si="207"/>
        <v>0</v>
      </c>
      <c r="SLQ15" s="63">
        <f t="shared" si="207"/>
        <v>0</v>
      </c>
      <c r="SLR15" s="63">
        <f t="shared" si="207"/>
        <v>0</v>
      </c>
      <c r="SLS15" s="63">
        <f t="shared" si="207"/>
        <v>0</v>
      </c>
      <c r="SLT15" s="63">
        <f t="shared" si="207"/>
        <v>0</v>
      </c>
      <c r="SLU15" s="63">
        <f t="shared" si="207"/>
        <v>0</v>
      </c>
      <c r="SLV15" s="63">
        <f t="shared" si="207"/>
        <v>0</v>
      </c>
      <c r="SLW15" s="63">
        <f t="shared" si="207"/>
        <v>0</v>
      </c>
      <c r="SLX15" s="63">
        <f t="shared" si="207"/>
        <v>0</v>
      </c>
      <c r="SLY15" s="63">
        <f t="shared" si="207"/>
        <v>0</v>
      </c>
      <c r="SLZ15" s="63">
        <f t="shared" si="207"/>
        <v>0</v>
      </c>
      <c r="SMA15" s="63">
        <f t="shared" si="207"/>
        <v>0</v>
      </c>
      <c r="SMB15" s="63">
        <f t="shared" si="207"/>
        <v>0</v>
      </c>
      <c r="SMC15" s="63">
        <f t="shared" si="207"/>
        <v>0</v>
      </c>
      <c r="SMD15" s="63">
        <f t="shared" si="207"/>
        <v>0</v>
      </c>
      <c r="SME15" s="63">
        <f t="shared" si="207"/>
        <v>0</v>
      </c>
      <c r="SMF15" s="63">
        <f t="shared" ref="SMF15:SOQ15" si="208">SME18</f>
        <v>0</v>
      </c>
      <c r="SMG15" s="63">
        <f t="shared" si="208"/>
        <v>0</v>
      </c>
      <c r="SMH15" s="63">
        <f t="shared" si="208"/>
        <v>0</v>
      </c>
      <c r="SMI15" s="63">
        <f t="shared" si="208"/>
        <v>0</v>
      </c>
      <c r="SMJ15" s="63">
        <f t="shared" si="208"/>
        <v>0</v>
      </c>
      <c r="SMK15" s="63">
        <f t="shared" si="208"/>
        <v>0</v>
      </c>
      <c r="SML15" s="63">
        <f t="shared" si="208"/>
        <v>0</v>
      </c>
      <c r="SMM15" s="63">
        <f t="shared" si="208"/>
        <v>0</v>
      </c>
      <c r="SMN15" s="63">
        <f t="shared" si="208"/>
        <v>0</v>
      </c>
      <c r="SMO15" s="63">
        <f t="shared" si="208"/>
        <v>0</v>
      </c>
      <c r="SMP15" s="63">
        <f t="shared" si="208"/>
        <v>0</v>
      </c>
      <c r="SMQ15" s="63">
        <f t="shared" si="208"/>
        <v>0</v>
      </c>
      <c r="SMR15" s="63">
        <f t="shared" si="208"/>
        <v>0</v>
      </c>
      <c r="SMS15" s="63">
        <f t="shared" si="208"/>
        <v>0</v>
      </c>
      <c r="SMT15" s="63">
        <f t="shared" si="208"/>
        <v>0</v>
      </c>
      <c r="SMU15" s="63">
        <f t="shared" si="208"/>
        <v>0</v>
      </c>
      <c r="SMV15" s="63">
        <f t="shared" si="208"/>
        <v>0</v>
      </c>
      <c r="SMW15" s="63">
        <f t="shared" si="208"/>
        <v>0</v>
      </c>
      <c r="SMX15" s="63">
        <f t="shared" si="208"/>
        <v>0</v>
      </c>
      <c r="SMY15" s="63">
        <f t="shared" si="208"/>
        <v>0</v>
      </c>
      <c r="SMZ15" s="63">
        <f t="shared" si="208"/>
        <v>0</v>
      </c>
      <c r="SNA15" s="63">
        <f t="shared" si="208"/>
        <v>0</v>
      </c>
      <c r="SNB15" s="63">
        <f t="shared" si="208"/>
        <v>0</v>
      </c>
      <c r="SNC15" s="63">
        <f t="shared" si="208"/>
        <v>0</v>
      </c>
      <c r="SND15" s="63">
        <f t="shared" si="208"/>
        <v>0</v>
      </c>
      <c r="SNE15" s="63">
        <f t="shared" si="208"/>
        <v>0</v>
      </c>
      <c r="SNF15" s="63">
        <f t="shared" si="208"/>
        <v>0</v>
      </c>
      <c r="SNG15" s="63">
        <f t="shared" si="208"/>
        <v>0</v>
      </c>
      <c r="SNH15" s="63">
        <f t="shared" si="208"/>
        <v>0</v>
      </c>
      <c r="SNI15" s="63">
        <f t="shared" si="208"/>
        <v>0</v>
      </c>
      <c r="SNJ15" s="63">
        <f t="shared" si="208"/>
        <v>0</v>
      </c>
      <c r="SNK15" s="63">
        <f t="shared" si="208"/>
        <v>0</v>
      </c>
      <c r="SNL15" s="63">
        <f t="shared" si="208"/>
        <v>0</v>
      </c>
      <c r="SNM15" s="63">
        <f t="shared" si="208"/>
        <v>0</v>
      </c>
      <c r="SNN15" s="63">
        <f t="shared" si="208"/>
        <v>0</v>
      </c>
      <c r="SNO15" s="63">
        <f t="shared" si="208"/>
        <v>0</v>
      </c>
      <c r="SNP15" s="63">
        <f t="shared" si="208"/>
        <v>0</v>
      </c>
      <c r="SNQ15" s="63">
        <f t="shared" si="208"/>
        <v>0</v>
      </c>
      <c r="SNR15" s="63">
        <f t="shared" si="208"/>
        <v>0</v>
      </c>
      <c r="SNS15" s="63">
        <f t="shared" si="208"/>
        <v>0</v>
      </c>
      <c r="SNT15" s="63">
        <f t="shared" si="208"/>
        <v>0</v>
      </c>
      <c r="SNU15" s="63">
        <f t="shared" si="208"/>
        <v>0</v>
      </c>
      <c r="SNV15" s="63">
        <f t="shared" si="208"/>
        <v>0</v>
      </c>
      <c r="SNW15" s="63">
        <f t="shared" si="208"/>
        <v>0</v>
      </c>
      <c r="SNX15" s="63">
        <f t="shared" si="208"/>
        <v>0</v>
      </c>
      <c r="SNY15" s="63">
        <f t="shared" si="208"/>
        <v>0</v>
      </c>
      <c r="SNZ15" s="63">
        <f t="shared" si="208"/>
        <v>0</v>
      </c>
      <c r="SOA15" s="63">
        <f t="shared" si="208"/>
        <v>0</v>
      </c>
      <c r="SOB15" s="63">
        <f t="shared" si="208"/>
        <v>0</v>
      </c>
      <c r="SOC15" s="63">
        <f t="shared" si="208"/>
        <v>0</v>
      </c>
      <c r="SOD15" s="63">
        <f t="shared" si="208"/>
        <v>0</v>
      </c>
      <c r="SOE15" s="63">
        <f t="shared" si="208"/>
        <v>0</v>
      </c>
      <c r="SOF15" s="63">
        <f t="shared" si="208"/>
        <v>0</v>
      </c>
      <c r="SOG15" s="63">
        <f t="shared" si="208"/>
        <v>0</v>
      </c>
      <c r="SOH15" s="63">
        <f t="shared" si="208"/>
        <v>0</v>
      </c>
      <c r="SOI15" s="63">
        <f t="shared" si="208"/>
        <v>0</v>
      </c>
      <c r="SOJ15" s="63">
        <f t="shared" si="208"/>
        <v>0</v>
      </c>
      <c r="SOK15" s="63">
        <f t="shared" si="208"/>
        <v>0</v>
      </c>
      <c r="SOL15" s="63">
        <f t="shared" si="208"/>
        <v>0</v>
      </c>
      <c r="SOM15" s="63">
        <f t="shared" si="208"/>
        <v>0</v>
      </c>
      <c r="SON15" s="63">
        <f t="shared" si="208"/>
        <v>0</v>
      </c>
      <c r="SOO15" s="63">
        <f t="shared" si="208"/>
        <v>0</v>
      </c>
      <c r="SOP15" s="63">
        <f t="shared" si="208"/>
        <v>0</v>
      </c>
      <c r="SOQ15" s="63">
        <f t="shared" si="208"/>
        <v>0</v>
      </c>
      <c r="SOR15" s="63">
        <f t="shared" ref="SOR15:SRC15" si="209">SOQ18</f>
        <v>0</v>
      </c>
      <c r="SOS15" s="63">
        <f t="shared" si="209"/>
        <v>0</v>
      </c>
      <c r="SOT15" s="63">
        <f t="shared" si="209"/>
        <v>0</v>
      </c>
      <c r="SOU15" s="63">
        <f t="shared" si="209"/>
        <v>0</v>
      </c>
      <c r="SOV15" s="63">
        <f t="shared" si="209"/>
        <v>0</v>
      </c>
      <c r="SOW15" s="63">
        <f t="shared" si="209"/>
        <v>0</v>
      </c>
      <c r="SOX15" s="63">
        <f t="shared" si="209"/>
        <v>0</v>
      </c>
      <c r="SOY15" s="63">
        <f t="shared" si="209"/>
        <v>0</v>
      </c>
      <c r="SOZ15" s="63">
        <f t="shared" si="209"/>
        <v>0</v>
      </c>
      <c r="SPA15" s="63">
        <f t="shared" si="209"/>
        <v>0</v>
      </c>
      <c r="SPB15" s="63">
        <f t="shared" si="209"/>
        <v>0</v>
      </c>
      <c r="SPC15" s="63">
        <f t="shared" si="209"/>
        <v>0</v>
      </c>
      <c r="SPD15" s="63">
        <f t="shared" si="209"/>
        <v>0</v>
      </c>
      <c r="SPE15" s="63">
        <f t="shared" si="209"/>
        <v>0</v>
      </c>
      <c r="SPF15" s="63">
        <f t="shared" si="209"/>
        <v>0</v>
      </c>
      <c r="SPG15" s="63">
        <f t="shared" si="209"/>
        <v>0</v>
      </c>
      <c r="SPH15" s="63">
        <f t="shared" si="209"/>
        <v>0</v>
      </c>
      <c r="SPI15" s="63">
        <f t="shared" si="209"/>
        <v>0</v>
      </c>
      <c r="SPJ15" s="63">
        <f t="shared" si="209"/>
        <v>0</v>
      </c>
      <c r="SPK15" s="63">
        <f t="shared" si="209"/>
        <v>0</v>
      </c>
      <c r="SPL15" s="63">
        <f t="shared" si="209"/>
        <v>0</v>
      </c>
      <c r="SPM15" s="63">
        <f t="shared" si="209"/>
        <v>0</v>
      </c>
      <c r="SPN15" s="63">
        <f t="shared" si="209"/>
        <v>0</v>
      </c>
      <c r="SPO15" s="63">
        <f t="shared" si="209"/>
        <v>0</v>
      </c>
      <c r="SPP15" s="63">
        <f t="shared" si="209"/>
        <v>0</v>
      </c>
      <c r="SPQ15" s="63">
        <f t="shared" si="209"/>
        <v>0</v>
      </c>
      <c r="SPR15" s="63">
        <f t="shared" si="209"/>
        <v>0</v>
      </c>
      <c r="SPS15" s="63">
        <f t="shared" si="209"/>
        <v>0</v>
      </c>
      <c r="SPT15" s="63">
        <f t="shared" si="209"/>
        <v>0</v>
      </c>
      <c r="SPU15" s="63">
        <f t="shared" si="209"/>
        <v>0</v>
      </c>
      <c r="SPV15" s="63">
        <f t="shared" si="209"/>
        <v>0</v>
      </c>
      <c r="SPW15" s="63">
        <f t="shared" si="209"/>
        <v>0</v>
      </c>
      <c r="SPX15" s="63">
        <f t="shared" si="209"/>
        <v>0</v>
      </c>
      <c r="SPY15" s="63">
        <f t="shared" si="209"/>
        <v>0</v>
      </c>
      <c r="SPZ15" s="63">
        <f t="shared" si="209"/>
        <v>0</v>
      </c>
      <c r="SQA15" s="63">
        <f t="shared" si="209"/>
        <v>0</v>
      </c>
      <c r="SQB15" s="63">
        <f t="shared" si="209"/>
        <v>0</v>
      </c>
      <c r="SQC15" s="63">
        <f t="shared" si="209"/>
        <v>0</v>
      </c>
      <c r="SQD15" s="63">
        <f t="shared" si="209"/>
        <v>0</v>
      </c>
      <c r="SQE15" s="63">
        <f t="shared" si="209"/>
        <v>0</v>
      </c>
      <c r="SQF15" s="63">
        <f t="shared" si="209"/>
        <v>0</v>
      </c>
      <c r="SQG15" s="63">
        <f t="shared" si="209"/>
        <v>0</v>
      </c>
      <c r="SQH15" s="63">
        <f t="shared" si="209"/>
        <v>0</v>
      </c>
      <c r="SQI15" s="63">
        <f t="shared" si="209"/>
        <v>0</v>
      </c>
      <c r="SQJ15" s="63">
        <f t="shared" si="209"/>
        <v>0</v>
      </c>
      <c r="SQK15" s="63">
        <f t="shared" si="209"/>
        <v>0</v>
      </c>
      <c r="SQL15" s="63">
        <f t="shared" si="209"/>
        <v>0</v>
      </c>
      <c r="SQM15" s="63">
        <f t="shared" si="209"/>
        <v>0</v>
      </c>
      <c r="SQN15" s="63">
        <f t="shared" si="209"/>
        <v>0</v>
      </c>
      <c r="SQO15" s="63">
        <f t="shared" si="209"/>
        <v>0</v>
      </c>
      <c r="SQP15" s="63">
        <f t="shared" si="209"/>
        <v>0</v>
      </c>
      <c r="SQQ15" s="63">
        <f t="shared" si="209"/>
        <v>0</v>
      </c>
      <c r="SQR15" s="63">
        <f t="shared" si="209"/>
        <v>0</v>
      </c>
      <c r="SQS15" s="63">
        <f t="shared" si="209"/>
        <v>0</v>
      </c>
      <c r="SQT15" s="63">
        <f t="shared" si="209"/>
        <v>0</v>
      </c>
      <c r="SQU15" s="63">
        <f t="shared" si="209"/>
        <v>0</v>
      </c>
      <c r="SQV15" s="63">
        <f t="shared" si="209"/>
        <v>0</v>
      </c>
      <c r="SQW15" s="63">
        <f t="shared" si="209"/>
        <v>0</v>
      </c>
      <c r="SQX15" s="63">
        <f t="shared" si="209"/>
        <v>0</v>
      </c>
      <c r="SQY15" s="63">
        <f t="shared" si="209"/>
        <v>0</v>
      </c>
      <c r="SQZ15" s="63">
        <f t="shared" si="209"/>
        <v>0</v>
      </c>
      <c r="SRA15" s="63">
        <f t="shared" si="209"/>
        <v>0</v>
      </c>
      <c r="SRB15" s="63">
        <f t="shared" si="209"/>
        <v>0</v>
      </c>
      <c r="SRC15" s="63">
        <f t="shared" si="209"/>
        <v>0</v>
      </c>
      <c r="SRD15" s="63">
        <f t="shared" ref="SRD15:STO15" si="210">SRC18</f>
        <v>0</v>
      </c>
      <c r="SRE15" s="63">
        <f t="shared" si="210"/>
        <v>0</v>
      </c>
      <c r="SRF15" s="63">
        <f t="shared" si="210"/>
        <v>0</v>
      </c>
      <c r="SRG15" s="63">
        <f t="shared" si="210"/>
        <v>0</v>
      </c>
      <c r="SRH15" s="63">
        <f t="shared" si="210"/>
        <v>0</v>
      </c>
      <c r="SRI15" s="63">
        <f t="shared" si="210"/>
        <v>0</v>
      </c>
      <c r="SRJ15" s="63">
        <f t="shared" si="210"/>
        <v>0</v>
      </c>
      <c r="SRK15" s="63">
        <f t="shared" si="210"/>
        <v>0</v>
      </c>
      <c r="SRL15" s="63">
        <f t="shared" si="210"/>
        <v>0</v>
      </c>
      <c r="SRM15" s="63">
        <f t="shared" si="210"/>
        <v>0</v>
      </c>
      <c r="SRN15" s="63">
        <f t="shared" si="210"/>
        <v>0</v>
      </c>
      <c r="SRO15" s="63">
        <f t="shared" si="210"/>
        <v>0</v>
      </c>
      <c r="SRP15" s="63">
        <f t="shared" si="210"/>
        <v>0</v>
      </c>
      <c r="SRQ15" s="63">
        <f t="shared" si="210"/>
        <v>0</v>
      </c>
      <c r="SRR15" s="63">
        <f t="shared" si="210"/>
        <v>0</v>
      </c>
      <c r="SRS15" s="63">
        <f t="shared" si="210"/>
        <v>0</v>
      </c>
      <c r="SRT15" s="63">
        <f t="shared" si="210"/>
        <v>0</v>
      </c>
      <c r="SRU15" s="63">
        <f t="shared" si="210"/>
        <v>0</v>
      </c>
      <c r="SRV15" s="63">
        <f t="shared" si="210"/>
        <v>0</v>
      </c>
      <c r="SRW15" s="63">
        <f t="shared" si="210"/>
        <v>0</v>
      </c>
      <c r="SRX15" s="63">
        <f t="shared" si="210"/>
        <v>0</v>
      </c>
      <c r="SRY15" s="63">
        <f t="shared" si="210"/>
        <v>0</v>
      </c>
      <c r="SRZ15" s="63">
        <f t="shared" si="210"/>
        <v>0</v>
      </c>
      <c r="SSA15" s="63">
        <f t="shared" si="210"/>
        <v>0</v>
      </c>
      <c r="SSB15" s="63">
        <f t="shared" si="210"/>
        <v>0</v>
      </c>
      <c r="SSC15" s="63">
        <f t="shared" si="210"/>
        <v>0</v>
      </c>
      <c r="SSD15" s="63">
        <f t="shared" si="210"/>
        <v>0</v>
      </c>
      <c r="SSE15" s="63">
        <f t="shared" si="210"/>
        <v>0</v>
      </c>
      <c r="SSF15" s="63">
        <f t="shared" si="210"/>
        <v>0</v>
      </c>
      <c r="SSG15" s="63">
        <f t="shared" si="210"/>
        <v>0</v>
      </c>
      <c r="SSH15" s="63">
        <f t="shared" si="210"/>
        <v>0</v>
      </c>
      <c r="SSI15" s="63">
        <f t="shared" si="210"/>
        <v>0</v>
      </c>
      <c r="SSJ15" s="63">
        <f t="shared" si="210"/>
        <v>0</v>
      </c>
      <c r="SSK15" s="63">
        <f t="shared" si="210"/>
        <v>0</v>
      </c>
      <c r="SSL15" s="63">
        <f t="shared" si="210"/>
        <v>0</v>
      </c>
      <c r="SSM15" s="63">
        <f t="shared" si="210"/>
        <v>0</v>
      </c>
      <c r="SSN15" s="63">
        <f t="shared" si="210"/>
        <v>0</v>
      </c>
      <c r="SSO15" s="63">
        <f t="shared" si="210"/>
        <v>0</v>
      </c>
      <c r="SSP15" s="63">
        <f t="shared" si="210"/>
        <v>0</v>
      </c>
      <c r="SSQ15" s="63">
        <f t="shared" si="210"/>
        <v>0</v>
      </c>
      <c r="SSR15" s="63">
        <f t="shared" si="210"/>
        <v>0</v>
      </c>
      <c r="SSS15" s="63">
        <f t="shared" si="210"/>
        <v>0</v>
      </c>
      <c r="SST15" s="63">
        <f t="shared" si="210"/>
        <v>0</v>
      </c>
      <c r="SSU15" s="63">
        <f t="shared" si="210"/>
        <v>0</v>
      </c>
      <c r="SSV15" s="63">
        <f t="shared" si="210"/>
        <v>0</v>
      </c>
      <c r="SSW15" s="63">
        <f t="shared" si="210"/>
        <v>0</v>
      </c>
      <c r="SSX15" s="63">
        <f t="shared" si="210"/>
        <v>0</v>
      </c>
      <c r="SSY15" s="63">
        <f t="shared" si="210"/>
        <v>0</v>
      </c>
      <c r="SSZ15" s="63">
        <f t="shared" si="210"/>
        <v>0</v>
      </c>
      <c r="STA15" s="63">
        <f t="shared" si="210"/>
        <v>0</v>
      </c>
      <c r="STB15" s="63">
        <f t="shared" si="210"/>
        <v>0</v>
      </c>
      <c r="STC15" s="63">
        <f t="shared" si="210"/>
        <v>0</v>
      </c>
      <c r="STD15" s="63">
        <f t="shared" si="210"/>
        <v>0</v>
      </c>
      <c r="STE15" s="63">
        <f t="shared" si="210"/>
        <v>0</v>
      </c>
      <c r="STF15" s="63">
        <f t="shared" si="210"/>
        <v>0</v>
      </c>
      <c r="STG15" s="63">
        <f t="shared" si="210"/>
        <v>0</v>
      </c>
      <c r="STH15" s="63">
        <f t="shared" si="210"/>
        <v>0</v>
      </c>
      <c r="STI15" s="63">
        <f t="shared" si="210"/>
        <v>0</v>
      </c>
      <c r="STJ15" s="63">
        <f t="shared" si="210"/>
        <v>0</v>
      </c>
      <c r="STK15" s="63">
        <f t="shared" si="210"/>
        <v>0</v>
      </c>
      <c r="STL15" s="63">
        <f t="shared" si="210"/>
        <v>0</v>
      </c>
      <c r="STM15" s="63">
        <f t="shared" si="210"/>
        <v>0</v>
      </c>
      <c r="STN15" s="63">
        <f t="shared" si="210"/>
        <v>0</v>
      </c>
      <c r="STO15" s="63">
        <f t="shared" si="210"/>
        <v>0</v>
      </c>
      <c r="STP15" s="63">
        <f t="shared" ref="STP15:SWA15" si="211">STO18</f>
        <v>0</v>
      </c>
      <c r="STQ15" s="63">
        <f t="shared" si="211"/>
        <v>0</v>
      </c>
      <c r="STR15" s="63">
        <f t="shared" si="211"/>
        <v>0</v>
      </c>
      <c r="STS15" s="63">
        <f t="shared" si="211"/>
        <v>0</v>
      </c>
      <c r="STT15" s="63">
        <f t="shared" si="211"/>
        <v>0</v>
      </c>
      <c r="STU15" s="63">
        <f t="shared" si="211"/>
        <v>0</v>
      </c>
      <c r="STV15" s="63">
        <f t="shared" si="211"/>
        <v>0</v>
      </c>
      <c r="STW15" s="63">
        <f t="shared" si="211"/>
        <v>0</v>
      </c>
      <c r="STX15" s="63">
        <f t="shared" si="211"/>
        <v>0</v>
      </c>
      <c r="STY15" s="63">
        <f t="shared" si="211"/>
        <v>0</v>
      </c>
      <c r="STZ15" s="63">
        <f t="shared" si="211"/>
        <v>0</v>
      </c>
      <c r="SUA15" s="63">
        <f t="shared" si="211"/>
        <v>0</v>
      </c>
      <c r="SUB15" s="63">
        <f t="shared" si="211"/>
        <v>0</v>
      </c>
      <c r="SUC15" s="63">
        <f t="shared" si="211"/>
        <v>0</v>
      </c>
      <c r="SUD15" s="63">
        <f t="shared" si="211"/>
        <v>0</v>
      </c>
      <c r="SUE15" s="63">
        <f t="shared" si="211"/>
        <v>0</v>
      </c>
      <c r="SUF15" s="63">
        <f t="shared" si="211"/>
        <v>0</v>
      </c>
      <c r="SUG15" s="63">
        <f t="shared" si="211"/>
        <v>0</v>
      </c>
      <c r="SUH15" s="63">
        <f t="shared" si="211"/>
        <v>0</v>
      </c>
      <c r="SUI15" s="63">
        <f t="shared" si="211"/>
        <v>0</v>
      </c>
      <c r="SUJ15" s="63">
        <f t="shared" si="211"/>
        <v>0</v>
      </c>
      <c r="SUK15" s="63">
        <f t="shared" si="211"/>
        <v>0</v>
      </c>
      <c r="SUL15" s="63">
        <f t="shared" si="211"/>
        <v>0</v>
      </c>
      <c r="SUM15" s="63">
        <f t="shared" si="211"/>
        <v>0</v>
      </c>
      <c r="SUN15" s="63">
        <f t="shared" si="211"/>
        <v>0</v>
      </c>
      <c r="SUO15" s="63">
        <f t="shared" si="211"/>
        <v>0</v>
      </c>
      <c r="SUP15" s="63">
        <f t="shared" si="211"/>
        <v>0</v>
      </c>
      <c r="SUQ15" s="63">
        <f t="shared" si="211"/>
        <v>0</v>
      </c>
      <c r="SUR15" s="63">
        <f t="shared" si="211"/>
        <v>0</v>
      </c>
      <c r="SUS15" s="63">
        <f t="shared" si="211"/>
        <v>0</v>
      </c>
      <c r="SUT15" s="63">
        <f t="shared" si="211"/>
        <v>0</v>
      </c>
      <c r="SUU15" s="63">
        <f t="shared" si="211"/>
        <v>0</v>
      </c>
      <c r="SUV15" s="63">
        <f t="shared" si="211"/>
        <v>0</v>
      </c>
      <c r="SUW15" s="63">
        <f t="shared" si="211"/>
        <v>0</v>
      </c>
      <c r="SUX15" s="63">
        <f t="shared" si="211"/>
        <v>0</v>
      </c>
      <c r="SUY15" s="63">
        <f t="shared" si="211"/>
        <v>0</v>
      </c>
      <c r="SUZ15" s="63">
        <f t="shared" si="211"/>
        <v>0</v>
      </c>
      <c r="SVA15" s="63">
        <f t="shared" si="211"/>
        <v>0</v>
      </c>
      <c r="SVB15" s="63">
        <f t="shared" si="211"/>
        <v>0</v>
      </c>
      <c r="SVC15" s="63">
        <f t="shared" si="211"/>
        <v>0</v>
      </c>
      <c r="SVD15" s="63">
        <f t="shared" si="211"/>
        <v>0</v>
      </c>
      <c r="SVE15" s="63">
        <f t="shared" si="211"/>
        <v>0</v>
      </c>
      <c r="SVF15" s="63">
        <f t="shared" si="211"/>
        <v>0</v>
      </c>
      <c r="SVG15" s="63">
        <f t="shared" si="211"/>
        <v>0</v>
      </c>
      <c r="SVH15" s="63">
        <f t="shared" si="211"/>
        <v>0</v>
      </c>
      <c r="SVI15" s="63">
        <f t="shared" si="211"/>
        <v>0</v>
      </c>
      <c r="SVJ15" s="63">
        <f t="shared" si="211"/>
        <v>0</v>
      </c>
      <c r="SVK15" s="63">
        <f t="shared" si="211"/>
        <v>0</v>
      </c>
      <c r="SVL15" s="63">
        <f t="shared" si="211"/>
        <v>0</v>
      </c>
      <c r="SVM15" s="63">
        <f t="shared" si="211"/>
        <v>0</v>
      </c>
      <c r="SVN15" s="63">
        <f t="shared" si="211"/>
        <v>0</v>
      </c>
      <c r="SVO15" s="63">
        <f t="shared" si="211"/>
        <v>0</v>
      </c>
      <c r="SVP15" s="63">
        <f t="shared" si="211"/>
        <v>0</v>
      </c>
      <c r="SVQ15" s="63">
        <f t="shared" si="211"/>
        <v>0</v>
      </c>
      <c r="SVR15" s="63">
        <f t="shared" si="211"/>
        <v>0</v>
      </c>
      <c r="SVS15" s="63">
        <f t="shared" si="211"/>
        <v>0</v>
      </c>
      <c r="SVT15" s="63">
        <f t="shared" si="211"/>
        <v>0</v>
      </c>
      <c r="SVU15" s="63">
        <f t="shared" si="211"/>
        <v>0</v>
      </c>
      <c r="SVV15" s="63">
        <f t="shared" si="211"/>
        <v>0</v>
      </c>
      <c r="SVW15" s="63">
        <f t="shared" si="211"/>
        <v>0</v>
      </c>
      <c r="SVX15" s="63">
        <f t="shared" si="211"/>
        <v>0</v>
      </c>
      <c r="SVY15" s="63">
        <f t="shared" si="211"/>
        <v>0</v>
      </c>
      <c r="SVZ15" s="63">
        <f t="shared" si="211"/>
        <v>0</v>
      </c>
      <c r="SWA15" s="63">
        <f t="shared" si="211"/>
        <v>0</v>
      </c>
      <c r="SWB15" s="63">
        <f t="shared" ref="SWB15:SYM15" si="212">SWA18</f>
        <v>0</v>
      </c>
      <c r="SWC15" s="63">
        <f t="shared" si="212"/>
        <v>0</v>
      </c>
      <c r="SWD15" s="63">
        <f t="shared" si="212"/>
        <v>0</v>
      </c>
      <c r="SWE15" s="63">
        <f t="shared" si="212"/>
        <v>0</v>
      </c>
      <c r="SWF15" s="63">
        <f t="shared" si="212"/>
        <v>0</v>
      </c>
      <c r="SWG15" s="63">
        <f t="shared" si="212"/>
        <v>0</v>
      </c>
      <c r="SWH15" s="63">
        <f t="shared" si="212"/>
        <v>0</v>
      </c>
      <c r="SWI15" s="63">
        <f t="shared" si="212"/>
        <v>0</v>
      </c>
      <c r="SWJ15" s="63">
        <f t="shared" si="212"/>
        <v>0</v>
      </c>
      <c r="SWK15" s="63">
        <f t="shared" si="212"/>
        <v>0</v>
      </c>
      <c r="SWL15" s="63">
        <f t="shared" si="212"/>
        <v>0</v>
      </c>
      <c r="SWM15" s="63">
        <f t="shared" si="212"/>
        <v>0</v>
      </c>
      <c r="SWN15" s="63">
        <f t="shared" si="212"/>
        <v>0</v>
      </c>
      <c r="SWO15" s="63">
        <f t="shared" si="212"/>
        <v>0</v>
      </c>
      <c r="SWP15" s="63">
        <f t="shared" si="212"/>
        <v>0</v>
      </c>
      <c r="SWQ15" s="63">
        <f t="shared" si="212"/>
        <v>0</v>
      </c>
      <c r="SWR15" s="63">
        <f t="shared" si="212"/>
        <v>0</v>
      </c>
      <c r="SWS15" s="63">
        <f t="shared" si="212"/>
        <v>0</v>
      </c>
      <c r="SWT15" s="63">
        <f t="shared" si="212"/>
        <v>0</v>
      </c>
      <c r="SWU15" s="63">
        <f t="shared" si="212"/>
        <v>0</v>
      </c>
      <c r="SWV15" s="63">
        <f t="shared" si="212"/>
        <v>0</v>
      </c>
      <c r="SWW15" s="63">
        <f t="shared" si="212"/>
        <v>0</v>
      </c>
      <c r="SWX15" s="63">
        <f t="shared" si="212"/>
        <v>0</v>
      </c>
      <c r="SWY15" s="63">
        <f t="shared" si="212"/>
        <v>0</v>
      </c>
      <c r="SWZ15" s="63">
        <f t="shared" si="212"/>
        <v>0</v>
      </c>
      <c r="SXA15" s="63">
        <f t="shared" si="212"/>
        <v>0</v>
      </c>
      <c r="SXB15" s="63">
        <f t="shared" si="212"/>
        <v>0</v>
      </c>
      <c r="SXC15" s="63">
        <f t="shared" si="212"/>
        <v>0</v>
      </c>
      <c r="SXD15" s="63">
        <f t="shared" si="212"/>
        <v>0</v>
      </c>
      <c r="SXE15" s="63">
        <f t="shared" si="212"/>
        <v>0</v>
      </c>
      <c r="SXF15" s="63">
        <f t="shared" si="212"/>
        <v>0</v>
      </c>
      <c r="SXG15" s="63">
        <f t="shared" si="212"/>
        <v>0</v>
      </c>
      <c r="SXH15" s="63">
        <f t="shared" si="212"/>
        <v>0</v>
      </c>
      <c r="SXI15" s="63">
        <f t="shared" si="212"/>
        <v>0</v>
      </c>
      <c r="SXJ15" s="63">
        <f t="shared" si="212"/>
        <v>0</v>
      </c>
      <c r="SXK15" s="63">
        <f t="shared" si="212"/>
        <v>0</v>
      </c>
      <c r="SXL15" s="63">
        <f t="shared" si="212"/>
        <v>0</v>
      </c>
      <c r="SXM15" s="63">
        <f t="shared" si="212"/>
        <v>0</v>
      </c>
      <c r="SXN15" s="63">
        <f t="shared" si="212"/>
        <v>0</v>
      </c>
      <c r="SXO15" s="63">
        <f t="shared" si="212"/>
        <v>0</v>
      </c>
      <c r="SXP15" s="63">
        <f t="shared" si="212"/>
        <v>0</v>
      </c>
      <c r="SXQ15" s="63">
        <f t="shared" si="212"/>
        <v>0</v>
      </c>
      <c r="SXR15" s="63">
        <f t="shared" si="212"/>
        <v>0</v>
      </c>
      <c r="SXS15" s="63">
        <f t="shared" si="212"/>
        <v>0</v>
      </c>
      <c r="SXT15" s="63">
        <f t="shared" si="212"/>
        <v>0</v>
      </c>
      <c r="SXU15" s="63">
        <f t="shared" si="212"/>
        <v>0</v>
      </c>
      <c r="SXV15" s="63">
        <f t="shared" si="212"/>
        <v>0</v>
      </c>
      <c r="SXW15" s="63">
        <f t="shared" si="212"/>
        <v>0</v>
      </c>
      <c r="SXX15" s="63">
        <f t="shared" si="212"/>
        <v>0</v>
      </c>
      <c r="SXY15" s="63">
        <f t="shared" si="212"/>
        <v>0</v>
      </c>
      <c r="SXZ15" s="63">
        <f t="shared" si="212"/>
        <v>0</v>
      </c>
      <c r="SYA15" s="63">
        <f t="shared" si="212"/>
        <v>0</v>
      </c>
      <c r="SYB15" s="63">
        <f t="shared" si="212"/>
        <v>0</v>
      </c>
      <c r="SYC15" s="63">
        <f t="shared" si="212"/>
        <v>0</v>
      </c>
      <c r="SYD15" s="63">
        <f t="shared" si="212"/>
        <v>0</v>
      </c>
      <c r="SYE15" s="63">
        <f t="shared" si="212"/>
        <v>0</v>
      </c>
      <c r="SYF15" s="63">
        <f t="shared" si="212"/>
        <v>0</v>
      </c>
      <c r="SYG15" s="63">
        <f t="shared" si="212"/>
        <v>0</v>
      </c>
      <c r="SYH15" s="63">
        <f t="shared" si="212"/>
        <v>0</v>
      </c>
      <c r="SYI15" s="63">
        <f t="shared" si="212"/>
        <v>0</v>
      </c>
      <c r="SYJ15" s="63">
        <f t="shared" si="212"/>
        <v>0</v>
      </c>
      <c r="SYK15" s="63">
        <f t="shared" si="212"/>
        <v>0</v>
      </c>
      <c r="SYL15" s="63">
        <f t="shared" si="212"/>
        <v>0</v>
      </c>
      <c r="SYM15" s="63">
        <f t="shared" si="212"/>
        <v>0</v>
      </c>
      <c r="SYN15" s="63">
        <f t="shared" ref="SYN15:TAY15" si="213">SYM18</f>
        <v>0</v>
      </c>
      <c r="SYO15" s="63">
        <f t="shared" si="213"/>
        <v>0</v>
      </c>
      <c r="SYP15" s="63">
        <f t="shared" si="213"/>
        <v>0</v>
      </c>
      <c r="SYQ15" s="63">
        <f t="shared" si="213"/>
        <v>0</v>
      </c>
      <c r="SYR15" s="63">
        <f t="shared" si="213"/>
        <v>0</v>
      </c>
      <c r="SYS15" s="63">
        <f t="shared" si="213"/>
        <v>0</v>
      </c>
      <c r="SYT15" s="63">
        <f t="shared" si="213"/>
        <v>0</v>
      </c>
      <c r="SYU15" s="63">
        <f t="shared" si="213"/>
        <v>0</v>
      </c>
      <c r="SYV15" s="63">
        <f t="shared" si="213"/>
        <v>0</v>
      </c>
      <c r="SYW15" s="63">
        <f t="shared" si="213"/>
        <v>0</v>
      </c>
      <c r="SYX15" s="63">
        <f t="shared" si="213"/>
        <v>0</v>
      </c>
      <c r="SYY15" s="63">
        <f t="shared" si="213"/>
        <v>0</v>
      </c>
      <c r="SYZ15" s="63">
        <f t="shared" si="213"/>
        <v>0</v>
      </c>
      <c r="SZA15" s="63">
        <f t="shared" si="213"/>
        <v>0</v>
      </c>
      <c r="SZB15" s="63">
        <f t="shared" si="213"/>
        <v>0</v>
      </c>
      <c r="SZC15" s="63">
        <f t="shared" si="213"/>
        <v>0</v>
      </c>
      <c r="SZD15" s="63">
        <f t="shared" si="213"/>
        <v>0</v>
      </c>
      <c r="SZE15" s="63">
        <f t="shared" si="213"/>
        <v>0</v>
      </c>
      <c r="SZF15" s="63">
        <f t="shared" si="213"/>
        <v>0</v>
      </c>
      <c r="SZG15" s="63">
        <f t="shared" si="213"/>
        <v>0</v>
      </c>
      <c r="SZH15" s="63">
        <f t="shared" si="213"/>
        <v>0</v>
      </c>
      <c r="SZI15" s="63">
        <f t="shared" si="213"/>
        <v>0</v>
      </c>
      <c r="SZJ15" s="63">
        <f t="shared" si="213"/>
        <v>0</v>
      </c>
      <c r="SZK15" s="63">
        <f t="shared" si="213"/>
        <v>0</v>
      </c>
      <c r="SZL15" s="63">
        <f t="shared" si="213"/>
        <v>0</v>
      </c>
      <c r="SZM15" s="63">
        <f t="shared" si="213"/>
        <v>0</v>
      </c>
      <c r="SZN15" s="63">
        <f t="shared" si="213"/>
        <v>0</v>
      </c>
      <c r="SZO15" s="63">
        <f t="shared" si="213"/>
        <v>0</v>
      </c>
      <c r="SZP15" s="63">
        <f t="shared" si="213"/>
        <v>0</v>
      </c>
      <c r="SZQ15" s="63">
        <f t="shared" si="213"/>
        <v>0</v>
      </c>
      <c r="SZR15" s="63">
        <f t="shared" si="213"/>
        <v>0</v>
      </c>
      <c r="SZS15" s="63">
        <f t="shared" si="213"/>
        <v>0</v>
      </c>
      <c r="SZT15" s="63">
        <f t="shared" si="213"/>
        <v>0</v>
      </c>
      <c r="SZU15" s="63">
        <f t="shared" si="213"/>
        <v>0</v>
      </c>
      <c r="SZV15" s="63">
        <f t="shared" si="213"/>
        <v>0</v>
      </c>
      <c r="SZW15" s="63">
        <f t="shared" si="213"/>
        <v>0</v>
      </c>
      <c r="SZX15" s="63">
        <f t="shared" si="213"/>
        <v>0</v>
      </c>
      <c r="SZY15" s="63">
        <f t="shared" si="213"/>
        <v>0</v>
      </c>
      <c r="SZZ15" s="63">
        <f t="shared" si="213"/>
        <v>0</v>
      </c>
      <c r="TAA15" s="63">
        <f t="shared" si="213"/>
        <v>0</v>
      </c>
      <c r="TAB15" s="63">
        <f t="shared" si="213"/>
        <v>0</v>
      </c>
      <c r="TAC15" s="63">
        <f t="shared" si="213"/>
        <v>0</v>
      </c>
      <c r="TAD15" s="63">
        <f t="shared" si="213"/>
        <v>0</v>
      </c>
      <c r="TAE15" s="63">
        <f t="shared" si="213"/>
        <v>0</v>
      </c>
      <c r="TAF15" s="63">
        <f t="shared" si="213"/>
        <v>0</v>
      </c>
      <c r="TAG15" s="63">
        <f t="shared" si="213"/>
        <v>0</v>
      </c>
      <c r="TAH15" s="63">
        <f t="shared" si="213"/>
        <v>0</v>
      </c>
      <c r="TAI15" s="63">
        <f t="shared" si="213"/>
        <v>0</v>
      </c>
      <c r="TAJ15" s="63">
        <f t="shared" si="213"/>
        <v>0</v>
      </c>
      <c r="TAK15" s="63">
        <f t="shared" si="213"/>
        <v>0</v>
      </c>
      <c r="TAL15" s="63">
        <f t="shared" si="213"/>
        <v>0</v>
      </c>
      <c r="TAM15" s="63">
        <f t="shared" si="213"/>
        <v>0</v>
      </c>
      <c r="TAN15" s="63">
        <f t="shared" si="213"/>
        <v>0</v>
      </c>
      <c r="TAO15" s="63">
        <f t="shared" si="213"/>
        <v>0</v>
      </c>
      <c r="TAP15" s="63">
        <f t="shared" si="213"/>
        <v>0</v>
      </c>
      <c r="TAQ15" s="63">
        <f t="shared" si="213"/>
        <v>0</v>
      </c>
      <c r="TAR15" s="63">
        <f t="shared" si="213"/>
        <v>0</v>
      </c>
      <c r="TAS15" s="63">
        <f t="shared" si="213"/>
        <v>0</v>
      </c>
      <c r="TAT15" s="63">
        <f t="shared" si="213"/>
        <v>0</v>
      </c>
      <c r="TAU15" s="63">
        <f t="shared" si="213"/>
        <v>0</v>
      </c>
      <c r="TAV15" s="63">
        <f t="shared" si="213"/>
        <v>0</v>
      </c>
      <c r="TAW15" s="63">
        <f t="shared" si="213"/>
        <v>0</v>
      </c>
      <c r="TAX15" s="63">
        <f t="shared" si="213"/>
        <v>0</v>
      </c>
      <c r="TAY15" s="63">
        <f t="shared" si="213"/>
        <v>0</v>
      </c>
      <c r="TAZ15" s="63">
        <f t="shared" ref="TAZ15:TDK15" si="214">TAY18</f>
        <v>0</v>
      </c>
      <c r="TBA15" s="63">
        <f t="shared" si="214"/>
        <v>0</v>
      </c>
      <c r="TBB15" s="63">
        <f t="shared" si="214"/>
        <v>0</v>
      </c>
      <c r="TBC15" s="63">
        <f t="shared" si="214"/>
        <v>0</v>
      </c>
      <c r="TBD15" s="63">
        <f t="shared" si="214"/>
        <v>0</v>
      </c>
      <c r="TBE15" s="63">
        <f t="shared" si="214"/>
        <v>0</v>
      </c>
      <c r="TBF15" s="63">
        <f t="shared" si="214"/>
        <v>0</v>
      </c>
      <c r="TBG15" s="63">
        <f t="shared" si="214"/>
        <v>0</v>
      </c>
      <c r="TBH15" s="63">
        <f t="shared" si="214"/>
        <v>0</v>
      </c>
      <c r="TBI15" s="63">
        <f t="shared" si="214"/>
        <v>0</v>
      </c>
      <c r="TBJ15" s="63">
        <f t="shared" si="214"/>
        <v>0</v>
      </c>
      <c r="TBK15" s="63">
        <f t="shared" si="214"/>
        <v>0</v>
      </c>
      <c r="TBL15" s="63">
        <f t="shared" si="214"/>
        <v>0</v>
      </c>
      <c r="TBM15" s="63">
        <f t="shared" si="214"/>
        <v>0</v>
      </c>
      <c r="TBN15" s="63">
        <f t="shared" si="214"/>
        <v>0</v>
      </c>
      <c r="TBO15" s="63">
        <f t="shared" si="214"/>
        <v>0</v>
      </c>
      <c r="TBP15" s="63">
        <f t="shared" si="214"/>
        <v>0</v>
      </c>
      <c r="TBQ15" s="63">
        <f t="shared" si="214"/>
        <v>0</v>
      </c>
      <c r="TBR15" s="63">
        <f t="shared" si="214"/>
        <v>0</v>
      </c>
      <c r="TBS15" s="63">
        <f t="shared" si="214"/>
        <v>0</v>
      </c>
      <c r="TBT15" s="63">
        <f t="shared" si="214"/>
        <v>0</v>
      </c>
      <c r="TBU15" s="63">
        <f t="shared" si="214"/>
        <v>0</v>
      </c>
      <c r="TBV15" s="63">
        <f t="shared" si="214"/>
        <v>0</v>
      </c>
      <c r="TBW15" s="63">
        <f t="shared" si="214"/>
        <v>0</v>
      </c>
      <c r="TBX15" s="63">
        <f t="shared" si="214"/>
        <v>0</v>
      </c>
      <c r="TBY15" s="63">
        <f t="shared" si="214"/>
        <v>0</v>
      </c>
      <c r="TBZ15" s="63">
        <f t="shared" si="214"/>
        <v>0</v>
      </c>
      <c r="TCA15" s="63">
        <f t="shared" si="214"/>
        <v>0</v>
      </c>
      <c r="TCB15" s="63">
        <f t="shared" si="214"/>
        <v>0</v>
      </c>
      <c r="TCC15" s="63">
        <f t="shared" si="214"/>
        <v>0</v>
      </c>
      <c r="TCD15" s="63">
        <f t="shared" si="214"/>
        <v>0</v>
      </c>
      <c r="TCE15" s="63">
        <f t="shared" si="214"/>
        <v>0</v>
      </c>
      <c r="TCF15" s="63">
        <f t="shared" si="214"/>
        <v>0</v>
      </c>
      <c r="TCG15" s="63">
        <f t="shared" si="214"/>
        <v>0</v>
      </c>
      <c r="TCH15" s="63">
        <f t="shared" si="214"/>
        <v>0</v>
      </c>
      <c r="TCI15" s="63">
        <f t="shared" si="214"/>
        <v>0</v>
      </c>
      <c r="TCJ15" s="63">
        <f t="shared" si="214"/>
        <v>0</v>
      </c>
      <c r="TCK15" s="63">
        <f t="shared" si="214"/>
        <v>0</v>
      </c>
      <c r="TCL15" s="63">
        <f t="shared" si="214"/>
        <v>0</v>
      </c>
      <c r="TCM15" s="63">
        <f t="shared" si="214"/>
        <v>0</v>
      </c>
      <c r="TCN15" s="63">
        <f t="shared" si="214"/>
        <v>0</v>
      </c>
      <c r="TCO15" s="63">
        <f t="shared" si="214"/>
        <v>0</v>
      </c>
      <c r="TCP15" s="63">
        <f t="shared" si="214"/>
        <v>0</v>
      </c>
      <c r="TCQ15" s="63">
        <f t="shared" si="214"/>
        <v>0</v>
      </c>
      <c r="TCR15" s="63">
        <f t="shared" si="214"/>
        <v>0</v>
      </c>
      <c r="TCS15" s="63">
        <f t="shared" si="214"/>
        <v>0</v>
      </c>
      <c r="TCT15" s="63">
        <f t="shared" si="214"/>
        <v>0</v>
      </c>
      <c r="TCU15" s="63">
        <f t="shared" si="214"/>
        <v>0</v>
      </c>
      <c r="TCV15" s="63">
        <f t="shared" si="214"/>
        <v>0</v>
      </c>
      <c r="TCW15" s="63">
        <f t="shared" si="214"/>
        <v>0</v>
      </c>
      <c r="TCX15" s="63">
        <f t="shared" si="214"/>
        <v>0</v>
      </c>
      <c r="TCY15" s="63">
        <f t="shared" si="214"/>
        <v>0</v>
      </c>
      <c r="TCZ15" s="63">
        <f t="shared" si="214"/>
        <v>0</v>
      </c>
      <c r="TDA15" s="63">
        <f t="shared" si="214"/>
        <v>0</v>
      </c>
      <c r="TDB15" s="63">
        <f t="shared" si="214"/>
        <v>0</v>
      </c>
      <c r="TDC15" s="63">
        <f t="shared" si="214"/>
        <v>0</v>
      </c>
      <c r="TDD15" s="63">
        <f t="shared" si="214"/>
        <v>0</v>
      </c>
      <c r="TDE15" s="63">
        <f t="shared" si="214"/>
        <v>0</v>
      </c>
      <c r="TDF15" s="63">
        <f t="shared" si="214"/>
        <v>0</v>
      </c>
      <c r="TDG15" s="63">
        <f t="shared" si="214"/>
        <v>0</v>
      </c>
      <c r="TDH15" s="63">
        <f t="shared" si="214"/>
        <v>0</v>
      </c>
      <c r="TDI15" s="63">
        <f t="shared" si="214"/>
        <v>0</v>
      </c>
      <c r="TDJ15" s="63">
        <f t="shared" si="214"/>
        <v>0</v>
      </c>
      <c r="TDK15" s="63">
        <f t="shared" si="214"/>
        <v>0</v>
      </c>
      <c r="TDL15" s="63">
        <f t="shared" ref="TDL15:TFW15" si="215">TDK18</f>
        <v>0</v>
      </c>
      <c r="TDM15" s="63">
        <f t="shared" si="215"/>
        <v>0</v>
      </c>
      <c r="TDN15" s="63">
        <f t="shared" si="215"/>
        <v>0</v>
      </c>
      <c r="TDO15" s="63">
        <f t="shared" si="215"/>
        <v>0</v>
      </c>
      <c r="TDP15" s="63">
        <f t="shared" si="215"/>
        <v>0</v>
      </c>
      <c r="TDQ15" s="63">
        <f t="shared" si="215"/>
        <v>0</v>
      </c>
      <c r="TDR15" s="63">
        <f t="shared" si="215"/>
        <v>0</v>
      </c>
      <c r="TDS15" s="63">
        <f t="shared" si="215"/>
        <v>0</v>
      </c>
      <c r="TDT15" s="63">
        <f t="shared" si="215"/>
        <v>0</v>
      </c>
      <c r="TDU15" s="63">
        <f t="shared" si="215"/>
        <v>0</v>
      </c>
      <c r="TDV15" s="63">
        <f t="shared" si="215"/>
        <v>0</v>
      </c>
      <c r="TDW15" s="63">
        <f t="shared" si="215"/>
        <v>0</v>
      </c>
      <c r="TDX15" s="63">
        <f t="shared" si="215"/>
        <v>0</v>
      </c>
      <c r="TDY15" s="63">
        <f t="shared" si="215"/>
        <v>0</v>
      </c>
      <c r="TDZ15" s="63">
        <f t="shared" si="215"/>
        <v>0</v>
      </c>
      <c r="TEA15" s="63">
        <f t="shared" si="215"/>
        <v>0</v>
      </c>
      <c r="TEB15" s="63">
        <f t="shared" si="215"/>
        <v>0</v>
      </c>
      <c r="TEC15" s="63">
        <f t="shared" si="215"/>
        <v>0</v>
      </c>
      <c r="TED15" s="63">
        <f t="shared" si="215"/>
        <v>0</v>
      </c>
      <c r="TEE15" s="63">
        <f t="shared" si="215"/>
        <v>0</v>
      </c>
      <c r="TEF15" s="63">
        <f t="shared" si="215"/>
        <v>0</v>
      </c>
      <c r="TEG15" s="63">
        <f t="shared" si="215"/>
        <v>0</v>
      </c>
      <c r="TEH15" s="63">
        <f t="shared" si="215"/>
        <v>0</v>
      </c>
      <c r="TEI15" s="63">
        <f t="shared" si="215"/>
        <v>0</v>
      </c>
      <c r="TEJ15" s="63">
        <f t="shared" si="215"/>
        <v>0</v>
      </c>
      <c r="TEK15" s="63">
        <f t="shared" si="215"/>
        <v>0</v>
      </c>
      <c r="TEL15" s="63">
        <f t="shared" si="215"/>
        <v>0</v>
      </c>
      <c r="TEM15" s="63">
        <f t="shared" si="215"/>
        <v>0</v>
      </c>
      <c r="TEN15" s="63">
        <f t="shared" si="215"/>
        <v>0</v>
      </c>
      <c r="TEO15" s="63">
        <f t="shared" si="215"/>
        <v>0</v>
      </c>
      <c r="TEP15" s="63">
        <f t="shared" si="215"/>
        <v>0</v>
      </c>
      <c r="TEQ15" s="63">
        <f t="shared" si="215"/>
        <v>0</v>
      </c>
      <c r="TER15" s="63">
        <f t="shared" si="215"/>
        <v>0</v>
      </c>
      <c r="TES15" s="63">
        <f t="shared" si="215"/>
        <v>0</v>
      </c>
      <c r="TET15" s="63">
        <f t="shared" si="215"/>
        <v>0</v>
      </c>
      <c r="TEU15" s="63">
        <f t="shared" si="215"/>
        <v>0</v>
      </c>
      <c r="TEV15" s="63">
        <f t="shared" si="215"/>
        <v>0</v>
      </c>
      <c r="TEW15" s="63">
        <f t="shared" si="215"/>
        <v>0</v>
      </c>
      <c r="TEX15" s="63">
        <f t="shared" si="215"/>
        <v>0</v>
      </c>
      <c r="TEY15" s="63">
        <f t="shared" si="215"/>
        <v>0</v>
      </c>
      <c r="TEZ15" s="63">
        <f t="shared" si="215"/>
        <v>0</v>
      </c>
      <c r="TFA15" s="63">
        <f t="shared" si="215"/>
        <v>0</v>
      </c>
      <c r="TFB15" s="63">
        <f t="shared" si="215"/>
        <v>0</v>
      </c>
      <c r="TFC15" s="63">
        <f t="shared" si="215"/>
        <v>0</v>
      </c>
      <c r="TFD15" s="63">
        <f t="shared" si="215"/>
        <v>0</v>
      </c>
      <c r="TFE15" s="63">
        <f t="shared" si="215"/>
        <v>0</v>
      </c>
      <c r="TFF15" s="63">
        <f t="shared" si="215"/>
        <v>0</v>
      </c>
      <c r="TFG15" s="63">
        <f t="shared" si="215"/>
        <v>0</v>
      </c>
      <c r="TFH15" s="63">
        <f t="shared" si="215"/>
        <v>0</v>
      </c>
      <c r="TFI15" s="63">
        <f t="shared" si="215"/>
        <v>0</v>
      </c>
      <c r="TFJ15" s="63">
        <f t="shared" si="215"/>
        <v>0</v>
      </c>
      <c r="TFK15" s="63">
        <f t="shared" si="215"/>
        <v>0</v>
      </c>
      <c r="TFL15" s="63">
        <f t="shared" si="215"/>
        <v>0</v>
      </c>
      <c r="TFM15" s="63">
        <f t="shared" si="215"/>
        <v>0</v>
      </c>
      <c r="TFN15" s="63">
        <f t="shared" si="215"/>
        <v>0</v>
      </c>
      <c r="TFO15" s="63">
        <f t="shared" si="215"/>
        <v>0</v>
      </c>
      <c r="TFP15" s="63">
        <f t="shared" si="215"/>
        <v>0</v>
      </c>
      <c r="TFQ15" s="63">
        <f t="shared" si="215"/>
        <v>0</v>
      </c>
      <c r="TFR15" s="63">
        <f t="shared" si="215"/>
        <v>0</v>
      </c>
      <c r="TFS15" s="63">
        <f t="shared" si="215"/>
        <v>0</v>
      </c>
      <c r="TFT15" s="63">
        <f t="shared" si="215"/>
        <v>0</v>
      </c>
      <c r="TFU15" s="63">
        <f t="shared" si="215"/>
        <v>0</v>
      </c>
      <c r="TFV15" s="63">
        <f t="shared" si="215"/>
        <v>0</v>
      </c>
      <c r="TFW15" s="63">
        <f t="shared" si="215"/>
        <v>0</v>
      </c>
      <c r="TFX15" s="63">
        <f t="shared" ref="TFX15:TII15" si="216">TFW18</f>
        <v>0</v>
      </c>
      <c r="TFY15" s="63">
        <f t="shared" si="216"/>
        <v>0</v>
      </c>
      <c r="TFZ15" s="63">
        <f t="shared" si="216"/>
        <v>0</v>
      </c>
      <c r="TGA15" s="63">
        <f t="shared" si="216"/>
        <v>0</v>
      </c>
      <c r="TGB15" s="63">
        <f t="shared" si="216"/>
        <v>0</v>
      </c>
      <c r="TGC15" s="63">
        <f t="shared" si="216"/>
        <v>0</v>
      </c>
      <c r="TGD15" s="63">
        <f t="shared" si="216"/>
        <v>0</v>
      </c>
      <c r="TGE15" s="63">
        <f t="shared" si="216"/>
        <v>0</v>
      </c>
      <c r="TGF15" s="63">
        <f t="shared" si="216"/>
        <v>0</v>
      </c>
      <c r="TGG15" s="63">
        <f t="shared" si="216"/>
        <v>0</v>
      </c>
      <c r="TGH15" s="63">
        <f t="shared" si="216"/>
        <v>0</v>
      </c>
      <c r="TGI15" s="63">
        <f t="shared" si="216"/>
        <v>0</v>
      </c>
      <c r="TGJ15" s="63">
        <f t="shared" si="216"/>
        <v>0</v>
      </c>
      <c r="TGK15" s="63">
        <f t="shared" si="216"/>
        <v>0</v>
      </c>
      <c r="TGL15" s="63">
        <f t="shared" si="216"/>
        <v>0</v>
      </c>
      <c r="TGM15" s="63">
        <f t="shared" si="216"/>
        <v>0</v>
      </c>
      <c r="TGN15" s="63">
        <f t="shared" si="216"/>
        <v>0</v>
      </c>
      <c r="TGO15" s="63">
        <f t="shared" si="216"/>
        <v>0</v>
      </c>
      <c r="TGP15" s="63">
        <f t="shared" si="216"/>
        <v>0</v>
      </c>
      <c r="TGQ15" s="63">
        <f t="shared" si="216"/>
        <v>0</v>
      </c>
      <c r="TGR15" s="63">
        <f t="shared" si="216"/>
        <v>0</v>
      </c>
      <c r="TGS15" s="63">
        <f t="shared" si="216"/>
        <v>0</v>
      </c>
      <c r="TGT15" s="63">
        <f t="shared" si="216"/>
        <v>0</v>
      </c>
      <c r="TGU15" s="63">
        <f t="shared" si="216"/>
        <v>0</v>
      </c>
      <c r="TGV15" s="63">
        <f t="shared" si="216"/>
        <v>0</v>
      </c>
      <c r="TGW15" s="63">
        <f t="shared" si="216"/>
        <v>0</v>
      </c>
      <c r="TGX15" s="63">
        <f t="shared" si="216"/>
        <v>0</v>
      </c>
      <c r="TGY15" s="63">
        <f t="shared" si="216"/>
        <v>0</v>
      </c>
      <c r="TGZ15" s="63">
        <f t="shared" si="216"/>
        <v>0</v>
      </c>
      <c r="THA15" s="63">
        <f t="shared" si="216"/>
        <v>0</v>
      </c>
      <c r="THB15" s="63">
        <f t="shared" si="216"/>
        <v>0</v>
      </c>
      <c r="THC15" s="63">
        <f t="shared" si="216"/>
        <v>0</v>
      </c>
      <c r="THD15" s="63">
        <f t="shared" si="216"/>
        <v>0</v>
      </c>
      <c r="THE15" s="63">
        <f t="shared" si="216"/>
        <v>0</v>
      </c>
      <c r="THF15" s="63">
        <f t="shared" si="216"/>
        <v>0</v>
      </c>
      <c r="THG15" s="63">
        <f t="shared" si="216"/>
        <v>0</v>
      </c>
      <c r="THH15" s="63">
        <f t="shared" si="216"/>
        <v>0</v>
      </c>
      <c r="THI15" s="63">
        <f t="shared" si="216"/>
        <v>0</v>
      </c>
      <c r="THJ15" s="63">
        <f t="shared" si="216"/>
        <v>0</v>
      </c>
      <c r="THK15" s="63">
        <f t="shared" si="216"/>
        <v>0</v>
      </c>
      <c r="THL15" s="63">
        <f t="shared" si="216"/>
        <v>0</v>
      </c>
      <c r="THM15" s="63">
        <f t="shared" si="216"/>
        <v>0</v>
      </c>
      <c r="THN15" s="63">
        <f t="shared" si="216"/>
        <v>0</v>
      </c>
      <c r="THO15" s="63">
        <f t="shared" si="216"/>
        <v>0</v>
      </c>
      <c r="THP15" s="63">
        <f t="shared" si="216"/>
        <v>0</v>
      </c>
      <c r="THQ15" s="63">
        <f t="shared" si="216"/>
        <v>0</v>
      </c>
      <c r="THR15" s="63">
        <f t="shared" si="216"/>
        <v>0</v>
      </c>
      <c r="THS15" s="63">
        <f t="shared" si="216"/>
        <v>0</v>
      </c>
      <c r="THT15" s="63">
        <f t="shared" si="216"/>
        <v>0</v>
      </c>
      <c r="THU15" s="63">
        <f t="shared" si="216"/>
        <v>0</v>
      </c>
      <c r="THV15" s="63">
        <f t="shared" si="216"/>
        <v>0</v>
      </c>
      <c r="THW15" s="63">
        <f t="shared" si="216"/>
        <v>0</v>
      </c>
      <c r="THX15" s="63">
        <f t="shared" si="216"/>
        <v>0</v>
      </c>
      <c r="THY15" s="63">
        <f t="shared" si="216"/>
        <v>0</v>
      </c>
      <c r="THZ15" s="63">
        <f t="shared" si="216"/>
        <v>0</v>
      </c>
      <c r="TIA15" s="63">
        <f t="shared" si="216"/>
        <v>0</v>
      </c>
      <c r="TIB15" s="63">
        <f t="shared" si="216"/>
        <v>0</v>
      </c>
      <c r="TIC15" s="63">
        <f t="shared" si="216"/>
        <v>0</v>
      </c>
      <c r="TID15" s="63">
        <f t="shared" si="216"/>
        <v>0</v>
      </c>
      <c r="TIE15" s="63">
        <f t="shared" si="216"/>
        <v>0</v>
      </c>
      <c r="TIF15" s="63">
        <f t="shared" si="216"/>
        <v>0</v>
      </c>
      <c r="TIG15" s="63">
        <f t="shared" si="216"/>
        <v>0</v>
      </c>
      <c r="TIH15" s="63">
        <f t="shared" si="216"/>
        <v>0</v>
      </c>
      <c r="TII15" s="63">
        <f t="shared" si="216"/>
        <v>0</v>
      </c>
      <c r="TIJ15" s="63">
        <f t="shared" ref="TIJ15:TKU15" si="217">TII18</f>
        <v>0</v>
      </c>
      <c r="TIK15" s="63">
        <f t="shared" si="217"/>
        <v>0</v>
      </c>
      <c r="TIL15" s="63">
        <f t="shared" si="217"/>
        <v>0</v>
      </c>
      <c r="TIM15" s="63">
        <f t="shared" si="217"/>
        <v>0</v>
      </c>
      <c r="TIN15" s="63">
        <f t="shared" si="217"/>
        <v>0</v>
      </c>
      <c r="TIO15" s="63">
        <f t="shared" si="217"/>
        <v>0</v>
      </c>
      <c r="TIP15" s="63">
        <f t="shared" si="217"/>
        <v>0</v>
      </c>
      <c r="TIQ15" s="63">
        <f t="shared" si="217"/>
        <v>0</v>
      </c>
      <c r="TIR15" s="63">
        <f t="shared" si="217"/>
        <v>0</v>
      </c>
      <c r="TIS15" s="63">
        <f t="shared" si="217"/>
        <v>0</v>
      </c>
      <c r="TIT15" s="63">
        <f t="shared" si="217"/>
        <v>0</v>
      </c>
      <c r="TIU15" s="63">
        <f t="shared" si="217"/>
        <v>0</v>
      </c>
      <c r="TIV15" s="63">
        <f t="shared" si="217"/>
        <v>0</v>
      </c>
      <c r="TIW15" s="63">
        <f t="shared" si="217"/>
        <v>0</v>
      </c>
      <c r="TIX15" s="63">
        <f t="shared" si="217"/>
        <v>0</v>
      </c>
      <c r="TIY15" s="63">
        <f t="shared" si="217"/>
        <v>0</v>
      </c>
      <c r="TIZ15" s="63">
        <f t="shared" si="217"/>
        <v>0</v>
      </c>
      <c r="TJA15" s="63">
        <f t="shared" si="217"/>
        <v>0</v>
      </c>
      <c r="TJB15" s="63">
        <f t="shared" si="217"/>
        <v>0</v>
      </c>
      <c r="TJC15" s="63">
        <f t="shared" si="217"/>
        <v>0</v>
      </c>
      <c r="TJD15" s="63">
        <f t="shared" si="217"/>
        <v>0</v>
      </c>
      <c r="TJE15" s="63">
        <f t="shared" si="217"/>
        <v>0</v>
      </c>
      <c r="TJF15" s="63">
        <f t="shared" si="217"/>
        <v>0</v>
      </c>
      <c r="TJG15" s="63">
        <f t="shared" si="217"/>
        <v>0</v>
      </c>
      <c r="TJH15" s="63">
        <f t="shared" si="217"/>
        <v>0</v>
      </c>
      <c r="TJI15" s="63">
        <f t="shared" si="217"/>
        <v>0</v>
      </c>
      <c r="TJJ15" s="63">
        <f t="shared" si="217"/>
        <v>0</v>
      </c>
      <c r="TJK15" s="63">
        <f t="shared" si="217"/>
        <v>0</v>
      </c>
      <c r="TJL15" s="63">
        <f t="shared" si="217"/>
        <v>0</v>
      </c>
      <c r="TJM15" s="63">
        <f t="shared" si="217"/>
        <v>0</v>
      </c>
      <c r="TJN15" s="63">
        <f t="shared" si="217"/>
        <v>0</v>
      </c>
      <c r="TJO15" s="63">
        <f t="shared" si="217"/>
        <v>0</v>
      </c>
      <c r="TJP15" s="63">
        <f t="shared" si="217"/>
        <v>0</v>
      </c>
      <c r="TJQ15" s="63">
        <f t="shared" si="217"/>
        <v>0</v>
      </c>
      <c r="TJR15" s="63">
        <f t="shared" si="217"/>
        <v>0</v>
      </c>
      <c r="TJS15" s="63">
        <f t="shared" si="217"/>
        <v>0</v>
      </c>
      <c r="TJT15" s="63">
        <f t="shared" si="217"/>
        <v>0</v>
      </c>
      <c r="TJU15" s="63">
        <f t="shared" si="217"/>
        <v>0</v>
      </c>
      <c r="TJV15" s="63">
        <f t="shared" si="217"/>
        <v>0</v>
      </c>
      <c r="TJW15" s="63">
        <f t="shared" si="217"/>
        <v>0</v>
      </c>
      <c r="TJX15" s="63">
        <f t="shared" si="217"/>
        <v>0</v>
      </c>
      <c r="TJY15" s="63">
        <f t="shared" si="217"/>
        <v>0</v>
      </c>
      <c r="TJZ15" s="63">
        <f t="shared" si="217"/>
        <v>0</v>
      </c>
      <c r="TKA15" s="63">
        <f t="shared" si="217"/>
        <v>0</v>
      </c>
      <c r="TKB15" s="63">
        <f t="shared" si="217"/>
        <v>0</v>
      </c>
      <c r="TKC15" s="63">
        <f t="shared" si="217"/>
        <v>0</v>
      </c>
      <c r="TKD15" s="63">
        <f t="shared" si="217"/>
        <v>0</v>
      </c>
      <c r="TKE15" s="63">
        <f t="shared" si="217"/>
        <v>0</v>
      </c>
      <c r="TKF15" s="63">
        <f t="shared" si="217"/>
        <v>0</v>
      </c>
      <c r="TKG15" s="63">
        <f t="shared" si="217"/>
        <v>0</v>
      </c>
      <c r="TKH15" s="63">
        <f t="shared" si="217"/>
        <v>0</v>
      </c>
      <c r="TKI15" s="63">
        <f t="shared" si="217"/>
        <v>0</v>
      </c>
      <c r="TKJ15" s="63">
        <f t="shared" si="217"/>
        <v>0</v>
      </c>
      <c r="TKK15" s="63">
        <f t="shared" si="217"/>
        <v>0</v>
      </c>
      <c r="TKL15" s="63">
        <f t="shared" si="217"/>
        <v>0</v>
      </c>
      <c r="TKM15" s="63">
        <f t="shared" si="217"/>
        <v>0</v>
      </c>
      <c r="TKN15" s="63">
        <f t="shared" si="217"/>
        <v>0</v>
      </c>
      <c r="TKO15" s="63">
        <f t="shared" si="217"/>
        <v>0</v>
      </c>
      <c r="TKP15" s="63">
        <f t="shared" si="217"/>
        <v>0</v>
      </c>
      <c r="TKQ15" s="63">
        <f t="shared" si="217"/>
        <v>0</v>
      </c>
      <c r="TKR15" s="63">
        <f t="shared" si="217"/>
        <v>0</v>
      </c>
      <c r="TKS15" s="63">
        <f t="shared" si="217"/>
        <v>0</v>
      </c>
      <c r="TKT15" s="63">
        <f t="shared" si="217"/>
        <v>0</v>
      </c>
      <c r="TKU15" s="63">
        <f t="shared" si="217"/>
        <v>0</v>
      </c>
      <c r="TKV15" s="63">
        <f t="shared" ref="TKV15:TNG15" si="218">TKU18</f>
        <v>0</v>
      </c>
      <c r="TKW15" s="63">
        <f t="shared" si="218"/>
        <v>0</v>
      </c>
      <c r="TKX15" s="63">
        <f t="shared" si="218"/>
        <v>0</v>
      </c>
      <c r="TKY15" s="63">
        <f t="shared" si="218"/>
        <v>0</v>
      </c>
      <c r="TKZ15" s="63">
        <f t="shared" si="218"/>
        <v>0</v>
      </c>
      <c r="TLA15" s="63">
        <f t="shared" si="218"/>
        <v>0</v>
      </c>
      <c r="TLB15" s="63">
        <f t="shared" si="218"/>
        <v>0</v>
      </c>
      <c r="TLC15" s="63">
        <f t="shared" si="218"/>
        <v>0</v>
      </c>
      <c r="TLD15" s="63">
        <f t="shared" si="218"/>
        <v>0</v>
      </c>
      <c r="TLE15" s="63">
        <f t="shared" si="218"/>
        <v>0</v>
      </c>
      <c r="TLF15" s="63">
        <f t="shared" si="218"/>
        <v>0</v>
      </c>
      <c r="TLG15" s="63">
        <f t="shared" si="218"/>
        <v>0</v>
      </c>
      <c r="TLH15" s="63">
        <f t="shared" si="218"/>
        <v>0</v>
      </c>
      <c r="TLI15" s="63">
        <f t="shared" si="218"/>
        <v>0</v>
      </c>
      <c r="TLJ15" s="63">
        <f t="shared" si="218"/>
        <v>0</v>
      </c>
      <c r="TLK15" s="63">
        <f t="shared" si="218"/>
        <v>0</v>
      </c>
      <c r="TLL15" s="63">
        <f t="shared" si="218"/>
        <v>0</v>
      </c>
      <c r="TLM15" s="63">
        <f t="shared" si="218"/>
        <v>0</v>
      </c>
      <c r="TLN15" s="63">
        <f t="shared" si="218"/>
        <v>0</v>
      </c>
      <c r="TLO15" s="63">
        <f t="shared" si="218"/>
        <v>0</v>
      </c>
      <c r="TLP15" s="63">
        <f t="shared" si="218"/>
        <v>0</v>
      </c>
      <c r="TLQ15" s="63">
        <f t="shared" si="218"/>
        <v>0</v>
      </c>
      <c r="TLR15" s="63">
        <f t="shared" si="218"/>
        <v>0</v>
      </c>
      <c r="TLS15" s="63">
        <f t="shared" si="218"/>
        <v>0</v>
      </c>
      <c r="TLT15" s="63">
        <f t="shared" si="218"/>
        <v>0</v>
      </c>
      <c r="TLU15" s="63">
        <f t="shared" si="218"/>
        <v>0</v>
      </c>
      <c r="TLV15" s="63">
        <f t="shared" si="218"/>
        <v>0</v>
      </c>
      <c r="TLW15" s="63">
        <f t="shared" si="218"/>
        <v>0</v>
      </c>
      <c r="TLX15" s="63">
        <f t="shared" si="218"/>
        <v>0</v>
      </c>
      <c r="TLY15" s="63">
        <f t="shared" si="218"/>
        <v>0</v>
      </c>
      <c r="TLZ15" s="63">
        <f t="shared" si="218"/>
        <v>0</v>
      </c>
      <c r="TMA15" s="63">
        <f t="shared" si="218"/>
        <v>0</v>
      </c>
      <c r="TMB15" s="63">
        <f t="shared" si="218"/>
        <v>0</v>
      </c>
      <c r="TMC15" s="63">
        <f t="shared" si="218"/>
        <v>0</v>
      </c>
      <c r="TMD15" s="63">
        <f t="shared" si="218"/>
        <v>0</v>
      </c>
      <c r="TME15" s="63">
        <f t="shared" si="218"/>
        <v>0</v>
      </c>
      <c r="TMF15" s="63">
        <f t="shared" si="218"/>
        <v>0</v>
      </c>
      <c r="TMG15" s="63">
        <f t="shared" si="218"/>
        <v>0</v>
      </c>
      <c r="TMH15" s="63">
        <f t="shared" si="218"/>
        <v>0</v>
      </c>
      <c r="TMI15" s="63">
        <f t="shared" si="218"/>
        <v>0</v>
      </c>
      <c r="TMJ15" s="63">
        <f t="shared" si="218"/>
        <v>0</v>
      </c>
      <c r="TMK15" s="63">
        <f t="shared" si="218"/>
        <v>0</v>
      </c>
      <c r="TML15" s="63">
        <f t="shared" si="218"/>
        <v>0</v>
      </c>
      <c r="TMM15" s="63">
        <f t="shared" si="218"/>
        <v>0</v>
      </c>
      <c r="TMN15" s="63">
        <f t="shared" si="218"/>
        <v>0</v>
      </c>
      <c r="TMO15" s="63">
        <f t="shared" si="218"/>
        <v>0</v>
      </c>
      <c r="TMP15" s="63">
        <f t="shared" si="218"/>
        <v>0</v>
      </c>
      <c r="TMQ15" s="63">
        <f t="shared" si="218"/>
        <v>0</v>
      </c>
      <c r="TMR15" s="63">
        <f t="shared" si="218"/>
        <v>0</v>
      </c>
      <c r="TMS15" s="63">
        <f t="shared" si="218"/>
        <v>0</v>
      </c>
      <c r="TMT15" s="63">
        <f t="shared" si="218"/>
        <v>0</v>
      </c>
      <c r="TMU15" s="63">
        <f t="shared" si="218"/>
        <v>0</v>
      </c>
      <c r="TMV15" s="63">
        <f t="shared" si="218"/>
        <v>0</v>
      </c>
      <c r="TMW15" s="63">
        <f t="shared" si="218"/>
        <v>0</v>
      </c>
      <c r="TMX15" s="63">
        <f t="shared" si="218"/>
        <v>0</v>
      </c>
      <c r="TMY15" s="63">
        <f t="shared" si="218"/>
        <v>0</v>
      </c>
      <c r="TMZ15" s="63">
        <f t="shared" si="218"/>
        <v>0</v>
      </c>
      <c r="TNA15" s="63">
        <f t="shared" si="218"/>
        <v>0</v>
      </c>
      <c r="TNB15" s="63">
        <f t="shared" si="218"/>
        <v>0</v>
      </c>
      <c r="TNC15" s="63">
        <f t="shared" si="218"/>
        <v>0</v>
      </c>
      <c r="TND15" s="63">
        <f t="shared" si="218"/>
        <v>0</v>
      </c>
      <c r="TNE15" s="63">
        <f t="shared" si="218"/>
        <v>0</v>
      </c>
      <c r="TNF15" s="63">
        <f t="shared" si="218"/>
        <v>0</v>
      </c>
      <c r="TNG15" s="63">
        <f t="shared" si="218"/>
        <v>0</v>
      </c>
      <c r="TNH15" s="63">
        <f t="shared" ref="TNH15:TPS15" si="219">TNG18</f>
        <v>0</v>
      </c>
      <c r="TNI15" s="63">
        <f t="shared" si="219"/>
        <v>0</v>
      </c>
      <c r="TNJ15" s="63">
        <f t="shared" si="219"/>
        <v>0</v>
      </c>
      <c r="TNK15" s="63">
        <f t="shared" si="219"/>
        <v>0</v>
      </c>
      <c r="TNL15" s="63">
        <f t="shared" si="219"/>
        <v>0</v>
      </c>
      <c r="TNM15" s="63">
        <f t="shared" si="219"/>
        <v>0</v>
      </c>
      <c r="TNN15" s="63">
        <f t="shared" si="219"/>
        <v>0</v>
      </c>
      <c r="TNO15" s="63">
        <f t="shared" si="219"/>
        <v>0</v>
      </c>
      <c r="TNP15" s="63">
        <f t="shared" si="219"/>
        <v>0</v>
      </c>
      <c r="TNQ15" s="63">
        <f t="shared" si="219"/>
        <v>0</v>
      </c>
      <c r="TNR15" s="63">
        <f t="shared" si="219"/>
        <v>0</v>
      </c>
      <c r="TNS15" s="63">
        <f t="shared" si="219"/>
        <v>0</v>
      </c>
      <c r="TNT15" s="63">
        <f t="shared" si="219"/>
        <v>0</v>
      </c>
      <c r="TNU15" s="63">
        <f t="shared" si="219"/>
        <v>0</v>
      </c>
      <c r="TNV15" s="63">
        <f t="shared" si="219"/>
        <v>0</v>
      </c>
      <c r="TNW15" s="63">
        <f t="shared" si="219"/>
        <v>0</v>
      </c>
      <c r="TNX15" s="63">
        <f t="shared" si="219"/>
        <v>0</v>
      </c>
      <c r="TNY15" s="63">
        <f t="shared" si="219"/>
        <v>0</v>
      </c>
      <c r="TNZ15" s="63">
        <f t="shared" si="219"/>
        <v>0</v>
      </c>
      <c r="TOA15" s="63">
        <f t="shared" si="219"/>
        <v>0</v>
      </c>
      <c r="TOB15" s="63">
        <f t="shared" si="219"/>
        <v>0</v>
      </c>
      <c r="TOC15" s="63">
        <f t="shared" si="219"/>
        <v>0</v>
      </c>
      <c r="TOD15" s="63">
        <f t="shared" si="219"/>
        <v>0</v>
      </c>
      <c r="TOE15" s="63">
        <f t="shared" si="219"/>
        <v>0</v>
      </c>
      <c r="TOF15" s="63">
        <f t="shared" si="219"/>
        <v>0</v>
      </c>
      <c r="TOG15" s="63">
        <f t="shared" si="219"/>
        <v>0</v>
      </c>
      <c r="TOH15" s="63">
        <f t="shared" si="219"/>
        <v>0</v>
      </c>
      <c r="TOI15" s="63">
        <f t="shared" si="219"/>
        <v>0</v>
      </c>
      <c r="TOJ15" s="63">
        <f t="shared" si="219"/>
        <v>0</v>
      </c>
      <c r="TOK15" s="63">
        <f t="shared" si="219"/>
        <v>0</v>
      </c>
      <c r="TOL15" s="63">
        <f t="shared" si="219"/>
        <v>0</v>
      </c>
      <c r="TOM15" s="63">
        <f t="shared" si="219"/>
        <v>0</v>
      </c>
      <c r="TON15" s="63">
        <f t="shared" si="219"/>
        <v>0</v>
      </c>
      <c r="TOO15" s="63">
        <f t="shared" si="219"/>
        <v>0</v>
      </c>
      <c r="TOP15" s="63">
        <f t="shared" si="219"/>
        <v>0</v>
      </c>
      <c r="TOQ15" s="63">
        <f t="shared" si="219"/>
        <v>0</v>
      </c>
      <c r="TOR15" s="63">
        <f t="shared" si="219"/>
        <v>0</v>
      </c>
      <c r="TOS15" s="63">
        <f t="shared" si="219"/>
        <v>0</v>
      </c>
      <c r="TOT15" s="63">
        <f t="shared" si="219"/>
        <v>0</v>
      </c>
      <c r="TOU15" s="63">
        <f t="shared" si="219"/>
        <v>0</v>
      </c>
      <c r="TOV15" s="63">
        <f t="shared" si="219"/>
        <v>0</v>
      </c>
      <c r="TOW15" s="63">
        <f t="shared" si="219"/>
        <v>0</v>
      </c>
      <c r="TOX15" s="63">
        <f t="shared" si="219"/>
        <v>0</v>
      </c>
      <c r="TOY15" s="63">
        <f t="shared" si="219"/>
        <v>0</v>
      </c>
      <c r="TOZ15" s="63">
        <f t="shared" si="219"/>
        <v>0</v>
      </c>
      <c r="TPA15" s="63">
        <f t="shared" si="219"/>
        <v>0</v>
      </c>
      <c r="TPB15" s="63">
        <f t="shared" si="219"/>
        <v>0</v>
      </c>
      <c r="TPC15" s="63">
        <f t="shared" si="219"/>
        <v>0</v>
      </c>
      <c r="TPD15" s="63">
        <f t="shared" si="219"/>
        <v>0</v>
      </c>
      <c r="TPE15" s="63">
        <f t="shared" si="219"/>
        <v>0</v>
      </c>
      <c r="TPF15" s="63">
        <f t="shared" si="219"/>
        <v>0</v>
      </c>
      <c r="TPG15" s="63">
        <f t="shared" si="219"/>
        <v>0</v>
      </c>
      <c r="TPH15" s="63">
        <f t="shared" si="219"/>
        <v>0</v>
      </c>
      <c r="TPI15" s="63">
        <f t="shared" si="219"/>
        <v>0</v>
      </c>
      <c r="TPJ15" s="63">
        <f t="shared" si="219"/>
        <v>0</v>
      </c>
      <c r="TPK15" s="63">
        <f t="shared" si="219"/>
        <v>0</v>
      </c>
      <c r="TPL15" s="63">
        <f t="shared" si="219"/>
        <v>0</v>
      </c>
      <c r="TPM15" s="63">
        <f t="shared" si="219"/>
        <v>0</v>
      </c>
      <c r="TPN15" s="63">
        <f t="shared" si="219"/>
        <v>0</v>
      </c>
      <c r="TPO15" s="63">
        <f t="shared" si="219"/>
        <v>0</v>
      </c>
      <c r="TPP15" s="63">
        <f t="shared" si="219"/>
        <v>0</v>
      </c>
      <c r="TPQ15" s="63">
        <f t="shared" si="219"/>
        <v>0</v>
      </c>
      <c r="TPR15" s="63">
        <f t="shared" si="219"/>
        <v>0</v>
      </c>
      <c r="TPS15" s="63">
        <f t="shared" si="219"/>
        <v>0</v>
      </c>
      <c r="TPT15" s="63">
        <f t="shared" ref="TPT15:TSE15" si="220">TPS18</f>
        <v>0</v>
      </c>
      <c r="TPU15" s="63">
        <f t="shared" si="220"/>
        <v>0</v>
      </c>
      <c r="TPV15" s="63">
        <f t="shared" si="220"/>
        <v>0</v>
      </c>
      <c r="TPW15" s="63">
        <f t="shared" si="220"/>
        <v>0</v>
      </c>
      <c r="TPX15" s="63">
        <f t="shared" si="220"/>
        <v>0</v>
      </c>
      <c r="TPY15" s="63">
        <f t="shared" si="220"/>
        <v>0</v>
      </c>
      <c r="TPZ15" s="63">
        <f t="shared" si="220"/>
        <v>0</v>
      </c>
      <c r="TQA15" s="63">
        <f t="shared" si="220"/>
        <v>0</v>
      </c>
      <c r="TQB15" s="63">
        <f t="shared" si="220"/>
        <v>0</v>
      </c>
      <c r="TQC15" s="63">
        <f t="shared" si="220"/>
        <v>0</v>
      </c>
      <c r="TQD15" s="63">
        <f t="shared" si="220"/>
        <v>0</v>
      </c>
      <c r="TQE15" s="63">
        <f t="shared" si="220"/>
        <v>0</v>
      </c>
      <c r="TQF15" s="63">
        <f t="shared" si="220"/>
        <v>0</v>
      </c>
      <c r="TQG15" s="63">
        <f t="shared" si="220"/>
        <v>0</v>
      </c>
      <c r="TQH15" s="63">
        <f t="shared" si="220"/>
        <v>0</v>
      </c>
      <c r="TQI15" s="63">
        <f t="shared" si="220"/>
        <v>0</v>
      </c>
      <c r="TQJ15" s="63">
        <f t="shared" si="220"/>
        <v>0</v>
      </c>
      <c r="TQK15" s="63">
        <f t="shared" si="220"/>
        <v>0</v>
      </c>
      <c r="TQL15" s="63">
        <f t="shared" si="220"/>
        <v>0</v>
      </c>
      <c r="TQM15" s="63">
        <f t="shared" si="220"/>
        <v>0</v>
      </c>
      <c r="TQN15" s="63">
        <f t="shared" si="220"/>
        <v>0</v>
      </c>
      <c r="TQO15" s="63">
        <f t="shared" si="220"/>
        <v>0</v>
      </c>
      <c r="TQP15" s="63">
        <f t="shared" si="220"/>
        <v>0</v>
      </c>
      <c r="TQQ15" s="63">
        <f t="shared" si="220"/>
        <v>0</v>
      </c>
      <c r="TQR15" s="63">
        <f t="shared" si="220"/>
        <v>0</v>
      </c>
      <c r="TQS15" s="63">
        <f t="shared" si="220"/>
        <v>0</v>
      </c>
      <c r="TQT15" s="63">
        <f t="shared" si="220"/>
        <v>0</v>
      </c>
      <c r="TQU15" s="63">
        <f t="shared" si="220"/>
        <v>0</v>
      </c>
      <c r="TQV15" s="63">
        <f t="shared" si="220"/>
        <v>0</v>
      </c>
      <c r="TQW15" s="63">
        <f t="shared" si="220"/>
        <v>0</v>
      </c>
      <c r="TQX15" s="63">
        <f t="shared" si="220"/>
        <v>0</v>
      </c>
      <c r="TQY15" s="63">
        <f t="shared" si="220"/>
        <v>0</v>
      </c>
      <c r="TQZ15" s="63">
        <f t="shared" si="220"/>
        <v>0</v>
      </c>
      <c r="TRA15" s="63">
        <f t="shared" si="220"/>
        <v>0</v>
      </c>
      <c r="TRB15" s="63">
        <f t="shared" si="220"/>
        <v>0</v>
      </c>
      <c r="TRC15" s="63">
        <f t="shared" si="220"/>
        <v>0</v>
      </c>
      <c r="TRD15" s="63">
        <f t="shared" si="220"/>
        <v>0</v>
      </c>
      <c r="TRE15" s="63">
        <f t="shared" si="220"/>
        <v>0</v>
      </c>
      <c r="TRF15" s="63">
        <f t="shared" si="220"/>
        <v>0</v>
      </c>
      <c r="TRG15" s="63">
        <f t="shared" si="220"/>
        <v>0</v>
      </c>
      <c r="TRH15" s="63">
        <f t="shared" si="220"/>
        <v>0</v>
      </c>
      <c r="TRI15" s="63">
        <f t="shared" si="220"/>
        <v>0</v>
      </c>
      <c r="TRJ15" s="63">
        <f t="shared" si="220"/>
        <v>0</v>
      </c>
      <c r="TRK15" s="63">
        <f t="shared" si="220"/>
        <v>0</v>
      </c>
      <c r="TRL15" s="63">
        <f t="shared" si="220"/>
        <v>0</v>
      </c>
      <c r="TRM15" s="63">
        <f t="shared" si="220"/>
        <v>0</v>
      </c>
      <c r="TRN15" s="63">
        <f t="shared" si="220"/>
        <v>0</v>
      </c>
      <c r="TRO15" s="63">
        <f t="shared" si="220"/>
        <v>0</v>
      </c>
      <c r="TRP15" s="63">
        <f t="shared" si="220"/>
        <v>0</v>
      </c>
      <c r="TRQ15" s="63">
        <f t="shared" si="220"/>
        <v>0</v>
      </c>
      <c r="TRR15" s="63">
        <f t="shared" si="220"/>
        <v>0</v>
      </c>
      <c r="TRS15" s="63">
        <f t="shared" si="220"/>
        <v>0</v>
      </c>
      <c r="TRT15" s="63">
        <f t="shared" si="220"/>
        <v>0</v>
      </c>
      <c r="TRU15" s="63">
        <f t="shared" si="220"/>
        <v>0</v>
      </c>
      <c r="TRV15" s="63">
        <f t="shared" si="220"/>
        <v>0</v>
      </c>
      <c r="TRW15" s="63">
        <f t="shared" si="220"/>
        <v>0</v>
      </c>
      <c r="TRX15" s="63">
        <f t="shared" si="220"/>
        <v>0</v>
      </c>
      <c r="TRY15" s="63">
        <f t="shared" si="220"/>
        <v>0</v>
      </c>
      <c r="TRZ15" s="63">
        <f t="shared" si="220"/>
        <v>0</v>
      </c>
      <c r="TSA15" s="63">
        <f t="shared" si="220"/>
        <v>0</v>
      </c>
      <c r="TSB15" s="63">
        <f t="shared" si="220"/>
        <v>0</v>
      </c>
      <c r="TSC15" s="63">
        <f t="shared" si="220"/>
        <v>0</v>
      </c>
      <c r="TSD15" s="63">
        <f t="shared" si="220"/>
        <v>0</v>
      </c>
      <c r="TSE15" s="63">
        <f t="shared" si="220"/>
        <v>0</v>
      </c>
      <c r="TSF15" s="63">
        <f t="shared" ref="TSF15:TUQ15" si="221">TSE18</f>
        <v>0</v>
      </c>
      <c r="TSG15" s="63">
        <f t="shared" si="221"/>
        <v>0</v>
      </c>
      <c r="TSH15" s="63">
        <f t="shared" si="221"/>
        <v>0</v>
      </c>
      <c r="TSI15" s="63">
        <f t="shared" si="221"/>
        <v>0</v>
      </c>
      <c r="TSJ15" s="63">
        <f t="shared" si="221"/>
        <v>0</v>
      </c>
      <c r="TSK15" s="63">
        <f t="shared" si="221"/>
        <v>0</v>
      </c>
      <c r="TSL15" s="63">
        <f t="shared" si="221"/>
        <v>0</v>
      </c>
      <c r="TSM15" s="63">
        <f t="shared" si="221"/>
        <v>0</v>
      </c>
      <c r="TSN15" s="63">
        <f t="shared" si="221"/>
        <v>0</v>
      </c>
      <c r="TSO15" s="63">
        <f t="shared" si="221"/>
        <v>0</v>
      </c>
      <c r="TSP15" s="63">
        <f t="shared" si="221"/>
        <v>0</v>
      </c>
      <c r="TSQ15" s="63">
        <f t="shared" si="221"/>
        <v>0</v>
      </c>
      <c r="TSR15" s="63">
        <f t="shared" si="221"/>
        <v>0</v>
      </c>
      <c r="TSS15" s="63">
        <f t="shared" si="221"/>
        <v>0</v>
      </c>
      <c r="TST15" s="63">
        <f t="shared" si="221"/>
        <v>0</v>
      </c>
      <c r="TSU15" s="63">
        <f t="shared" si="221"/>
        <v>0</v>
      </c>
      <c r="TSV15" s="63">
        <f t="shared" si="221"/>
        <v>0</v>
      </c>
      <c r="TSW15" s="63">
        <f t="shared" si="221"/>
        <v>0</v>
      </c>
      <c r="TSX15" s="63">
        <f t="shared" si="221"/>
        <v>0</v>
      </c>
      <c r="TSY15" s="63">
        <f t="shared" si="221"/>
        <v>0</v>
      </c>
      <c r="TSZ15" s="63">
        <f t="shared" si="221"/>
        <v>0</v>
      </c>
      <c r="TTA15" s="63">
        <f t="shared" si="221"/>
        <v>0</v>
      </c>
      <c r="TTB15" s="63">
        <f t="shared" si="221"/>
        <v>0</v>
      </c>
      <c r="TTC15" s="63">
        <f t="shared" si="221"/>
        <v>0</v>
      </c>
      <c r="TTD15" s="63">
        <f t="shared" si="221"/>
        <v>0</v>
      </c>
      <c r="TTE15" s="63">
        <f t="shared" si="221"/>
        <v>0</v>
      </c>
      <c r="TTF15" s="63">
        <f t="shared" si="221"/>
        <v>0</v>
      </c>
      <c r="TTG15" s="63">
        <f t="shared" si="221"/>
        <v>0</v>
      </c>
      <c r="TTH15" s="63">
        <f t="shared" si="221"/>
        <v>0</v>
      </c>
      <c r="TTI15" s="63">
        <f t="shared" si="221"/>
        <v>0</v>
      </c>
      <c r="TTJ15" s="63">
        <f t="shared" si="221"/>
        <v>0</v>
      </c>
      <c r="TTK15" s="63">
        <f t="shared" si="221"/>
        <v>0</v>
      </c>
      <c r="TTL15" s="63">
        <f t="shared" si="221"/>
        <v>0</v>
      </c>
      <c r="TTM15" s="63">
        <f t="shared" si="221"/>
        <v>0</v>
      </c>
      <c r="TTN15" s="63">
        <f t="shared" si="221"/>
        <v>0</v>
      </c>
      <c r="TTO15" s="63">
        <f t="shared" si="221"/>
        <v>0</v>
      </c>
      <c r="TTP15" s="63">
        <f t="shared" si="221"/>
        <v>0</v>
      </c>
      <c r="TTQ15" s="63">
        <f t="shared" si="221"/>
        <v>0</v>
      </c>
      <c r="TTR15" s="63">
        <f t="shared" si="221"/>
        <v>0</v>
      </c>
      <c r="TTS15" s="63">
        <f t="shared" si="221"/>
        <v>0</v>
      </c>
      <c r="TTT15" s="63">
        <f t="shared" si="221"/>
        <v>0</v>
      </c>
      <c r="TTU15" s="63">
        <f t="shared" si="221"/>
        <v>0</v>
      </c>
      <c r="TTV15" s="63">
        <f t="shared" si="221"/>
        <v>0</v>
      </c>
      <c r="TTW15" s="63">
        <f t="shared" si="221"/>
        <v>0</v>
      </c>
      <c r="TTX15" s="63">
        <f t="shared" si="221"/>
        <v>0</v>
      </c>
      <c r="TTY15" s="63">
        <f t="shared" si="221"/>
        <v>0</v>
      </c>
      <c r="TTZ15" s="63">
        <f t="shared" si="221"/>
        <v>0</v>
      </c>
      <c r="TUA15" s="63">
        <f t="shared" si="221"/>
        <v>0</v>
      </c>
      <c r="TUB15" s="63">
        <f t="shared" si="221"/>
        <v>0</v>
      </c>
      <c r="TUC15" s="63">
        <f t="shared" si="221"/>
        <v>0</v>
      </c>
      <c r="TUD15" s="63">
        <f t="shared" si="221"/>
        <v>0</v>
      </c>
      <c r="TUE15" s="63">
        <f t="shared" si="221"/>
        <v>0</v>
      </c>
      <c r="TUF15" s="63">
        <f t="shared" si="221"/>
        <v>0</v>
      </c>
      <c r="TUG15" s="63">
        <f t="shared" si="221"/>
        <v>0</v>
      </c>
      <c r="TUH15" s="63">
        <f t="shared" si="221"/>
        <v>0</v>
      </c>
      <c r="TUI15" s="63">
        <f t="shared" si="221"/>
        <v>0</v>
      </c>
      <c r="TUJ15" s="63">
        <f t="shared" si="221"/>
        <v>0</v>
      </c>
      <c r="TUK15" s="63">
        <f t="shared" si="221"/>
        <v>0</v>
      </c>
      <c r="TUL15" s="63">
        <f t="shared" si="221"/>
        <v>0</v>
      </c>
      <c r="TUM15" s="63">
        <f t="shared" si="221"/>
        <v>0</v>
      </c>
      <c r="TUN15" s="63">
        <f t="shared" si="221"/>
        <v>0</v>
      </c>
      <c r="TUO15" s="63">
        <f t="shared" si="221"/>
        <v>0</v>
      </c>
      <c r="TUP15" s="63">
        <f t="shared" si="221"/>
        <v>0</v>
      </c>
      <c r="TUQ15" s="63">
        <f t="shared" si="221"/>
        <v>0</v>
      </c>
      <c r="TUR15" s="63">
        <f t="shared" ref="TUR15:TXC15" si="222">TUQ18</f>
        <v>0</v>
      </c>
      <c r="TUS15" s="63">
        <f t="shared" si="222"/>
        <v>0</v>
      </c>
      <c r="TUT15" s="63">
        <f t="shared" si="222"/>
        <v>0</v>
      </c>
      <c r="TUU15" s="63">
        <f t="shared" si="222"/>
        <v>0</v>
      </c>
      <c r="TUV15" s="63">
        <f t="shared" si="222"/>
        <v>0</v>
      </c>
      <c r="TUW15" s="63">
        <f t="shared" si="222"/>
        <v>0</v>
      </c>
      <c r="TUX15" s="63">
        <f t="shared" si="222"/>
        <v>0</v>
      </c>
      <c r="TUY15" s="63">
        <f t="shared" si="222"/>
        <v>0</v>
      </c>
      <c r="TUZ15" s="63">
        <f t="shared" si="222"/>
        <v>0</v>
      </c>
      <c r="TVA15" s="63">
        <f t="shared" si="222"/>
        <v>0</v>
      </c>
      <c r="TVB15" s="63">
        <f t="shared" si="222"/>
        <v>0</v>
      </c>
      <c r="TVC15" s="63">
        <f t="shared" si="222"/>
        <v>0</v>
      </c>
      <c r="TVD15" s="63">
        <f t="shared" si="222"/>
        <v>0</v>
      </c>
      <c r="TVE15" s="63">
        <f t="shared" si="222"/>
        <v>0</v>
      </c>
      <c r="TVF15" s="63">
        <f t="shared" si="222"/>
        <v>0</v>
      </c>
      <c r="TVG15" s="63">
        <f t="shared" si="222"/>
        <v>0</v>
      </c>
      <c r="TVH15" s="63">
        <f t="shared" si="222"/>
        <v>0</v>
      </c>
      <c r="TVI15" s="63">
        <f t="shared" si="222"/>
        <v>0</v>
      </c>
      <c r="TVJ15" s="63">
        <f t="shared" si="222"/>
        <v>0</v>
      </c>
      <c r="TVK15" s="63">
        <f t="shared" si="222"/>
        <v>0</v>
      </c>
      <c r="TVL15" s="63">
        <f t="shared" si="222"/>
        <v>0</v>
      </c>
      <c r="TVM15" s="63">
        <f t="shared" si="222"/>
        <v>0</v>
      </c>
      <c r="TVN15" s="63">
        <f t="shared" si="222"/>
        <v>0</v>
      </c>
      <c r="TVO15" s="63">
        <f t="shared" si="222"/>
        <v>0</v>
      </c>
      <c r="TVP15" s="63">
        <f t="shared" si="222"/>
        <v>0</v>
      </c>
      <c r="TVQ15" s="63">
        <f t="shared" si="222"/>
        <v>0</v>
      </c>
      <c r="TVR15" s="63">
        <f t="shared" si="222"/>
        <v>0</v>
      </c>
      <c r="TVS15" s="63">
        <f t="shared" si="222"/>
        <v>0</v>
      </c>
      <c r="TVT15" s="63">
        <f t="shared" si="222"/>
        <v>0</v>
      </c>
      <c r="TVU15" s="63">
        <f t="shared" si="222"/>
        <v>0</v>
      </c>
      <c r="TVV15" s="63">
        <f t="shared" si="222"/>
        <v>0</v>
      </c>
      <c r="TVW15" s="63">
        <f t="shared" si="222"/>
        <v>0</v>
      </c>
      <c r="TVX15" s="63">
        <f t="shared" si="222"/>
        <v>0</v>
      </c>
      <c r="TVY15" s="63">
        <f t="shared" si="222"/>
        <v>0</v>
      </c>
      <c r="TVZ15" s="63">
        <f t="shared" si="222"/>
        <v>0</v>
      </c>
      <c r="TWA15" s="63">
        <f t="shared" si="222"/>
        <v>0</v>
      </c>
      <c r="TWB15" s="63">
        <f t="shared" si="222"/>
        <v>0</v>
      </c>
      <c r="TWC15" s="63">
        <f t="shared" si="222"/>
        <v>0</v>
      </c>
      <c r="TWD15" s="63">
        <f t="shared" si="222"/>
        <v>0</v>
      </c>
      <c r="TWE15" s="63">
        <f t="shared" si="222"/>
        <v>0</v>
      </c>
      <c r="TWF15" s="63">
        <f t="shared" si="222"/>
        <v>0</v>
      </c>
      <c r="TWG15" s="63">
        <f t="shared" si="222"/>
        <v>0</v>
      </c>
      <c r="TWH15" s="63">
        <f t="shared" si="222"/>
        <v>0</v>
      </c>
      <c r="TWI15" s="63">
        <f t="shared" si="222"/>
        <v>0</v>
      </c>
      <c r="TWJ15" s="63">
        <f t="shared" si="222"/>
        <v>0</v>
      </c>
      <c r="TWK15" s="63">
        <f t="shared" si="222"/>
        <v>0</v>
      </c>
      <c r="TWL15" s="63">
        <f t="shared" si="222"/>
        <v>0</v>
      </c>
      <c r="TWM15" s="63">
        <f t="shared" si="222"/>
        <v>0</v>
      </c>
      <c r="TWN15" s="63">
        <f t="shared" si="222"/>
        <v>0</v>
      </c>
      <c r="TWO15" s="63">
        <f t="shared" si="222"/>
        <v>0</v>
      </c>
      <c r="TWP15" s="63">
        <f t="shared" si="222"/>
        <v>0</v>
      </c>
      <c r="TWQ15" s="63">
        <f t="shared" si="222"/>
        <v>0</v>
      </c>
      <c r="TWR15" s="63">
        <f t="shared" si="222"/>
        <v>0</v>
      </c>
      <c r="TWS15" s="63">
        <f t="shared" si="222"/>
        <v>0</v>
      </c>
      <c r="TWT15" s="63">
        <f t="shared" si="222"/>
        <v>0</v>
      </c>
      <c r="TWU15" s="63">
        <f t="shared" si="222"/>
        <v>0</v>
      </c>
      <c r="TWV15" s="63">
        <f t="shared" si="222"/>
        <v>0</v>
      </c>
      <c r="TWW15" s="63">
        <f t="shared" si="222"/>
        <v>0</v>
      </c>
      <c r="TWX15" s="63">
        <f t="shared" si="222"/>
        <v>0</v>
      </c>
      <c r="TWY15" s="63">
        <f t="shared" si="222"/>
        <v>0</v>
      </c>
      <c r="TWZ15" s="63">
        <f t="shared" si="222"/>
        <v>0</v>
      </c>
      <c r="TXA15" s="63">
        <f t="shared" si="222"/>
        <v>0</v>
      </c>
      <c r="TXB15" s="63">
        <f t="shared" si="222"/>
        <v>0</v>
      </c>
      <c r="TXC15" s="63">
        <f t="shared" si="222"/>
        <v>0</v>
      </c>
      <c r="TXD15" s="63">
        <f t="shared" ref="TXD15:TZO15" si="223">TXC18</f>
        <v>0</v>
      </c>
      <c r="TXE15" s="63">
        <f t="shared" si="223"/>
        <v>0</v>
      </c>
      <c r="TXF15" s="63">
        <f t="shared" si="223"/>
        <v>0</v>
      </c>
      <c r="TXG15" s="63">
        <f t="shared" si="223"/>
        <v>0</v>
      </c>
      <c r="TXH15" s="63">
        <f t="shared" si="223"/>
        <v>0</v>
      </c>
      <c r="TXI15" s="63">
        <f t="shared" si="223"/>
        <v>0</v>
      </c>
      <c r="TXJ15" s="63">
        <f t="shared" si="223"/>
        <v>0</v>
      </c>
      <c r="TXK15" s="63">
        <f t="shared" si="223"/>
        <v>0</v>
      </c>
      <c r="TXL15" s="63">
        <f t="shared" si="223"/>
        <v>0</v>
      </c>
      <c r="TXM15" s="63">
        <f t="shared" si="223"/>
        <v>0</v>
      </c>
      <c r="TXN15" s="63">
        <f t="shared" si="223"/>
        <v>0</v>
      </c>
      <c r="TXO15" s="63">
        <f t="shared" si="223"/>
        <v>0</v>
      </c>
      <c r="TXP15" s="63">
        <f t="shared" si="223"/>
        <v>0</v>
      </c>
      <c r="TXQ15" s="63">
        <f t="shared" si="223"/>
        <v>0</v>
      </c>
      <c r="TXR15" s="63">
        <f t="shared" si="223"/>
        <v>0</v>
      </c>
      <c r="TXS15" s="63">
        <f t="shared" si="223"/>
        <v>0</v>
      </c>
      <c r="TXT15" s="63">
        <f t="shared" si="223"/>
        <v>0</v>
      </c>
      <c r="TXU15" s="63">
        <f t="shared" si="223"/>
        <v>0</v>
      </c>
      <c r="TXV15" s="63">
        <f t="shared" si="223"/>
        <v>0</v>
      </c>
      <c r="TXW15" s="63">
        <f t="shared" si="223"/>
        <v>0</v>
      </c>
      <c r="TXX15" s="63">
        <f t="shared" si="223"/>
        <v>0</v>
      </c>
      <c r="TXY15" s="63">
        <f t="shared" si="223"/>
        <v>0</v>
      </c>
      <c r="TXZ15" s="63">
        <f t="shared" si="223"/>
        <v>0</v>
      </c>
      <c r="TYA15" s="63">
        <f t="shared" si="223"/>
        <v>0</v>
      </c>
      <c r="TYB15" s="63">
        <f t="shared" si="223"/>
        <v>0</v>
      </c>
      <c r="TYC15" s="63">
        <f t="shared" si="223"/>
        <v>0</v>
      </c>
      <c r="TYD15" s="63">
        <f t="shared" si="223"/>
        <v>0</v>
      </c>
      <c r="TYE15" s="63">
        <f t="shared" si="223"/>
        <v>0</v>
      </c>
      <c r="TYF15" s="63">
        <f t="shared" si="223"/>
        <v>0</v>
      </c>
      <c r="TYG15" s="63">
        <f t="shared" si="223"/>
        <v>0</v>
      </c>
      <c r="TYH15" s="63">
        <f t="shared" si="223"/>
        <v>0</v>
      </c>
      <c r="TYI15" s="63">
        <f t="shared" si="223"/>
        <v>0</v>
      </c>
      <c r="TYJ15" s="63">
        <f t="shared" si="223"/>
        <v>0</v>
      </c>
      <c r="TYK15" s="63">
        <f t="shared" si="223"/>
        <v>0</v>
      </c>
      <c r="TYL15" s="63">
        <f t="shared" si="223"/>
        <v>0</v>
      </c>
      <c r="TYM15" s="63">
        <f t="shared" si="223"/>
        <v>0</v>
      </c>
      <c r="TYN15" s="63">
        <f t="shared" si="223"/>
        <v>0</v>
      </c>
      <c r="TYO15" s="63">
        <f t="shared" si="223"/>
        <v>0</v>
      </c>
      <c r="TYP15" s="63">
        <f t="shared" si="223"/>
        <v>0</v>
      </c>
      <c r="TYQ15" s="63">
        <f t="shared" si="223"/>
        <v>0</v>
      </c>
      <c r="TYR15" s="63">
        <f t="shared" si="223"/>
        <v>0</v>
      </c>
      <c r="TYS15" s="63">
        <f t="shared" si="223"/>
        <v>0</v>
      </c>
      <c r="TYT15" s="63">
        <f t="shared" si="223"/>
        <v>0</v>
      </c>
      <c r="TYU15" s="63">
        <f t="shared" si="223"/>
        <v>0</v>
      </c>
      <c r="TYV15" s="63">
        <f t="shared" si="223"/>
        <v>0</v>
      </c>
      <c r="TYW15" s="63">
        <f t="shared" si="223"/>
        <v>0</v>
      </c>
      <c r="TYX15" s="63">
        <f t="shared" si="223"/>
        <v>0</v>
      </c>
      <c r="TYY15" s="63">
        <f t="shared" si="223"/>
        <v>0</v>
      </c>
      <c r="TYZ15" s="63">
        <f t="shared" si="223"/>
        <v>0</v>
      </c>
      <c r="TZA15" s="63">
        <f t="shared" si="223"/>
        <v>0</v>
      </c>
      <c r="TZB15" s="63">
        <f t="shared" si="223"/>
        <v>0</v>
      </c>
      <c r="TZC15" s="63">
        <f t="shared" si="223"/>
        <v>0</v>
      </c>
      <c r="TZD15" s="63">
        <f t="shared" si="223"/>
        <v>0</v>
      </c>
      <c r="TZE15" s="63">
        <f t="shared" si="223"/>
        <v>0</v>
      </c>
      <c r="TZF15" s="63">
        <f t="shared" si="223"/>
        <v>0</v>
      </c>
      <c r="TZG15" s="63">
        <f t="shared" si="223"/>
        <v>0</v>
      </c>
      <c r="TZH15" s="63">
        <f t="shared" si="223"/>
        <v>0</v>
      </c>
      <c r="TZI15" s="63">
        <f t="shared" si="223"/>
        <v>0</v>
      </c>
      <c r="TZJ15" s="63">
        <f t="shared" si="223"/>
        <v>0</v>
      </c>
      <c r="TZK15" s="63">
        <f t="shared" si="223"/>
        <v>0</v>
      </c>
      <c r="TZL15" s="63">
        <f t="shared" si="223"/>
        <v>0</v>
      </c>
      <c r="TZM15" s="63">
        <f t="shared" si="223"/>
        <v>0</v>
      </c>
      <c r="TZN15" s="63">
        <f t="shared" si="223"/>
        <v>0</v>
      </c>
      <c r="TZO15" s="63">
        <f t="shared" si="223"/>
        <v>0</v>
      </c>
      <c r="TZP15" s="63">
        <f t="shared" ref="TZP15:UCA15" si="224">TZO18</f>
        <v>0</v>
      </c>
      <c r="TZQ15" s="63">
        <f t="shared" si="224"/>
        <v>0</v>
      </c>
      <c r="TZR15" s="63">
        <f t="shared" si="224"/>
        <v>0</v>
      </c>
      <c r="TZS15" s="63">
        <f t="shared" si="224"/>
        <v>0</v>
      </c>
      <c r="TZT15" s="63">
        <f t="shared" si="224"/>
        <v>0</v>
      </c>
      <c r="TZU15" s="63">
        <f t="shared" si="224"/>
        <v>0</v>
      </c>
      <c r="TZV15" s="63">
        <f t="shared" si="224"/>
        <v>0</v>
      </c>
      <c r="TZW15" s="63">
        <f t="shared" si="224"/>
        <v>0</v>
      </c>
      <c r="TZX15" s="63">
        <f t="shared" si="224"/>
        <v>0</v>
      </c>
      <c r="TZY15" s="63">
        <f t="shared" si="224"/>
        <v>0</v>
      </c>
      <c r="TZZ15" s="63">
        <f t="shared" si="224"/>
        <v>0</v>
      </c>
      <c r="UAA15" s="63">
        <f t="shared" si="224"/>
        <v>0</v>
      </c>
      <c r="UAB15" s="63">
        <f t="shared" si="224"/>
        <v>0</v>
      </c>
      <c r="UAC15" s="63">
        <f t="shared" si="224"/>
        <v>0</v>
      </c>
      <c r="UAD15" s="63">
        <f t="shared" si="224"/>
        <v>0</v>
      </c>
      <c r="UAE15" s="63">
        <f t="shared" si="224"/>
        <v>0</v>
      </c>
      <c r="UAF15" s="63">
        <f t="shared" si="224"/>
        <v>0</v>
      </c>
      <c r="UAG15" s="63">
        <f t="shared" si="224"/>
        <v>0</v>
      </c>
      <c r="UAH15" s="63">
        <f t="shared" si="224"/>
        <v>0</v>
      </c>
      <c r="UAI15" s="63">
        <f t="shared" si="224"/>
        <v>0</v>
      </c>
      <c r="UAJ15" s="63">
        <f t="shared" si="224"/>
        <v>0</v>
      </c>
      <c r="UAK15" s="63">
        <f t="shared" si="224"/>
        <v>0</v>
      </c>
      <c r="UAL15" s="63">
        <f t="shared" si="224"/>
        <v>0</v>
      </c>
      <c r="UAM15" s="63">
        <f t="shared" si="224"/>
        <v>0</v>
      </c>
      <c r="UAN15" s="63">
        <f t="shared" si="224"/>
        <v>0</v>
      </c>
      <c r="UAO15" s="63">
        <f t="shared" si="224"/>
        <v>0</v>
      </c>
      <c r="UAP15" s="63">
        <f t="shared" si="224"/>
        <v>0</v>
      </c>
      <c r="UAQ15" s="63">
        <f t="shared" si="224"/>
        <v>0</v>
      </c>
      <c r="UAR15" s="63">
        <f t="shared" si="224"/>
        <v>0</v>
      </c>
      <c r="UAS15" s="63">
        <f t="shared" si="224"/>
        <v>0</v>
      </c>
      <c r="UAT15" s="63">
        <f t="shared" si="224"/>
        <v>0</v>
      </c>
      <c r="UAU15" s="63">
        <f t="shared" si="224"/>
        <v>0</v>
      </c>
      <c r="UAV15" s="63">
        <f t="shared" si="224"/>
        <v>0</v>
      </c>
      <c r="UAW15" s="63">
        <f t="shared" si="224"/>
        <v>0</v>
      </c>
      <c r="UAX15" s="63">
        <f t="shared" si="224"/>
        <v>0</v>
      </c>
      <c r="UAY15" s="63">
        <f t="shared" si="224"/>
        <v>0</v>
      </c>
      <c r="UAZ15" s="63">
        <f t="shared" si="224"/>
        <v>0</v>
      </c>
      <c r="UBA15" s="63">
        <f t="shared" si="224"/>
        <v>0</v>
      </c>
      <c r="UBB15" s="63">
        <f t="shared" si="224"/>
        <v>0</v>
      </c>
      <c r="UBC15" s="63">
        <f t="shared" si="224"/>
        <v>0</v>
      </c>
      <c r="UBD15" s="63">
        <f t="shared" si="224"/>
        <v>0</v>
      </c>
      <c r="UBE15" s="63">
        <f t="shared" si="224"/>
        <v>0</v>
      </c>
      <c r="UBF15" s="63">
        <f t="shared" si="224"/>
        <v>0</v>
      </c>
      <c r="UBG15" s="63">
        <f t="shared" si="224"/>
        <v>0</v>
      </c>
      <c r="UBH15" s="63">
        <f t="shared" si="224"/>
        <v>0</v>
      </c>
      <c r="UBI15" s="63">
        <f t="shared" si="224"/>
        <v>0</v>
      </c>
      <c r="UBJ15" s="63">
        <f t="shared" si="224"/>
        <v>0</v>
      </c>
      <c r="UBK15" s="63">
        <f t="shared" si="224"/>
        <v>0</v>
      </c>
      <c r="UBL15" s="63">
        <f t="shared" si="224"/>
        <v>0</v>
      </c>
      <c r="UBM15" s="63">
        <f t="shared" si="224"/>
        <v>0</v>
      </c>
      <c r="UBN15" s="63">
        <f t="shared" si="224"/>
        <v>0</v>
      </c>
      <c r="UBO15" s="63">
        <f t="shared" si="224"/>
        <v>0</v>
      </c>
      <c r="UBP15" s="63">
        <f t="shared" si="224"/>
        <v>0</v>
      </c>
      <c r="UBQ15" s="63">
        <f t="shared" si="224"/>
        <v>0</v>
      </c>
      <c r="UBR15" s="63">
        <f t="shared" si="224"/>
        <v>0</v>
      </c>
      <c r="UBS15" s="63">
        <f t="shared" si="224"/>
        <v>0</v>
      </c>
      <c r="UBT15" s="63">
        <f t="shared" si="224"/>
        <v>0</v>
      </c>
      <c r="UBU15" s="63">
        <f t="shared" si="224"/>
        <v>0</v>
      </c>
      <c r="UBV15" s="63">
        <f t="shared" si="224"/>
        <v>0</v>
      </c>
      <c r="UBW15" s="63">
        <f t="shared" si="224"/>
        <v>0</v>
      </c>
      <c r="UBX15" s="63">
        <f t="shared" si="224"/>
        <v>0</v>
      </c>
      <c r="UBY15" s="63">
        <f t="shared" si="224"/>
        <v>0</v>
      </c>
      <c r="UBZ15" s="63">
        <f t="shared" si="224"/>
        <v>0</v>
      </c>
      <c r="UCA15" s="63">
        <f t="shared" si="224"/>
        <v>0</v>
      </c>
      <c r="UCB15" s="63">
        <f t="shared" ref="UCB15:UEM15" si="225">UCA18</f>
        <v>0</v>
      </c>
      <c r="UCC15" s="63">
        <f t="shared" si="225"/>
        <v>0</v>
      </c>
      <c r="UCD15" s="63">
        <f t="shared" si="225"/>
        <v>0</v>
      </c>
      <c r="UCE15" s="63">
        <f t="shared" si="225"/>
        <v>0</v>
      </c>
      <c r="UCF15" s="63">
        <f t="shared" si="225"/>
        <v>0</v>
      </c>
      <c r="UCG15" s="63">
        <f t="shared" si="225"/>
        <v>0</v>
      </c>
      <c r="UCH15" s="63">
        <f t="shared" si="225"/>
        <v>0</v>
      </c>
      <c r="UCI15" s="63">
        <f t="shared" si="225"/>
        <v>0</v>
      </c>
      <c r="UCJ15" s="63">
        <f t="shared" si="225"/>
        <v>0</v>
      </c>
      <c r="UCK15" s="63">
        <f t="shared" si="225"/>
        <v>0</v>
      </c>
      <c r="UCL15" s="63">
        <f t="shared" si="225"/>
        <v>0</v>
      </c>
      <c r="UCM15" s="63">
        <f t="shared" si="225"/>
        <v>0</v>
      </c>
      <c r="UCN15" s="63">
        <f t="shared" si="225"/>
        <v>0</v>
      </c>
      <c r="UCO15" s="63">
        <f t="shared" si="225"/>
        <v>0</v>
      </c>
      <c r="UCP15" s="63">
        <f t="shared" si="225"/>
        <v>0</v>
      </c>
      <c r="UCQ15" s="63">
        <f t="shared" si="225"/>
        <v>0</v>
      </c>
      <c r="UCR15" s="63">
        <f t="shared" si="225"/>
        <v>0</v>
      </c>
      <c r="UCS15" s="63">
        <f t="shared" si="225"/>
        <v>0</v>
      </c>
      <c r="UCT15" s="63">
        <f t="shared" si="225"/>
        <v>0</v>
      </c>
      <c r="UCU15" s="63">
        <f t="shared" si="225"/>
        <v>0</v>
      </c>
      <c r="UCV15" s="63">
        <f t="shared" si="225"/>
        <v>0</v>
      </c>
      <c r="UCW15" s="63">
        <f t="shared" si="225"/>
        <v>0</v>
      </c>
      <c r="UCX15" s="63">
        <f t="shared" si="225"/>
        <v>0</v>
      </c>
      <c r="UCY15" s="63">
        <f t="shared" si="225"/>
        <v>0</v>
      </c>
      <c r="UCZ15" s="63">
        <f t="shared" si="225"/>
        <v>0</v>
      </c>
      <c r="UDA15" s="63">
        <f t="shared" si="225"/>
        <v>0</v>
      </c>
      <c r="UDB15" s="63">
        <f t="shared" si="225"/>
        <v>0</v>
      </c>
      <c r="UDC15" s="63">
        <f t="shared" si="225"/>
        <v>0</v>
      </c>
      <c r="UDD15" s="63">
        <f t="shared" si="225"/>
        <v>0</v>
      </c>
      <c r="UDE15" s="63">
        <f t="shared" si="225"/>
        <v>0</v>
      </c>
      <c r="UDF15" s="63">
        <f t="shared" si="225"/>
        <v>0</v>
      </c>
      <c r="UDG15" s="63">
        <f t="shared" si="225"/>
        <v>0</v>
      </c>
      <c r="UDH15" s="63">
        <f t="shared" si="225"/>
        <v>0</v>
      </c>
      <c r="UDI15" s="63">
        <f t="shared" si="225"/>
        <v>0</v>
      </c>
      <c r="UDJ15" s="63">
        <f t="shared" si="225"/>
        <v>0</v>
      </c>
      <c r="UDK15" s="63">
        <f t="shared" si="225"/>
        <v>0</v>
      </c>
      <c r="UDL15" s="63">
        <f t="shared" si="225"/>
        <v>0</v>
      </c>
      <c r="UDM15" s="63">
        <f t="shared" si="225"/>
        <v>0</v>
      </c>
      <c r="UDN15" s="63">
        <f t="shared" si="225"/>
        <v>0</v>
      </c>
      <c r="UDO15" s="63">
        <f t="shared" si="225"/>
        <v>0</v>
      </c>
      <c r="UDP15" s="63">
        <f t="shared" si="225"/>
        <v>0</v>
      </c>
      <c r="UDQ15" s="63">
        <f t="shared" si="225"/>
        <v>0</v>
      </c>
      <c r="UDR15" s="63">
        <f t="shared" si="225"/>
        <v>0</v>
      </c>
      <c r="UDS15" s="63">
        <f t="shared" si="225"/>
        <v>0</v>
      </c>
      <c r="UDT15" s="63">
        <f t="shared" si="225"/>
        <v>0</v>
      </c>
      <c r="UDU15" s="63">
        <f t="shared" si="225"/>
        <v>0</v>
      </c>
      <c r="UDV15" s="63">
        <f t="shared" si="225"/>
        <v>0</v>
      </c>
      <c r="UDW15" s="63">
        <f t="shared" si="225"/>
        <v>0</v>
      </c>
      <c r="UDX15" s="63">
        <f t="shared" si="225"/>
        <v>0</v>
      </c>
      <c r="UDY15" s="63">
        <f t="shared" si="225"/>
        <v>0</v>
      </c>
      <c r="UDZ15" s="63">
        <f t="shared" si="225"/>
        <v>0</v>
      </c>
      <c r="UEA15" s="63">
        <f t="shared" si="225"/>
        <v>0</v>
      </c>
      <c r="UEB15" s="63">
        <f t="shared" si="225"/>
        <v>0</v>
      </c>
      <c r="UEC15" s="63">
        <f t="shared" si="225"/>
        <v>0</v>
      </c>
      <c r="UED15" s="63">
        <f t="shared" si="225"/>
        <v>0</v>
      </c>
      <c r="UEE15" s="63">
        <f t="shared" si="225"/>
        <v>0</v>
      </c>
      <c r="UEF15" s="63">
        <f t="shared" si="225"/>
        <v>0</v>
      </c>
      <c r="UEG15" s="63">
        <f t="shared" si="225"/>
        <v>0</v>
      </c>
      <c r="UEH15" s="63">
        <f t="shared" si="225"/>
        <v>0</v>
      </c>
      <c r="UEI15" s="63">
        <f t="shared" si="225"/>
        <v>0</v>
      </c>
      <c r="UEJ15" s="63">
        <f t="shared" si="225"/>
        <v>0</v>
      </c>
      <c r="UEK15" s="63">
        <f t="shared" si="225"/>
        <v>0</v>
      </c>
      <c r="UEL15" s="63">
        <f t="shared" si="225"/>
        <v>0</v>
      </c>
      <c r="UEM15" s="63">
        <f t="shared" si="225"/>
        <v>0</v>
      </c>
      <c r="UEN15" s="63">
        <f t="shared" ref="UEN15:UGY15" si="226">UEM18</f>
        <v>0</v>
      </c>
      <c r="UEO15" s="63">
        <f t="shared" si="226"/>
        <v>0</v>
      </c>
      <c r="UEP15" s="63">
        <f t="shared" si="226"/>
        <v>0</v>
      </c>
      <c r="UEQ15" s="63">
        <f t="shared" si="226"/>
        <v>0</v>
      </c>
      <c r="UER15" s="63">
        <f t="shared" si="226"/>
        <v>0</v>
      </c>
      <c r="UES15" s="63">
        <f t="shared" si="226"/>
        <v>0</v>
      </c>
      <c r="UET15" s="63">
        <f t="shared" si="226"/>
        <v>0</v>
      </c>
      <c r="UEU15" s="63">
        <f t="shared" si="226"/>
        <v>0</v>
      </c>
      <c r="UEV15" s="63">
        <f t="shared" si="226"/>
        <v>0</v>
      </c>
      <c r="UEW15" s="63">
        <f t="shared" si="226"/>
        <v>0</v>
      </c>
      <c r="UEX15" s="63">
        <f t="shared" si="226"/>
        <v>0</v>
      </c>
      <c r="UEY15" s="63">
        <f t="shared" si="226"/>
        <v>0</v>
      </c>
      <c r="UEZ15" s="63">
        <f t="shared" si="226"/>
        <v>0</v>
      </c>
      <c r="UFA15" s="63">
        <f t="shared" si="226"/>
        <v>0</v>
      </c>
      <c r="UFB15" s="63">
        <f t="shared" si="226"/>
        <v>0</v>
      </c>
      <c r="UFC15" s="63">
        <f t="shared" si="226"/>
        <v>0</v>
      </c>
      <c r="UFD15" s="63">
        <f t="shared" si="226"/>
        <v>0</v>
      </c>
      <c r="UFE15" s="63">
        <f t="shared" si="226"/>
        <v>0</v>
      </c>
      <c r="UFF15" s="63">
        <f t="shared" si="226"/>
        <v>0</v>
      </c>
      <c r="UFG15" s="63">
        <f t="shared" si="226"/>
        <v>0</v>
      </c>
      <c r="UFH15" s="63">
        <f t="shared" si="226"/>
        <v>0</v>
      </c>
      <c r="UFI15" s="63">
        <f t="shared" si="226"/>
        <v>0</v>
      </c>
      <c r="UFJ15" s="63">
        <f t="shared" si="226"/>
        <v>0</v>
      </c>
      <c r="UFK15" s="63">
        <f t="shared" si="226"/>
        <v>0</v>
      </c>
      <c r="UFL15" s="63">
        <f t="shared" si="226"/>
        <v>0</v>
      </c>
      <c r="UFM15" s="63">
        <f t="shared" si="226"/>
        <v>0</v>
      </c>
      <c r="UFN15" s="63">
        <f t="shared" si="226"/>
        <v>0</v>
      </c>
      <c r="UFO15" s="63">
        <f t="shared" si="226"/>
        <v>0</v>
      </c>
      <c r="UFP15" s="63">
        <f t="shared" si="226"/>
        <v>0</v>
      </c>
      <c r="UFQ15" s="63">
        <f t="shared" si="226"/>
        <v>0</v>
      </c>
      <c r="UFR15" s="63">
        <f t="shared" si="226"/>
        <v>0</v>
      </c>
      <c r="UFS15" s="63">
        <f t="shared" si="226"/>
        <v>0</v>
      </c>
      <c r="UFT15" s="63">
        <f t="shared" si="226"/>
        <v>0</v>
      </c>
      <c r="UFU15" s="63">
        <f t="shared" si="226"/>
        <v>0</v>
      </c>
      <c r="UFV15" s="63">
        <f t="shared" si="226"/>
        <v>0</v>
      </c>
      <c r="UFW15" s="63">
        <f t="shared" si="226"/>
        <v>0</v>
      </c>
      <c r="UFX15" s="63">
        <f t="shared" si="226"/>
        <v>0</v>
      </c>
      <c r="UFY15" s="63">
        <f t="shared" si="226"/>
        <v>0</v>
      </c>
      <c r="UFZ15" s="63">
        <f t="shared" si="226"/>
        <v>0</v>
      </c>
      <c r="UGA15" s="63">
        <f t="shared" si="226"/>
        <v>0</v>
      </c>
      <c r="UGB15" s="63">
        <f t="shared" si="226"/>
        <v>0</v>
      </c>
      <c r="UGC15" s="63">
        <f t="shared" si="226"/>
        <v>0</v>
      </c>
      <c r="UGD15" s="63">
        <f t="shared" si="226"/>
        <v>0</v>
      </c>
      <c r="UGE15" s="63">
        <f t="shared" si="226"/>
        <v>0</v>
      </c>
      <c r="UGF15" s="63">
        <f t="shared" si="226"/>
        <v>0</v>
      </c>
      <c r="UGG15" s="63">
        <f t="shared" si="226"/>
        <v>0</v>
      </c>
      <c r="UGH15" s="63">
        <f t="shared" si="226"/>
        <v>0</v>
      </c>
      <c r="UGI15" s="63">
        <f t="shared" si="226"/>
        <v>0</v>
      </c>
      <c r="UGJ15" s="63">
        <f t="shared" si="226"/>
        <v>0</v>
      </c>
      <c r="UGK15" s="63">
        <f t="shared" si="226"/>
        <v>0</v>
      </c>
      <c r="UGL15" s="63">
        <f t="shared" si="226"/>
        <v>0</v>
      </c>
      <c r="UGM15" s="63">
        <f t="shared" si="226"/>
        <v>0</v>
      </c>
      <c r="UGN15" s="63">
        <f t="shared" si="226"/>
        <v>0</v>
      </c>
      <c r="UGO15" s="63">
        <f t="shared" si="226"/>
        <v>0</v>
      </c>
      <c r="UGP15" s="63">
        <f t="shared" si="226"/>
        <v>0</v>
      </c>
      <c r="UGQ15" s="63">
        <f t="shared" si="226"/>
        <v>0</v>
      </c>
      <c r="UGR15" s="63">
        <f t="shared" si="226"/>
        <v>0</v>
      </c>
      <c r="UGS15" s="63">
        <f t="shared" si="226"/>
        <v>0</v>
      </c>
      <c r="UGT15" s="63">
        <f t="shared" si="226"/>
        <v>0</v>
      </c>
      <c r="UGU15" s="63">
        <f t="shared" si="226"/>
        <v>0</v>
      </c>
      <c r="UGV15" s="63">
        <f t="shared" si="226"/>
        <v>0</v>
      </c>
      <c r="UGW15" s="63">
        <f t="shared" si="226"/>
        <v>0</v>
      </c>
      <c r="UGX15" s="63">
        <f t="shared" si="226"/>
        <v>0</v>
      </c>
      <c r="UGY15" s="63">
        <f t="shared" si="226"/>
        <v>0</v>
      </c>
      <c r="UGZ15" s="63">
        <f t="shared" ref="UGZ15:UJK15" si="227">UGY18</f>
        <v>0</v>
      </c>
      <c r="UHA15" s="63">
        <f t="shared" si="227"/>
        <v>0</v>
      </c>
      <c r="UHB15" s="63">
        <f t="shared" si="227"/>
        <v>0</v>
      </c>
      <c r="UHC15" s="63">
        <f t="shared" si="227"/>
        <v>0</v>
      </c>
      <c r="UHD15" s="63">
        <f t="shared" si="227"/>
        <v>0</v>
      </c>
      <c r="UHE15" s="63">
        <f t="shared" si="227"/>
        <v>0</v>
      </c>
      <c r="UHF15" s="63">
        <f t="shared" si="227"/>
        <v>0</v>
      </c>
      <c r="UHG15" s="63">
        <f t="shared" si="227"/>
        <v>0</v>
      </c>
      <c r="UHH15" s="63">
        <f t="shared" si="227"/>
        <v>0</v>
      </c>
      <c r="UHI15" s="63">
        <f t="shared" si="227"/>
        <v>0</v>
      </c>
      <c r="UHJ15" s="63">
        <f t="shared" si="227"/>
        <v>0</v>
      </c>
      <c r="UHK15" s="63">
        <f t="shared" si="227"/>
        <v>0</v>
      </c>
      <c r="UHL15" s="63">
        <f t="shared" si="227"/>
        <v>0</v>
      </c>
      <c r="UHM15" s="63">
        <f t="shared" si="227"/>
        <v>0</v>
      </c>
      <c r="UHN15" s="63">
        <f t="shared" si="227"/>
        <v>0</v>
      </c>
      <c r="UHO15" s="63">
        <f t="shared" si="227"/>
        <v>0</v>
      </c>
      <c r="UHP15" s="63">
        <f t="shared" si="227"/>
        <v>0</v>
      </c>
      <c r="UHQ15" s="63">
        <f t="shared" si="227"/>
        <v>0</v>
      </c>
      <c r="UHR15" s="63">
        <f t="shared" si="227"/>
        <v>0</v>
      </c>
      <c r="UHS15" s="63">
        <f t="shared" si="227"/>
        <v>0</v>
      </c>
      <c r="UHT15" s="63">
        <f t="shared" si="227"/>
        <v>0</v>
      </c>
      <c r="UHU15" s="63">
        <f t="shared" si="227"/>
        <v>0</v>
      </c>
      <c r="UHV15" s="63">
        <f t="shared" si="227"/>
        <v>0</v>
      </c>
      <c r="UHW15" s="63">
        <f t="shared" si="227"/>
        <v>0</v>
      </c>
      <c r="UHX15" s="63">
        <f t="shared" si="227"/>
        <v>0</v>
      </c>
      <c r="UHY15" s="63">
        <f t="shared" si="227"/>
        <v>0</v>
      </c>
      <c r="UHZ15" s="63">
        <f t="shared" si="227"/>
        <v>0</v>
      </c>
      <c r="UIA15" s="63">
        <f t="shared" si="227"/>
        <v>0</v>
      </c>
      <c r="UIB15" s="63">
        <f t="shared" si="227"/>
        <v>0</v>
      </c>
      <c r="UIC15" s="63">
        <f t="shared" si="227"/>
        <v>0</v>
      </c>
      <c r="UID15" s="63">
        <f t="shared" si="227"/>
        <v>0</v>
      </c>
      <c r="UIE15" s="63">
        <f t="shared" si="227"/>
        <v>0</v>
      </c>
      <c r="UIF15" s="63">
        <f t="shared" si="227"/>
        <v>0</v>
      </c>
      <c r="UIG15" s="63">
        <f t="shared" si="227"/>
        <v>0</v>
      </c>
      <c r="UIH15" s="63">
        <f t="shared" si="227"/>
        <v>0</v>
      </c>
      <c r="UII15" s="63">
        <f t="shared" si="227"/>
        <v>0</v>
      </c>
      <c r="UIJ15" s="63">
        <f t="shared" si="227"/>
        <v>0</v>
      </c>
      <c r="UIK15" s="63">
        <f t="shared" si="227"/>
        <v>0</v>
      </c>
      <c r="UIL15" s="63">
        <f t="shared" si="227"/>
        <v>0</v>
      </c>
      <c r="UIM15" s="63">
        <f t="shared" si="227"/>
        <v>0</v>
      </c>
      <c r="UIN15" s="63">
        <f t="shared" si="227"/>
        <v>0</v>
      </c>
      <c r="UIO15" s="63">
        <f t="shared" si="227"/>
        <v>0</v>
      </c>
      <c r="UIP15" s="63">
        <f t="shared" si="227"/>
        <v>0</v>
      </c>
      <c r="UIQ15" s="63">
        <f t="shared" si="227"/>
        <v>0</v>
      </c>
      <c r="UIR15" s="63">
        <f t="shared" si="227"/>
        <v>0</v>
      </c>
      <c r="UIS15" s="63">
        <f t="shared" si="227"/>
        <v>0</v>
      </c>
      <c r="UIT15" s="63">
        <f t="shared" si="227"/>
        <v>0</v>
      </c>
      <c r="UIU15" s="63">
        <f t="shared" si="227"/>
        <v>0</v>
      </c>
      <c r="UIV15" s="63">
        <f t="shared" si="227"/>
        <v>0</v>
      </c>
      <c r="UIW15" s="63">
        <f t="shared" si="227"/>
        <v>0</v>
      </c>
      <c r="UIX15" s="63">
        <f t="shared" si="227"/>
        <v>0</v>
      </c>
      <c r="UIY15" s="63">
        <f t="shared" si="227"/>
        <v>0</v>
      </c>
      <c r="UIZ15" s="63">
        <f t="shared" si="227"/>
        <v>0</v>
      </c>
      <c r="UJA15" s="63">
        <f t="shared" si="227"/>
        <v>0</v>
      </c>
      <c r="UJB15" s="63">
        <f t="shared" si="227"/>
        <v>0</v>
      </c>
      <c r="UJC15" s="63">
        <f t="shared" si="227"/>
        <v>0</v>
      </c>
      <c r="UJD15" s="63">
        <f t="shared" si="227"/>
        <v>0</v>
      </c>
      <c r="UJE15" s="63">
        <f t="shared" si="227"/>
        <v>0</v>
      </c>
      <c r="UJF15" s="63">
        <f t="shared" si="227"/>
        <v>0</v>
      </c>
      <c r="UJG15" s="63">
        <f t="shared" si="227"/>
        <v>0</v>
      </c>
      <c r="UJH15" s="63">
        <f t="shared" si="227"/>
        <v>0</v>
      </c>
      <c r="UJI15" s="63">
        <f t="shared" si="227"/>
        <v>0</v>
      </c>
      <c r="UJJ15" s="63">
        <f t="shared" si="227"/>
        <v>0</v>
      </c>
      <c r="UJK15" s="63">
        <f t="shared" si="227"/>
        <v>0</v>
      </c>
      <c r="UJL15" s="63">
        <f t="shared" ref="UJL15:ULW15" si="228">UJK18</f>
        <v>0</v>
      </c>
      <c r="UJM15" s="63">
        <f t="shared" si="228"/>
        <v>0</v>
      </c>
      <c r="UJN15" s="63">
        <f t="shared" si="228"/>
        <v>0</v>
      </c>
      <c r="UJO15" s="63">
        <f t="shared" si="228"/>
        <v>0</v>
      </c>
      <c r="UJP15" s="63">
        <f t="shared" si="228"/>
        <v>0</v>
      </c>
      <c r="UJQ15" s="63">
        <f t="shared" si="228"/>
        <v>0</v>
      </c>
      <c r="UJR15" s="63">
        <f t="shared" si="228"/>
        <v>0</v>
      </c>
      <c r="UJS15" s="63">
        <f t="shared" si="228"/>
        <v>0</v>
      </c>
      <c r="UJT15" s="63">
        <f t="shared" si="228"/>
        <v>0</v>
      </c>
      <c r="UJU15" s="63">
        <f t="shared" si="228"/>
        <v>0</v>
      </c>
      <c r="UJV15" s="63">
        <f t="shared" si="228"/>
        <v>0</v>
      </c>
      <c r="UJW15" s="63">
        <f t="shared" si="228"/>
        <v>0</v>
      </c>
      <c r="UJX15" s="63">
        <f t="shared" si="228"/>
        <v>0</v>
      </c>
      <c r="UJY15" s="63">
        <f t="shared" si="228"/>
        <v>0</v>
      </c>
      <c r="UJZ15" s="63">
        <f t="shared" si="228"/>
        <v>0</v>
      </c>
      <c r="UKA15" s="63">
        <f t="shared" si="228"/>
        <v>0</v>
      </c>
      <c r="UKB15" s="63">
        <f t="shared" si="228"/>
        <v>0</v>
      </c>
      <c r="UKC15" s="63">
        <f t="shared" si="228"/>
        <v>0</v>
      </c>
      <c r="UKD15" s="63">
        <f t="shared" si="228"/>
        <v>0</v>
      </c>
      <c r="UKE15" s="63">
        <f t="shared" si="228"/>
        <v>0</v>
      </c>
      <c r="UKF15" s="63">
        <f t="shared" si="228"/>
        <v>0</v>
      </c>
      <c r="UKG15" s="63">
        <f t="shared" si="228"/>
        <v>0</v>
      </c>
      <c r="UKH15" s="63">
        <f t="shared" si="228"/>
        <v>0</v>
      </c>
      <c r="UKI15" s="63">
        <f t="shared" si="228"/>
        <v>0</v>
      </c>
      <c r="UKJ15" s="63">
        <f t="shared" si="228"/>
        <v>0</v>
      </c>
      <c r="UKK15" s="63">
        <f t="shared" si="228"/>
        <v>0</v>
      </c>
      <c r="UKL15" s="63">
        <f t="shared" si="228"/>
        <v>0</v>
      </c>
      <c r="UKM15" s="63">
        <f t="shared" si="228"/>
        <v>0</v>
      </c>
      <c r="UKN15" s="63">
        <f t="shared" si="228"/>
        <v>0</v>
      </c>
      <c r="UKO15" s="63">
        <f t="shared" si="228"/>
        <v>0</v>
      </c>
      <c r="UKP15" s="63">
        <f t="shared" si="228"/>
        <v>0</v>
      </c>
      <c r="UKQ15" s="63">
        <f t="shared" si="228"/>
        <v>0</v>
      </c>
      <c r="UKR15" s="63">
        <f t="shared" si="228"/>
        <v>0</v>
      </c>
      <c r="UKS15" s="63">
        <f t="shared" si="228"/>
        <v>0</v>
      </c>
      <c r="UKT15" s="63">
        <f t="shared" si="228"/>
        <v>0</v>
      </c>
      <c r="UKU15" s="63">
        <f t="shared" si="228"/>
        <v>0</v>
      </c>
      <c r="UKV15" s="63">
        <f t="shared" si="228"/>
        <v>0</v>
      </c>
      <c r="UKW15" s="63">
        <f t="shared" si="228"/>
        <v>0</v>
      </c>
      <c r="UKX15" s="63">
        <f t="shared" si="228"/>
        <v>0</v>
      </c>
      <c r="UKY15" s="63">
        <f t="shared" si="228"/>
        <v>0</v>
      </c>
      <c r="UKZ15" s="63">
        <f t="shared" si="228"/>
        <v>0</v>
      </c>
      <c r="ULA15" s="63">
        <f t="shared" si="228"/>
        <v>0</v>
      </c>
      <c r="ULB15" s="63">
        <f t="shared" si="228"/>
        <v>0</v>
      </c>
      <c r="ULC15" s="63">
        <f t="shared" si="228"/>
        <v>0</v>
      </c>
      <c r="ULD15" s="63">
        <f t="shared" si="228"/>
        <v>0</v>
      </c>
      <c r="ULE15" s="63">
        <f t="shared" si="228"/>
        <v>0</v>
      </c>
      <c r="ULF15" s="63">
        <f t="shared" si="228"/>
        <v>0</v>
      </c>
      <c r="ULG15" s="63">
        <f t="shared" si="228"/>
        <v>0</v>
      </c>
      <c r="ULH15" s="63">
        <f t="shared" si="228"/>
        <v>0</v>
      </c>
      <c r="ULI15" s="63">
        <f t="shared" si="228"/>
        <v>0</v>
      </c>
      <c r="ULJ15" s="63">
        <f t="shared" si="228"/>
        <v>0</v>
      </c>
      <c r="ULK15" s="63">
        <f t="shared" si="228"/>
        <v>0</v>
      </c>
      <c r="ULL15" s="63">
        <f t="shared" si="228"/>
        <v>0</v>
      </c>
      <c r="ULM15" s="63">
        <f t="shared" si="228"/>
        <v>0</v>
      </c>
      <c r="ULN15" s="63">
        <f t="shared" si="228"/>
        <v>0</v>
      </c>
      <c r="ULO15" s="63">
        <f t="shared" si="228"/>
        <v>0</v>
      </c>
      <c r="ULP15" s="63">
        <f t="shared" si="228"/>
        <v>0</v>
      </c>
      <c r="ULQ15" s="63">
        <f t="shared" si="228"/>
        <v>0</v>
      </c>
      <c r="ULR15" s="63">
        <f t="shared" si="228"/>
        <v>0</v>
      </c>
      <c r="ULS15" s="63">
        <f t="shared" si="228"/>
        <v>0</v>
      </c>
      <c r="ULT15" s="63">
        <f t="shared" si="228"/>
        <v>0</v>
      </c>
      <c r="ULU15" s="63">
        <f t="shared" si="228"/>
        <v>0</v>
      </c>
      <c r="ULV15" s="63">
        <f t="shared" si="228"/>
        <v>0</v>
      </c>
      <c r="ULW15" s="63">
        <f t="shared" si="228"/>
        <v>0</v>
      </c>
      <c r="ULX15" s="63">
        <f t="shared" ref="ULX15:UOI15" si="229">ULW18</f>
        <v>0</v>
      </c>
      <c r="ULY15" s="63">
        <f t="shared" si="229"/>
        <v>0</v>
      </c>
      <c r="ULZ15" s="63">
        <f t="shared" si="229"/>
        <v>0</v>
      </c>
      <c r="UMA15" s="63">
        <f t="shared" si="229"/>
        <v>0</v>
      </c>
      <c r="UMB15" s="63">
        <f t="shared" si="229"/>
        <v>0</v>
      </c>
      <c r="UMC15" s="63">
        <f t="shared" si="229"/>
        <v>0</v>
      </c>
      <c r="UMD15" s="63">
        <f t="shared" si="229"/>
        <v>0</v>
      </c>
      <c r="UME15" s="63">
        <f t="shared" si="229"/>
        <v>0</v>
      </c>
      <c r="UMF15" s="63">
        <f t="shared" si="229"/>
        <v>0</v>
      </c>
      <c r="UMG15" s="63">
        <f t="shared" si="229"/>
        <v>0</v>
      </c>
      <c r="UMH15" s="63">
        <f t="shared" si="229"/>
        <v>0</v>
      </c>
      <c r="UMI15" s="63">
        <f t="shared" si="229"/>
        <v>0</v>
      </c>
      <c r="UMJ15" s="63">
        <f t="shared" si="229"/>
        <v>0</v>
      </c>
      <c r="UMK15" s="63">
        <f t="shared" si="229"/>
        <v>0</v>
      </c>
      <c r="UML15" s="63">
        <f t="shared" si="229"/>
        <v>0</v>
      </c>
      <c r="UMM15" s="63">
        <f t="shared" si="229"/>
        <v>0</v>
      </c>
      <c r="UMN15" s="63">
        <f t="shared" si="229"/>
        <v>0</v>
      </c>
      <c r="UMO15" s="63">
        <f t="shared" si="229"/>
        <v>0</v>
      </c>
      <c r="UMP15" s="63">
        <f t="shared" si="229"/>
        <v>0</v>
      </c>
      <c r="UMQ15" s="63">
        <f t="shared" si="229"/>
        <v>0</v>
      </c>
      <c r="UMR15" s="63">
        <f t="shared" si="229"/>
        <v>0</v>
      </c>
      <c r="UMS15" s="63">
        <f t="shared" si="229"/>
        <v>0</v>
      </c>
      <c r="UMT15" s="63">
        <f t="shared" si="229"/>
        <v>0</v>
      </c>
      <c r="UMU15" s="63">
        <f t="shared" si="229"/>
        <v>0</v>
      </c>
      <c r="UMV15" s="63">
        <f t="shared" si="229"/>
        <v>0</v>
      </c>
      <c r="UMW15" s="63">
        <f t="shared" si="229"/>
        <v>0</v>
      </c>
      <c r="UMX15" s="63">
        <f t="shared" si="229"/>
        <v>0</v>
      </c>
      <c r="UMY15" s="63">
        <f t="shared" si="229"/>
        <v>0</v>
      </c>
      <c r="UMZ15" s="63">
        <f t="shared" si="229"/>
        <v>0</v>
      </c>
      <c r="UNA15" s="63">
        <f t="shared" si="229"/>
        <v>0</v>
      </c>
      <c r="UNB15" s="63">
        <f t="shared" si="229"/>
        <v>0</v>
      </c>
      <c r="UNC15" s="63">
        <f t="shared" si="229"/>
        <v>0</v>
      </c>
      <c r="UND15" s="63">
        <f t="shared" si="229"/>
        <v>0</v>
      </c>
      <c r="UNE15" s="63">
        <f t="shared" si="229"/>
        <v>0</v>
      </c>
      <c r="UNF15" s="63">
        <f t="shared" si="229"/>
        <v>0</v>
      </c>
      <c r="UNG15" s="63">
        <f t="shared" si="229"/>
        <v>0</v>
      </c>
      <c r="UNH15" s="63">
        <f t="shared" si="229"/>
        <v>0</v>
      </c>
      <c r="UNI15" s="63">
        <f t="shared" si="229"/>
        <v>0</v>
      </c>
      <c r="UNJ15" s="63">
        <f t="shared" si="229"/>
        <v>0</v>
      </c>
      <c r="UNK15" s="63">
        <f t="shared" si="229"/>
        <v>0</v>
      </c>
      <c r="UNL15" s="63">
        <f t="shared" si="229"/>
        <v>0</v>
      </c>
      <c r="UNM15" s="63">
        <f t="shared" si="229"/>
        <v>0</v>
      </c>
      <c r="UNN15" s="63">
        <f t="shared" si="229"/>
        <v>0</v>
      </c>
      <c r="UNO15" s="63">
        <f t="shared" si="229"/>
        <v>0</v>
      </c>
      <c r="UNP15" s="63">
        <f t="shared" si="229"/>
        <v>0</v>
      </c>
      <c r="UNQ15" s="63">
        <f t="shared" si="229"/>
        <v>0</v>
      </c>
      <c r="UNR15" s="63">
        <f t="shared" si="229"/>
        <v>0</v>
      </c>
      <c r="UNS15" s="63">
        <f t="shared" si="229"/>
        <v>0</v>
      </c>
      <c r="UNT15" s="63">
        <f t="shared" si="229"/>
        <v>0</v>
      </c>
      <c r="UNU15" s="63">
        <f t="shared" si="229"/>
        <v>0</v>
      </c>
      <c r="UNV15" s="63">
        <f t="shared" si="229"/>
        <v>0</v>
      </c>
      <c r="UNW15" s="63">
        <f t="shared" si="229"/>
        <v>0</v>
      </c>
      <c r="UNX15" s="63">
        <f t="shared" si="229"/>
        <v>0</v>
      </c>
      <c r="UNY15" s="63">
        <f t="shared" si="229"/>
        <v>0</v>
      </c>
      <c r="UNZ15" s="63">
        <f t="shared" si="229"/>
        <v>0</v>
      </c>
      <c r="UOA15" s="63">
        <f t="shared" si="229"/>
        <v>0</v>
      </c>
      <c r="UOB15" s="63">
        <f t="shared" si="229"/>
        <v>0</v>
      </c>
      <c r="UOC15" s="63">
        <f t="shared" si="229"/>
        <v>0</v>
      </c>
      <c r="UOD15" s="63">
        <f t="shared" si="229"/>
        <v>0</v>
      </c>
      <c r="UOE15" s="63">
        <f t="shared" si="229"/>
        <v>0</v>
      </c>
      <c r="UOF15" s="63">
        <f t="shared" si="229"/>
        <v>0</v>
      </c>
      <c r="UOG15" s="63">
        <f t="shared" si="229"/>
        <v>0</v>
      </c>
      <c r="UOH15" s="63">
        <f t="shared" si="229"/>
        <v>0</v>
      </c>
      <c r="UOI15" s="63">
        <f t="shared" si="229"/>
        <v>0</v>
      </c>
      <c r="UOJ15" s="63">
        <f t="shared" ref="UOJ15:UQU15" si="230">UOI18</f>
        <v>0</v>
      </c>
      <c r="UOK15" s="63">
        <f t="shared" si="230"/>
        <v>0</v>
      </c>
      <c r="UOL15" s="63">
        <f t="shared" si="230"/>
        <v>0</v>
      </c>
      <c r="UOM15" s="63">
        <f t="shared" si="230"/>
        <v>0</v>
      </c>
      <c r="UON15" s="63">
        <f t="shared" si="230"/>
        <v>0</v>
      </c>
      <c r="UOO15" s="63">
        <f t="shared" si="230"/>
        <v>0</v>
      </c>
      <c r="UOP15" s="63">
        <f t="shared" si="230"/>
        <v>0</v>
      </c>
      <c r="UOQ15" s="63">
        <f t="shared" si="230"/>
        <v>0</v>
      </c>
      <c r="UOR15" s="63">
        <f t="shared" si="230"/>
        <v>0</v>
      </c>
      <c r="UOS15" s="63">
        <f t="shared" si="230"/>
        <v>0</v>
      </c>
      <c r="UOT15" s="63">
        <f t="shared" si="230"/>
        <v>0</v>
      </c>
      <c r="UOU15" s="63">
        <f t="shared" si="230"/>
        <v>0</v>
      </c>
      <c r="UOV15" s="63">
        <f t="shared" si="230"/>
        <v>0</v>
      </c>
      <c r="UOW15" s="63">
        <f t="shared" si="230"/>
        <v>0</v>
      </c>
      <c r="UOX15" s="63">
        <f t="shared" si="230"/>
        <v>0</v>
      </c>
      <c r="UOY15" s="63">
        <f t="shared" si="230"/>
        <v>0</v>
      </c>
      <c r="UOZ15" s="63">
        <f t="shared" si="230"/>
        <v>0</v>
      </c>
      <c r="UPA15" s="63">
        <f t="shared" si="230"/>
        <v>0</v>
      </c>
      <c r="UPB15" s="63">
        <f t="shared" si="230"/>
        <v>0</v>
      </c>
      <c r="UPC15" s="63">
        <f t="shared" si="230"/>
        <v>0</v>
      </c>
      <c r="UPD15" s="63">
        <f t="shared" si="230"/>
        <v>0</v>
      </c>
      <c r="UPE15" s="63">
        <f t="shared" si="230"/>
        <v>0</v>
      </c>
      <c r="UPF15" s="63">
        <f t="shared" si="230"/>
        <v>0</v>
      </c>
      <c r="UPG15" s="63">
        <f t="shared" si="230"/>
        <v>0</v>
      </c>
      <c r="UPH15" s="63">
        <f t="shared" si="230"/>
        <v>0</v>
      </c>
      <c r="UPI15" s="63">
        <f t="shared" si="230"/>
        <v>0</v>
      </c>
      <c r="UPJ15" s="63">
        <f t="shared" si="230"/>
        <v>0</v>
      </c>
      <c r="UPK15" s="63">
        <f t="shared" si="230"/>
        <v>0</v>
      </c>
      <c r="UPL15" s="63">
        <f t="shared" si="230"/>
        <v>0</v>
      </c>
      <c r="UPM15" s="63">
        <f t="shared" si="230"/>
        <v>0</v>
      </c>
      <c r="UPN15" s="63">
        <f t="shared" si="230"/>
        <v>0</v>
      </c>
      <c r="UPO15" s="63">
        <f t="shared" si="230"/>
        <v>0</v>
      </c>
      <c r="UPP15" s="63">
        <f t="shared" si="230"/>
        <v>0</v>
      </c>
      <c r="UPQ15" s="63">
        <f t="shared" si="230"/>
        <v>0</v>
      </c>
      <c r="UPR15" s="63">
        <f t="shared" si="230"/>
        <v>0</v>
      </c>
      <c r="UPS15" s="63">
        <f t="shared" si="230"/>
        <v>0</v>
      </c>
      <c r="UPT15" s="63">
        <f t="shared" si="230"/>
        <v>0</v>
      </c>
      <c r="UPU15" s="63">
        <f t="shared" si="230"/>
        <v>0</v>
      </c>
      <c r="UPV15" s="63">
        <f t="shared" si="230"/>
        <v>0</v>
      </c>
      <c r="UPW15" s="63">
        <f t="shared" si="230"/>
        <v>0</v>
      </c>
      <c r="UPX15" s="63">
        <f t="shared" si="230"/>
        <v>0</v>
      </c>
      <c r="UPY15" s="63">
        <f t="shared" si="230"/>
        <v>0</v>
      </c>
      <c r="UPZ15" s="63">
        <f t="shared" si="230"/>
        <v>0</v>
      </c>
      <c r="UQA15" s="63">
        <f t="shared" si="230"/>
        <v>0</v>
      </c>
      <c r="UQB15" s="63">
        <f t="shared" si="230"/>
        <v>0</v>
      </c>
      <c r="UQC15" s="63">
        <f t="shared" si="230"/>
        <v>0</v>
      </c>
      <c r="UQD15" s="63">
        <f t="shared" si="230"/>
        <v>0</v>
      </c>
      <c r="UQE15" s="63">
        <f t="shared" si="230"/>
        <v>0</v>
      </c>
      <c r="UQF15" s="63">
        <f t="shared" si="230"/>
        <v>0</v>
      </c>
      <c r="UQG15" s="63">
        <f t="shared" si="230"/>
        <v>0</v>
      </c>
      <c r="UQH15" s="63">
        <f t="shared" si="230"/>
        <v>0</v>
      </c>
      <c r="UQI15" s="63">
        <f t="shared" si="230"/>
        <v>0</v>
      </c>
      <c r="UQJ15" s="63">
        <f t="shared" si="230"/>
        <v>0</v>
      </c>
      <c r="UQK15" s="63">
        <f t="shared" si="230"/>
        <v>0</v>
      </c>
      <c r="UQL15" s="63">
        <f t="shared" si="230"/>
        <v>0</v>
      </c>
      <c r="UQM15" s="63">
        <f t="shared" si="230"/>
        <v>0</v>
      </c>
      <c r="UQN15" s="63">
        <f t="shared" si="230"/>
        <v>0</v>
      </c>
      <c r="UQO15" s="63">
        <f t="shared" si="230"/>
        <v>0</v>
      </c>
      <c r="UQP15" s="63">
        <f t="shared" si="230"/>
        <v>0</v>
      </c>
      <c r="UQQ15" s="63">
        <f t="shared" si="230"/>
        <v>0</v>
      </c>
      <c r="UQR15" s="63">
        <f t="shared" si="230"/>
        <v>0</v>
      </c>
      <c r="UQS15" s="63">
        <f t="shared" si="230"/>
        <v>0</v>
      </c>
      <c r="UQT15" s="63">
        <f t="shared" si="230"/>
        <v>0</v>
      </c>
      <c r="UQU15" s="63">
        <f t="shared" si="230"/>
        <v>0</v>
      </c>
      <c r="UQV15" s="63">
        <f t="shared" ref="UQV15:UTG15" si="231">UQU18</f>
        <v>0</v>
      </c>
      <c r="UQW15" s="63">
        <f t="shared" si="231"/>
        <v>0</v>
      </c>
      <c r="UQX15" s="63">
        <f t="shared" si="231"/>
        <v>0</v>
      </c>
      <c r="UQY15" s="63">
        <f t="shared" si="231"/>
        <v>0</v>
      </c>
      <c r="UQZ15" s="63">
        <f t="shared" si="231"/>
        <v>0</v>
      </c>
      <c r="URA15" s="63">
        <f t="shared" si="231"/>
        <v>0</v>
      </c>
      <c r="URB15" s="63">
        <f t="shared" si="231"/>
        <v>0</v>
      </c>
      <c r="URC15" s="63">
        <f t="shared" si="231"/>
        <v>0</v>
      </c>
      <c r="URD15" s="63">
        <f t="shared" si="231"/>
        <v>0</v>
      </c>
      <c r="URE15" s="63">
        <f t="shared" si="231"/>
        <v>0</v>
      </c>
      <c r="URF15" s="63">
        <f t="shared" si="231"/>
        <v>0</v>
      </c>
      <c r="URG15" s="63">
        <f t="shared" si="231"/>
        <v>0</v>
      </c>
      <c r="URH15" s="63">
        <f t="shared" si="231"/>
        <v>0</v>
      </c>
      <c r="URI15" s="63">
        <f t="shared" si="231"/>
        <v>0</v>
      </c>
      <c r="URJ15" s="63">
        <f t="shared" si="231"/>
        <v>0</v>
      </c>
      <c r="URK15" s="63">
        <f t="shared" si="231"/>
        <v>0</v>
      </c>
      <c r="URL15" s="63">
        <f t="shared" si="231"/>
        <v>0</v>
      </c>
      <c r="URM15" s="63">
        <f t="shared" si="231"/>
        <v>0</v>
      </c>
      <c r="URN15" s="63">
        <f t="shared" si="231"/>
        <v>0</v>
      </c>
      <c r="URO15" s="63">
        <f t="shared" si="231"/>
        <v>0</v>
      </c>
      <c r="URP15" s="63">
        <f t="shared" si="231"/>
        <v>0</v>
      </c>
      <c r="URQ15" s="63">
        <f t="shared" si="231"/>
        <v>0</v>
      </c>
      <c r="URR15" s="63">
        <f t="shared" si="231"/>
        <v>0</v>
      </c>
      <c r="URS15" s="63">
        <f t="shared" si="231"/>
        <v>0</v>
      </c>
      <c r="URT15" s="63">
        <f t="shared" si="231"/>
        <v>0</v>
      </c>
      <c r="URU15" s="63">
        <f t="shared" si="231"/>
        <v>0</v>
      </c>
      <c r="URV15" s="63">
        <f t="shared" si="231"/>
        <v>0</v>
      </c>
      <c r="URW15" s="63">
        <f t="shared" si="231"/>
        <v>0</v>
      </c>
      <c r="URX15" s="63">
        <f t="shared" si="231"/>
        <v>0</v>
      </c>
      <c r="URY15" s="63">
        <f t="shared" si="231"/>
        <v>0</v>
      </c>
      <c r="URZ15" s="63">
        <f t="shared" si="231"/>
        <v>0</v>
      </c>
      <c r="USA15" s="63">
        <f t="shared" si="231"/>
        <v>0</v>
      </c>
      <c r="USB15" s="63">
        <f t="shared" si="231"/>
        <v>0</v>
      </c>
      <c r="USC15" s="63">
        <f t="shared" si="231"/>
        <v>0</v>
      </c>
      <c r="USD15" s="63">
        <f t="shared" si="231"/>
        <v>0</v>
      </c>
      <c r="USE15" s="63">
        <f t="shared" si="231"/>
        <v>0</v>
      </c>
      <c r="USF15" s="63">
        <f t="shared" si="231"/>
        <v>0</v>
      </c>
      <c r="USG15" s="63">
        <f t="shared" si="231"/>
        <v>0</v>
      </c>
      <c r="USH15" s="63">
        <f t="shared" si="231"/>
        <v>0</v>
      </c>
      <c r="USI15" s="63">
        <f t="shared" si="231"/>
        <v>0</v>
      </c>
      <c r="USJ15" s="63">
        <f t="shared" si="231"/>
        <v>0</v>
      </c>
      <c r="USK15" s="63">
        <f t="shared" si="231"/>
        <v>0</v>
      </c>
      <c r="USL15" s="63">
        <f t="shared" si="231"/>
        <v>0</v>
      </c>
      <c r="USM15" s="63">
        <f t="shared" si="231"/>
        <v>0</v>
      </c>
      <c r="USN15" s="63">
        <f t="shared" si="231"/>
        <v>0</v>
      </c>
      <c r="USO15" s="63">
        <f t="shared" si="231"/>
        <v>0</v>
      </c>
      <c r="USP15" s="63">
        <f t="shared" si="231"/>
        <v>0</v>
      </c>
      <c r="USQ15" s="63">
        <f t="shared" si="231"/>
        <v>0</v>
      </c>
      <c r="USR15" s="63">
        <f t="shared" si="231"/>
        <v>0</v>
      </c>
      <c r="USS15" s="63">
        <f t="shared" si="231"/>
        <v>0</v>
      </c>
      <c r="UST15" s="63">
        <f t="shared" si="231"/>
        <v>0</v>
      </c>
      <c r="USU15" s="63">
        <f t="shared" si="231"/>
        <v>0</v>
      </c>
      <c r="USV15" s="63">
        <f t="shared" si="231"/>
        <v>0</v>
      </c>
      <c r="USW15" s="63">
        <f t="shared" si="231"/>
        <v>0</v>
      </c>
      <c r="USX15" s="63">
        <f t="shared" si="231"/>
        <v>0</v>
      </c>
      <c r="USY15" s="63">
        <f t="shared" si="231"/>
        <v>0</v>
      </c>
      <c r="USZ15" s="63">
        <f t="shared" si="231"/>
        <v>0</v>
      </c>
      <c r="UTA15" s="63">
        <f t="shared" si="231"/>
        <v>0</v>
      </c>
      <c r="UTB15" s="63">
        <f t="shared" si="231"/>
        <v>0</v>
      </c>
      <c r="UTC15" s="63">
        <f t="shared" si="231"/>
        <v>0</v>
      </c>
      <c r="UTD15" s="63">
        <f t="shared" si="231"/>
        <v>0</v>
      </c>
      <c r="UTE15" s="63">
        <f t="shared" si="231"/>
        <v>0</v>
      </c>
      <c r="UTF15" s="63">
        <f t="shared" si="231"/>
        <v>0</v>
      </c>
      <c r="UTG15" s="63">
        <f t="shared" si="231"/>
        <v>0</v>
      </c>
      <c r="UTH15" s="63">
        <f t="shared" ref="UTH15:UVS15" si="232">UTG18</f>
        <v>0</v>
      </c>
      <c r="UTI15" s="63">
        <f t="shared" si="232"/>
        <v>0</v>
      </c>
      <c r="UTJ15" s="63">
        <f t="shared" si="232"/>
        <v>0</v>
      </c>
      <c r="UTK15" s="63">
        <f t="shared" si="232"/>
        <v>0</v>
      </c>
      <c r="UTL15" s="63">
        <f t="shared" si="232"/>
        <v>0</v>
      </c>
      <c r="UTM15" s="63">
        <f t="shared" si="232"/>
        <v>0</v>
      </c>
      <c r="UTN15" s="63">
        <f t="shared" si="232"/>
        <v>0</v>
      </c>
      <c r="UTO15" s="63">
        <f t="shared" si="232"/>
        <v>0</v>
      </c>
      <c r="UTP15" s="63">
        <f t="shared" si="232"/>
        <v>0</v>
      </c>
      <c r="UTQ15" s="63">
        <f t="shared" si="232"/>
        <v>0</v>
      </c>
      <c r="UTR15" s="63">
        <f t="shared" si="232"/>
        <v>0</v>
      </c>
      <c r="UTS15" s="63">
        <f t="shared" si="232"/>
        <v>0</v>
      </c>
      <c r="UTT15" s="63">
        <f t="shared" si="232"/>
        <v>0</v>
      </c>
      <c r="UTU15" s="63">
        <f t="shared" si="232"/>
        <v>0</v>
      </c>
      <c r="UTV15" s="63">
        <f t="shared" si="232"/>
        <v>0</v>
      </c>
      <c r="UTW15" s="63">
        <f t="shared" si="232"/>
        <v>0</v>
      </c>
      <c r="UTX15" s="63">
        <f t="shared" si="232"/>
        <v>0</v>
      </c>
      <c r="UTY15" s="63">
        <f t="shared" si="232"/>
        <v>0</v>
      </c>
      <c r="UTZ15" s="63">
        <f t="shared" si="232"/>
        <v>0</v>
      </c>
      <c r="UUA15" s="63">
        <f t="shared" si="232"/>
        <v>0</v>
      </c>
      <c r="UUB15" s="63">
        <f t="shared" si="232"/>
        <v>0</v>
      </c>
      <c r="UUC15" s="63">
        <f t="shared" si="232"/>
        <v>0</v>
      </c>
      <c r="UUD15" s="63">
        <f t="shared" si="232"/>
        <v>0</v>
      </c>
      <c r="UUE15" s="63">
        <f t="shared" si="232"/>
        <v>0</v>
      </c>
      <c r="UUF15" s="63">
        <f t="shared" si="232"/>
        <v>0</v>
      </c>
      <c r="UUG15" s="63">
        <f t="shared" si="232"/>
        <v>0</v>
      </c>
      <c r="UUH15" s="63">
        <f t="shared" si="232"/>
        <v>0</v>
      </c>
      <c r="UUI15" s="63">
        <f t="shared" si="232"/>
        <v>0</v>
      </c>
      <c r="UUJ15" s="63">
        <f t="shared" si="232"/>
        <v>0</v>
      </c>
      <c r="UUK15" s="63">
        <f t="shared" si="232"/>
        <v>0</v>
      </c>
      <c r="UUL15" s="63">
        <f t="shared" si="232"/>
        <v>0</v>
      </c>
      <c r="UUM15" s="63">
        <f t="shared" si="232"/>
        <v>0</v>
      </c>
      <c r="UUN15" s="63">
        <f t="shared" si="232"/>
        <v>0</v>
      </c>
      <c r="UUO15" s="63">
        <f t="shared" si="232"/>
        <v>0</v>
      </c>
      <c r="UUP15" s="63">
        <f t="shared" si="232"/>
        <v>0</v>
      </c>
      <c r="UUQ15" s="63">
        <f t="shared" si="232"/>
        <v>0</v>
      </c>
      <c r="UUR15" s="63">
        <f t="shared" si="232"/>
        <v>0</v>
      </c>
      <c r="UUS15" s="63">
        <f t="shared" si="232"/>
        <v>0</v>
      </c>
      <c r="UUT15" s="63">
        <f t="shared" si="232"/>
        <v>0</v>
      </c>
      <c r="UUU15" s="63">
        <f t="shared" si="232"/>
        <v>0</v>
      </c>
      <c r="UUV15" s="63">
        <f t="shared" si="232"/>
        <v>0</v>
      </c>
      <c r="UUW15" s="63">
        <f t="shared" si="232"/>
        <v>0</v>
      </c>
      <c r="UUX15" s="63">
        <f t="shared" si="232"/>
        <v>0</v>
      </c>
      <c r="UUY15" s="63">
        <f t="shared" si="232"/>
        <v>0</v>
      </c>
      <c r="UUZ15" s="63">
        <f t="shared" si="232"/>
        <v>0</v>
      </c>
      <c r="UVA15" s="63">
        <f t="shared" si="232"/>
        <v>0</v>
      </c>
      <c r="UVB15" s="63">
        <f t="shared" si="232"/>
        <v>0</v>
      </c>
      <c r="UVC15" s="63">
        <f t="shared" si="232"/>
        <v>0</v>
      </c>
      <c r="UVD15" s="63">
        <f t="shared" si="232"/>
        <v>0</v>
      </c>
      <c r="UVE15" s="63">
        <f t="shared" si="232"/>
        <v>0</v>
      </c>
      <c r="UVF15" s="63">
        <f t="shared" si="232"/>
        <v>0</v>
      </c>
      <c r="UVG15" s="63">
        <f t="shared" si="232"/>
        <v>0</v>
      </c>
      <c r="UVH15" s="63">
        <f t="shared" si="232"/>
        <v>0</v>
      </c>
      <c r="UVI15" s="63">
        <f t="shared" si="232"/>
        <v>0</v>
      </c>
      <c r="UVJ15" s="63">
        <f t="shared" si="232"/>
        <v>0</v>
      </c>
      <c r="UVK15" s="63">
        <f t="shared" si="232"/>
        <v>0</v>
      </c>
      <c r="UVL15" s="63">
        <f t="shared" si="232"/>
        <v>0</v>
      </c>
      <c r="UVM15" s="63">
        <f t="shared" si="232"/>
        <v>0</v>
      </c>
      <c r="UVN15" s="63">
        <f t="shared" si="232"/>
        <v>0</v>
      </c>
      <c r="UVO15" s="63">
        <f t="shared" si="232"/>
        <v>0</v>
      </c>
      <c r="UVP15" s="63">
        <f t="shared" si="232"/>
        <v>0</v>
      </c>
      <c r="UVQ15" s="63">
        <f t="shared" si="232"/>
        <v>0</v>
      </c>
      <c r="UVR15" s="63">
        <f t="shared" si="232"/>
        <v>0</v>
      </c>
      <c r="UVS15" s="63">
        <f t="shared" si="232"/>
        <v>0</v>
      </c>
      <c r="UVT15" s="63">
        <f t="shared" ref="UVT15:UYE15" si="233">UVS18</f>
        <v>0</v>
      </c>
      <c r="UVU15" s="63">
        <f t="shared" si="233"/>
        <v>0</v>
      </c>
      <c r="UVV15" s="63">
        <f t="shared" si="233"/>
        <v>0</v>
      </c>
      <c r="UVW15" s="63">
        <f t="shared" si="233"/>
        <v>0</v>
      </c>
      <c r="UVX15" s="63">
        <f t="shared" si="233"/>
        <v>0</v>
      </c>
      <c r="UVY15" s="63">
        <f t="shared" si="233"/>
        <v>0</v>
      </c>
      <c r="UVZ15" s="63">
        <f t="shared" si="233"/>
        <v>0</v>
      </c>
      <c r="UWA15" s="63">
        <f t="shared" si="233"/>
        <v>0</v>
      </c>
      <c r="UWB15" s="63">
        <f t="shared" si="233"/>
        <v>0</v>
      </c>
      <c r="UWC15" s="63">
        <f t="shared" si="233"/>
        <v>0</v>
      </c>
      <c r="UWD15" s="63">
        <f t="shared" si="233"/>
        <v>0</v>
      </c>
      <c r="UWE15" s="63">
        <f t="shared" si="233"/>
        <v>0</v>
      </c>
      <c r="UWF15" s="63">
        <f t="shared" si="233"/>
        <v>0</v>
      </c>
      <c r="UWG15" s="63">
        <f t="shared" si="233"/>
        <v>0</v>
      </c>
      <c r="UWH15" s="63">
        <f t="shared" si="233"/>
        <v>0</v>
      </c>
      <c r="UWI15" s="63">
        <f t="shared" si="233"/>
        <v>0</v>
      </c>
      <c r="UWJ15" s="63">
        <f t="shared" si="233"/>
        <v>0</v>
      </c>
      <c r="UWK15" s="63">
        <f t="shared" si="233"/>
        <v>0</v>
      </c>
      <c r="UWL15" s="63">
        <f t="shared" si="233"/>
        <v>0</v>
      </c>
      <c r="UWM15" s="63">
        <f t="shared" si="233"/>
        <v>0</v>
      </c>
      <c r="UWN15" s="63">
        <f t="shared" si="233"/>
        <v>0</v>
      </c>
      <c r="UWO15" s="63">
        <f t="shared" si="233"/>
        <v>0</v>
      </c>
      <c r="UWP15" s="63">
        <f t="shared" si="233"/>
        <v>0</v>
      </c>
      <c r="UWQ15" s="63">
        <f t="shared" si="233"/>
        <v>0</v>
      </c>
      <c r="UWR15" s="63">
        <f t="shared" si="233"/>
        <v>0</v>
      </c>
      <c r="UWS15" s="63">
        <f t="shared" si="233"/>
        <v>0</v>
      </c>
      <c r="UWT15" s="63">
        <f t="shared" si="233"/>
        <v>0</v>
      </c>
      <c r="UWU15" s="63">
        <f t="shared" si="233"/>
        <v>0</v>
      </c>
      <c r="UWV15" s="63">
        <f t="shared" si="233"/>
        <v>0</v>
      </c>
      <c r="UWW15" s="63">
        <f t="shared" si="233"/>
        <v>0</v>
      </c>
      <c r="UWX15" s="63">
        <f t="shared" si="233"/>
        <v>0</v>
      </c>
      <c r="UWY15" s="63">
        <f t="shared" si="233"/>
        <v>0</v>
      </c>
      <c r="UWZ15" s="63">
        <f t="shared" si="233"/>
        <v>0</v>
      </c>
      <c r="UXA15" s="63">
        <f t="shared" si="233"/>
        <v>0</v>
      </c>
      <c r="UXB15" s="63">
        <f t="shared" si="233"/>
        <v>0</v>
      </c>
      <c r="UXC15" s="63">
        <f t="shared" si="233"/>
        <v>0</v>
      </c>
      <c r="UXD15" s="63">
        <f t="shared" si="233"/>
        <v>0</v>
      </c>
      <c r="UXE15" s="63">
        <f t="shared" si="233"/>
        <v>0</v>
      </c>
      <c r="UXF15" s="63">
        <f t="shared" si="233"/>
        <v>0</v>
      </c>
      <c r="UXG15" s="63">
        <f t="shared" si="233"/>
        <v>0</v>
      </c>
      <c r="UXH15" s="63">
        <f t="shared" si="233"/>
        <v>0</v>
      </c>
      <c r="UXI15" s="63">
        <f t="shared" si="233"/>
        <v>0</v>
      </c>
      <c r="UXJ15" s="63">
        <f t="shared" si="233"/>
        <v>0</v>
      </c>
      <c r="UXK15" s="63">
        <f t="shared" si="233"/>
        <v>0</v>
      </c>
      <c r="UXL15" s="63">
        <f t="shared" si="233"/>
        <v>0</v>
      </c>
      <c r="UXM15" s="63">
        <f t="shared" si="233"/>
        <v>0</v>
      </c>
      <c r="UXN15" s="63">
        <f t="shared" si="233"/>
        <v>0</v>
      </c>
      <c r="UXO15" s="63">
        <f t="shared" si="233"/>
        <v>0</v>
      </c>
      <c r="UXP15" s="63">
        <f t="shared" si="233"/>
        <v>0</v>
      </c>
      <c r="UXQ15" s="63">
        <f t="shared" si="233"/>
        <v>0</v>
      </c>
      <c r="UXR15" s="63">
        <f t="shared" si="233"/>
        <v>0</v>
      </c>
      <c r="UXS15" s="63">
        <f t="shared" si="233"/>
        <v>0</v>
      </c>
      <c r="UXT15" s="63">
        <f t="shared" si="233"/>
        <v>0</v>
      </c>
      <c r="UXU15" s="63">
        <f t="shared" si="233"/>
        <v>0</v>
      </c>
      <c r="UXV15" s="63">
        <f t="shared" si="233"/>
        <v>0</v>
      </c>
      <c r="UXW15" s="63">
        <f t="shared" si="233"/>
        <v>0</v>
      </c>
      <c r="UXX15" s="63">
        <f t="shared" si="233"/>
        <v>0</v>
      </c>
      <c r="UXY15" s="63">
        <f t="shared" si="233"/>
        <v>0</v>
      </c>
      <c r="UXZ15" s="63">
        <f t="shared" si="233"/>
        <v>0</v>
      </c>
      <c r="UYA15" s="63">
        <f t="shared" si="233"/>
        <v>0</v>
      </c>
      <c r="UYB15" s="63">
        <f t="shared" si="233"/>
        <v>0</v>
      </c>
      <c r="UYC15" s="63">
        <f t="shared" si="233"/>
        <v>0</v>
      </c>
      <c r="UYD15" s="63">
        <f t="shared" si="233"/>
        <v>0</v>
      </c>
      <c r="UYE15" s="63">
        <f t="shared" si="233"/>
        <v>0</v>
      </c>
      <c r="UYF15" s="63">
        <f t="shared" ref="UYF15:VAQ15" si="234">UYE18</f>
        <v>0</v>
      </c>
      <c r="UYG15" s="63">
        <f t="shared" si="234"/>
        <v>0</v>
      </c>
      <c r="UYH15" s="63">
        <f t="shared" si="234"/>
        <v>0</v>
      </c>
      <c r="UYI15" s="63">
        <f t="shared" si="234"/>
        <v>0</v>
      </c>
      <c r="UYJ15" s="63">
        <f t="shared" si="234"/>
        <v>0</v>
      </c>
      <c r="UYK15" s="63">
        <f t="shared" si="234"/>
        <v>0</v>
      </c>
      <c r="UYL15" s="63">
        <f t="shared" si="234"/>
        <v>0</v>
      </c>
      <c r="UYM15" s="63">
        <f t="shared" si="234"/>
        <v>0</v>
      </c>
      <c r="UYN15" s="63">
        <f t="shared" si="234"/>
        <v>0</v>
      </c>
      <c r="UYO15" s="63">
        <f t="shared" si="234"/>
        <v>0</v>
      </c>
      <c r="UYP15" s="63">
        <f t="shared" si="234"/>
        <v>0</v>
      </c>
      <c r="UYQ15" s="63">
        <f t="shared" si="234"/>
        <v>0</v>
      </c>
      <c r="UYR15" s="63">
        <f t="shared" si="234"/>
        <v>0</v>
      </c>
      <c r="UYS15" s="63">
        <f t="shared" si="234"/>
        <v>0</v>
      </c>
      <c r="UYT15" s="63">
        <f t="shared" si="234"/>
        <v>0</v>
      </c>
      <c r="UYU15" s="63">
        <f t="shared" si="234"/>
        <v>0</v>
      </c>
      <c r="UYV15" s="63">
        <f t="shared" si="234"/>
        <v>0</v>
      </c>
      <c r="UYW15" s="63">
        <f t="shared" si="234"/>
        <v>0</v>
      </c>
      <c r="UYX15" s="63">
        <f t="shared" si="234"/>
        <v>0</v>
      </c>
      <c r="UYY15" s="63">
        <f t="shared" si="234"/>
        <v>0</v>
      </c>
      <c r="UYZ15" s="63">
        <f t="shared" si="234"/>
        <v>0</v>
      </c>
      <c r="UZA15" s="63">
        <f t="shared" si="234"/>
        <v>0</v>
      </c>
      <c r="UZB15" s="63">
        <f t="shared" si="234"/>
        <v>0</v>
      </c>
      <c r="UZC15" s="63">
        <f t="shared" si="234"/>
        <v>0</v>
      </c>
      <c r="UZD15" s="63">
        <f t="shared" si="234"/>
        <v>0</v>
      </c>
      <c r="UZE15" s="63">
        <f t="shared" si="234"/>
        <v>0</v>
      </c>
      <c r="UZF15" s="63">
        <f t="shared" si="234"/>
        <v>0</v>
      </c>
      <c r="UZG15" s="63">
        <f t="shared" si="234"/>
        <v>0</v>
      </c>
      <c r="UZH15" s="63">
        <f t="shared" si="234"/>
        <v>0</v>
      </c>
      <c r="UZI15" s="63">
        <f t="shared" si="234"/>
        <v>0</v>
      </c>
      <c r="UZJ15" s="63">
        <f t="shared" si="234"/>
        <v>0</v>
      </c>
      <c r="UZK15" s="63">
        <f t="shared" si="234"/>
        <v>0</v>
      </c>
      <c r="UZL15" s="63">
        <f t="shared" si="234"/>
        <v>0</v>
      </c>
      <c r="UZM15" s="63">
        <f t="shared" si="234"/>
        <v>0</v>
      </c>
      <c r="UZN15" s="63">
        <f t="shared" si="234"/>
        <v>0</v>
      </c>
      <c r="UZO15" s="63">
        <f t="shared" si="234"/>
        <v>0</v>
      </c>
      <c r="UZP15" s="63">
        <f t="shared" si="234"/>
        <v>0</v>
      </c>
      <c r="UZQ15" s="63">
        <f t="shared" si="234"/>
        <v>0</v>
      </c>
      <c r="UZR15" s="63">
        <f t="shared" si="234"/>
        <v>0</v>
      </c>
      <c r="UZS15" s="63">
        <f t="shared" si="234"/>
        <v>0</v>
      </c>
      <c r="UZT15" s="63">
        <f t="shared" si="234"/>
        <v>0</v>
      </c>
      <c r="UZU15" s="63">
        <f t="shared" si="234"/>
        <v>0</v>
      </c>
      <c r="UZV15" s="63">
        <f t="shared" si="234"/>
        <v>0</v>
      </c>
      <c r="UZW15" s="63">
        <f t="shared" si="234"/>
        <v>0</v>
      </c>
      <c r="UZX15" s="63">
        <f t="shared" si="234"/>
        <v>0</v>
      </c>
      <c r="UZY15" s="63">
        <f t="shared" si="234"/>
        <v>0</v>
      </c>
      <c r="UZZ15" s="63">
        <f t="shared" si="234"/>
        <v>0</v>
      </c>
      <c r="VAA15" s="63">
        <f t="shared" si="234"/>
        <v>0</v>
      </c>
      <c r="VAB15" s="63">
        <f t="shared" si="234"/>
        <v>0</v>
      </c>
      <c r="VAC15" s="63">
        <f t="shared" si="234"/>
        <v>0</v>
      </c>
      <c r="VAD15" s="63">
        <f t="shared" si="234"/>
        <v>0</v>
      </c>
      <c r="VAE15" s="63">
        <f t="shared" si="234"/>
        <v>0</v>
      </c>
      <c r="VAF15" s="63">
        <f t="shared" si="234"/>
        <v>0</v>
      </c>
      <c r="VAG15" s="63">
        <f t="shared" si="234"/>
        <v>0</v>
      </c>
      <c r="VAH15" s="63">
        <f t="shared" si="234"/>
        <v>0</v>
      </c>
      <c r="VAI15" s="63">
        <f t="shared" si="234"/>
        <v>0</v>
      </c>
      <c r="VAJ15" s="63">
        <f t="shared" si="234"/>
        <v>0</v>
      </c>
      <c r="VAK15" s="63">
        <f t="shared" si="234"/>
        <v>0</v>
      </c>
      <c r="VAL15" s="63">
        <f t="shared" si="234"/>
        <v>0</v>
      </c>
      <c r="VAM15" s="63">
        <f t="shared" si="234"/>
        <v>0</v>
      </c>
      <c r="VAN15" s="63">
        <f t="shared" si="234"/>
        <v>0</v>
      </c>
      <c r="VAO15" s="63">
        <f t="shared" si="234"/>
        <v>0</v>
      </c>
      <c r="VAP15" s="63">
        <f t="shared" si="234"/>
        <v>0</v>
      </c>
      <c r="VAQ15" s="63">
        <f t="shared" si="234"/>
        <v>0</v>
      </c>
      <c r="VAR15" s="63">
        <f t="shared" ref="VAR15:VDC15" si="235">VAQ18</f>
        <v>0</v>
      </c>
      <c r="VAS15" s="63">
        <f t="shared" si="235"/>
        <v>0</v>
      </c>
      <c r="VAT15" s="63">
        <f t="shared" si="235"/>
        <v>0</v>
      </c>
      <c r="VAU15" s="63">
        <f t="shared" si="235"/>
        <v>0</v>
      </c>
      <c r="VAV15" s="63">
        <f t="shared" si="235"/>
        <v>0</v>
      </c>
      <c r="VAW15" s="63">
        <f t="shared" si="235"/>
        <v>0</v>
      </c>
      <c r="VAX15" s="63">
        <f t="shared" si="235"/>
        <v>0</v>
      </c>
      <c r="VAY15" s="63">
        <f t="shared" si="235"/>
        <v>0</v>
      </c>
      <c r="VAZ15" s="63">
        <f t="shared" si="235"/>
        <v>0</v>
      </c>
      <c r="VBA15" s="63">
        <f t="shared" si="235"/>
        <v>0</v>
      </c>
      <c r="VBB15" s="63">
        <f t="shared" si="235"/>
        <v>0</v>
      </c>
      <c r="VBC15" s="63">
        <f t="shared" si="235"/>
        <v>0</v>
      </c>
      <c r="VBD15" s="63">
        <f t="shared" si="235"/>
        <v>0</v>
      </c>
      <c r="VBE15" s="63">
        <f t="shared" si="235"/>
        <v>0</v>
      </c>
      <c r="VBF15" s="63">
        <f t="shared" si="235"/>
        <v>0</v>
      </c>
      <c r="VBG15" s="63">
        <f t="shared" si="235"/>
        <v>0</v>
      </c>
      <c r="VBH15" s="63">
        <f t="shared" si="235"/>
        <v>0</v>
      </c>
      <c r="VBI15" s="63">
        <f t="shared" si="235"/>
        <v>0</v>
      </c>
      <c r="VBJ15" s="63">
        <f t="shared" si="235"/>
        <v>0</v>
      </c>
      <c r="VBK15" s="63">
        <f t="shared" si="235"/>
        <v>0</v>
      </c>
      <c r="VBL15" s="63">
        <f t="shared" si="235"/>
        <v>0</v>
      </c>
      <c r="VBM15" s="63">
        <f t="shared" si="235"/>
        <v>0</v>
      </c>
      <c r="VBN15" s="63">
        <f t="shared" si="235"/>
        <v>0</v>
      </c>
      <c r="VBO15" s="63">
        <f t="shared" si="235"/>
        <v>0</v>
      </c>
      <c r="VBP15" s="63">
        <f t="shared" si="235"/>
        <v>0</v>
      </c>
      <c r="VBQ15" s="63">
        <f t="shared" si="235"/>
        <v>0</v>
      </c>
      <c r="VBR15" s="63">
        <f t="shared" si="235"/>
        <v>0</v>
      </c>
      <c r="VBS15" s="63">
        <f t="shared" si="235"/>
        <v>0</v>
      </c>
      <c r="VBT15" s="63">
        <f t="shared" si="235"/>
        <v>0</v>
      </c>
      <c r="VBU15" s="63">
        <f t="shared" si="235"/>
        <v>0</v>
      </c>
      <c r="VBV15" s="63">
        <f t="shared" si="235"/>
        <v>0</v>
      </c>
      <c r="VBW15" s="63">
        <f t="shared" si="235"/>
        <v>0</v>
      </c>
      <c r="VBX15" s="63">
        <f t="shared" si="235"/>
        <v>0</v>
      </c>
      <c r="VBY15" s="63">
        <f t="shared" si="235"/>
        <v>0</v>
      </c>
      <c r="VBZ15" s="63">
        <f t="shared" si="235"/>
        <v>0</v>
      </c>
      <c r="VCA15" s="63">
        <f t="shared" si="235"/>
        <v>0</v>
      </c>
      <c r="VCB15" s="63">
        <f t="shared" si="235"/>
        <v>0</v>
      </c>
      <c r="VCC15" s="63">
        <f t="shared" si="235"/>
        <v>0</v>
      </c>
      <c r="VCD15" s="63">
        <f t="shared" si="235"/>
        <v>0</v>
      </c>
      <c r="VCE15" s="63">
        <f t="shared" si="235"/>
        <v>0</v>
      </c>
      <c r="VCF15" s="63">
        <f t="shared" si="235"/>
        <v>0</v>
      </c>
      <c r="VCG15" s="63">
        <f t="shared" si="235"/>
        <v>0</v>
      </c>
      <c r="VCH15" s="63">
        <f t="shared" si="235"/>
        <v>0</v>
      </c>
      <c r="VCI15" s="63">
        <f t="shared" si="235"/>
        <v>0</v>
      </c>
      <c r="VCJ15" s="63">
        <f t="shared" si="235"/>
        <v>0</v>
      </c>
      <c r="VCK15" s="63">
        <f t="shared" si="235"/>
        <v>0</v>
      </c>
      <c r="VCL15" s="63">
        <f t="shared" si="235"/>
        <v>0</v>
      </c>
      <c r="VCM15" s="63">
        <f t="shared" si="235"/>
        <v>0</v>
      </c>
      <c r="VCN15" s="63">
        <f t="shared" si="235"/>
        <v>0</v>
      </c>
      <c r="VCO15" s="63">
        <f t="shared" si="235"/>
        <v>0</v>
      </c>
      <c r="VCP15" s="63">
        <f t="shared" si="235"/>
        <v>0</v>
      </c>
      <c r="VCQ15" s="63">
        <f t="shared" si="235"/>
        <v>0</v>
      </c>
      <c r="VCR15" s="63">
        <f t="shared" si="235"/>
        <v>0</v>
      </c>
      <c r="VCS15" s="63">
        <f t="shared" si="235"/>
        <v>0</v>
      </c>
      <c r="VCT15" s="63">
        <f t="shared" si="235"/>
        <v>0</v>
      </c>
      <c r="VCU15" s="63">
        <f t="shared" si="235"/>
        <v>0</v>
      </c>
      <c r="VCV15" s="63">
        <f t="shared" si="235"/>
        <v>0</v>
      </c>
      <c r="VCW15" s="63">
        <f t="shared" si="235"/>
        <v>0</v>
      </c>
      <c r="VCX15" s="63">
        <f t="shared" si="235"/>
        <v>0</v>
      </c>
      <c r="VCY15" s="63">
        <f t="shared" si="235"/>
        <v>0</v>
      </c>
      <c r="VCZ15" s="63">
        <f t="shared" si="235"/>
        <v>0</v>
      </c>
      <c r="VDA15" s="63">
        <f t="shared" si="235"/>
        <v>0</v>
      </c>
      <c r="VDB15" s="63">
        <f t="shared" si="235"/>
        <v>0</v>
      </c>
      <c r="VDC15" s="63">
        <f t="shared" si="235"/>
        <v>0</v>
      </c>
      <c r="VDD15" s="63">
        <f t="shared" ref="VDD15:VFO15" si="236">VDC18</f>
        <v>0</v>
      </c>
      <c r="VDE15" s="63">
        <f t="shared" si="236"/>
        <v>0</v>
      </c>
      <c r="VDF15" s="63">
        <f t="shared" si="236"/>
        <v>0</v>
      </c>
      <c r="VDG15" s="63">
        <f t="shared" si="236"/>
        <v>0</v>
      </c>
      <c r="VDH15" s="63">
        <f t="shared" si="236"/>
        <v>0</v>
      </c>
      <c r="VDI15" s="63">
        <f t="shared" si="236"/>
        <v>0</v>
      </c>
      <c r="VDJ15" s="63">
        <f t="shared" si="236"/>
        <v>0</v>
      </c>
      <c r="VDK15" s="63">
        <f t="shared" si="236"/>
        <v>0</v>
      </c>
      <c r="VDL15" s="63">
        <f t="shared" si="236"/>
        <v>0</v>
      </c>
      <c r="VDM15" s="63">
        <f t="shared" si="236"/>
        <v>0</v>
      </c>
      <c r="VDN15" s="63">
        <f t="shared" si="236"/>
        <v>0</v>
      </c>
      <c r="VDO15" s="63">
        <f t="shared" si="236"/>
        <v>0</v>
      </c>
      <c r="VDP15" s="63">
        <f t="shared" si="236"/>
        <v>0</v>
      </c>
      <c r="VDQ15" s="63">
        <f t="shared" si="236"/>
        <v>0</v>
      </c>
      <c r="VDR15" s="63">
        <f t="shared" si="236"/>
        <v>0</v>
      </c>
      <c r="VDS15" s="63">
        <f t="shared" si="236"/>
        <v>0</v>
      </c>
      <c r="VDT15" s="63">
        <f t="shared" si="236"/>
        <v>0</v>
      </c>
      <c r="VDU15" s="63">
        <f t="shared" si="236"/>
        <v>0</v>
      </c>
      <c r="VDV15" s="63">
        <f t="shared" si="236"/>
        <v>0</v>
      </c>
      <c r="VDW15" s="63">
        <f t="shared" si="236"/>
        <v>0</v>
      </c>
      <c r="VDX15" s="63">
        <f t="shared" si="236"/>
        <v>0</v>
      </c>
      <c r="VDY15" s="63">
        <f t="shared" si="236"/>
        <v>0</v>
      </c>
      <c r="VDZ15" s="63">
        <f t="shared" si="236"/>
        <v>0</v>
      </c>
      <c r="VEA15" s="63">
        <f t="shared" si="236"/>
        <v>0</v>
      </c>
      <c r="VEB15" s="63">
        <f t="shared" si="236"/>
        <v>0</v>
      </c>
      <c r="VEC15" s="63">
        <f t="shared" si="236"/>
        <v>0</v>
      </c>
      <c r="VED15" s="63">
        <f t="shared" si="236"/>
        <v>0</v>
      </c>
      <c r="VEE15" s="63">
        <f t="shared" si="236"/>
        <v>0</v>
      </c>
      <c r="VEF15" s="63">
        <f t="shared" si="236"/>
        <v>0</v>
      </c>
      <c r="VEG15" s="63">
        <f t="shared" si="236"/>
        <v>0</v>
      </c>
      <c r="VEH15" s="63">
        <f t="shared" si="236"/>
        <v>0</v>
      </c>
      <c r="VEI15" s="63">
        <f t="shared" si="236"/>
        <v>0</v>
      </c>
      <c r="VEJ15" s="63">
        <f t="shared" si="236"/>
        <v>0</v>
      </c>
      <c r="VEK15" s="63">
        <f t="shared" si="236"/>
        <v>0</v>
      </c>
      <c r="VEL15" s="63">
        <f t="shared" si="236"/>
        <v>0</v>
      </c>
      <c r="VEM15" s="63">
        <f t="shared" si="236"/>
        <v>0</v>
      </c>
      <c r="VEN15" s="63">
        <f t="shared" si="236"/>
        <v>0</v>
      </c>
      <c r="VEO15" s="63">
        <f t="shared" si="236"/>
        <v>0</v>
      </c>
      <c r="VEP15" s="63">
        <f t="shared" si="236"/>
        <v>0</v>
      </c>
      <c r="VEQ15" s="63">
        <f t="shared" si="236"/>
        <v>0</v>
      </c>
      <c r="VER15" s="63">
        <f t="shared" si="236"/>
        <v>0</v>
      </c>
      <c r="VES15" s="63">
        <f t="shared" si="236"/>
        <v>0</v>
      </c>
      <c r="VET15" s="63">
        <f t="shared" si="236"/>
        <v>0</v>
      </c>
      <c r="VEU15" s="63">
        <f t="shared" si="236"/>
        <v>0</v>
      </c>
      <c r="VEV15" s="63">
        <f t="shared" si="236"/>
        <v>0</v>
      </c>
      <c r="VEW15" s="63">
        <f t="shared" si="236"/>
        <v>0</v>
      </c>
      <c r="VEX15" s="63">
        <f t="shared" si="236"/>
        <v>0</v>
      </c>
      <c r="VEY15" s="63">
        <f t="shared" si="236"/>
        <v>0</v>
      </c>
      <c r="VEZ15" s="63">
        <f t="shared" si="236"/>
        <v>0</v>
      </c>
      <c r="VFA15" s="63">
        <f t="shared" si="236"/>
        <v>0</v>
      </c>
      <c r="VFB15" s="63">
        <f t="shared" si="236"/>
        <v>0</v>
      </c>
      <c r="VFC15" s="63">
        <f t="shared" si="236"/>
        <v>0</v>
      </c>
      <c r="VFD15" s="63">
        <f t="shared" si="236"/>
        <v>0</v>
      </c>
      <c r="VFE15" s="63">
        <f t="shared" si="236"/>
        <v>0</v>
      </c>
      <c r="VFF15" s="63">
        <f t="shared" si="236"/>
        <v>0</v>
      </c>
      <c r="VFG15" s="63">
        <f t="shared" si="236"/>
        <v>0</v>
      </c>
      <c r="VFH15" s="63">
        <f t="shared" si="236"/>
        <v>0</v>
      </c>
      <c r="VFI15" s="63">
        <f t="shared" si="236"/>
        <v>0</v>
      </c>
      <c r="VFJ15" s="63">
        <f t="shared" si="236"/>
        <v>0</v>
      </c>
      <c r="VFK15" s="63">
        <f t="shared" si="236"/>
        <v>0</v>
      </c>
      <c r="VFL15" s="63">
        <f t="shared" si="236"/>
        <v>0</v>
      </c>
      <c r="VFM15" s="63">
        <f t="shared" si="236"/>
        <v>0</v>
      </c>
      <c r="VFN15" s="63">
        <f t="shared" si="236"/>
        <v>0</v>
      </c>
      <c r="VFO15" s="63">
        <f t="shared" si="236"/>
        <v>0</v>
      </c>
      <c r="VFP15" s="63">
        <f t="shared" ref="VFP15:VIA15" si="237">VFO18</f>
        <v>0</v>
      </c>
      <c r="VFQ15" s="63">
        <f t="shared" si="237"/>
        <v>0</v>
      </c>
      <c r="VFR15" s="63">
        <f t="shared" si="237"/>
        <v>0</v>
      </c>
      <c r="VFS15" s="63">
        <f t="shared" si="237"/>
        <v>0</v>
      </c>
      <c r="VFT15" s="63">
        <f t="shared" si="237"/>
        <v>0</v>
      </c>
      <c r="VFU15" s="63">
        <f t="shared" si="237"/>
        <v>0</v>
      </c>
      <c r="VFV15" s="63">
        <f t="shared" si="237"/>
        <v>0</v>
      </c>
      <c r="VFW15" s="63">
        <f t="shared" si="237"/>
        <v>0</v>
      </c>
      <c r="VFX15" s="63">
        <f t="shared" si="237"/>
        <v>0</v>
      </c>
      <c r="VFY15" s="63">
        <f t="shared" si="237"/>
        <v>0</v>
      </c>
      <c r="VFZ15" s="63">
        <f t="shared" si="237"/>
        <v>0</v>
      </c>
      <c r="VGA15" s="63">
        <f t="shared" si="237"/>
        <v>0</v>
      </c>
      <c r="VGB15" s="63">
        <f t="shared" si="237"/>
        <v>0</v>
      </c>
      <c r="VGC15" s="63">
        <f t="shared" si="237"/>
        <v>0</v>
      </c>
      <c r="VGD15" s="63">
        <f t="shared" si="237"/>
        <v>0</v>
      </c>
      <c r="VGE15" s="63">
        <f t="shared" si="237"/>
        <v>0</v>
      </c>
      <c r="VGF15" s="63">
        <f t="shared" si="237"/>
        <v>0</v>
      </c>
      <c r="VGG15" s="63">
        <f t="shared" si="237"/>
        <v>0</v>
      </c>
      <c r="VGH15" s="63">
        <f t="shared" si="237"/>
        <v>0</v>
      </c>
      <c r="VGI15" s="63">
        <f t="shared" si="237"/>
        <v>0</v>
      </c>
      <c r="VGJ15" s="63">
        <f t="shared" si="237"/>
        <v>0</v>
      </c>
      <c r="VGK15" s="63">
        <f t="shared" si="237"/>
        <v>0</v>
      </c>
      <c r="VGL15" s="63">
        <f t="shared" si="237"/>
        <v>0</v>
      </c>
      <c r="VGM15" s="63">
        <f t="shared" si="237"/>
        <v>0</v>
      </c>
      <c r="VGN15" s="63">
        <f t="shared" si="237"/>
        <v>0</v>
      </c>
      <c r="VGO15" s="63">
        <f t="shared" si="237"/>
        <v>0</v>
      </c>
      <c r="VGP15" s="63">
        <f t="shared" si="237"/>
        <v>0</v>
      </c>
      <c r="VGQ15" s="63">
        <f t="shared" si="237"/>
        <v>0</v>
      </c>
      <c r="VGR15" s="63">
        <f t="shared" si="237"/>
        <v>0</v>
      </c>
      <c r="VGS15" s="63">
        <f t="shared" si="237"/>
        <v>0</v>
      </c>
      <c r="VGT15" s="63">
        <f t="shared" si="237"/>
        <v>0</v>
      </c>
      <c r="VGU15" s="63">
        <f t="shared" si="237"/>
        <v>0</v>
      </c>
      <c r="VGV15" s="63">
        <f t="shared" si="237"/>
        <v>0</v>
      </c>
      <c r="VGW15" s="63">
        <f t="shared" si="237"/>
        <v>0</v>
      </c>
      <c r="VGX15" s="63">
        <f t="shared" si="237"/>
        <v>0</v>
      </c>
      <c r="VGY15" s="63">
        <f t="shared" si="237"/>
        <v>0</v>
      </c>
      <c r="VGZ15" s="63">
        <f t="shared" si="237"/>
        <v>0</v>
      </c>
      <c r="VHA15" s="63">
        <f t="shared" si="237"/>
        <v>0</v>
      </c>
      <c r="VHB15" s="63">
        <f t="shared" si="237"/>
        <v>0</v>
      </c>
      <c r="VHC15" s="63">
        <f t="shared" si="237"/>
        <v>0</v>
      </c>
      <c r="VHD15" s="63">
        <f t="shared" si="237"/>
        <v>0</v>
      </c>
      <c r="VHE15" s="63">
        <f t="shared" si="237"/>
        <v>0</v>
      </c>
      <c r="VHF15" s="63">
        <f t="shared" si="237"/>
        <v>0</v>
      </c>
      <c r="VHG15" s="63">
        <f t="shared" si="237"/>
        <v>0</v>
      </c>
      <c r="VHH15" s="63">
        <f t="shared" si="237"/>
        <v>0</v>
      </c>
      <c r="VHI15" s="63">
        <f t="shared" si="237"/>
        <v>0</v>
      </c>
      <c r="VHJ15" s="63">
        <f t="shared" si="237"/>
        <v>0</v>
      </c>
      <c r="VHK15" s="63">
        <f t="shared" si="237"/>
        <v>0</v>
      </c>
      <c r="VHL15" s="63">
        <f t="shared" si="237"/>
        <v>0</v>
      </c>
      <c r="VHM15" s="63">
        <f t="shared" si="237"/>
        <v>0</v>
      </c>
      <c r="VHN15" s="63">
        <f t="shared" si="237"/>
        <v>0</v>
      </c>
      <c r="VHO15" s="63">
        <f t="shared" si="237"/>
        <v>0</v>
      </c>
      <c r="VHP15" s="63">
        <f t="shared" si="237"/>
        <v>0</v>
      </c>
      <c r="VHQ15" s="63">
        <f t="shared" si="237"/>
        <v>0</v>
      </c>
      <c r="VHR15" s="63">
        <f t="shared" si="237"/>
        <v>0</v>
      </c>
      <c r="VHS15" s="63">
        <f t="shared" si="237"/>
        <v>0</v>
      </c>
      <c r="VHT15" s="63">
        <f t="shared" si="237"/>
        <v>0</v>
      </c>
      <c r="VHU15" s="63">
        <f t="shared" si="237"/>
        <v>0</v>
      </c>
      <c r="VHV15" s="63">
        <f t="shared" si="237"/>
        <v>0</v>
      </c>
      <c r="VHW15" s="63">
        <f t="shared" si="237"/>
        <v>0</v>
      </c>
      <c r="VHX15" s="63">
        <f t="shared" si="237"/>
        <v>0</v>
      </c>
      <c r="VHY15" s="63">
        <f t="shared" si="237"/>
        <v>0</v>
      </c>
      <c r="VHZ15" s="63">
        <f t="shared" si="237"/>
        <v>0</v>
      </c>
      <c r="VIA15" s="63">
        <f t="shared" si="237"/>
        <v>0</v>
      </c>
      <c r="VIB15" s="63">
        <f t="shared" ref="VIB15:VKM15" si="238">VIA18</f>
        <v>0</v>
      </c>
      <c r="VIC15" s="63">
        <f t="shared" si="238"/>
        <v>0</v>
      </c>
      <c r="VID15" s="63">
        <f t="shared" si="238"/>
        <v>0</v>
      </c>
      <c r="VIE15" s="63">
        <f t="shared" si="238"/>
        <v>0</v>
      </c>
      <c r="VIF15" s="63">
        <f t="shared" si="238"/>
        <v>0</v>
      </c>
      <c r="VIG15" s="63">
        <f t="shared" si="238"/>
        <v>0</v>
      </c>
      <c r="VIH15" s="63">
        <f t="shared" si="238"/>
        <v>0</v>
      </c>
      <c r="VII15" s="63">
        <f t="shared" si="238"/>
        <v>0</v>
      </c>
      <c r="VIJ15" s="63">
        <f t="shared" si="238"/>
        <v>0</v>
      </c>
      <c r="VIK15" s="63">
        <f t="shared" si="238"/>
        <v>0</v>
      </c>
      <c r="VIL15" s="63">
        <f t="shared" si="238"/>
        <v>0</v>
      </c>
      <c r="VIM15" s="63">
        <f t="shared" si="238"/>
        <v>0</v>
      </c>
      <c r="VIN15" s="63">
        <f t="shared" si="238"/>
        <v>0</v>
      </c>
      <c r="VIO15" s="63">
        <f t="shared" si="238"/>
        <v>0</v>
      </c>
      <c r="VIP15" s="63">
        <f t="shared" si="238"/>
        <v>0</v>
      </c>
      <c r="VIQ15" s="63">
        <f t="shared" si="238"/>
        <v>0</v>
      </c>
      <c r="VIR15" s="63">
        <f t="shared" si="238"/>
        <v>0</v>
      </c>
      <c r="VIS15" s="63">
        <f t="shared" si="238"/>
        <v>0</v>
      </c>
      <c r="VIT15" s="63">
        <f t="shared" si="238"/>
        <v>0</v>
      </c>
      <c r="VIU15" s="63">
        <f t="shared" si="238"/>
        <v>0</v>
      </c>
      <c r="VIV15" s="63">
        <f t="shared" si="238"/>
        <v>0</v>
      </c>
      <c r="VIW15" s="63">
        <f t="shared" si="238"/>
        <v>0</v>
      </c>
      <c r="VIX15" s="63">
        <f t="shared" si="238"/>
        <v>0</v>
      </c>
      <c r="VIY15" s="63">
        <f t="shared" si="238"/>
        <v>0</v>
      </c>
      <c r="VIZ15" s="63">
        <f t="shared" si="238"/>
        <v>0</v>
      </c>
      <c r="VJA15" s="63">
        <f t="shared" si="238"/>
        <v>0</v>
      </c>
      <c r="VJB15" s="63">
        <f t="shared" si="238"/>
        <v>0</v>
      </c>
      <c r="VJC15" s="63">
        <f t="shared" si="238"/>
        <v>0</v>
      </c>
      <c r="VJD15" s="63">
        <f t="shared" si="238"/>
        <v>0</v>
      </c>
      <c r="VJE15" s="63">
        <f t="shared" si="238"/>
        <v>0</v>
      </c>
      <c r="VJF15" s="63">
        <f t="shared" si="238"/>
        <v>0</v>
      </c>
      <c r="VJG15" s="63">
        <f t="shared" si="238"/>
        <v>0</v>
      </c>
      <c r="VJH15" s="63">
        <f t="shared" si="238"/>
        <v>0</v>
      </c>
      <c r="VJI15" s="63">
        <f t="shared" si="238"/>
        <v>0</v>
      </c>
      <c r="VJJ15" s="63">
        <f t="shared" si="238"/>
        <v>0</v>
      </c>
      <c r="VJK15" s="63">
        <f t="shared" si="238"/>
        <v>0</v>
      </c>
      <c r="VJL15" s="63">
        <f t="shared" si="238"/>
        <v>0</v>
      </c>
      <c r="VJM15" s="63">
        <f t="shared" si="238"/>
        <v>0</v>
      </c>
      <c r="VJN15" s="63">
        <f t="shared" si="238"/>
        <v>0</v>
      </c>
      <c r="VJO15" s="63">
        <f t="shared" si="238"/>
        <v>0</v>
      </c>
      <c r="VJP15" s="63">
        <f t="shared" si="238"/>
        <v>0</v>
      </c>
      <c r="VJQ15" s="63">
        <f t="shared" si="238"/>
        <v>0</v>
      </c>
      <c r="VJR15" s="63">
        <f t="shared" si="238"/>
        <v>0</v>
      </c>
      <c r="VJS15" s="63">
        <f t="shared" si="238"/>
        <v>0</v>
      </c>
      <c r="VJT15" s="63">
        <f t="shared" si="238"/>
        <v>0</v>
      </c>
      <c r="VJU15" s="63">
        <f t="shared" si="238"/>
        <v>0</v>
      </c>
      <c r="VJV15" s="63">
        <f t="shared" si="238"/>
        <v>0</v>
      </c>
      <c r="VJW15" s="63">
        <f t="shared" si="238"/>
        <v>0</v>
      </c>
      <c r="VJX15" s="63">
        <f t="shared" si="238"/>
        <v>0</v>
      </c>
      <c r="VJY15" s="63">
        <f t="shared" si="238"/>
        <v>0</v>
      </c>
      <c r="VJZ15" s="63">
        <f t="shared" si="238"/>
        <v>0</v>
      </c>
      <c r="VKA15" s="63">
        <f t="shared" si="238"/>
        <v>0</v>
      </c>
      <c r="VKB15" s="63">
        <f t="shared" si="238"/>
        <v>0</v>
      </c>
      <c r="VKC15" s="63">
        <f t="shared" si="238"/>
        <v>0</v>
      </c>
      <c r="VKD15" s="63">
        <f t="shared" si="238"/>
        <v>0</v>
      </c>
      <c r="VKE15" s="63">
        <f t="shared" si="238"/>
        <v>0</v>
      </c>
      <c r="VKF15" s="63">
        <f t="shared" si="238"/>
        <v>0</v>
      </c>
      <c r="VKG15" s="63">
        <f t="shared" si="238"/>
        <v>0</v>
      </c>
      <c r="VKH15" s="63">
        <f t="shared" si="238"/>
        <v>0</v>
      </c>
      <c r="VKI15" s="63">
        <f t="shared" si="238"/>
        <v>0</v>
      </c>
      <c r="VKJ15" s="63">
        <f t="shared" si="238"/>
        <v>0</v>
      </c>
      <c r="VKK15" s="63">
        <f t="shared" si="238"/>
        <v>0</v>
      </c>
      <c r="VKL15" s="63">
        <f t="shared" si="238"/>
        <v>0</v>
      </c>
      <c r="VKM15" s="63">
        <f t="shared" si="238"/>
        <v>0</v>
      </c>
      <c r="VKN15" s="63">
        <f t="shared" ref="VKN15:VMY15" si="239">VKM18</f>
        <v>0</v>
      </c>
      <c r="VKO15" s="63">
        <f t="shared" si="239"/>
        <v>0</v>
      </c>
      <c r="VKP15" s="63">
        <f t="shared" si="239"/>
        <v>0</v>
      </c>
      <c r="VKQ15" s="63">
        <f t="shared" si="239"/>
        <v>0</v>
      </c>
      <c r="VKR15" s="63">
        <f t="shared" si="239"/>
        <v>0</v>
      </c>
      <c r="VKS15" s="63">
        <f t="shared" si="239"/>
        <v>0</v>
      </c>
      <c r="VKT15" s="63">
        <f t="shared" si="239"/>
        <v>0</v>
      </c>
      <c r="VKU15" s="63">
        <f t="shared" si="239"/>
        <v>0</v>
      </c>
      <c r="VKV15" s="63">
        <f t="shared" si="239"/>
        <v>0</v>
      </c>
      <c r="VKW15" s="63">
        <f t="shared" si="239"/>
        <v>0</v>
      </c>
      <c r="VKX15" s="63">
        <f t="shared" si="239"/>
        <v>0</v>
      </c>
      <c r="VKY15" s="63">
        <f t="shared" si="239"/>
        <v>0</v>
      </c>
      <c r="VKZ15" s="63">
        <f t="shared" si="239"/>
        <v>0</v>
      </c>
      <c r="VLA15" s="63">
        <f t="shared" si="239"/>
        <v>0</v>
      </c>
      <c r="VLB15" s="63">
        <f t="shared" si="239"/>
        <v>0</v>
      </c>
      <c r="VLC15" s="63">
        <f t="shared" si="239"/>
        <v>0</v>
      </c>
      <c r="VLD15" s="63">
        <f t="shared" si="239"/>
        <v>0</v>
      </c>
      <c r="VLE15" s="63">
        <f t="shared" si="239"/>
        <v>0</v>
      </c>
      <c r="VLF15" s="63">
        <f t="shared" si="239"/>
        <v>0</v>
      </c>
      <c r="VLG15" s="63">
        <f t="shared" si="239"/>
        <v>0</v>
      </c>
      <c r="VLH15" s="63">
        <f t="shared" si="239"/>
        <v>0</v>
      </c>
      <c r="VLI15" s="63">
        <f t="shared" si="239"/>
        <v>0</v>
      </c>
      <c r="VLJ15" s="63">
        <f t="shared" si="239"/>
        <v>0</v>
      </c>
      <c r="VLK15" s="63">
        <f t="shared" si="239"/>
        <v>0</v>
      </c>
      <c r="VLL15" s="63">
        <f t="shared" si="239"/>
        <v>0</v>
      </c>
      <c r="VLM15" s="63">
        <f t="shared" si="239"/>
        <v>0</v>
      </c>
      <c r="VLN15" s="63">
        <f t="shared" si="239"/>
        <v>0</v>
      </c>
      <c r="VLO15" s="63">
        <f t="shared" si="239"/>
        <v>0</v>
      </c>
      <c r="VLP15" s="63">
        <f t="shared" si="239"/>
        <v>0</v>
      </c>
      <c r="VLQ15" s="63">
        <f t="shared" si="239"/>
        <v>0</v>
      </c>
      <c r="VLR15" s="63">
        <f t="shared" si="239"/>
        <v>0</v>
      </c>
      <c r="VLS15" s="63">
        <f t="shared" si="239"/>
        <v>0</v>
      </c>
      <c r="VLT15" s="63">
        <f t="shared" si="239"/>
        <v>0</v>
      </c>
      <c r="VLU15" s="63">
        <f t="shared" si="239"/>
        <v>0</v>
      </c>
      <c r="VLV15" s="63">
        <f t="shared" si="239"/>
        <v>0</v>
      </c>
      <c r="VLW15" s="63">
        <f t="shared" si="239"/>
        <v>0</v>
      </c>
      <c r="VLX15" s="63">
        <f t="shared" si="239"/>
        <v>0</v>
      </c>
      <c r="VLY15" s="63">
        <f t="shared" si="239"/>
        <v>0</v>
      </c>
      <c r="VLZ15" s="63">
        <f t="shared" si="239"/>
        <v>0</v>
      </c>
      <c r="VMA15" s="63">
        <f t="shared" si="239"/>
        <v>0</v>
      </c>
      <c r="VMB15" s="63">
        <f t="shared" si="239"/>
        <v>0</v>
      </c>
      <c r="VMC15" s="63">
        <f t="shared" si="239"/>
        <v>0</v>
      </c>
      <c r="VMD15" s="63">
        <f t="shared" si="239"/>
        <v>0</v>
      </c>
      <c r="VME15" s="63">
        <f t="shared" si="239"/>
        <v>0</v>
      </c>
      <c r="VMF15" s="63">
        <f t="shared" si="239"/>
        <v>0</v>
      </c>
      <c r="VMG15" s="63">
        <f t="shared" si="239"/>
        <v>0</v>
      </c>
      <c r="VMH15" s="63">
        <f t="shared" si="239"/>
        <v>0</v>
      </c>
      <c r="VMI15" s="63">
        <f t="shared" si="239"/>
        <v>0</v>
      </c>
      <c r="VMJ15" s="63">
        <f t="shared" si="239"/>
        <v>0</v>
      </c>
      <c r="VMK15" s="63">
        <f t="shared" si="239"/>
        <v>0</v>
      </c>
      <c r="VML15" s="63">
        <f t="shared" si="239"/>
        <v>0</v>
      </c>
      <c r="VMM15" s="63">
        <f t="shared" si="239"/>
        <v>0</v>
      </c>
      <c r="VMN15" s="63">
        <f t="shared" si="239"/>
        <v>0</v>
      </c>
      <c r="VMO15" s="63">
        <f t="shared" si="239"/>
        <v>0</v>
      </c>
      <c r="VMP15" s="63">
        <f t="shared" si="239"/>
        <v>0</v>
      </c>
      <c r="VMQ15" s="63">
        <f t="shared" si="239"/>
        <v>0</v>
      </c>
      <c r="VMR15" s="63">
        <f t="shared" si="239"/>
        <v>0</v>
      </c>
      <c r="VMS15" s="63">
        <f t="shared" si="239"/>
        <v>0</v>
      </c>
      <c r="VMT15" s="63">
        <f t="shared" si="239"/>
        <v>0</v>
      </c>
      <c r="VMU15" s="63">
        <f t="shared" si="239"/>
        <v>0</v>
      </c>
      <c r="VMV15" s="63">
        <f t="shared" si="239"/>
        <v>0</v>
      </c>
      <c r="VMW15" s="63">
        <f t="shared" si="239"/>
        <v>0</v>
      </c>
      <c r="VMX15" s="63">
        <f t="shared" si="239"/>
        <v>0</v>
      </c>
      <c r="VMY15" s="63">
        <f t="shared" si="239"/>
        <v>0</v>
      </c>
      <c r="VMZ15" s="63">
        <f t="shared" ref="VMZ15:VPK15" si="240">VMY18</f>
        <v>0</v>
      </c>
      <c r="VNA15" s="63">
        <f t="shared" si="240"/>
        <v>0</v>
      </c>
      <c r="VNB15" s="63">
        <f t="shared" si="240"/>
        <v>0</v>
      </c>
      <c r="VNC15" s="63">
        <f t="shared" si="240"/>
        <v>0</v>
      </c>
      <c r="VND15" s="63">
        <f t="shared" si="240"/>
        <v>0</v>
      </c>
      <c r="VNE15" s="63">
        <f t="shared" si="240"/>
        <v>0</v>
      </c>
      <c r="VNF15" s="63">
        <f t="shared" si="240"/>
        <v>0</v>
      </c>
      <c r="VNG15" s="63">
        <f t="shared" si="240"/>
        <v>0</v>
      </c>
      <c r="VNH15" s="63">
        <f t="shared" si="240"/>
        <v>0</v>
      </c>
      <c r="VNI15" s="63">
        <f t="shared" si="240"/>
        <v>0</v>
      </c>
      <c r="VNJ15" s="63">
        <f t="shared" si="240"/>
        <v>0</v>
      </c>
      <c r="VNK15" s="63">
        <f t="shared" si="240"/>
        <v>0</v>
      </c>
      <c r="VNL15" s="63">
        <f t="shared" si="240"/>
        <v>0</v>
      </c>
      <c r="VNM15" s="63">
        <f t="shared" si="240"/>
        <v>0</v>
      </c>
      <c r="VNN15" s="63">
        <f t="shared" si="240"/>
        <v>0</v>
      </c>
      <c r="VNO15" s="63">
        <f t="shared" si="240"/>
        <v>0</v>
      </c>
      <c r="VNP15" s="63">
        <f t="shared" si="240"/>
        <v>0</v>
      </c>
      <c r="VNQ15" s="63">
        <f t="shared" si="240"/>
        <v>0</v>
      </c>
      <c r="VNR15" s="63">
        <f t="shared" si="240"/>
        <v>0</v>
      </c>
      <c r="VNS15" s="63">
        <f t="shared" si="240"/>
        <v>0</v>
      </c>
      <c r="VNT15" s="63">
        <f t="shared" si="240"/>
        <v>0</v>
      </c>
      <c r="VNU15" s="63">
        <f t="shared" si="240"/>
        <v>0</v>
      </c>
      <c r="VNV15" s="63">
        <f t="shared" si="240"/>
        <v>0</v>
      </c>
      <c r="VNW15" s="63">
        <f t="shared" si="240"/>
        <v>0</v>
      </c>
      <c r="VNX15" s="63">
        <f t="shared" si="240"/>
        <v>0</v>
      </c>
      <c r="VNY15" s="63">
        <f t="shared" si="240"/>
        <v>0</v>
      </c>
      <c r="VNZ15" s="63">
        <f t="shared" si="240"/>
        <v>0</v>
      </c>
      <c r="VOA15" s="63">
        <f t="shared" si="240"/>
        <v>0</v>
      </c>
      <c r="VOB15" s="63">
        <f t="shared" si="240"/>
        <v>0</v>
      </c>
      <c r="VOC15" s="63">
        <f t="shared" si="240"/>
        <v>0</v>
      </c>
      <c r="VOD15" s="63">
        <f t="shared" si="240"/>
        <v>0</v>
      </c>
      <c r="VOE15" s="63">
        <f t="shared" si="240"/>
        <v>0</v>
      </c>
      <c r="VOF15" s="63">
        <f t="shared" si="240"/>
        <v>0</v>
      </c>
      <c r="VOG15" s="63">
        <f t="shared" si="240"/>
        <v>0</v>
      </c>
      <c r="VOH15" s="63">
        <f t="shared" si="240"/>
        <v>0</v>
      </c>
      <c r="VOI15" s="63">
        <f t="shared" si="240"/>
        <v>0</v>
      </c>
      <c r="VOJ15" s="63">
        <f t="shared" si="240"/>
        <v>0</v>
      </c>
      <c r="VOK15" s="63">
        <f t="shared" si="240"/>
        <v>0</v>
      </c>
      <c r="VOL15" s="63">
        <f t="shared" si="240"/>
        <v>0</v>
      </c>
      <c r="VOM15" s="63">
        <f t="shared" si="240"/>
        <v>0</v>
      </c>
      <c r="VON15" s="63">
        <f t="shared" si="240"/>
        <v>0</v>
      </c>
      <c r="VOO15" s="63">
        <f t="shared" si="240"/>
        <v>0</v>
      </c>
      <c r="VOP15" s="63">
        <f t="shared" si="240"/>
        <v>0</v>
      </c>
      <c r="VOQ15" s="63">
        <f t="shared" si="240"/>
        <v>0</v>
      </c>
      <c r="VOR15" s="63">
        <f t="shared" si="240"/>
        <v>0</v>
      </c>
      <c r="VOS15" s="63">
        <f t="shared" si="240"/>
        <v>0</v>
      </c>
      <c r="VOT15" s="63">
        <f t="shared" si="240"/>
        <v>0</v>
      </c>
      <c r="VOU15" s="63">
        <f t="shared" si="240"/>
        <v>0</v>
      </c>
      <c r="VOV15" s="63">
        <f t="shared" si="240"/>
        <v>0</v>
      </c>
      <c r="VOW15" s="63">
        <f t="shared" si="240"/>
        <v>0</v>
      </c>
      <c r="VOX15" s="63">
        <f t="shared" si="240"/>
        <v>0</v>
      </c>
      <c r="VOY15" s="63">
        <f t="shared" si="240"/>
        <v>0</v>
      </c>
      <c r="VOZ15" s="63">
        <f t="shared" si="240"/>
        <v>0</v>
      </c>
      <c r="VPA15" s="63">
        <f t="shared" si="240"/>
        <v>0</v>
      </c>
      <c r="VPB15" s="63">
        <f t="shared" si="240"/>
        <v>0</v>
      </c>
      <c r="VPC15" s="63">
        <f t="shared" si="240"/>
        <v>0</v>
      </c>
      <c r="VPD15" s="63">
        <f t="shared" si="240"/>
        <v>0</v>
      </c>
      <c r="VPE15" s="63">
        <f t="shared" si="240"/>
        <v>0</v>
      </c>
      <c r="VPF15" s="63">
        <f t="shared" si="240"/>
        <v>0</v>
      </c>
      <c r="VPG15" s="63">
        <f t="shared" si="240"/>
        <v>0</v>
      </c>
      <c r="VPH15" s="63">
        <f t="shared" si="240"/>
        <v>0</v>
      </c>
      <c r="VPI15" s="63">
        <f t="shared" si="240"/>
        <v>0</v>
      </c>
      <c r="VPJ15" s="63">
        <f t="shared" si="240"/>
        <v>0</v>
      </c>
      <c r="VPK15" s="63">
        <f t="shared" si="240"/>
        <v>0</v>
      </c>
      <c r="VPL15" s="63">
        <f t="shared" ref="VPL15:VRW15" si="241">VPK18</f>
        <v>0</v>
      </c>
      <c r="VPM15" s="63">
        <f t="shared" si="241"/>
        <v>0</v>
      </c>
      <c r="VPN15" s="63">
        <f t="shared" si="241"/>
        <v>0</v>
      </c>
      <c r="VPO15" s="63">
        <f t="shared" si="241"/>
        <v>0</v>
      </c>
      <c r="VPP15" s="63">
        <f t="shared" si="241"/>
        <v>0</v>
      </c>
      <c r="VPQ15" s="63">
        <f t="shared" si="241"/>
        <v>0</v>
      </c>
      <c r="VPR15" s="63">
        <f t="shared" si="241"/>
        <v>0</v>
      </c>
      <c r="VPS15" s="63">
        <f t="shared" si="241"/>
        <v>0</v>
      </c>
      <c r="VPT15" s="63">
        <f t="shared" si="241"/>
        <v>0</v>
      </c>
      <c r="VPU15" s="63">
        <f t="shared" si="241"/>
        <v>0</v>
      </c>
      <c r="VPV15" s="63">
        <f t="shared" si="241"/>
        <v>0</v>
      </c>
      <c r="VPW15" s="63">
        <f t="shared" si="241"/>
        <v>0</v>
      </c>
      <c r="VPX15" s="63">
        <f t="shared" si="241"/>
        <v>0</v>
      </c>
      <c r="VPY15" s="63">
        <f t="shared" si="241"/>
        <v>0</v>
      </c>
      <c r="VPZ15" s="63">
        <f t="shared" si="241"/>
        <v>0</v>
      </c>
      <c r="VQA15" s="63">
        <f t="shared" si="241"/>
        <v>0</v>
      </c>
      <c r="VQB15" s="63">
        <f t="shared" si="241"/>
        <v>0</v>
      </c>
      <c r="VQC15" s="63">
        <f t="shared" si="241"/>
        <v>0</v>
      </c>
      <c r="VQD15" s="63">
        <f t="shared" si="241"/>
        <v>0</v>
      </c>
      <c r="VQE15" s="63">
        <f t="shared" si="241"/>
        <v>0</v>
      </c>
      <c r="VQF15" s="63">
        <f t="shared" si="241"/>
        <v>0</v>
      </c>
      <c r="VQG15" s="63">
        <f t="shared" si="241"/>
        <v>0</v>
      </c>
      <c r="VQH15" s="63">
        <f t="shared" si="241"/>
        <v>0</v>
      </c>
      <c r="VQI15" s="63">
        <f t="shared" si="241"/>
        <v>0</v>
      </c>
      <c r="VQJ15" s="63">
        <f t="shared" si="241"/>
        <v>0</v>
      </c>
      <c r="VQK15" s="63">
        <f t="shared" si="241"/>
        <v>0</v>
      </c>
      <c r="VQL15" s="63">
        <f t="shared" si="241"/>
        <v>0</v>
      </c>
      <c r="VQM15" s="63">
        <f t="shared" si="241"/>
        <v>0</v>
      </c>
      <c r="VQN15" s="63">
        <f t="shared" si="241"/>
        <v>0</v>
      </c>
      <c r="VQO15" s="63">
        <f t="shared" si="241"/>
        <v>0</v>
      </c>
      <c r="VQP15" s="63">
        <f t="shared" si="241"/>
        <v>0</v>
      </c>
      <c r="VQQ15" s="63">
        <f t="shared" si="241"/>
        <v>0</v>
      </c>
      <c r="VQR15" s="63">
        <f t="shared" si="241"/>
        <v>0</v>
      </c>
      <c r="VQS15" s="63">
        <f t="shared" si="241"/>
        <v>0</v>
      </c>
      <c r="VQT15" s="63">
        <f t="shared" si="241"/>
        <v>0</v>
      </c>
      <c r="VQU15" s="63">
        <f t="shared" si="241"/>
        <v>0</v>
      </c>
      <c r="VQV15" s="63">
        <f t="shared" si="241"/>
        <v>0</v>
      </c>
      <c r="VQW15" s="63">
        <f t="shared" si="241"/>
        <v>0</v>
      </c>
      <c r="VQX15" s="63">
        <f t="shared" si="241"/>
        <v>0</v>
      </c>
      <c r="VQY15" s="63">
        <f t="shared" si="241"/>
        <v>0</v>
      </c>
      <c r="VQZ15" s="63">
        <f t="shared" si="241"/>
        <v>0</v>
      </c>
      <c r="VRA15" s="63">
        <f t="shared" si="241"/>
        <v>0</v>
      </c>
      <c r="VRB15" s="63">
        <f t="shared" si="241"/>
        <v>0</v>
      </c>
      <c r="VRC15" s="63">
        <f t="shared" si="241"/>
        <v>0</v>
      </c>
      <c r="VRD15" s="63">
        <f t="shared" si="241"/>
        <v>0</v>
      </c>
      <c r="VRE15" s="63">
        <f t="shared" si="241"/>
        <v>0</v>
      </c>
      <c r="VRF15" s="63">
        <f t="shared" si="241"/>
        <v>0</v>
      </c>
      <c r="VRG15" s="63">
        <f t="shared" si="241"/>
        <v>0</v>
      </c>
      <c r="VRH15" s="63">
        <f t="shared" si="241"/>
        <v>0</v>
      </c>
      <c r="VRI15" s="63">
        <f t="shared" si="241"/>
        <v>0</v>
      </c>
      <c r="VRJ15" s="63">
        <f t="shared" si="241"/>
        <v>0</v>
      </c>
      <c r="VRK15" s="63">
        <f t="shared" si="241"/>
        <v>0</v>
      </c>
      <c r="VRL15" s="63">
        <f t="shared" si="241"/>
        <v>0</v>
      </c>
      <c r="VRM15" s="63">
        <f t="shared" si="241"/>
        <v>0</v>
      </c>
      <c r="VRN15" s="63">
        <f t="shared" si="241"/>
        <v>0</v>
      </c>
      <c r="VRO15" s="63">
        <f t="shared" si="241"/>
        <v>0</v>
      </c>
      <c r="VRP15" s="63">
        <f t="shared" si="241"/>
        <v>0</v>
      </c>
      <c r="VRQ15" s="63">
        <f t="shared" si="241"/>
        <v>0</v>
      </c>
      <c r="VRR15" s="63">
        <f t="shared" si="241"/>
        <v>0</v>
      </c>
      <c r="VRS15" s="63">
        <f t="shared" si="241"/>
        <v>0</v>
      </c>
      <c r="VRT15" s="63">
        <f t="shared" si="241"/>
        <v>0</v>
      </c>
      <c r="VRU15" s="63">
        <f t="shared" si="241"/>
        <v>0</v>
      </c>
      <c r="VRV15" s="63">
        <f t="shared" si="241"/>
        <v>0</v>
      </c>
      <c r="VRW15" s="63">
        <f t="shared" si="241"/>
        <v>0</v>
      </c>
      <c r="VRX15" s="63">
        <f t="shared" ref="VRX15:VUI15" si="242">VRW18</f>
        <v>0</v>
      </c>
      <c r="VRY15" s="63">
        <f t="shared" si="242"/>
        <v>0</v>
      </c>
      <c r="VRZ15" s="63">
        <f t="shared" si="242"/>
        <v>0</v>
      </c>
      <c r="VSA15" s="63">
        <f t="shared" si="242"/>
        <v>0</v>
      </c>
      <c r="VSB15" s="63">
        <f t="shared" si="242"/>
        <v>0</v>
      </c>
      <c r="VSC15" s="63">
        <f t="shared" si="242"/>
        <v>0</v>
      </c>
      <c r="VSD15" s="63">
        <f t="shared" si="242"/>
        <v>0</v>
      </c>
      <c r="VSE15" s="63">
        <f t="shared" si="242"/>
        <v>0</v>
      </c>
      <c r="VSF15" s="63">
        <f t="shared" si="242"/>
        <v>0</v>
      </c>
      <c r="VSG15" s="63">
        <f t="shared" si="242"/>
        <v>0</v>
      </c>
      <c r="VSH15" s="63">
        <f t="shared" si="242"/>
        <v>0</v>
      </c>
      <c r="VSI15" s="63">
        <f t="shared" si="242"/>
        <v>0</v>
      </c>
      <c r="VSJ15" s="63">
        <f t="shared" si="242"/>
        <v>0</v>
      </c>
      <c r="VSK15" s="63">
        <f t="shared" si="242"/>
        <v>0</v>
      </c>
      <c r="VSL15" s="63">
        <f t="shared" si="242"/>
        <v>0</v>
      </c>
      <c r="VSM15" s="63">
        <f t="shared" si="242"/>
        <v>0</v>
      </c>
      <c r="VSN15" s="63">
        <f t="shared" si="242"/>
        <v>0</v>
      </c>
      <c r="VSO15" s="63">
        <f t="shared" si="242"/>
        <v>0</v>
      </c>
      <c r="VSP15" s="63">
        <f t="shared" si="242"/>
        <v>0</v>
      </c>
      <c r="VSQ15" s="63">
        <f t="shared" si="242"/>
        <v>0</v>
      </c>
      <c r="VSR15" s="63">
        <f t="shared" si="242"/>
        <v>0</v>
      </c>
      <c r="VSS15" s="63">
        <f t="shared" si="242"/>
        <v>0</v>
      </c>
      <c r="VST15" s="63">
        <f t="shared" si="242"/>
        <v>0</v>
      </c>
      <c r="VSU15" s="63">
        <f t="shared" si="242"/>
        <v>0</v>
      </c>
      <c r="VSV15" s="63">
        <f t="shared" si="242"/>
        <v>0</v>
      </c>
      <c r="VSW15" s="63">
        <f t="shared" si="242"/>
        <v>0</v>
      </c>
      <c r="VSX15" s="63">
        <f t="shared" si="242"/>
        <v>0</v>
      </c>
      <c r="VSY15" s="63">
        <f t="shared" si="242"/>
        <v>0</v>
      </c>
      <c r="VSZ15" s="63">
        <f t="shared" si="242"/>
        <v>0</v>
      </c>
      <c r="VTA15" s="63">
        <f t="shared" si="242"/>
        <v>0</v>
      </c>
      <c r="VTB15" s="63">
        <f t="shared" si="242"/>
        <v>0</v>
      </c>
      <c r="VTC15" s="63">
        <f t="shared" si="242"/>
        <v>0</v>
      </c>
      <c r="VTD15" s="63">
        <f t="shared" si="242"/>
        <v>0</v>
      </c>
      <c r="VTE15" s="63">
        <f t="shared" si="242"/>
        <v>0</v>
      </c>
      <c r="VTF15" s="63">
        <f t="shared" si="242"/>
        <v>0</v>
      </c>
      <c r="VTG15" s="63">
        <f t="shared" si="242"/>
        <v>0</v>
      </c>
      <c r="VTH15" s="63">
        <f t="shared" si="242"/>
        <v>0</v>
      </c>
      <c r="VTI15" s="63">
        <f t="shared" si="242"/>
        <v>0</v>
      </c>
      <c r="VTJ15" s="63">
        <f t="shared" si="242"/>
        <v>0</v>
      </c>
      <c r="VTK15" s="63">
        <f t="shared" si="242"/>
        <v>0</v>
      </c>
      <c r="VTL15" s="63">
        <f t="shared" si="242"/>
        <v>0</v>
      </c>
      <c r="VTM15" s="63">
        <f t="shared" si="242"/>
        <v>0</v>
      </c>
      <c r="VTN15" s="63">
        <f t="shared" si="242"/>
        <v>0</v>
      </c>
      <c r="VTO15" s="63">
        <f t="shared" si="242"/>
        <v>0</v>
      </c>
      <c r="VTP15" s="63">
        <f t="shared" si="242"/>
        <v>0</v>
      </c>
      <c r="VTQ15" s="63">
        <f t="shared" si="242"/>
        <v>0</v>
      </c>
      <c r="VTR15" s="63">
        <f t="shared" si="242"/>
        <v>0</v>
      </c>
      <c r="VTS15" s="63">
        <f t="shared" si="242"/>
        <v>0</v>
      </c>
      <c r="VTT15" s="63">
        <f t="shared" si="242"/>
        <v>0</v>
      </c>
      <c r="VTU15" s="63">
        <f t="shared" si="242"/>
        <v>0</v>
      </c>
      <c r="VTV15" s="63">
        <f t="shared" si="242"/>
        <v>0</v>
      </c>
      <c r="VTW15" s="63">
        <f t="shared" si="242"/>
        <v>0</v>
      </c>
      <c r="VTX15" s="63">
        <f t="shared" si="242"/>
        <v>0</v>
      </c>
      <c r="VTY15" s="63">
        <f t="shared" si="242"/>
        <v>0</v>
      </c>
      <c r="VTZ15" s="63">
        <f t="shared" si="242"/>
        <v>0</v>
      </c>
      <c r="VUA15" s="63">
        <f t="shared" si="242"/>
        <v>0</v>
      </c>
      <c r="VUB15" s="63">
        <f t="shared" si="242"/>
        <v>0</v>
      </c>
      <c r="VUC15" s="63">
        <f t="shared" si="242"/>
        <v>0</v>
      </c>
      <c r="VUD15" s="63">
        <f t="shared" si="242"/>
        <v>0</v>
      </c>
      <c r="VUE15" s="63">
        <f t="shared" si="242"/>
        <v>0</v>
      </c>
      <c r="VUF15" s="63">
        <f t="shared" si="242"/>
        <v>0</v>
      </c>
      <c r="VUG15" s="63">
        <f t="shared" si="242"/>
        <v>0</v>
      </c>
      <c r="VUH15" s="63">
        <f t="shared" si="242"/>
        <v>0</v>
      </c>
      <c r="VUI15" s="63">
        <f t="shared" si="242"/>
        <v>0</v>
      </c>
      <c r="VUJ15" s="63">
        <f t="shared" ref="VUJ15:VWU15" si="243">VUI18</f>
        <v>0</v>
      </c>
      <c r="VUK15" s="63">
        <f t="shared" si="243"/>
        <v>0</v>
      </c>
      <c r="VUL15" s="63">
        <f t="shared" si="243"/>
        <v>0</v>
      </c>
      <c r="VUM15" s="63">
        <f t="shared" si="243"/>
        <v>0</v>
      </c>
      <c r="VUN15" s="63">
        <f t="shared" si="243"/>
        <v>0</v>
      </c>
      <c r="VUO15" s="63">
        <f t="shared" si="243"/>
        <v>0</v>
      </c>
      <c r="VUP15" s="63">
        <f t="shared" si="243"/>
        <v>0</v>
      </c>
      <c r="VUQ15" s="63">
        <f t="shared" si="243"/>
        <v>0</v>
      </c>
      <c r="VUR15" s="63">
        <f t="shared" si="243"/>
        <v>0</v>
      </c>
      <c r="VUS15" s="63">
        <f t="shared" si="243"/>
        <v>0</v>
      </c>
      <c r="VUT15" s="63">
        <f t="shared" si="243"/>
        <v>0</v>
      </c>
      <c r="VUU15" s="63">
        <f t="shared" si="243"/>
        <v>0</v>
      </c>
      <c r="VUV15" s="63">
        <f t="shared" si="243"/>
        <v>0</v>
      </c>
      <c r="VUW15" s="63">
        <f t="shared" si="243"/>
        <v>0</v>
      </c>
      <c r="VUX15" s="63">
        <f t="shared" si="243"/>
        <v>0</v>
      </c>
      <c r="VUY15" s="63">
        <f t="shared" si="243"/>
        <v>0</v>
      </c>
      <c r="VUZ15" s="63">
        <f t="shared" si="243"/>
        <v>0</v>
      </c>
      <c r="VVA15" s="63">
        <f t="shared" si="243"/>
        <v>0</v>
      </c>
      <c r="VVB15" s="63">
        <f t="shared" si="243"/>
        <v>0</v>
      </c>
      <c r="VVC15" s="63">
        <f t="shared" si="243"/>
        <v>0</v>
      </c>
      <c r="VVD15" s="63">
        <f t="shared" si="243"/>
        <v>0</v>
      </c>
      <c r="VVE15" s="63">
        <f t="shared" si="243"/>
        <v>0</v>
      </c>
      <c r="VVF15" s="63">
        <f t="shared" si="243"/>
        <v>0</v>
      </c>
      <c r="VVG15" s="63">
        <f t="shared" si="243"/>
        <v>0</v>
      </c>
      <c r="VVH15" s="63">
        <f t="shared" si="243"/>
        <v>0</v>
      </c>
      <c r="VVI15" s="63">
        <f t="shared" si="243"/>
        <v>0</v>
      </c>
      <c r="VVJ15" s="63">
        <f t="shared" si="243"/>
        <v>0</v>
      </c>
      <c r="VVK15" s="63">
        <f t="shared" si="243"/>
        <v>0</v>
      </c>
      <c r="VVL15" s="63">
        <f t="shared" si="243"/>
        <v>0</v>
      </c>
      <c r="VVM15" s="63">
        <f t="shared" si="243"/>
        <v>0</v>
      </c>
      <c r="VVN15" s="63">
        <f t="shared" si="243"/>
        <v>0</v>
      </c>
      <c r="VVO15" s="63">
        <f t="shared" si="243"/>
        <v>0</v>
      </c>
      <c r="VVP15" s="63">
        <f t="shared" si="243"/>
        <v>0</v>
      </c>
      <c r="VVQ15" s="63">
        <f t="shared" si="243"/>
        <v>0</v>
      </c>
      <c r="VVR15" s="63">
        <f t="shared" si="243"/>
        <v>0</v>
      </c>
      <c r="VVS15" s="63">
        <f t="shared" si="243"/>
        <v>0</v>
      </c>
      <c r="VVT15" s="63">
        <f t="shared" si="243"/>
        <v>0</v>
      </c>
      <c r="VVU15" s="63">
        <f t="shared" si="243"/>
        <v>0</v>
      </c>
      <c r="VVV15" s="63">
        <f t="shared" si="243"/>
        <v>0</v>
      </c>
      <c r="VVW15" s="63">
        <f t="shared" si="243"/>
        <v>0</v>
      </c>
      <c r="VVX15" s="63">
        <f t="shared" si="243"/>
        <v>0</v>
      </c>
      <c r="VVY15" s="63">
        <f t="shared" si="243"/>
        <v>0</v>
      </c>
      <c r="VVZ15" s="63">
        <f t="shared" si="243"/>
        <v>0</v>
      </c>
      <c r="VWA15" s="63">
        <f t="shared" si="243"/>
        <v>0</v>
      </c>
      <c r="VWB15" s="63">
        <f t="shared" si="243"/>
        <v>0</v>
      </c>
      <c r="VWC15" s="63">
        <f t="shared" si="243"/>
        <v>0</v>
      </c>
      <c r="VWD15" s="63">
        <f t="shared" si="243"/>
        <v>0</v>
      </c>
      <c r="VWE15" s="63">
        <f t="shared" si="243"/>
        <v>0</v>
      </c>
      <c r="VWF15" s="63">
        <f t="shared" si="243"/>
        <v>0</v>
      </c>
      <c r="VWG15" s="63">
        <f t="shared" si="243"/>
        <v>0</v>
      </c>
      <c r="VWH15" s="63">
        <f t="shared" si="243"/>
        <v>0</v>
      </c>
      <c r="VWI15" s="63">
        <f t="shared" si="243"/>
        <v>0</v>
      </c>
      <c r="VWJ15" s="63">
        <f t="shared" si="243"/>
        <v>0</v>
      </c>
      <c r="VWK15" s="63">
        <f t="shared" si="243"/>
        <v>0</v>
      </c>
      <c r="VWL15" s="63">
        <f t="shared" si="243"/>
        <v>0</v>
      </c>
      <c r="VWM15" s="63">
        <f t="shared" si="243"/>
        <v>0</v>
      </c>
      <c r="VWN15" s="63">
        <f t="shared" si="243"/>
        <v>0</v>
      </c>
      <c r="VWO15" s="63">
        <f t="shared" si="243"/>
        <v>0</v>
      </c>
      <c r="VWP15" s="63">
        <f t="shared" si="243"/>
        <v>0</v>
      </c>
      <c r="VWQ15" s="63">
        <f t="shared" si="243"/>
        <v>0</v>
      </c>
      <c r="VWR15" s="63">
        <f t="shared" si="243"/>
        <v>0</v>
      </c>
      <c r="VWS15" s="63">
        <f t="shared" si="243"/>
        <v>0</v>
      </c>
      <c r="VWT15" s="63">
        <f t="shared" si="243"/>
        <v>0</v>
      </c>
      <c r="VWU15" s="63">
        <f t="shared" si="243"/>
        <v>0</v>
      </c>
      <c r="VWV15" s="63">
        <f t="shared" ref="VWV15:VZG15" si="244">VWU18</f>
        <v>0</v>
      </c>
      <c r="VWW15" s="63">
        <f t="shared" si="244"/>
        <v>0</v>
      </c>
      <c r="VWX15" s="63">
        <f t="shared" si="244"/>
        <v>0</v>
      </c>
      <c r="VWY15" s="63">
        <f t="shared" si="244"/>
        <v>0</v>
      </c>
      <c r="VWZ15" s="63">
        <f t="shared" si="244"/>
        <v>0</v>
      </c>
      <c r="VXA15" s="63">
        <f t="shared" si="244"/>
        <v>0</v>
      </c>
      <c r="VXB15" s="63">
        <f t="shared" si="244"/>
        <v>0</v>
      </c>
      <c r="VXC15" s="63">
        <f t="shared" si="244"/>
        <v>0</v>
      </c>
      <c r="VXD15" s="63">
        <f t="shared" si="244"/>
        <v>0</v>
      </c>
      <c r="VXE15" s="63">
        <f t="shared" si="244"/>
        <v>0</v>
      </c>
      <c r="VXF15" s="63">
        <f t="shared" si="244"/>
        <v>0</v>
      </c>
      <c r="VXG15" s="63">
        <f t="shared" si="244"/>
        <v>0</v>
      </c>
      <c r="VXH15" s="63">
        <f t="shared" si="244"/>
        <v>0</v>
      </c>
      <c r="VXI15" s="63">
        <f t="shared" si="244"/>
        <v>0</v>
      </c>
      <c r="VXJ15" s="63">
        <f t="shared" si="244"/>
        <v>0</v>
      </c>
      <c r="VXK15" s="63">
        <f t="shared" si="244"/>
        <v>0</v>
      </c>
      <c r="VXL15" s="63">
        <f t="shared" si="244"/>
        <v>0</v>
      </c>
      <c r="VXM15" s="63">
        <f t="shared" si="244"/>
        <v>0</v>
      </c>
      <c r="VXN15" s="63">
        <f t="shared" si="244"/>
        <v>0</v>
      </c>
      <c r="VXO15" s="63">
        <f t="shared" si="244"/>
        <v>0</v>
      </c>
      <c r="VXP15" s="63">
        <f t="shared" si="244"/>
        <v>0</v>
      </c>
      <c r="VXQ15" s="63">
        <f t="shared" si="244"/>
        <v>0</v>
      </c>
      <c r="VXR15" s="63">
        <f t="shared" si="244"/>
        <v>0</v>
      </c>
      <c r="VXS15" s="63">
        <f t="shared" si="244"/>
        <v>0</v>
      </c>
      <c r="VXT15" s="63">
        <f t="shared" si="244"/>
        <v>0</v>
      </c>
      <c r="VXU15" s="63">
        <f t="shared" si="244"/>
        <v>0</v>
      </c>
      <c r="VXV15" s="63">
        <f t="shared" si="244"/>
        <v>0</v>
      </c>
      <c r="VXW15" s="63">
        <f t="shared" si="244"/>
        <v>0</v>
      </c>
      <c r="VXX15" s="63">
        <f t="shared" si="244"/>
        <v>0</v>
      </c>
      <c r="VXY15" s="63">
        <f t="shared" si="244"/>
        <v>0</v>
      </c>
      <c r="VXZ15" s="63">
        <f t="shared" si="244"/>
        <v>0</v>
      </c>
      <c r="VYA15" s="63">
        <f t="shared" si="244"/>
        <v>0</v>
      </c>
      <c r="VYB15" s="63">
        <f t="shared" si="244"/>
        <v>0</v>
      </c>
      <c r="VYC15" s="63">
        <f t="shared" si="244"/>
        <v>0</v>
      </c>
      <c r="VYD15" s="63">
        <f t="shared" si="244"/>
        <v>0</v>
      </c>
      <c r="VYE15" s="63">
        <f t="shared" si="244"/>
        <v>0</v>
      </c>
      <c r="VYF15" s="63">
        <f t="shared" si="244"/>
        <v>0</v>
      </c>
      <c r="VYG15" s="63">
        <f t="shared" si="244"/>
        <v>0</v>
      </c>
      <c r="VYH15" s="63">
        <f t="shared" si="244"/>
        <v>0</v>
      </c>
      <c r="VYI15" s="63">
        <f t="shared" si="244"/>
        <v>0</v>
      </c>
      <c r="VYJ15" s="63">
        <f t="shared" si="244"/>
        <v>0</v>
      </c>
      <c r="VYK15" s="63">
        <f t="shared" si="244"/>
        <v>0</v>
      </c>
      <c r="VYL15" s="63">
        <f t="shared" si="244"/>
        <v>0</v>
      </c>
      <c r="VYM15" s="63">
        <f t="shared" si="244"/>
        <v>0</v>
      </c>
      <c r="VYN15" s="63">
        <f t="shared" si="244"/>
        <v>0</v>
      </c>
      <c r="VYO15" s="63">
        <f t="shared" si="244"/>
        <v>0</v>
      </c>
      <c r="VYP15" s="63">
        <f t="shared" si="244"/>
        <v>0</v>
      </c>
      <c r="VYQ15" s="63">
        <f t="shared" si="244"/>
        <v>0</v>
      </c>
      <c r="VYR15" s="63">
        <f t="shared" si="244"/>
        <v>0</v>
      </c>
      <c r="VYS15" s="63">
        <f t="shared" si="244"/>
        <v>0</v>
      </c>
      <c r="VYT15" s="63">
        <f t="shared" si="244"/>
        <v>0</v>
      </c>
      <c r="VYU15" s="63">
        <f t="shared" si="244"/>
        <v>0</v>
      </c>
      <c r="VYV15" s="63">
        <f t="shared" si="244"/>
        <v>0</v>
      </c>
      <c r="VYW15" s="63">
        <f t="shared" si="244"/>
        <v>0</v>
      </c>
      <c r="VYX15" s="63">
        <f t="shared" si="244"/>
        <v>0</v>
      </c>
      <c r="VYY15" s="63">
        <f t="shared" si="244"/>
        <v>0</v>
      </c>
      <c r="VYZ15" s="63">
        <f t="shared" si="244"/>
        <v>0</v>
      </c>
      <c r="VZA15" s="63">
        <f t="shared" si="244"/>
        <v>0</v>
      </c>
      <c r="VZB15" s="63">
        <f t="shared" si="244"/>
        <v>0</v>
      </c>
      <c r="VZC15" s="63">
        <f t="shared" si="244"/>
        <v>0</v>
      </c>
      <c r="VZD15" s="63">
        <f t="shared" si="244"/>
        <v>0</v>
      </c>
      <c r="VZE15" s="63">
        <f t="shared" si="244"/>
        <v>0</v>
      </c>
      <c r="VZF15" s="63">
        <f t="shared" si="244"/>
        <v>0</v>
      </c>
      <c r="VZG15" s="63">
        <f t="shared" si="244"/>
        <v>0</v>
      </c>
      <c r="VZH15" s="63">
        <f t="shared" ref="VZH15:WBS15" si="245">VZG18</f>
        <v>0</v>
      </c>
      <c r="VZI15" s="63">
        <f t="shared" si="245"/>
        <v>0</v>
      </c>
      <c r="VZJ15" s="63">
        <f t="shared" si="245"/>
        <v>0</v>
      </c>
      <c r="VZK15" s="63">
        <f t="shared" si="245"/>
        <v>0</v>
      </c>
      <c r="VZL15" s="63">
        <f t="shared" si="245"/>
        <v>0</v>
      </c>
      <c r="VZM15" s="63">
        <f t="shared" si="245"/>
        <v>0</v>
      </c>
      <c r="VZN15" s="63">
        <f t="shared" si="245"/>
        <v>0</v>
      </c>
      <c r="VZO15" s="63">
        <f t="shared" si="245"/>
        <v>0</v>
      </c>
      <c r="VZP15" s="63">
        <f t="shared" si="245"/>
        <v>0</v>
      </c>
      <c r="VZQ15" s="63">
        <f t="shared" si="245"/>
        <v>0</v>
      </c>
      <c r="VZR15" s="63">
        <f t="shared" si="245"/>
        <v>0</v>
      </c>
      <c r="VZS15" s="63">
        <f t="shared" si="245"/>
        <v>0</v>
      </c>
      <c r="VZT15" s="63">
        <f t="shared" si="245"/>
        <v>0</v>
      </c>
      <c r="VZU15" s="63">
        <f t="shared" si="245"/>
        <v>0</v>
      </c>
      <c r="VZV15" s="63">
        <f t="shared" si="245"/>
        <v>0</v>
      </c>
      <c r="VZW15" s="63">
        <f t="shared" si="245"/>
        <v>0</v>
      </c>
      <c r="VZX15" s="63">
        <f t="shared" si="245"/>
        <v>0</v>
      </c>
      <c r="VZY15" s="63">
        <f t="shared" si="245"/>
        <v>0</v>
      </c>
      <c r="VZZ15" s="63">
        <f t="shared" si="245"/>
        <v>0</v>
      </c>
      <c r="WAA15" s="63">
        <f t="shared" si="245"/>
        <v>0</v>
      </c>
      <c r="WAB15" s="63">
        <f t="shared" si="245"/>
        <v>0</v>
      </c>
      <c r="WAC15" s="63">
        <f t="shared" si="245"/>
        <v>0</v>
      </c>
      <c r="WAD15" s="63">
        <f t="shared" si="245"/>
        <v>0</v>
      </c>
      <c r="WAE15" s="63">
        <f t="shared" si="245"/>
        <v>0</v>
      </c>
      <c r="WAF15" s="63">
        <f t="shared" si="245"/>
        <v>0</v>
      </c>
      <c r="WAG15" s="63">
        <f t="shared" si="245"/>
        <v>0</v>
      </c>
      <c r="WAH15" s="63">
        <f t="shared" si="245"/>
        <v>0</v>
      </c>
      <c r="WAI15" s="63">
        <f t="shared" si="245"/>
        <v>0</v>
      </c>
      <c r="WAJ15" s="63">
        <f t="shared" si="245"/>
        <v>0</v>
      </c>
      <c r="WAK15" s="63">
        <f t="shared" si="245"/>
        <v>0</v>
      </c>
      <c r="WAL15" s="63">
        <f t="shared" si="245"/>
        <v>0</v>
      </c>
      <c r="WAM15" s="63">
        <f t="shared" si="245"/>
        <v>0</v>
      </c>
      <c r="WAN15" s="63">
        <f t="shared" si="245"/>
        <v>0</v>
      </c>
      <c r="WAO15" s="63">
        <f t="shared" si="245"/>
        <v>0</v>
      </c>
      <c r="WAP15" s="63">
        <f t="shared" si="245"/>
        <v>0</v>
      </c>
      <c r="WAQ15" s="63">
        <f t="shared" si="245"/>
        <v>0</v>
      </c>
      <c r="WAR15" s="63">
        <f t="shared" si="245"/>
        <v>0</v>
      </c>
      <c r="WAS15" s="63">
        <f t="shared" si="245"/>
        <v>0</v>
      </c>
      <c r="WAT15" s="63">
        <f t="shared" si="245"/>
        <v>0</v>
      </c>
      <c r="WAU15" s="63">
        <f t="shared" si="245"/>
        <v>0</v>
      </c>
      <c r="WAV15" s="63">
        <f t="shared" si="245"/>
        <v>0</v>
      </c>
      <c r="WAW15" s="63">
        <f t="shared" si="245"/>
        <v>0</v>
      </c>
      <c r="WAX15" s="63">
        <f t="shared" si="245"/>
        <v>0</v>
      </c>
      <c r="WAY15" s="63">
        <f t="shared" si="245"/>
        <v>0</v>
      </c>
      <c r="WAZ15" s="63">
        <f t="shared" si="245"/>
        <v>0</v>
      </c>
      <c r="WBA15" s="63">
        <f t="shared" si="245"/>
        <v>0</v>
      </c>
      <c r="WBB15" s="63">
        <f t="shared" si="245"/>
        <v>0</v>
      </c>
      <c r="WBC15" s="63">
        <f t="shared" si="245"/>
        <v>0</v>
      </c>
      <c r="WBD15" s="63">
        <f t="shared" si="245"/>
        <v>0</v>
      </c>
      <c r="WBE15" s="63">
        <f t="shared" si="245"/>
        <v>0</v>
      </c>
      <c r="WBF15" s="63">
        <f t="shared" si="245"/>
        <v>0</v>
      </c>
      <c r="WBG15" s="63">
        <f t="shared" si="245"/>
        <v>0</v>
      </c>
      <c r="WBH15" s="63">
        <f t="shared" si="245"/>
        <v>0</v>
      </c>
      <c r="WBI15" s="63">
        <f t="shared" si="245"/>
        <v>0</v>
      </c>
      <c r="WBJ15" s="63">
        <f t="shared" si="245"/>
        <v>0</v>
      </c>
      <c r="WBK15" s="63">
        <f t="shared" si="245"/>
        <v>0</v>
      </c>
      <c r="WBL15" s="63">
        <f t="shared" si="245"/>
        <v>0</v>
      </c>
      <c r="WBM15" s="63">
        <f t="shared" si="245"/>
        <v>0</v>
      </c>
      <c r="WBN15" s="63">
        <f t="shared" si="245"/>
        <v>0</v>
      </c>
      <c r="WBO15" s="63">
        <f t="shared" si="245"/>
        <v>0</v>
      </c>
      <c r="WBP15" s="63">
        <f t="shared" si="245"/>
        <v>0</v>
      </c>
      <c r="WBQ15" s="63">
        <f t="shared" si="245"/>
        <v>0</v>
      </c>
      <c r="WBR15" s="63">
        <f t="shared" si="245"/>
        <v>0</v>
      </c>
      <c r="WBS15" s="63">
        <f t="shared" si="245"/>
        <v>0</v>
      </c>
      <c r="WBT15" s="63">
        <f t="shared" ref="WBT15:WEE15" si="246">WBS18</f>
        <v>0</v>
      </c>
      <c r="WBU15" s="63">
        <f t="shared" si="246"/>
        <v>0</v>
      </c>
      <c r="WBV15" s="63">
        <f t="shared" si="246"/>
        <v>0</v>
      </c>
      <c r="WBW15" s="63">
        <f t="shared" si="246"/>
        <v>0</v>
      </c>
      <c r="WBX15" s="63">
        <f t="shared" si="246"/>
        <v>0</v>
      </c>
      <c r="WBY15" s="63">
        <f t="shared" si="246"/>
        <v>0</v>
      </c>
      <c r="WBZ15" s="63">
        <f t="shared" si="246"/>
        <v>0</v>
      </c>
      <c r="WCA15" s="63">
        <f t="shared" si="246"/>
        <v>0</v>
      </c>
      <c r="WCB15" s="63">
        <f t="shared" si="246"/>
        <v>0</v>
      </c>
      <c r="WCC15" s="63">
        <f t="shared" si="246"/>
        <v>0</v>
      </c>
      <c r="WCD15" s="63">
        <f t="shared" si="246"/>
        <v>0</v>
      </c>
      <c r="WCE15" s="63">
        <f t="shared" si="246"/>
        <v>0</v>
      </c>
      <c r="WCF15" s="63">
        <f t="shared" si="246"/>
        <v>0</v>
      </c>
      <c r="WCG15" s="63">
        <f t="shared" si="246"/>
        <v>0</v>
      </c>
      <c r="WCH15" s="63">
        <f t="shared" si="246"/>
        <v>0</v>
      </c>
      <c r="WCI15" s="63">
        <f t="shared" si="246"/>
        <v>0</v>
      </c>
      <c r="WCJ15" s="63">
        <f t="shared" si="246"/>
        <v>0</v>
      </c>
      <c r="WCK15" s="63">
        <f t="shared" si="246"/>
        <v>0</v>
      </c>
      <c r="WCL15" s="63">
        <f t="shared" si="246"/>
        <v>0</v>
      </c>
      <c r="WCM15" s="63">
        <f t="shared" si="246"/>
        <v>0</v>
      </c>
      <c r="WCN15" s="63">
        <f t="shared" si="246"/>
        <v>0</v>
      </c>
      <c r="WCO15" s="63">
        <f t="shared" si="246"/>
        <v>0</v>
      </c>
      <c r="WCP15" s="63">
        <f t="shared" si="246"/>
        <v>0</v>
      </c>
      <c r="WCQ15" s="63">
        <f t="shared" si="246"/>
        <v>0</v>
      </c>
      <c r="WCR15" s="63">
        <f t="shared" si="246"/>
        <v>0</v>
      </c>
      <c r="WCS15" s="63">
        <f t="shared" si="246"/>
        <v>0</v>
      </c>
      <c r="WCT15" s="63">
        <f t="shared" si="246"/>
        <v>0</v>
      </c>
      <c r="WCU15" s="63">
        <f t="shared" si="246"/>
        <v>0</v>
      </c>
      <c r="WCV15" s="63">
        <f t="shared" si="246"/>
        <v>0</v>
      </c>
      <c r="WCW15" s="63">
        <f t="shared" si="246"/>
        <v>0</v>
      </c>
      <c r="WCX15" s="63">
        <f t="shared" si="246"/>
        <v>0</v>
      </c>
      <c r="WCY15" s="63">
        <f t="shared" si="246"/>
        <v>0</v>
      </c>
      <c r="WCZ15" s="63">
        <f t="shared" si="246"/>
        <v>0</v>
      </c>
      <c r="WDA15" s="63">
        <f t="shared" si="246"/>
        <v>0</v>
      </c>
      <c r="WDB15" s="63">
        <f t="shared" si="246"/>
        <v>0</v>
      </c>
      <c r="WDC15" s="63">
        <f t="shared" si="246"/>
        <v>0</v>
      </c>
      <c r="WDD15" s="63">
        <f t="shared" si="246"/>
        <v>0</v>
      </c>
      <c r="WDE15" s="63">
        <f t="shared" si="246"/>
        <v>0</v>
      </c>
      <c r="WDF15" s="63">
        <f t="shared" si="246"/>
        <v>0</v>
      </c>
      <c r="WDG15" s="63">
        <f t="shared" si="246"/>
        <v>0</v>
      </c>
      <c r="WDH15" s="63">
        <f t="shared" si="246"/>
        <v>0</v>
      </c>
      <c r="WDI15" s="63">
        <f t="shared" si="246"/>
        <v>0</v>
      </c>
      <c r="WDJ15" s="63">
        <f t="shared" si="246"/>
        <v>0</v>
      </c>
      <c r="WDK15" s="63">
        <f t="shared" si="246"/>
        <v>0</v>
      </c>
      <c r="WDL15" s="63">
        <f t="shared" si="246"/>
        <v>0</v>
      </c>
      <c r="WDM15" s="63">
        <f t="shared" si="246"/>
        <v>0</v>
      </c>
      <c r="WDN15" s="63">
        <f t="shared" si="246"/>
        <v>0</v>
      </c>
      <c r="WDO15" s="63">
        <f t="shared" si="246"/>
        <v>0</v>
      </c>
      <c r="WDP15" s="63">
        <f t="shared" si="246"/>
        <v>0</v>
      </c>
      <c r="WDQ15" s="63">
        <f t="shared" si="246"/>
        <v>0</v>
      </c>
      <c r="WDR15" s="63">
        <f t="shared" si="246"/>
        <v>0</v>
      </c>
      <c r="WDS15" s="63">
        <f t="shared" si="246"/>
        <v>0</v>
      </c>
      <c r="WDT15" s="63">
        <f t="shared" si="246"/>
        <v>0</v>
      </c>
      <c r="WDU15" s="63">
        <f t="shared" si="246"/>
        <v>0</v>
      </c>
      <c r="WDV15" s="63">
        <f t="shared" si="246"/>
        <v>0</v>
      </c>
      <c r="WDW15" s="63">
        <f t="shared" si="246"/>
        <v>0</v>
      </c>
      <c r="WDX15" s="63">
        <f t="shared" si="246"/>
        <v>0</v>
      </c>
      <c r="WDY15" s="63">
        <f t="shared" si="246"/>
        <v>0</v>
      </c>
      <c r="WDZ15" s="63">
        <f t="shared" si="246"/>
        <v>0</v>
      </c>
      <c r="WEA15" s="63">
        <f t="shared" si="246"/>
        <v>0</v>
      </c>
      <c r="WEB15" s="63">
        <f t="shared" si="246"/>
        <v>0</v>
      </c>
      <c r="WEC15" s="63">
        <f t="shared" si="246"/>
        <v>0</v>
      </c>
      <c r="WED15" s="63">
        <f t="shared" si="246"/>
        <v>0</v>
      </c>
      <c r="WEE15" s="63">
        <f t="shared" si="246"/>
        <v>0</v>
      </c>
      <c r="WEF15" s="63">
        <f t="shared" ref="WEF15:WGQ15" si="247">WEE18</f>
        <v>0</v>
      </c>
      <c r="WEG15" s="63">
        <f t="shared" si="247"/>
        <v>0</v>
      </c>
      <c r="WEH15" s="63">
        <f t="shared" si="247"/>
        <v>0</v>
      </c>
      <c r="WEI15" s="63">
        <f t="shared" si="247"/>
        <v>0</v>
      </c>
      <c r="WEJ15" s="63">
        <f t="shared" si="247"/>
        <v>0</v>
      </c>
      <c r="WEK15" s="63">
        <f t="shared" si="247"/>
        <v>0</v>
      </c>
      <c r="WEL15" s="63">
        <f t="shared" si="247"/>
        <v>0</v>
      </c>
      <c r="WEM15" s="63">
        <f t="shared" si="247"/>
        <v>0</v>
      </c>
      <c r="WEN15" s="63">
        <f t="shared" si="247"/>
        <v>0</v>
      </c>
      <c r="WEO15" s="63">
        <f t="shared" si="247"/>
        <v>0</v>
      </c>
      <c r="WEP15" s="63">
        <f t="shared" si="247"/>
        <v>0</v>
      </c>
      <c r="WEQ15" s="63">
        <f t="shared" si="247"/>
        <v>0</v>
      </c>
      <c r="WER15" s="63">
        <f t="shared" si="247"/>
        <v>0</v>
      </c>
      <c r="WES15" s="63">
        <f t="shared" si="247"/>
        <v>0</v>
      </c>
      <c r="WET15" s="63">
        <f t="shared" si="247"/>
        <v>0</v>
      </c>
      <c r="WEU15" s="63">
        <f t="shared" si="247"/>
        <v>0</v>
      </c>
      <c r="WEV15" s="63">
        <f t="shared" si="247"/>
        <v>0</v>
      </c>
      <c r="WEW15" s="63">
        <f t="shared" si="247"/>
        <v>0</v>
      </c>
      <c r="WEX15" s="63">
        <f t="shared" si="247"/>
        <v>0</v>
      </c>
      <c r="WEY15" s="63">
        <f t="shared" si="247"/>
        <v>0</v>
      </c>
      <c r="WEZ15" s="63">
        <f t="shared" si="247"/>
        <v>0</v>
      </c>
      <c r="WFA15" s="63">
        <f t="shared" si="247"/>
        <v>0</v>
      </c>
      <c r="WFB15" s="63">
        <f t="shared" si="247"/>
        <v>0</v>
      </c>
      <c r="WFC15" s="63">
        <f t="shared" si="247"/>
        <v>0</v>
      </c>
      <c r="WFD15" s="63">
        <f t="shared" si="247"/>
        <v>0</v>
      </c>
      <c r="WFE15" s="63">
        <f t="shared" si="247"/>
        <v>0</v>
      </c>
      <c r="WFF15" s="63">
        <f t="shared" si="247"/>
        <v>0</v>
      </c>
      <c r="WFG15" s="63">
        <f t="shared" si="247"/>
        <v>0</v>
      </c>
      <c r="WFH15" s="63">
        <f t="shared" si="247"/>
        <v>0</v>
      </c>
      <c r="WFI15" s="63">
        <f t="shared" si="247"/>
        <v>0</v>
      </c>
      <c r="WFJ15" s="63">
        <f t="shared" si="247"/>
        <v>0</v>
      </c>
      <c r="WFK15" s="63">
        <f t="shared" si="247"/>
        <v>0</v>
      </c>
      <c r="WFL15" s="63">
        <f t="shared" si="247"/>
        <v>0</v>
      </c>
      <c r="WFM15" s="63">
        <f t="shared" si="247"/>
        <v>0</v>
      </c>
      <c r="WFN15" s="63">
        <f t="shared" si="247"/>
        <v>0</v>
      </c>
      <c r="WFO15" s="63">
        <f t="shared" si="247"/>
        <v>0</v>
      </c>
      <c r="WFP15" s="63">
        <f t="shared" si="247"/>
        <v>0</v>
      </c>
      <c r="WFQ15" s="63">
        <f t="shared" si="247"/>
        <v>0</v>
      </c>
      <c r="WFR15" s="63">
        <f t="shared" si="247"/>
        <v>0</v>
      </c>
      <c r="WFS15" s="63">
        <f t="shared" si="247"/>
        <v>0</v>
      </c>
      <c r="WFT15" s="63">
        <f t="shared" si="247"/>
        <v>0</v>
      </c>
      <c r="WFU15" s="63">
        <f t="shared" si="247"/>
        <v>0</v>
      </c>
      <c r="WFV15" s="63">
        <f t="shared" si="247"/>
        <v>0</v>
      </c>
      <c r="WFW15" s="63">
        <f t="shared" si="247"/>
        <v>0</v>
      </c>
      <c r="WFX15" s="63">
        <f t="shared" si="247"/>
        <v>0</v>
      </c>
      <c r="WFY15" s="63">
        <f t="shared" si="247"/>
        <v>0</v>
      </c>
      <c r="WFZ15" s="63">
        <f t="shared" si="247"/>
        <v>0</v>
      </c>
      <c r="WGA15" s="63">
        <f t="shared" si="247"/>
        <v>0</v>
      </c>
      <c r="WGB15" s="63">
        <f t="shared" si="247"/>
        <v>0</v>
      </c>
      <c r="WGC15" s="63">
        <f t="shared" si="247"/>
        <v>0</v>
      </c>
      <c r="WGD15" s="63">
        <f t="shared" si="247"/>
        <v>0</v>
      </c>
      <c r="WGE15" s="63">
        <f t="shared" si="247"/>
        <v>0</v>
      </c>
      <c r="WGF15" s="63">
        <f t="shared" si="247"/>
        <v>0</v>
      </c>
      <c r="WGG15" s="63">
        <f t="shared" si="247"/>
        <v>0</v>
      </c>
      <c r="WGH15" s="63">
        <f t="shared" si="247"/>
        <v>0</v>
      </c>
      <c r="WGI15" s="63">
        <f t="shared" si="247"/>
        <v>0</v>
      </c>
      <c r="WGJ15" s="63">
        <f t="shared" si="247"/>
        <v>0</v>
      </c>
      <c r="WGK15" s="63">
        <f t="shared" si="247"/>
        <v>0</v>
      </c>
      <c r="WGL15" s="63">
        <f t="shared" si="247"/>
        <v>0</v>
      </c>
      <c r="WGM15" s="63">
        <f t="shared" si="247"/>
        <v>0</v>
      </c>
      <c r="WGN15" s="63">
        <f t="shared" si="247"/>
        <v>0</v>
      </c>
      <c r="WGO15" s="63">
        <f t="shared" si="247"/>
        <v>0</v>
      </c>
      <c r="WGP15" s="63">
        <f t="shared" si="247"/>
        <v>0</v>
      </c>
      <c r="WGQ15" s="63">
        <f t="shared" si="247"/>
        <v>0</v>
      </c>
      <c r="WGR15" s="63">
        <f t="shared" ref="WGR15:WJC15" si="248">WGQ18</f>
        <v>0</v>
      </c>
      <c r="WGS15" s="63">
        <f t="shared" si="248"/>
        <v>0</v>
      </c>
      <c r="WGT15" s="63">
        <f t="shared" si="248"/>
        <v>0</v>
      </c>
      <c r="WGU15" s="63">
        <f t="shared" si="248"/>
        <v>0</v>
      </c>
      <c r="WGV15" s="63">
        <f t="shared" si="248"/>
        <v>0</v>
      </c>
      <c r="WGW15" s="63">
        <f t="shared" si="248"/>
        <v>0</v>
      </c>
      <c r="WGX15" s="63">
        <f t="shared" si="248"/>
        <v>0</v>
      </c>
      <c r="WGY15" s="63">
        <f t="shared" si="248"/>
        <v>0</v>
      </c>
      <c r="WGZ15" s="63">
        <f t="shared" si="248"/>
        <v>0</v>
      </c>
      <c r="WHA15" s="63">
        <f t="shared" si="248"/>
        <v>0</v>
      </c>
      <c r="WHB15" s="63">
        <f t="shared" si="248"/>
        <v>0</v>
      </c>
      <c r="WHC15" s="63">
        <f t="shared" si="248"/>
        <v>0</v>
      </c>
      <c r="WHD15" s="63">
        <f t="shared" si="248"/>
        <v>0</v>
      </c>
      <c r="WHE15" s="63">
        <f t="shared" si="248"/>
        <v>0</v>
      </c>
      <c r="WHF15" s="63">
        <f t="shared" si="248"/>
        <v>0</v>
      </c>
      <c r="WHG15" s="63">
        <f t="shared" si="248"/>
        <v>0</v>
      </c>
      <c r="WHH15" s="63">
        <f t="shared" si="248"/>
        <v>0</v>
      </c>
      <c r="WHI15" s="63">
        <f t="shared" si="248"/>
        <v>0</v>
      </c>
      <c r="WHJ15" s="63">
        <f t="shared" si="248"/>
        <v>0</v>
      </c>
      <c r="WHK15" s="63">
        <f t="shared" si="248"/>
        <v>0</v>
      </c>
      <c r="WHL15" s="63">
        <f t="shared" si="248"/>
        <v>0</v>
      </c>
      <c r="WHM15" s="63">
        <f t="shared" si="248"/>
        <v>0</v>
      </c>
      <c r="WHN15" s="63">
        <f t="shared" si="248"/>
        <v>0</v>
      </c>
      <c r="WHO15" s="63">
        <f t="shared" si="248"/>
        <v>0</v>
      </c>
      <c r="WHP15" s="63">
        <f t="shared" si="248"/>
        <v>0</v>
      </c>
      <c r="WHQ15" s="63">
        <f t="shared" si="248"/>
        <v>0</v>
      </c>
      <c r="WHR15" s="63">
        <f t="shared" si="248"/>
        <v>0</v>
      </c>
      <c r="WHS15" s="63">
        <f t="shared" si="248"/>
        <v>0</v>
      </c>
      <c r="WHT15" s="63">
        <f t="shared" si="248"/>
        <v>0</v>
      </c>
      <c r="WHU15" s="63">
        <f t="shared" si="248"/>
        <v>0</v>
      </c>
      <c r="WHV15" s="63">
        <f t="shared" si="248"/>
        <v>0</v>
      </c>
      <c r="WHW15" s="63">
        <f t="shared" si="248"/>
        <v>0</v>
      </c>
      <c r="WHX15" s="63">
        <f t="shared" si="248"/>
        <v>0</v>
      </c>
      <c r="WHY15" s="63">
        <f t="shared" si="248"/>
        <v>0</v>
      </c>
      <c r="WHZ15" s="63">
        <f t="shared" si="248"/>
        <v>0</v>
      </c>
      <c r="WIA15" s="63">
        <f t="shared" si="248"/>
        <v>0</v>
      </c>
      <c r="WIB15" s="63">
        <f t="shared" si="248"/>
        <v>0</v>
      </c>
      <c r="WIC15" s="63">
        <f t="shared" si="248"/>
        <v>0</v>
      </c>
      <c r="WID15" s="63">
        <f t="shared" si="248"/>
        <v>0</v>
      </c>
      <c r="WIE15" s="63">
        <f t="shared" si="248"/>
        <v>0</v>
      </c>
      <c r="WIF15" s="63">
        <f t="shared" si="248"/>
        <v>0</v>
      </c>
      <c r="WIG15" s="63">
        <f t="shared" si="248"/>
        <v>0</v>
      </c>
      <c r="WIH15" s="63">
        <f t="shared" si="248"/>
        <v>0</v>
      </c>
      <c r="WII15" s="63">
        <f t="shared" si="248"/>
        <v>0</v>
      </c>
      <c r="WIJ15" s="63">
        <f t="shared" si="248"/>
        <v>0</v>
      </c>
      <c r="WIK15" s="63">
        <f t="shared" si="248"/>
        <v>0</v>
      </c>
      <c r="WIL15" s="63">
        <f t="shared" si="248"/>
        <v>0</v>
      </c>
      <c r="WIM15" s="63">
        <f t="shared" si="248"/>
        <v>0</v>
      </c>
      <c r="WIN15" s="63">
        <f t="shared" si="248"/>
        <v>0</v>
      </c>
      <c r="WIO15" s="63">
        <f t="shared" si="248"/>
        <v>0</v>
      </c>
      <c r="WIP15" s="63">
        <f t="shared" si="248"/>
        <v>0</v>
      </c>
      <c r="WIQ15" s="63">
        <f t="shared" si="248"/>
        <v>0</v>
      </c>
      <c r="WIR15" s="63">
        <f t="shared" si="248"/>
        <v>0</v>
      </c>
      <c r="WIS15" s="63">
        <f t="shared" si="248"/>
        <v>0</v>
      </c>
      <c r="WIT15" s="63">
        <f t="shared" si="248"/>
        <v>0</v>
      </c>
      <c r="WIU15" s="63">
        <f t="shared" si="248"/>
        <v>0</v>
      </c>
      <c r="WIV15" s="63">
        <f t="shared" si="248"/>
        <v>0</v>
      </c>
      <c r="WIW15" s="63">
        <f t="shared" si="248"/>
        <v>0</v>
      </c>
      <c r="WIX15" s="63">
        <f t="shared" si="248"/>
        <v>0</v>
      </c>
      <c r="WIY15" s="63">
        <f t="shared" si="248"/>
        <v>0</v>
      </c>
      <c r="WIZ15" s="63">
        <f t="shared" si="248"/>
        <v>0</v>
      </c>
      <c r="WJA15" s="63">
        <f t="shared" si="248"/>
        <v>0</v>
      </c>
      <c r="WJB15" s="63">
        <f t="shared" si="248"/>
        <v>0</v>
      </c>
      <c r="WJC15" s="63">
        <f t="shared" si="248"/>
        <v>0</v>
      </c>
      <c r="WJD15" s="63">
        <f t="shared" ref="WJD15:WLO15" si="249">WJC18</f>
        <v>0</v>
      </c>
      <c r="WJE15" s="63">
        <f t="shared" si="249"/>
        <v>0</v>
      </c>
      <c r="WJF15" s="63">
        <f t="shared" si="249"/>
        <v>0</v>
      </c>
      <c r="WJG15" s="63">
        <f t="shared" si="249"/>
        <v>0</v>
      </c>
      <c r="WJH15" s="63">
        <f t="shared" si="249"/>
        <v>0</v>
      </c>
      <c r="WJI15" s="63">
        <f t="shared" si="249"/>
        <v>0</v>
      </c>
      <c r="WJJ15" s="63">
        <f t="shared" si="249"/>
        <v>0</v>
      </c>
      <c r="WJK15" s="63">
        <f t="shared" si="249"/>
        <v>0</v>
      </c>
      <c r="WJL15" s="63">
        <f t="shared" si="249"/>
        <v>0</v>
      </c>
      <c r="WJM15" s="63">
        <f t="shared" si="249"/>
        <v>0</v>
      </c>
      <c r="WJN15" s="63">
        <f t="shared" si="249"/>
        <v>0</v>
      </c>
      <c r="WJO15" s="63">
        <f t="shared" si="249"/>
        <v>0</v>
      </c>
      <c r="WJP15" s="63">
        <f t="shared" si="249"/>
        <v>0</v>
      </c>
      <c r="WJQ15" s="63">
        <f t="shared" si="249"/>
        <v>0</v>
      </c>
      <c r="WJR15" s="63">
        <f t="shared" si="249"/>
        <v>0</v>
      </c>
      <c r="WJS15" s="63">
        <f t="shared" si="249"/>
        <v>0</v>
      </c>
      <c r="WJT15" s="63">
        <f t="shared" si="249"/>
        <v>0</v>
      </c>
      <c r="WJU15" s="63">
        <f t="shared" si="249"/>
        <v>0</v>
      </c>
      <c r="WJV15" s="63">
        <f t="shared" si="249"/>
        <v>0</v>
      </c>
      <c r="WJW15" s="63">
        <f t="shared" si="249"/>
        <v>0</v>
      </c>
      <c r="WJX15" s="63">
        <f t="shared" si="249"/>
        <v>0</v>
      </c>
      <c r="WJY15" s="63">
        <f t="shared" si="249"/>
        <v>0</v>
      </c>
      <c r="WJZ15" s="63">
        <f t="shared" si="249"/>
        <v>0</v>
      </c>
      <c r="WKA15" s="63">
        <f t="shared" si="249"/>
        <v>0</v>
      </c>
      <c r="WKB15" s="63">
        <f t="shared" si="249"/>
        <v>0</v>
      </c>
      <c r="WKC15" s="63">
        <f t="shared" si="249"/>
        <v>0</v>
      </c>
      <c r="WKD15" s="63">
        <f t="shared" si="249"/>
        <v>0</v>
      </c>
      <c r="WKE15" s="63">
        <f t="shared" si="249"/>
        <v>0</v>
      </c>
      <c r="WKF15" s="63">
        <f t="shared" si="249"/>
        <v>0</v>
      </c>
      <c r="WKG15" s="63">
        <f t="shared" si="249"/>
        <v>0</v>
      </c>
      <c r="WKH15" s="63">
        <f t="shared" si="249"/>
        <v>0</v>
      </c>
      <c r="WKI15" s="63">
        <f t="shared" si="249"/>
        <v>0</v>
      </c>
      <c r="WKJ15" s="63">
        <f t="shared" si="249"/>
        <v>0</v>
      </c>
      <c r="WKK15" s="63">
        <f t="shared" si="249"/>
        <v>0</v>
      </c>
      <c r="WKL15" s="63">
        <f t="shared" si="249"/>
        <v>0</v>
      </c>
      <c r="WKM15" s="63">
        <f t="shared" si="249"/>
        <v>0</v>
      </c>
      <c r="WKN15" s="63">
        <f t="shared" si="249"/>
        <v>0</v>
      </c>
      <c r="WKO15" s="63">
        <f t="shared" si="249"/>
        <v>0</v>
      </c>
      <c r="WKP15" s="63">
        <f t="shared" si="249"/>
        <v>0</v>
      </c>
      <c r="WKQ15" s="63">
        <f t="shared" si="249"/>
        <v>0</v>
      </c>
      <c r="WKR15" s="63">
        <f t="shared" si="249"/>
        <v>0</v>
      </c>
      <c r="WKS15" s="63">
        <f t="shared" si="249"/>
        <v>0</v>
      </c>
      <c r="WKT15" s="63">
        <f t="shared" si="249"/>
        <v>0</v>
      </c>
      <c r="WKU15" s="63">
        <f t="shared" si="249"/>
        <v>0</v>
      </c>
      <c r="WKV15" s="63">
        <f t="shared" si="249"/>
        <v>0</v>
      </c>
      <c r="WKW15" s="63">
        <f t="shared" si="249"/>
        <v>0</v>
      </c>
      <c r="WKX15" s="63">
        <f t="shared" si="249"/>
        <v>0</v>
      </c>
      <c r="WKY15" s="63">
        <f t="shared" si="249"/>
        <v>0</v>
      </c>
      <c r="WKZ15" s="63">
        <f t="shared" si="249"/>
        <v>0</v>
      </c>
      <c r="WLA15" s="63">
        <f t="shared" si="249"/>
        <v>0</v>
      </c>
      <c r="WLB15" s="63">
        <f t="shared" si="249"/>
        <v>0</v>
      </c>
      <c r="WLC15" s="63">
        <f t="shared" si="249"/>
        <v>0</v>
      </c>
      <c r="WLD15" s="63">
        <f t="shared" si="249"/>
        <v>0</v>
      </c>
      <c r="WLE15" s="63">
        <f t="shared" si="249"/>
        <v>0</v>
      </c>
      <c r="WLF15" s="63">
        <f t="shared" si="249"/>
        <v>0</v>
      </c>
      <c r="WLG15" s="63">
        <f t="shared" si="249"/>
        <v>0</v>
      </c>
      <c r="WLH15" s="63">
        <f t="shared" si="249"/>
        <v>0</v>
      </c>
      <c r="WLI15" s="63">
        <f t="shared" si="249"/>
        <v>0</v>
      </c>
      <c r="WLJ15" s="63">
        <f t="shared" si="249"/>
        <v>0</v>
      </c>
      <c r="WLK15" s="63">
        <f t="shared" si="249"/>
        <v>0</v>
      </c>
      <c r="WLL15" s="63">
        <f t="shared" si="249"/>
        <v>0</v>
      </c>
      <c r="WLM15" s="63">
        <f t="shared" si="249"/>
        <v>0</v>
      </c>
      <c r="WLN15" s="63">
        <f t="shared" si="249"/>
        <v>0</v>
      </c>
      <c r="WLO15" s="63">
        <f t="shared" si="249"/>
        <v>0</v>
      </c>
      <c r="WLP15" s="63">
        <f t="shared" ref="WLP15:WOA15" si="250">WLO18</f>
        <v>0</v>
      </c>
      <c r="WLQ15" s="63">
        <f t="shared" si="250"/>
        <v>0</v>
      </c>
      <c r="WLR15" s="63">
        <f t="shared" si="250"/>
        <v>0</v>
      </c>
      <c r="WLS15" s="63">
        <f t="shared" si="250"/>
        <v>0</v>
      </c>
      <c r="WLT15" s="63">
        <f t="shared" si="250"/>
        <v>0</v>
      </c>
      <c r="WLU15" s="63">
        <f t="shared" si="250"/>
        <v>0</v>
      </c>
      <c r="WLV15" s="63">
        <f t="shared" si="250"/>
        <v>0</v>
      </c>
      <c r="WLW15" s="63">
        <f t="shared" si="250"/>
        <v>0</v>
      </c>
      <c r="WLX15" s="63">
        <f t="shared" si="250"/>
        <v>0</v>
      </c>
      <c r="WLY15" s="63">
        <f t="shared" si="250"/>
        <v>0</v>
      </c>
      <c r="WLZ15" s="63">
        <f t="shared" si="250"/>
        <v>0</v>
      </c>
      <c r="WMA15" s="63">
        <f t="shared" si="250"/>
        <v>0</v>
      </c>
      <c r="WMB15" s="63">
        <f t="shared" si="250"/>
        <v>0</v>
      </c>
      <c r="WMC15" s="63">
        <f t="shared" si="250"/>
        <v>0</v>
      </c>
      <c r="WMD15" s="63">
        <f t="shared" si="250"/>
        <v>0</v>
      </c>
      <c r="WME15" s="63">
        <f t="shared" si="250"/>
        <v>0</v>
      </c>
      <c r="WMF15" s="63">
        <f t="shared" si="250"/>
        <v>0</v>
      </c>
      <c r="WMG15" s="63">
        <f t="shared" si="250"/>
        <v>0</v>
      </c>
      <c r="WMH15" s="63">
        <f t="shared" si="250"/>
        <v>0</v>
      </c>
      <c r="WMI15" s="63">
        <f t="shared" si="250"/>
        <v>0</v>
      </c>
      <c r="WMJ15" s="63">
        <f t="shared" si="250"/>
        <v>0</v>
      </c>
      <c r="WMK15" s="63">
        <f t="shared" si="250"/>
        <v>0</v>
      </c>
      <c r="WML15" s="63">
        <f t="shared" si="250"/>
        <v>0</v>
      </c>
      <c r="WMM15" s="63">
        <f t="shared" si="250"/>
        <v>0</v>
      </c>
      <c r="WMN15" s="63">
        <f t="shared" si="250"/>
        <v>0</v>
      </c>
      <c r="WMO15" s="63">
        <f t="shared" si="250"/>
        <v>0</v>
      </c>
      <c r="WMP15" s="63">
        <f t="shared" si="250"/>
        <v>0</v>
      </c>
      <c r="WMQ15" s="63">
        <f t="shared" si="250"/>
        <v>0</v>
      </c>
      <c r="WMR15" s="63">
        <f t="shared" si="250"/>
        <v>0</v>
      </c>
      <c r="WMS15" s="63">
        <f t="shared" si="250"/>
        <v>0</v>
      </c>
      <c r="WMT15" s="63">
        <f t="shared" si="250"/>
        <v>0</v>
      </c>
      <c r="WMU15" s="63">
        <f t="shared" si="250"/>
        <v>0</v>
      </c>
      <c r="WMV15" s="63">
        <f t="shared" si="250"/>
        <v>0</v>
      </c>
      <c r="WMW15" s="63">
        <f t="shared" si="250"/>
        <v>0</v>
      </c>
      <c r="WMX15" s="63">
        <f t="shared" si="250"/>
        <v>0</v>
      </c>
      <c r="WMY15" s="63">
        <f t="shared" si="250"/>
        <v>0</v>
      </c>
      <c r="WMZ15" s="63">
        <f t="shared" si="250"/>
        <v>0</v>
      </c>
      <c r="WNA15" s="63">
        <f t="shared" si="250"/>
        <v>0</v>
      </c>
      <c r="WNB15" s="63">
        <f t="shared" si="250"/>
        <v>0</v>
      </c>
      <c r="WNC15" s="63">
        <f t="shared" si="250"/>
        <v>0</v>
      </c>
      <c r="WND15" s="63">
        <f t="shared" si="250"/>
        <v>0</v>
      </c>
      <c r="WNE15" s="63">
        <f t="shared" si="250"/>
        <v>0</v>
      </c>
      <c r="WNF15" s="63">
        <f t="shared" si="250"/>
        <v>0</v>
      </c>
      <c r="WNG15" s="63">
        <f t="shared" si="250"/>
        <v>0</v>
      </c>
      <c r="WNH15" s="63">
        <f t="shared" si="250"/>
        <v>0</v>
      </c>
      <c r="WNI15" s="63">
        <f t="shared" si="250"/>
        <v>0</v>
      </c>
      <c r="WNJ15" s="63">
        <f t="shared" si="250"/>
        <v>0</v>
      </c>
      <c r="WNK15" s="63">
        <f t="shared" si="250"/>
        <v>0</v>
      </c>
      <c r="WNL15" s="63">
        <f t="shared" si="250"/>
        <v>0</v>
      </c>
      <c r="WNM15" s="63">
        <f t="shared" si="250"/>
        <v>0</v>
      </c>
      <c r="WNN15" s="63">
        <f t="shared" si="250"/>
        <v>0</v>
      </c>
      <c r="WNO15" s="63">
        <f t="shared" si="250"/>
        <v>0</v>
      </c>
      <c r="WNP15" s="63">
        <f t="shared" si="250"/>
        <v>0</v>
      </c>
      <c r="WNQ15" s="63">
        <f t="shared" si="250"/>
        <v>0</v>
      </c>
      <c r="WNR15" s="63">
        <f t="shared" si="250"/>
        <v>0</v>
      </c>
      <c r="WNS15" s="63">
        <f t="shared" si="250"/>
        <v>0</v>
      </c>
      <c r="WNT15" s="63">
        <f t="shared" si="250"/>
        <v>0</v>
      </c>
      <c r="WNU15" s="63">
        <f t="shared" si="250"/>
        <v>0</v>
      </c>
      <c r="WNV15" s="63">
        <f t="shared" si="250"/>
        <v>0</v>
      </c>
      <c r="WNW15" s="63">
        <f t="shared" si="250"/>
        <v>0</v>
      </c>
      <c r="WNX15" s="63">
        <f t="shared" si="250"/>
        <v>0</v>
      </c>
      <c r="WNY15" s="63">
        <f t="shared" si="250"/>
        <v>0</v>
      </c>
      <c r="WNZ15" s="63">
        <f t="shared" si="250"/>
        <v>0</v>
      </c>
      <c r="WOA15" s="63">
        <f t="shared" si="250"/>
        <v>0</v>
      </c>
      <c r="WOB15" s="63">
        <f t="shared" ref="WOB15:WQM15" si="251">WOA18</f>
        <v>0</v>
      </c>
      <c r="WOC15" s="63">
        <f t="shared" si="251"/>
        <v>0</v>
      </c>
      <c r="WOD15" s="63">
        <f t="shared" si="251"/>
        <v>0</v>
      </c>
      <c r="WOE15" s="63">
        <f t="shared" si="251"/>
        <v>0</v>
      </c>
      <c r="WOF15" s="63">
        <f t="shared" si="251"/>
        <v>0</v>
      </c>
      <c r="WOG15" s="63">
        <f t="shared" si="251"/>
        <v>0</v>
      </c>
      <c r="WOH15" s="63">
        <f t="shared" si="251"/>
        <v>0</v>
      </c>
      <c r="WOI15" s="63">
        <f t="shared" si="251"/>
        <v>0</v>
      </c>
      <c r="WOJ15" s="63">
        <f t="shared" si="251"/>
        <v>0</v>
      </c>
      <c r="WOK15" s="63">
        <f t="shared" si="251"/>
        <v>0</v>
      </c>
      <c r="WOL15" s="63">
        <f t="shared" si="251"/>
        <v>0</v>
      </c>
      <c r="WOM15" s="63">
        <f t="shared" si="251"/>
        <v>0</v>
      </c>
      <c r="WON15" s="63">
        <f t="shared" si="251"/>
        <v>0</v>
      </c>
      <c r="WOO15" s="63">
        <f t="shared" si="251"/>
        <v>0</v>
      </c>
      <c r="WOP15" s="63">
        <f t="shared" si="251"/>
        <v>0</v>
      </c>
      <c r="WOQ15" s="63">
        <f t="shared" si="251"/>
        <v>0</v>
      </c>
      <c r="WOR15" s="63">
        <f t="shared" si="251"/>
        <v>0</v>
      </c>
      <c r="WOS15" s="63">
        <f t="shared" si="251"/>
        <v>0</v>
      </c>
      <c r="WOT15" s="63">
        <f t="shared" si="251"/>
        <v>0</v>
      </c>
      <c r="WOU15" s="63">
        <f t="shared" si="251"/>
        <v>0</v>
      </c>
      <c r="WOV15" s="63">
        <f t="shared" si="251"/>
        <v>0</v>
      </c>
      <c r="WOW15" s="63">
        <f t="shared" si="251"/>
        <v>0</v>
      </c>
      <c r="WOX15" s="63">
        <f t="shared" si="251"/>
        <v>0</v>
      </c>
      <c r="WOY15" s="63">
        <f t="shared" si="251"/>
        <v>0</v>
      </c>
      <c r="WOZ15" s="63">
        <f t="shared" si="251"/>
        <v>0</v>
      </c>
      <c r="WPA15" s="63">
        <f t="shared" si="251"/>
        <v>0</v>
      </c>
      <c r="WPB15" s="63">
        <f t="shared" si="251"/>
        <v>0</v>
      </c>
      <c r="WPC15" s="63">
        <f t="shared" si="251"/>
        <v>0</v>
      </c>
      <c r="WPD15" s="63">
        <f t="shared" si="251"/>
        <v>0</v>
      </c>
      <c r="WPE15" s="63">
        <f t="shared" si="251"/>
        <v>0</v>
      </c>
      <c r="WPF15" s="63">
        <f t="shared" si="251"/>
        <v>0</v>
      </c>
      <c r="WPG15" s="63">
        <f t="shared" si="251"/>
        <v>0</v>
      </c>
      <c r="WPH15" s="63">
        <f t="shared" si="251"/>
        <v>0</v>
      </c>
      <c r="WPI15" s="63">
        <f t="shared" si="251"/>
        <v>0</v>
      </c>
      <c r="WPJ15" s="63">
        <f t="shared" si="251"/>
        <v>0</v>
      </c>
      <c r="WPK15" s="63">
        <f t="shared" si="251"/>
        <v>0</v>
      </c>
      <c r="WPL15" s="63">
        <f t="shared" si="251"/>
        <v>0</v>
      </c>
      <c r="WPM15" s="63">
        <f t="shared" si="251"/>
        <v>0</v>
      </c>
      <c r="WPN15" s="63">
        <f t="shared" si="251"/>
        <v>0</v>
      </c>
      <c r="WPO15" s="63">
        <f t="shared" si="251"/>
        <v>0</v>
      </c>
      <c r="WPP15" s="63">
        <f t="shared" si="251"/>
        <v>0</v>
      </c>
      <c r="WPQ15" s="63">
        <f t="shared" si="251"/>
        <v>0</v>
      </c>
      <c r="WPR15" s="63">
        <f t="shared" si="251"/>
        <v>0</v>
      </c>
      <c r="WPS15" s="63">
        <f t="shared" si="251"/>
        <v>0</v>
      </c>
      <c r="WPT15" s="63">
        <f t="shared" si="251"/>
        <v>0</v>
      </c>
      <c r="WPU15" s="63">
        <f t="shared" si="251"/>
        <v>0</v>
      </c>
      <c r="WPV15" s="63">
        <f t="shared" si="251"/>
        <v>0</v>
      </c>
      <c r="WPW15" s="63">
        <f t="shared" si="251"/>
        <v>0</v>
      </c>
      <c r="WPX15" s="63">
        <f t="shared" si="251"/>
        <v>0</v>
      </c>
      <c r="WPY15" s="63">
        <f t="shared" si="251"/>
        <v>0</v>
      </c>
      <c r="WPZ15" s="63">
        <f t="shared" si="251"/>
        <v>0</v>
      </c>
      <c r="WQA15" s="63">
        <f t="shared" si="251"/>
        <v>0</v>
      </c>
      <c r="WQB15" s="63">
        <f t="shared" si="251"/>
        <v>0</v>
      </c>
      <c r="WQC15" s="63">
        <f t="shared" si="251"/>
        <v>0</v>
      </c>
      <c r="WQD15" s="63">
        <f t="shared" si="251"/>
        <v>0</v>
      </c>
      <c r="WQE15" s="63">
        <f t="shared" si="251"/>
        <v>0</v>
      </c>
      <c r="WQF15" s="63">
        <f t="shared" si="251"/>
        <v>0</v>
      </c>
      <c r="WQG15" s="63">
        <f t="shared" si="251"/>
        <v>0</v>
      </c>
      <c r="WQH15" s="63">
        <f t="shared" si="251"/>
        <v>0</v>
      </c>
      <c r="WQI15" s="63">
        <f t="shared" si="251"/>
        <v>0</v>
      </c>
      <c r="WQJ15" s="63">
        <f t="shared" si="251"/>
        <v>0</v>
      </c>
      <c r="WQK15" s="63">
        <f t="shared" si="251"/>
        <v>0</v>
      </c>
      <c r="WQL15" s="63">
        <f t="shared" si="251"/>
        <v>0</v>
      </c>
      <c r="WQM15" s="63">
        <f t="shared" si="251"/>
        <v>0</v>
      </c>
      <c r="WQN15" s="63">
        <f t="shared" ref="WQN15:WSY15" si="252">WQM18</f>
        <v>0</v>
      </c>
      <c r="WQO15" s="63">
        <f t="shared" si="252"/>
        <v>0</v>
      </c>
      <c r="WQP15" s="63">
        <f t="shared" si="252"/>
        <v>0</v>
      </c>
      <c r="WQQ15" s="63">
        <f t="shared" si="252"/>
        <v>0</v>
      </c>
      <c r="WQR15" s="63">
        <f t="shared" si="252"/>
        <v>0</v>
      </c>
      <c r="WQS15" s="63">
        <f t="shared" si="252"/>
        <v>0</v>
      </c>
      <c r="WQT15" s="63">
        <f t="shared" si="252"/>
        <v>0</v>
      </c>
      <c r="WQU15" s="63">
        <f t="shared" si="252"/>
        <v>0</v>
      </c>
      <c r="WQV15" s="63">
        <f t="shared" si="252"/>
        <v>0</v>
      </c>
      <c r="WQW15" s="63">
        <f t="shared" si="252"/>
        <v>0</v>
      </c>
      <c r="WQX15" s="63">
        <f t="shared" si="252"/>
        <v>0</v>
      </c>
      <c r="WQY15" s="63">
        <f t="shared" si="252"/>
        <v>0</v>
      </c>
      <c r="WQZ15" s="63">
        <f t="shared" si="252"/>
        <v>0</v>
      </c>
      <c r="WRA15" s="63">
        <f t="shared" si="252"/>
        <v>0</v>
      </c>
      <c r="WRB15" s="63">
        <f t="shared" si="252"/>
        <v>0</v>
      </c>
      <c r="WRC15" s="63">
        <f t="shared" si="252"/>
        <v>0</v>
      </c>
      <c r="WRD15" s="63">
        <f t="shared" si="252"/>
        <v>0</v>
      </c>
      <c r="WRE15" s="63">
        <f t="shared" si="252"/>
        <v>0</v>
      </c>
      <c r="WRF15" s="63">
        <f t="shared" si="252"/>
        <v>0</v>
      </c>
      <c r="WRG15" s="63">
        <f t="shared" si="252"/>
        <v>0</v>
      </c>
      <c r="WRH15" s="63">
        <f t="shared" si="252"/>
        <v>0</v>
      </c>
      <c r="WRI15" s="63">
        <f t="shared" si="252"/>
        <v>0</v>
      </c>
      <c r="WRJ15" s="63">
        <f t="shared" si="252"/>
        <v>0</v>
      </c>
      <c r="WRK15" s="63">
        <f t="shared" si="252"/>
        <v>0</v>
      </c>
      <c r="WRL15" s="63">
        <f t="shared" si="252"/>
        <v>0</v>
      </c>
      <c r="WRM15" s="63">
        <f t="shared" si="252"/>
        <v>0</v>
      </c>
      <c r="WRN15" s="63">
        <f t="shared" si="252"/>
        <v>0</v>
      </c>
      <c r="WRO15" s="63">
        <f t="shared" si="252"/>
        <v>0</v>
      </c>
      <c r="WRP15" s="63">
        <f t="shared" si="252"/>
        <v>0</v>
      </c>
      <c r="WRQ15" s="63">
        <f t="shared" si="252"/>
        <v>0</v>
      </c>
      <c r="WRR15" s="63">
        <f t="shared" si="252"/>
        <v>0</v>
      </c>
      <c r="WRS15" s="63">
        <f t="shared" si="252"/>
        <v>0</v>
      </c>
      <c r="WRT15" s="63">
        <f t="shared" si="252"/>
        <v>0</v>
      </c>
      <c r="WRU15" s="63">
        <f t="shared" si="252"/>
        <v>0</v>
      </c>
      <c r="WRV15" s="63">
        <f t="shared" si="252"/>
        <v>0</v>
      </c>
      <c r="WRW15" s="63">
        <f t="shared" si="252"/>
        <v>0</v>
      </c>
      <c r="WRX15" s="63">
        <f t="shared" si="252"/>
        <v>0</v>
      </c>
      <c r="WRY15" s="63">
        <f t="shared" si="252"/>
        <v>0</v>
      </c>
      <c r="WRZ15" s="63">
        <f t="shared" si="252"/>
        <v>0</v>
      </c>
      <c r="WSA15" s="63">
        <f t="shared" si="252"/>
        <v>0</v>
      </c>
      <c r="WSB15" s="63">
        <f t="shared" si="252"/>
        <v>0</v>
      </c>
      <c r="WSC15" s="63">
        <f t="shared" si="252"/>
        <v>0</v>
      </c>
      <c r="WSD15" s="63">
        <f t="shared" si="252"/>
        <v>0</v>
      </c>
      <c r="WSE15" s="63">
        <f t="shared" si="252"/>
        <v>0</v>
      </c>
      <c r="WSF15" s="63">
        <f t="shared" si="252"/>
        <v>0</v>
      </c>
      <c r="WSG15" s="63">
        <f t="shared" si="252"/>
        <v>0</v>
      </c>
      <c r="WSH15" s="63">
        <f t="shared" si="252"/>
        <v>0</v>
      </c>
      <c r="WSI15" s="63">
        <f t="shared" si="252"/>
        <v>0</v>
      </c>
      <c r="WSJ15" s="63">
        <f t="shared" si="252"/>
        <v>0</v>
      </c>
      <c r="WSK15" s="63">
        <f t="shared" si="252"/>
        <v>0</v>
      </c>
      <c r="WSL15" s="63">
        <f t="shared" si="252"/>
        <v>0</v>
      </c>
      <c r="WSM15" s="63">
        <f t="shared" si="252"/>
        <v>0</v>
      </c>
      <c r="WSN15" s="63">
        <f t="shared" si="252"/>
        <v>0</v>
      </c>
      <c r="WSO15" s="63">
        <f t="shared" si="252"/>
        <v>0</v>
      </c>
      <c r="WSP15" s="63">
        <f t="shared" si="252"/>
        <v>0</v>
      </c>
      <c r="WSQ15" s="63">
        <f t="shared" si="252"/>
        <v>0</v>
      </c>
      <c r="WSR15" s="63">
        <f t="shared" si="252"/>
        <v>0</v>
      </c>
      <c r="WSS15" s="63">
        <f t="shared" si="252"/>
        <v>0</v>
      </c>
      <c r="WST15" s="63">
        <f t="shared" si="252"/>
        <v>0</v>
      </c>
      <c r="WSU15" s="63">
        <f t="shared" si="252"/>
        <v>0</v>
      </c>
      <c r="WSV15" s="63">
        <f t="shared" si="252"/>
        <v>0</v>
      </c>
      <c r="WSW15" s="63">
        <f t="shared" si="252"/>
        <v>0</v>
      </c>
      <c r="WSX15" s="63">
        <f t="shared" si="252"/>
        <v>0</v>
      </c>
      <c r="WSY15" s="63">
        <f t="shared" si="252"/>
        <v>0</v>
      </c>
      <c r="WSZ15" s="63">
        <f t="shared" ref="WSZ15:WVK15" si="253">WSY18</f>
        <v>0</v>
      </c>
      <c r="WTA15" s="63">
        <f t="shared" si="253"/>
        <v>0</v>
      </c>
      <c r="WTB15" s="63">
        <f t="shared" si="253"/>
        <v>0</v>
      </c>
      <c r="WTC15" s="63">
        <f t="shared" si="253"/>
        <v>0</v>
      </c>
      <c r="WTD15" s="63">
        <f t="shared" si="253"/>
        <v>0</v>
      </c>
      <c r="WTE15" s="63">
        <f t="shared" si="253"/>
        <v>0</v>
      </c>
      <c r="WTF15" s="63">
        <f t="shared" si="253"/>
        <v>0</v>
      </c>
      <c r="WTG15" s="63">
        <f t="shared" si="253"/>
        <v>0</v>
      </c>
      <c r="WTH15" s="63">
        <f t="shared" si="253"/>
        <v>0</v>
      </c>
      <c r="WTI15" s="63">
        <f t="shared" si="253"/>
        <v>0</v>
      </c>
      <c r="WTJ15" s="63">
        <f t="shared" si="253"/>
        <v>0</v>
      </c>
      <c r="WTK15" s="63">
        <f t="shared" si="253"/>
        <v>0</v>
      </c>
      <c r="WTL15" s="63">
        <f t="shared" si="253"/>
        <v>0</v>
      </c>
      <c r="WTM15" s="63">
        <f t="shared" si="253"/>
        <v>0</v>
      </c>
      <c r="WTN15" s="63">
        <f t="shared" si="253"/>
        <v>0</v>
      </c>
      <c r="WTO15" s="63">
        <f t="shared" si="253"/>
        <v>0</v>
      </c>
      <c r="WTP15" s="63">
        <f t="shared" si="253"/>
        <v>0</v>
      </c>
      <c r="WTQ15" s="63">
        <f t="shared" si="253"/>
        <v>0</v>
      </c>
      <c r="WTR15" s="63">
        <f t="shared" si="253"/>
        <v>0</v>
      </c>
      <c r="WTS15" s="63">
        <f t="shared" si="253"/>
        <v>0</v>
      </c>
      <c r="WTT15" s="63">
        <f t="shared" si="253"/>
        <v>0</v>
      </c>
      <c r="WTU15" s="63">
        <f t="shared" si="253"/>
        <v>0</v>
      </c>
      <c r="WTV15" s="63">
        <f t="shared" si="253"/>
        <v>0</v>
      </c>
      <c r="WTW15" s="63">
        <f t="shared" si="253"/>
        <v>0</v>
      </c>
      <c r="WTX15" s="63">
        <f t="shared" si="253"/>
        <v>0</v>
      </c>
      <c r="WTY15" s="63">
        <f t="shared" si="253"/>
        <v>0</v>
      </c>
      <c r="WTZ15" s="63">
        <f t="shared" si="253"/>
        <v>0</v>
      </c>
      <c r="WUA15" s="63">
        <f t="shared" si="253"/>
        <v>0</v>
      </c>
      <c r="WUB15" s="63">
        <f t="shared" si="253"/>
        <v>0</v>
      </c>
      <c r="WUC15" s="63">
        <f t="shared" si="253"/>
        <v>0</v>
      </c>
      <c r="WUD15" s="63">
        <f t="shared" si="253"/>
        <v>0</v>
      </c>
      <c r="WUE15" s="63">
        <f t="shared" si="253"/>
        <v>0</v>
      </c>
      <c r="WUF15" s="63">
        <f t="shared" si="253"/>
        <v>0</v>
      </c>
      <c r="WUG15" s="63">
        <f t="shared" si="253"/>
        <v>0</v>
      </c>
      <c r="WUH15" s="63">
        <f t="shared" si="253"/>
        <v>0</v>
      </c>
      <c r="WUI15" s="63">
        <f t="shared" si="253"/>
        <v>0</v>
      </c>
      <c r="WUJ15" s="63">
        <f t="shared" si="253"/>
        <v>0</v>
      </c>
      <c r="WUK15" s="63">
        <f t="shared" si="253"/>
        <v>0</v>
      </c>
      <c r="WUL15" s="63">
        <f t="shared" si="253"/>
        <v>0</v>
      </c>
      <c r="WUM15" s="63">
        <f t="shared" si="253"/>
        <v>0</v>
      </c>
      <c r="WUN15" s="63">
        <f t="shared" si="253"/>
        <v>0</v>
      </c>
      <c r="WUO15" s="63">
        <f t="shared" si="253"/>
        <v>0</v>
      </c>
      <c r="WUP15" s="63">
        <f t="shared" si="253"/>
        <v>0</v>
      </c>
      <c r="WUQ15" s="63">
        <f t="shared" si="253"/>
        <v>0</v>
      </c>
      <c r="WUR15" s="63">
        <f t="shared" si="253"/>
        <v>0</v>
      </c>
      <c r="WUS15" s="63">
        <f t="shared" si="253"/>
        <v>0</v>
      </c>
      <c r="WUT15" s="63">
        <f t="shared" si="253"/>
        <v>0</v>
      </c>
      <c r="WUU15" s="63">
        <f t="shared" si="253"/>
        <v>0</v>
      </c>
      <c r="WUV15" s="63">
        <f t="shared" si="253"/>
        <v>0</v>
      </c>
      <c r="WUW15" s="63">
        <f t="shared" si="253"/>
        <v>0</v>
      </c>
      <c r="WUX15" s="63">
        <f t="shared" si="253"/>
        <v>0</v>
      </c>
      <c r="WUY15" s="63">
        <f t="shared" si="253"/>
        <v>0</v>
      </c>
      <c r="WUZ15" s="63">
        <f t="shared" si="253"/>
        <v>0</v>
      </c>
      <c r="WVA15" s="63">
        <f t="shared" si="253"/>
        <v>0</v>
      </c>
      <c r="WVB15" s="63">
        <f t="shared" si="253"/>
        <v>0</v>
      </c>
      <c r="WVC15" s="63">
        <f t="shared" si="253"/>
        <v>0</v>
      </c>
      <c r="WVD15" s="63">
        <f t="shared" si="253"/>
        <v>0</v>
      </c>
      <c r="WVE15" s="63">
        <f t="shared" si="253"/>
        <v>0</v>
      </c>
      <c r="WVF15" s="63">
        <f t="shared" si="253"/>
        <v>0</v>
      </c>
      <c r="WVG15" s="63">
        <f t="shared" si="253"/>
        <v>0</v>
      </c>
      <c r="WVH15" s="63">
        <f t="shared" si="253"/>
        <v>0</v>
      </c>
      <c r="WVI15" s="63">
        <f t="shared" si="253"/>
        <v>0</v>
      </c>
      <c r="WVJ15" s="63">
        <f t="shared" si="253"/>
        <v>0</v>
      </c>
      <c r="WVK15" s="63">
        <f t="shared" si="253"/>
        <v>0</v>
      </c>
      <c r="WVL15" s="63">
        <f t="shared" ref="WVL15:WXW15" si="254">WVK18</f>
        <v>0</v>
      </c>
      <c r="WVM15" s="63">
        <f t="shared" si="254"/>
        <v>0</v>
      </c>
      <c r="WVN15" s="63">
        <f t="shared" si="254"/>
        <v>0</v>
      </c>
      <c r="WVO15" s="63">
        <f t="shared" si="254"/>
        <v>0</v>
      </c>
      <c r="WVP15" s="63">
        <f t="shared" si="254"/>
        <v>0</v>
      </c>
      <c r="WVQ15" s="63">
        <f t="shared" si="254"/>
        <v>0</v>
      </c>
      <c r="WVR15" s="63">
        <f t="shared" si="254"/>
        <v>0</v>
      </c>
      <c r="WVS15" s="63">
        <f t="shared" si="254"/>
        <v>0</v>
      </c>
      <c r="WVT15" s="63">
        <f t="shared" si="254"/>
        <v>0</v>
      </c>
      <c r="WVU15" s="63">
        <f t="shared" si="254"/>
        <v>0</v>
      </c>
      <c r="WVV15" s="63">
        <f t="shared" si="254"/>
        <v>0</v>
      </c>
      <c r="WVW15" s="63">
        <f t="shared" si="254"/>
        <v>0</v>
      </c>
      <c r="WVX15" s="63">
        <f t="shared" si="254"/>
        <v>0</v>
      </c>
      <c r="WVY15" s="63">
        <f t="shared" si="254"/>
        <v>0</v>
      </c>
      <c r="WVZ15" s="63">
        <f t="shared" si="254"/>
        <v>0</v>
      </c>
      <c r="WWA15" s="63">
        <f t="shared" si="254"/>
        <v>0</v>
      </c>
      <c r="WWB15" s="63">
        <f t="shared" si="254"/>
        <v>0</v>
      </c>
      <c r="WWC15" s="63">
        <f t="shared" si="254"/>
        <v>0</v>
      </c>
      <c r="WWD15" s="63">
        <f t="shared" si="254"/>
        <v>0</v>
      </c>
      <c r="WWE15" s="63">
        <f t="shared" si="254"/>
        <v>0</v>
      </c>
      <c r="WWF15" s="63">
        <f t="shared" si="254"/>
        <v>0</v>
      </c>
      <c r="WWG15" s="63">
        <f t="shared" si="254"/>
        <v>0</v>
      </c>
      <c r="WWH15" s="63">
        <f t="shared" si="254"/>
        <v>0</v>
      </c>
      <c r="WWI15" s="63">
        <f t="shared" si="254"/>
        <v>0</v>
      </c>
      <c r="WWJ15" s="63">
        <f t="shared" si="254"/>
        <v>0</v>
      </c>
      <c r="WWK15" s="63">
        <f t="shared" si="254"/>
        <v>0</v>
      </c>
      <c r="WWL15" s="63">
        <f t="shared" si="254"/>
        <v>0</v>
      </c>
      <c r="WWM15" s="63">
        <f t="shared" si="254"/>
        <v>0</v>
      </c>
      <c r="WWN15" s="63">
        <f t="shared" si="254"/>
        <v>0</v>
      </c>
      <c r="WWO15" s="63">
        <f t="shared" si="254"/>
        <v>0</v>
      </c>
      <c r="WWP15" s="63">
        <f t="shared" si="254"/>
        <v>0</v>
      </c>
      <c r="WWQ15" s="63">
        <f t="shared" si="254"/>
        <v>0</v>
      </c>
      <c r="WWR15" s="63">
        <f t="shared" si="254"/>
        <v>0</v>
      </c>
      <c r="WWS15" s="63">
        <f t="shared" si="254"/>
        <v>0</v>
      </c>
      <c r="WWT15" s="63">
        <f t="shared" si="254"/>
        <v>0</v>
      </c>
      <c r="WWU15" s="63">
        <f t="shared" si="254"/>
        <v>0</v>
      </c>
      <c r="WWV15" s="63">
        <f t="shared" si="254"/>
        <v>0</v>
      </c>
      <c r="WWW15" s="63">
        <f t="shared" si="254"/>
        <v>0</v>
      </c>
      <c r="WWX15" s="63">
        <f t="shared" si="254"/>
        <v>0</v>
      </c>
      <c r="WWY15" s="63">
        <f t="shared" si="254"/>
        <v>0</v>
      </c>
      <c r="WWZ15" s="63">
        <f t="shared" si="254"/>
        <v>0</v>
      </c>
      <c r="WXA15" s="63">
        <f t="shared" si="254"/>
        <v>0</v>
      </c>
      <c r="WXB15" s="63">
        <f t="shared" si="254"/>
        <v>0</v>
      </c>
      <c r="WXC15" s="63">
        <f t="shared" si="254"/>
        <v>0</v>
      </c>
      <c r="WXD15" s="63">
        <f t="shared" si="254"/>
        <v>0</v>
      </c>
      <c r="WXE15" s="63">
        <f t="shared" si="254"/>
        <v>0</v>
      </c>
      <c r="WXF15" s="63">
        <f t="shared" si="254"/>
        <v>0</v>
      </c>
      <c r="WXG15" s="63">
        <f t="shared" si="254"/>
        <v>0</v>
      </c>
      <c r="WXH15" s="63">
        <f t="shared" si="254"/>
        <v>0</v>
      </c>
      <c r="WXI15" s="63">
        <f t="shared" si="254"/>
        <v>0</v>
      </c>
      <c r="WXJ15" s="63">
        <f t="shared" si="254"/>
        <v>0</v>
      </c>
      <c r="WXK15" s="63">
        <f t="shared" si="254"/>
        <v>0</v>
      </c>
      <c r="WXL15" s="63">
        <f t="shared" si="254"/>
        <v>0</v>
      </c>
      <c r="WXM15" s="63">
        <f t="shared" si="254"/>
        <v>0</v>
      </c>
      <c r="WXN15" s="63">
        <f t="shared" si="254"/>
        <v>0</v>
      </c>
      <c r="WXO15" s="63">
        <f t="shared" si="254"/>
        <v>0</v>
      </c>
      <c r="WXP15" s="63">
        <f t="shared" si="254"/>
        <v>0</v>
      </c>
      <c r="WXQ15" s="63">
        <f t="shared" si="254"/>
        <v>0</v>
      </c>
      <c r="WXR15" s="63">
        <f t="shared" si="254"/>
        <v>0</v>
      </c>
      <c r="WXS15" s="63">
        <f t="shared" si="254"/>
        <v>0</v>
      </c>
      <c r="WXT15" s="63">
        <f t="shared" si="254"/>
        <v>0</v>
      </c>
      <c r="WXU15" s="63">
        <f t="shared" si="254"/>
        <v>0</v>
      </c>
      <c r="WXV15" s="63">
        <f t="shared" si="254"/>
        <v>0</v>
      </c>
      <c r="WXW15" s="63">
        <f t="shared" si="254"/>
        <v>0</v>
      </c>
      <c r="WXX15" s="63">
        <f t="shared" ref="WXX15:XAI15" si="255">WXW18</f>
        <v>0</v>
      </c>
      <c r="WXY15" s="63">
        <f t="shared" si="255"/>
        <v>0</v>
      </c>
      <c r="WXZ15" s="63">
        <f t="shared" si="255"/>
        <v>0</v>
      </c>
      <c r="WYA15" s="63">
        <f t="shared" si="255"/>
        <v>0</v>
      </c>
      <c r="WYB15" s="63">
        <f t="shared" si="255"/>
        <v>0</v>
      </c>
      <c r="WYC15" s="63">
        <f t="shared" si="255"/>
        <v>0</v>
      </c>
      <c r="WYD15" s="63">
        <f t="shared" si="255"/>
        <v>0</v>
      </c>
      <c r="WYE15" s="63">
        <f t="shared" si="255"/>
        <v>0</v>
      </c>
      <c r="WYF15" s="63">
        <f t="shared" si="255"/>
        <v>0</v>
      </c>
      <c r="WYG15" s="63">
        <f t="shared" si="255"/>
        <v>0</v>
      </c>
      <c r="WYH15" s="63">
        <f t="shared" si="255"/>
        <v>0</v>
      </c>
      <c r="WYI15" s="63">
        <f t="shared" si="255"/>
        <v>0</v>
      </c>
      <c r="WYJ15" s="63">
        <f t="shared" si="255"/>
        <v>0</v>
      </c>
      <c r="WYK15" s="63">
        <f t="shared" si="255"/>
        <v>0</v>
      </c>
      <c r="WYL15" s="63">
        <f t="shared" si="255"/>
        <v>0</v>
      </c>
      <c r="WYM15" s="63">
        <f t="shared" si="255"/>
        <v>0</v>
      </c>
      <c r="WYN15" s="63">
        <f t="shared" si="255"/>
        <v>0</v>
      </c>
      <c r="WYO15" s="63">
        <f t="shared" si="255"/>
        <v>0</v>
      </c>
      <c r="WYP15" s="63">
        <f t="shared" si="255"/>
        <v>0</v>
      </c>
      <c r="WYQ15" s="63">
        <f t="shared" si="255"/>
        <v>0</v>
      </c>
      <c r="WYR15" s="63">
        <f t="shared" si="255"/>
        <v>0</v>
      </c>
      <c r="WYS15" s="63">
        <f t="shared" si="255"/>
        <v>0</v>
      </c>
      <c r="WYT15" s="63">
        <f t="shared" si="255"/>
        <v>0</v>
      </c>
      <c r="WYU15" s="63">
        <f t="shared" si="255"/>
        <v>0</v>
      </c>
      <c r="WYV15" s="63">
        <f t="shared" si="255"/>
        <v>0</v>
      </c>
      <c r="WYW15" s="63">
        <f t="shared" si="255"/>
        <v>0</v>
      </c>
      <c r="WYX15" s="63">
        <f t="shared" si="255"/>
        <v>0</v>
      </c>
      <c r="WYY15" s="63">
        <f t="shared" si="255"/>
        <v>0</v>
      </c>
      <c r="WYZ15" s="63">
        <f t="shared" si="255"/>
        <v>0</v>
      </c>
      <c r="WZA15" s="63">
        <f t="shared" si="255"/>
        <v>0</v>
      </c>
      <c r="WZB15" s="63">
        <f t="shared" si="255"/>
        <v>0</v>
      </c>
      <c r="WZC15" s="63">
        <f t="shared" si="255"/>
        <v>0</v>
      </c>
      <c r="WZD15" s="63">
        <f t="shared" si="255"/>
        <v>0</v>
      </c>
      <c r="WZE15" s="63">
        <f t="shared" si="255"/>
        <v>0</v>
      </c>
      <c r="WZF15" s="63">
        <f t="shared" si="255"/>
        <v>0</v>
      </c>
      <c r="WZG15" s="63">
        <f t="shared" si="255"/>
        <v>0</v>
      </c>
      <c r="WZH15" s="63">
        <f t="shared" si="255"/>
        <v>0</v>
      </c>
      <c r="WZI15" s="63">
        <f t="shared" si="255"/>
        <v>0</v>
      </c>
      <c r="WZJ15" s="63">
        <f t="shared" si="255"/>
        <v>0</v>
      </c>
      <c r="WZK15" s="63">
        <f t="shared" si="255"/>
        <v>0</v>
      </c>
      <c r="WZL15" s="63">
        <f t="shared" si="255"/>
        <v>0</v>
      </c>
      <c r="WZM15" s="63">
        <f t="shared" si="255"/>
        <v>0</v>
      </c>
      <c r="WZN15" s="63">
        <f t="shared" si="255"/>
        <v>0</v>
      </c>
      <c r="WZO15" s="63">
        <f t="shared" si="255"/>
        <v>0</v>
      </c>
      <c r="WZP15" s="63">
        <f t="shared" si="255"/>
        <v>0</v>
      </c>
      <c r="WZQ15" s="63">
        <f t="shared" si="255"/>
        <v>0</v>
      </c>
      <c r="WZR15" s="63">
        <f t="shared" si="255"/>
        <v>0</v>
      </c>
      <c r="WZS15" s="63">
        <f t="shared" si="255"/>
        <v>0</v>
      </c>
      <c r="WZT15" s="63">
        <f t="shared" si="255"/>
        <v>0</v>
      </c>
      <c r="WZU15" s="63">
        <f t="shared" si="255"/>
        <v>0</v>
      </c>
      <c r="WZV15" s="63">
        <f t="shared" si="255"/>
        <v>0</v>
      </c>
      <c r="WZW15" s="63">
        <f t="shared" si="255"/>
        <v>0</v>
      </c>
      <c r="WZX15" s="63">
        <f t="shared" si="255"/>
        <v>0</v>
      </c>
      <c r="WZY15" s="63">
        <f t="shared" si="255"/>
        <v>0</v>
      </c>
      <c r="WZZ15" s="63">
        <f t="shared" si="255"/>
        <v>0</v>
      </c>
      <c r="XAA15" s="63">
        <f t="shared" si="255"/>
        <v>0</v>
      </c>
      <c r="XAB15" s="63">
        <f t="shared" si="255"/>
        <v>0</v>
      </c>
      <c r="XAC15" s="63">
        <f t="shared" si="255"/>
        <v>0</v>
      </c>
      <c r="XAD15" s="63">
        <f t="shared" si="255"/>
        <v>0</v>
      </c>
      <c r="XAE15" s="63">
        <f t="shared" si="255"/>
        <v>0</v>
      </c>
      <c r="XAF15" s="63">
        <f t="shared" si="255"/>
        <v>0</v>
      </c>
      <c r="XAG15" s="63">
        <f t="shared" si="255"/>
        <v>0</v>
      </c>
      <c r="XAH15" s="63">
        <f t="shared" si="255"/>
        <v>0</v>
      </c>
      <c r="XAI15" s="63">
        <f t="shared" si="255"/>
        <v>0</v>
      </c>
      <c r="XAJ15" s="63">
        <f t="shared" ref="XAJ15:XCU15" si="256">XAI18</f>
        <v>0</v>
      </c>
      <c r="XAK15" s="63">
        <f t="shared" si="256"/>
        <v>0</v>
      </c>
      <c r="XAL15" s="63">
        <f t="shared" si="256"/>
        <v>0</v>
      </c>
      <c r="XAM15" s="63">
        <f t="shared" si="256"/>
        <v>0</v>
      </c>
      <c r="XAN15" s="63">
        <f t="shared" si="256"/>
        <v>0</v>
      </c>
      <c r="XAO15" s="63">
        <f t="shared" si="256"/>
        <v>0</v>
      </c>
      <c r="XAP15" s="63">
        <f t="shared" si="256"/>
        <v>0</v>
      </c>
      <c r="XAQ15" s="63">
        <f t="shared" si="256"/>
        <v>0</v>
      </c>
      <c r="XAR15" s="63">
        <f t="shared" si="256"/>
        <v>0</v>
      </c>
      <c r="XAS15" s="63">
        <f t="shared" si="256"/>
        <v>0</v>
      </c>
      <c r="XAT15" s="63">
        <f t="shared" si="256"/>
        <v>0</v>
      </c>
      <c r="XAU15" s="63">
        <f t="shared" si="256"/>
        <v>0</v>
      </c>
      <c r="XAV15" s="63">
        <f t="shared" si="256"/>
        <v>0</v>
      </c>
      <c r="XAW15" s="63">
        <f t="shared" si="256"/>
        <v>0</v>
      </c>
      <c r="XAX15" s="63">
        <f t="shared" si="256"/>
        <v>0</v>
      </c>
      <c r="XAY15" s="63">
        <f t="shared" si="256"/>
        <v>0</v>
      </c>
      <c r="XAZ15" s="63">
        <f t="shared" si="256"/>
        <v>0</v>
      </c>
      <c r="XBA15" s="63">
        <f t="shared" si="256"/>
        <v>0</v>
      </c>
      <c r="XBB15" s="63">
        <f t="shared" si="256"/>
        <v>0</v>
      </c>
      <c r="XBC15" s="63">
        <f t="shared" si="256"/>
        <v>0</v>
      </c>
      <c r="XBD15" s="63">
        <f t="shared" si="256"/>
        <v>0</v>
      </c>
      <c r="XBE15" s="63">
        <f t="shared" si="256"/>
        <v>0</v>
      </c>
      <c r="XBF15" s="63">
        <f t="shared" si="256"/>
        <v>0</v>
      </c>
      <c r="XBG15" s="63">
        <f t="shared" si="256"/>
        <v>0</v>
      </c>
      <c r="XBH15" s="63">
        <f t="shared" si="256"/>
        <v>0</v>
      </c>
      <c r="XBI15" s="63">
        <f t="shared" si="256"/>
        <v>0</v>
      </c>
      <c r="XBJ15" s="63">
        <f t="shared" si="256"/>
        <v>0</v>
      </c>
      <c r="XBK15" s="63">
        <f t="shared" si="256"/>
        <v>0</v>
      </c>
      <c r="XBL15" s="63">
        <f t="shared" si="256"/>
        <v>0</v>
      </c>
      <c r="XBM15" s="63">
        <f t="shared" si="256"/>
        <v>0</v>
      </c>
      <c r="XBN15" s="63">
        <f t="shared" si="256"/>
        <v>0</v>
      </c>
      <c r="XBO15" s="63">
        <f t="shared" si="256"/>
        <v>0</v>
      </c>
      <c r="XBP15" s="63">
        <f t="shared" si="256"/>
        <v>0</v>
      </c>
      <c r="XBQ15" s="63">
        <f t="shared" si="256"/>
        <v>0</v>
      </c>
      <c r="XBR15" s="63">
        <f t="shared" si="256"/>
        <v>0</v>
      </c>
      <c r="XBS15" s="63">
        <f t="shared" si="256"/>
        <v>0</v>
      </c>
      <c r="XBT15" s="63">
        <f t="shared" si="256"/>
        <v>0</v>
      </c>
      <c r="XBU15" s="63">
        <f t="shared" si="256"/>
        <v>0</v>
      </c>
      <c r="XBV15" s="63">
        <f t="shared" si="256"/>
        <v>0</v>
      </c>
      <c r="XBW15" s="63">
        <f t="shared" si="256"/>
        <v>0</v>
      </c>
      <c r="XBX15" s="63">
        <f t="shared" si="256"/>
        <v>0</v>
      </c>
      <c r="XBY15" s="63">
        <f t="shared" si="256"/>
        <v>0</v>
      </c>
      <c r="XBZ15" s="63">
        <f t="shared" si="256"/>
        <v>0</v>
      </c>
      <c r="XCA15" s="63">
        <f t="shared" si="256"/>
        <v>0</v>
      </c>
      <c r="XCB15" s="63">
        <f t="shared" si="256"/>
        <v>0</v>
      </c>
      <c r="XCC15" s="63">
        <f t="shared" si="256"/>
        <v>0</v>
      </c>
      <c r="XCD15" s="63">
        <f t="shared" si="256"/>
        <v>0</v>
      </c>
      <c r="XCE15" s="63">
        <f t="shared" si="256"/>
        <v>0</v>
      </c>
      <c r="XCF15" s="63">
        <f t="shared" si="256"/>
        <v>0</v>
      </c>
      <c r="XCG15" s="63">
        <f t="shared" si="256"/>
        <v>0</v>
      </c>
      <c r="XCH15" s="63">
        <f t="shared" si="256"/>
        <v>0</v>
      </c>
      <c r="XCI15" s="63">
        <f t="shared" si="256"/>
        <v>0</v>
      </c>
      <c r="XCJ15" s="63">
        <f t="shared" si="256"/>
        <v>0</v>
      </c>
      <c r="XCK15" s="63">
        <f t="shared" si="256"/>
        <v>0</v>
      </c>
      <c r="XCL15" s="63">
        <f t="shared" si="256"/>
        <v>0</v>
      </c>
      <c r="XCM15" s="63">
        <f t="shared" si="256"/>
        <v>0</v>
      </c>
      <c r="XCN15" s="63">
        <f t="shared" si="256"/>
        <v>0</v>
      </c>
      <c r="XCO15" s="63">
        <f t="shared" si="256"/>
        <v>0</v>
      </c>
      <c r="XCP15" s="63">
        <f t="shared" si="256"/>
        <v>0</v>
      </c>
      <c r="XCQ15" s="63">
        <f t="shared" si="256"/>
        <v>0</v>
      </c>
      <c r="XCR15" s="63">
        <f t="shared" si="256"/>
        <v>0</v>
      </c>
      <c r="XCS15" s="63">
        <f t="shared" si="256"/>
        <v>0</v>
      </c>
      <c r="XCT15" s="63">
        <f t="shared" si="256"/>
        <v>0</v>
      </c>
      <c r="XCU15" s="63">
        <f t="shared" si="256"/>
        <v>0</v>
      </c>
      <c r="XCV15" s="63">
        <f t="shared" ref="XCV15:XFD15" si="257">XCU18</f>
        <v>0</v>
      </c>
      <c r="XCW15" s="63">
        <f t="shared" si="257"/>
        <v>0</v>
      </c>
      <c r="XCX15" s="63">
        <f t="shared" si="257"/>
        <v>0</v>
      </c>
      <c r="XCY15" s="63">
        <f t="shared" si="257"/>
        <v>0</v>
      </c>
      <c r="XCZ15" s="63">
        <f t="shared" si="257"/>
        <v>0</v>
      </c>
      <c r="XDA15" s="63">
        <f t="shared" si="257"/>
        <v>0</v>
      </c>
      <c r="XDB15" s="63">
        <f t="shared" si="257"/>
        <v>0</v>
      </c>
      <c r="XDC15" s="63">
        <f t="shared" si="257"/>
        <v>0</v>
      </c>
      <c r="XDD15" s="63">
        <f t="shared" si="257"/>
        <v>0</v>
      </c>
      <c r="XDE15" s="63">
        <f t="shared" si="257"/>
        <v>0</v>
      </c>
      <c r="XDF15" s="63">
        <f t="shared" si="257"/>
        <v>0</v>
      </c>
      <c r="XDG15" s="63">
        <f t="shared" si="257"/>
        <v>0</v>
      </c>
      <c r="XDH15" s="63">
        <f t="shared" si="257"/>
        <v>0</v>
      </c>
      <c r="XDI15" s="63">
        <f t="shared" si="257"/>
        <v>0</v>
      </c>
      <c r="XDJ15" s="63">
        <f t="shared" si="257"/>
        <v>0</v>
      </c>
      <c r="XDK15" s="63">
        <f t="shared" si="257"/>
        <v>0</v>
      </c>
      <c r="XDL15" s="63">
        <f t="shared" si="257"/>
        <v>0</v>
      </c>
      <c r="XDM15" s="63">
        <f t="shared" si="257"/>
        <v>0</v>
      </c>
      <c r="XDN15" s="63">
        <f t="shared" si="257"/>
        <v>0</v>
      </c>
      <c r="XDO15" s="63">
        <f t="shared" si="257"/>
        <v>0</v>
      </c>
      <c r="XDP15" s="63">
        <f t="shared" si="257"/>
        <v>0</v>
      </c>
      <c r="XDQ15" s="63">
        <f t="shared" si="257"/>
        <v>0</v>
      </c>
      <c r="XDR15" s="63">
        <f t="shared" si="257"/>
        <v>0</v>
      </c>
      <c r="XDS15" s="63">
        <f t="shared" si="257"/>
        <v>0</v>
      </c>
      <c r="XDT15" s="63">
        <f t="shared" si="257"/>
        <v>0</v>
      </c>
      <c r="XDU15" s="63">
        <f t="shared" si="257"/>
        <v>0</v>
      </c>
      <c r="XDV15" s="63">
        <f t="shared" si="257"/>
        <v>0</v>
      </c>
      <c r="XDW15" s="63">
        <f t="shared" si="257"/>
        <v>0</v>
      </c>
      <c r="XDX15" s="63">
        <f t="shared" si="257"/>
        <v>0</v>
      </c>
      <c r="XDY15" s="63">
        <f t="shared" si="257"/>
        <v>0</v>
      </c>
      <c r="XDZ15" s="63">
        <f t="shared" si="257"/>
        <v>0</v>
      </c>
      <c r="XEA15" s="63">
        <f t="shared" si="257"/>
        <v>0</v>
      </c>
      <c r="XEB15" s="63">
        <f t="shared" si="257"/>
        <v>0</v>
      </c>
      <c r="XEC15" s="63">
        <f t="shared" si="257"/>
        <v>0</v>
      </c>
      <c r="XED15" s="63">
        <f t="shared" si="257"/>
        <v>0</v>
      </c>
      <c r="XEE15" s="63">
        <f t="shared" si="257"/>
        <v>0</v>
      </c>
      <c r="XEF15" s="63">
        <f t="shared" si="257"/>
        <v>0</v>
      </c>
      <c r="XEG15" s="63">
        <f t="shared" si="257"/>
        <v>0</v>
      </c>
      <c r="XEH15" s="63">
        <f t="shared" si="257"/>
        <v>0</v>
      </c>
      <c r="XEI15" s="63">
        <f t="shared" si="257"/>
        <v>0</v>
      </c>
      <c r="XEJ15" s="63">
        <f t="shared" si="257"/>
        <v>0</v>
      </c>
      <c r="XEK15" s="63">
        <f t="shared" si="257"/>
        <v>0</v>
      </c>
      <c r="XEL15" s="63">
        <f t="shared" si="257"/>
        <v>0</v>
      </c>
      <c r="XEM15" s="63">
        <f t="shared" si="257"/>
        <v>0</v>
      </c>
      <c r="XEN15" s="63">
        <f t="shared" si="257"/>
        <v>0</v>
      </c>
      <c r="XEO15" s="63">
        <f t="shared" si="257"/>
        <v>0</v>
      </c>
      <c r="XEP15" s="63">
        <f t="shared" si="257"/>
        <v>0</v>
      </c>
      <c r="XEQ15" s="63">
        <f t="shared" si="257"/>
        <v>0</v>
      </c>
      <c r="XER15" s="63">
        <f t="shared" si="257"/>
        <v>0</v>
      </c>
      <c r="XES15" s="63">
        <f t="shared" si="257"/>
        <v>0</v>
      </c>
      <c r="XET15" s="63">
        <f t="shared" si="257"/>
        <v>0</v>
      </c>
      <c r="XEU15" s="63">
        <f t="shared" si="257"/>
        <v>0</v>
      </c>
      <c r="XEV15" s="63">
        <f t="shared" si="257"/>
        <v>0</v>
      </c>
      <c r="XEW15" s="63">
        <f t="shared" si="257"/>
        <v>0</v>
      </c>
      <c r="XEX15" s="63">
        <f t="shared" si="257"/>
        <v>0</v>
      </c>
      <c r="XEY15" s="63">
        <f t="shared" si="257"/>
        <v>0</v>
      </c>
      <c r="XEZ15" s="63">
        <f t="shared" si="257"/>
        <v>0</v>
      </c>
      <c r="XFA15" s="63">
        <f t="shared" si="257"/>
        <v>0</v>
      </c>
      <c r="XFB15" s="63">
        <f t="shared" si="257"/>
        <v>0</v>
      </c>
      <c r="XFC15" s="63">
        <f t="shared" si="257"/>
        <v>0</v>
      </c>
      <c r="XFD15" s="63">
        <f t="shared" si="257"/>
        <v>0</v>
      </c>
    </row>
    <row r="16" spans="1:16384" ht="15" customHeight="1" x14ac:dyDescent="0.3">
      <c r="A16" s="72" t="s">
        <v>610</v>
      </c>
      <c r="B16" s="64">
        <f>SUMIFS(tbRegistroEntradas[VALOR],tbRegistroEntradas[[MÊS COMPETÊNCIA ]],"="&amp;B14,tbRegistroEntradas[ANO COMPETÊNCIA],"="&amp;$L$3)</f>
        <v>61515</v>
      </c>
      <c r="C16" s="64">
        <f>SUMIFS(tbRegistroEntradas[VALOR],tbRegistroEntradas[[MÊS COMPETÊNCIA ]],"="&amp;C14,tbRegistroEntradas[ANO COMPETÊNCIA],"="&amp;$L$3)</f>
        <v>60610</v>
      </c>
      <c r="D16" s="64">
        <f>SUMIFS(tbRegistroEntradas[VALOR],tbRegistroEntradas[[MÊS COMPETÊNCIA ]],"="&amp;D14,tbRegistroEntradas[ANO COMPETÊNCIA],"="&amp;$L$3)</f>
        <v>89184</v>
      </c>
      <c r="E16" s="64">
        <f>SUMIFS(tbRegistroEntradas[VALOR],tbRegistroEntradas[[MÊS COMPETÊNCIA ]],"="&amp;E14,tbRegistroEntradas[ANO COMPETÊNCIA],"="&amp;$L$3)</f>
        <v>71024</v>
      </c>
      <c r="F16" s="64">
        <f>SUMIFS(tbRegistroEntradas[VALOR],tbRegistroEntradas[[MÊS COMPETÊNCIA ]],"="&amp;F14,tbRegistroEntradas[ANO COMPETÊNCIA],"="&amp;$L$3)</f>
        <v>79525</v>
      </c>
      <c r="G16" s="64">
        <f>SUMIFS(tbRegistroEntradas[VALOR],tbRegistroEntradas[[MÊS COMPETÊNCIA ]],"="&amp;G14,tbRegistroEntradas[ANO COMPETÊNCIA],"="&amp;$L$3)</f>
        <v>102552</v>
      </c>
      <c r="H16" s="64">
        <f>SUMIFS(tbRegistroEntradas[VALOR],tbRegistroEntradas[[MÊS COMPETÊNCIA ]],"="&amp;H14,tbRegistroEntradas[ANO COMPETÊNCIA],"="&amp;$L$3)</f>
        <v>80476</v>
      </c>
      <c r="I16" s="64">
        <f>SUMIFS(tbRegistroEntradas[VALOR],tbRegistroEntradas[[MÊS COMPETÊNCIA ]],"="&amp;I14,tbRegistroEntradas[ANO COMPETÊNCIA],"="&amp;$L$3)</f>
        <v>104513</v>
      </c>
      <c r="J16" s="64">
        <f>SUMIFS(tbRegistroEntradas[VALOR],tbRegistroEntradas[[MÊS COMPETÊNCIA ]],"="&amp;J14,tbRegistroEntradas[ANO COMPETÊNCIA],"="&amp;$L$3)</f>
        <v>94951</v>
      </c>
      <c r="K16" s="64">
        <f>SUMIFS(tbRegistroEntradas[VALOR],tbRegistroEntradas[[MÊS COMPETÊNCIA ]],"="&amp;K14,tbRegistroEntradas[ANO COMPETÊNCIA],"="&amp;$L$3)</f>
        <v>64868</v>
      </c>
      <c r="L16" s="64">
        <f>SUMIFS(tbRegistroEntradas[VALOR],tbRegistroEntradas[[MÊS COMPETÊNCIA ]],"="&amp;L14,tbRegistroEntradas[ANO COMPETÊNCIA],"="&amp;$L$3)</f>
        <v>83642</v>
      </c>
      <c r="M16" s="64">
        <f>SUMIFS(tbRegistroEntradas[VALOR],tbRegistroEntradas[[MÊS COMPETÊNCIA ]],"="&amp;M14,tbRegistroEntradas[ANO COMPETÊNCIA],"="&amp;$L$3)</f>
        <v>86957</v>
      </c>
    </row>
    <row r="17" spans="1:13" ht="15" customHeight="1" x14ac:dyDescent="0.3">
      <c r="A17" s="72" t="s">
        <v>611</v>
      </c>
      <c r="B17" s="123">
        <f>SUMIFS(tbRegistroSaidas[VALOR],tbRegistroSaidas[[MÊS COMPETÊNCIA ]],"="&amp;B14,tbRegistroSaidas[ANO COMPETÊNCIA],"="&amp;$L$3)</f>
        <v>55074</v>
      </c>
      <c r="C17" s="123">
        <f>SUMIFS(tbRegistroSaidas[VALOR],tbRegistroSaidas[[MÊS COMPETÊNCIA ]],"="&amp;C14,tbRegistroSaidas[ANO COMPETÊNCIA],"="&amp;$L$3)</f>
        <v>67761</v>
      </c>
      <c r="D17" s="123">
        <f>SUMIFS(tbRegistroSaidas[VALOR],tbRegistroSaidas[[MÊS COMPETÊNCIA ]],"="&amp;D14,tbRegistroSaidas[ANO COMPETÊNCIA],"="&amp;$L$3)</f>
        <v>64277</v>
      </c>
      <c r="E17" s="123">
        <f>SUMIFS(tbRegistroSaidas[VALOR],tbRegistroSaidas[[MÊS COMPETÊNCIA ]],"="&amp;E14,tbRegistroSaidas[ANO COMPETÊNCIA],"="&amp;$L$3)</f>
        <v>43027</v>
      </c>
      <c r="F17" s="123">
        <f>SUMIFS(tbRegistroSaidas[VALOR],tbRegistroSaidas[[MÊS COMPETÊNCIA ]],"="&amp;F14,tbRegistroSaidas[ANO COMPETÊNCIA],"="&amp;$L$3)</f>
        <v>78237</v>
      </c>
      <c r="G17" s="123">
        <f>SUMIFS(tbRegistroSaidas[VALOR],tbRegistroSaidas[[MÊS COMPETÊNCIA ]],"="&amp;G14,tbRegistroSaidas[ANO COMPETÊNCIA],"="&amp;$L$3)</f>
        <v>48718</v>
      </c>
      <c r="H17" s="123">
        <f>SUMIFS(tbRegistroSaidas[VALOR],tbRegistroSaidas[[MÊS COMPETÊNCIA ]],"="&amp;H14,tbRegistroSaidas[ANO COMPETÊNCIA],"="&amp;$L$3)</f>
        <v>51631</v>
      </c>
      <c r="I17" s="123">
        <f>SUMIFS(tbRegistroSaidas[VALOR],tbRegistroSaidas[[MÊS COMPETÊNCIA ]],"="&amp;I14,tbRegistroSaidas[ANO COMPETÊNCIA],"="&amp;$L$3)</f>
        <v>61963</v>
      </c>
      <c r="J17" s="123">
        <f>SUMIFS(tbRegistroSaidas[VALOR],tbRegistroSaidas[[MÊS COMPETÊNCIA ]],"="&amp;J14,tbRegistroSaidas[ANO COMPETÊNCIA],"="&amp;$L$3)</f>
        <v>57333</v>
      </c>
      <c r="K17" s="123">
        <f>SUMIFS(tbRegistroSaidas[VALOR],tbRegistroSaidas[[MÊS COMPETÊNCIA ]],"="&amp;K14,tbRegistroSaidas[ANO COMPETÊNCIA],"="&amp;$L$3)</f>
        <v>58160</v>
      </c>
      <c r="L17" s="123">
        <f>SUMIFS(tbRegistroSaidas[VALOR],tbRegistroSaidas[[MÊS COMPETÊNCIA ]],"="&amp;L14,tbRegistroSaidas[ANO COMPETÊNCIA],"="&amp;$L$3)</f>
        <v>43113</v>
      </c>
      <c r="M17" s="123">
        <f>SUMIFS(tbRegistroSaidas[VALOR],tbRegistroSaidas[[MÊS COMPETÊNCIA ]],"="&amp;M14,tbRegistroSaidas[ANO COMPETÊNCIA],"="&amp;$L$3)</f>
        <v>46266</v>
      </c>
    </row>
    <row r="18" spans="1:13" ht="15" customHeight="1" x14ac:dyDescent="0.3">
      <c r="A18" s="73" t="s">
        <v>612</v>
      </c>
      <c r="B18" s="65">
        <f>B15+B16-B17</f>
        <v>367471</v>
      </c>
      <c r="C18" s="65">
        <f t="shared" ref="C18:M18" si="258">C15+C16-C17</f>
        <v>360320</v>
      </c>
      <c r="D18" s="65">
        <f t="shared" si="258"/>
        <v>385227</v>
      </c>
      <c r="E18" s="65">
        <f t="shared" si="258"/>
        <v>413224</v>
      </c>
      <c r="F18" s="65">
        <f t="shared" si="258"/>
        <v>414512</v>
      </c>
      <c r="G18" s="65">
        <f t="shared" si="258"/>
        <v>468346</v>
      </c>
      <c r="H18" s="65">
        <f t="shared" si="258"/>
        <v>497191</v>
      </c>
      <c r="I18" s="65">
        <f t="shared" si="258"/>
        <v>539741</v>
      </c>
      <c r="J18" s="65">
        <f t="shared" si="258"/>
        <v>577359</v>
      </c>
      <c r="K18" s="65">
        <f t="shared" si="258"/>
        <v>584067</v>
      </c>
      <c r="L18" s="65">
        <f t="shared" si="258"/>
        <v>624596</v>
      </c>
      <c r="M18" s="65">
        <f t="shared" si="258"/>
        <v>665287</v>
      </c>
    </row>
    <row r="19" spans="1:13" ht="15" customHeight="1" x14ac:dyDescent="0.3"/>
    <row r="20" spans="1:13" ht="15" customHeight="1" x14ac:dyDescent="0.3">
      <c r="A20" s="69" t="s">
        <v>622</v>
      </c>
      <c r="B20" s="60"/>
      <c r="C20" s="60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t="15" customHeight="1" x14ac:dyDescent="0.3">
      <c r="A21" s="70" t="s">
        <v>597</v>
      </c>
      <c r="B21" s="61" t="s">
        <v>598</v>
      </c>
      <c r="C21" s="61" t="s">
        <v>599</v>
      </c>
      <c r="D21" s="61" t="s">
        <v>600</v>
      </c>
      <c r="E21" s="61" t="s">
        <v>601</v>
      </c>
      <c r="F21" s="61" t="s">
        <v>602</v>
      </c>
      <c r="G21" s="61" t="s">
        <v>603</v>
      </c>
      <c r="H21" s="61" t="s">
        <v>604</v>
      </c>
      <c r="I21" s="61" t="s">
        <v>605</v>
      </c>
      <c r="J21" s="61" t="s">
        <v>606</v>
      </c>
      <c r="K21" s="61" t="s">
        <v>607</v>
      </c>
      <c r="L21" s="61" t="s">
        <v>608</v>
      </c>
      <c r="M21" s="62" t="s">
        <v>609</v>
      </c>
    </row>
    <row r="22" spans="1:13" ht="15" customHeight="1" x14ac:dyDescent="0.3">
      <c r="A22" s="71" t="s">
        <v>615</v>
      </c>
      <c r="B22" s="63">
        <f>B16</f>
        <v>61515</v>
      </c>
      <c r="C22" s="63">
        <f t="shared" ref="C22:M22" si="259">C16</f>
        <v>60610</v>
      </c>
      <c r="D22" s="63">
        <f t="shared" si="259"/>
        <v>89184</v>
      </c>
      <c r="E22" s="63">
        <f t="shared" si="259"/>
        <v>71024</v>
      </c>
      <c r="F22" s="63">
        <f t="shared" si="259"/>
        <v>79525</v>
      </c>
      <c r="G22" s="63">
        <f t="shared" si="259"/>
        <v>102552</v>
      </c>
      <c r="H22" s="63">
        <f t="shared" si="259"/>
        <v>80476</v>
      </c>
      <c r="I22" s="63">
        <f t="shared" si="259"/>
        <v>104513</v>
      </c>
      <c r="J22" s="63">
        <f t="shared" si="259"/>
        <v>94951</v>
      </c>
      <c r="K22" s="63">
        <f t="shared" si="259"/>
        <v>64868</v>
      </c>
      <c r="L22" s="63">
        <f t="shared" si="259"/>
        <v>83642</v>
      </c>
      <c r="M22" s="63">
        <f t="shared" si="259"/>
        <v>86957</v>
      </c>
    </row>
    <row r="23" spans="1:13" ht="15" customHeight="1" x14ac:dyDescent="0.3">
      <c r="A23" s="72" t="s">
        <v>616</v>
      </c>
      <c r="B23" s="64">
        <f>B17</f>
        <v>55074</v>
      </c>
      <c r="C23" s="64">
        <f t="shared" ref="C23:M23" si="260">C17</f>
        <v>67761</v>
      </c>
      <c r="D23" s="64">
        <f t="shared" si="260"/>
        <v>64277</v>
      </c>
      <c r="E23" s="64">
        <f t="shared" si="260"/>
        <v>43027</v>
      </c>
      <c r="F23" s="64">
        <f t="shared" si="260"/>
        <v>78237</v>
      </c>
      <c r="G23" s="64">
        <f t="shared" si="260"/>
        <v>48718</v>
      </c>
      <c r="H23" s="64">
        <f t="shared" si="260"/>
        <v>51631</v>
      </c>
      <c r="I23" s="64">
        <f t="shared" si="260"/>
        <v>61963</v>
      </c>
      <c r="J23" s="64">
        <f t="shared" si="260"/>
        <v>57333</v>
      </c>
      <c r="K23" s="64">
        <f t="shared" si="260"/>
        <v>58160</v>
      </c>
      <c r="L23" s="64">
        <f t="shared" si="260"/>
        <v>43113</v>
      </c>
      <c r="M23" s="64">
        <f t="shared" si="260"/>
        <v>46266</v>
      </c>
    </row>
    <row r="24" spans="1:13" ht="15" customHeight="1" x14ac:dyDescent="0.3">
      <c r="A24" s="77" t="s">
        <v>617</v>
      </c>
      <c r="B24" s="75">
        <f>IF(B22-B23&gt;0,B22-B23,0)</f>
        <v>6441</v>
      </c>
      <c r="C24" s="75">
        <f t="shared" ref="C24:M24" si="261">IF(C22-C23&gt;0,C22-C23,0)</f>
        <v>0</v>
      </c>
      <c r="D24" s="75">
        <f t="shared" si="261"/>
        <v>24907</v>
      </c>
      <c r="E24" s="75">
        <f t="shared" si="261"/>
        <v>27997</v>
      </c>
      <c r="F24" s="75">
        <f t="shared" si="261"/>
        <v>1288</v>
      </c>
      <c r="G24" s="75">
        <f t="shared" si="261"/>
        <v>53834</v>
      </c>
      <c r="H24" s="75">
        <f t="shared" si="261"/>
        <v>28845</v>
      </c>
      <c r="I24" s="75">
        <f t="shared" si="261"/>
        <v>42550</v>
      </c>
      <c r="J24" s="75">
        <f t="shared" si="261"/>
        <v>37618</v>
      </c>
      <c r="K24" s="75">
        <f t="shared" si="261"/>
        <v>6708</v>
      </c>
      <c r="L24" s="75">
        <f t="shared" si="261"/>
        <v>40529</v>
      </c>
      <c r="M24" s="75">
        <f t="shared" si="261"/>
        <v>40691</v>
      </c>
    </row>
    <row r="25" spans="1:13" s="52" customFormat="1" ht="15" customHeight="1" x14ac:dyDescent="0.3">
      <c r="A25" s="77" t="s">
        <v>618</v>
      </c>
      <c r="B25" s="124">
        <f>IF(B22-B23&lt;0,B22-B23,0)</f>
        <v>0</v>
      </c>
      <c r="C25" s="124">
        <f t="shared" ref="C25:M25" si="262">IF(C22-C23&lt;0,C22-C23,0)</f>
        <v>-7151</v>
      </c>
      <c r="D25" s="124">
        <f t="shared" si="262"/>
        <v>0</v>
      </c>
      <c r="E25" s="124">
        <f t="shared" si="262"/>
        <v>0</v>
      </c>
      <c r="F25" s="124">
        <f t="shared" si="262"/>
        <v>0</v>
      </c>
      <c r="G25" s="124">
        <f t="shared" si="262"/>
        <v>0</v>
      </c>
      <c r="H25" s="124">
        <f t="shared" si="262"/>
        <v>0</v>
      </c>
      <c r="I25" s="124">
        <f t="shared" si="262"/>
        <v>0</v>
      </c>
      <c r="J25" s="124">
        <f t="shared" si="262"/>
        <v>0</v>
      </c>
      <c r="K25" s="124">
        <f t="shared" si="262"/>
        <v>0</v>
      </c>
      <c r="L25" s="124">
        <f t="shared" si="262"/>
        <v>0</v>
      </c>
      <c r="M25" s="124">
        <f t="shared" si="262"/>
        <v>0</v>
      </c>
    </row>
    <row r="26" spans="1:13" ht="15" customHeight="1" x14ac:dyDescent="0.3">
      <c r="A26" s="78" t="s">
        <v>619</v>
      </c>
      <c r="B26" s="76">
        <f>B25</f>
        <v>0</v>
      </c>
      <c r="C26" s="76">
        <f>C22-C23+B26</f>
        <v>-7151</v>
      </c>
      <c r="D26" s="76">
        <f t="shared" ref="D26:M26" si="263">D22-D23+C26</f>
        <v>17756</v>
      </c>
      <c r="E26" s="76">
        <f t="shared" si="263"/>
        <v>45753</v>
      </c>
      <c r="F26" s="76">
        <f t="shared" si="263"/>
        <v>47041</v>
      </c>
      <c r="G26" s="76">
        <f t="shared" si="263"/>
        <v>100875</v>
      </c>
      <c r="H26" s="76">
        <f t="shared" si="263"/>
        <v>129720</v>
      </c>
      <c r="I26" s="76">
        <f t="shared" si="263"/>
        <v>172270</v>
      </c>
      <c r="J26" s="76">
        <f t="shared" si="263"/>
        <v>209888</v>
      </c>
      <c r="K26" s="76">
        <f t="shared" si="263"/>
        <v>216596</v>
      </c>
      <c r="L26" s="76">
        <f t="shared" si="263"/>
        <v>257125</v>
      </c>
      <c r="M26" s="76">
        <f t="shared" si="263"/>
        <v>297816</v>
      </c>
    </row>
    <row r="27" spans="1:13" ht="14.4" customHeight="1" x14ac:dyDescent="0.3"/>
    <row r="28" spans="1:13" ht="14.4" customHeight="1" x14ac:dyDescent="0.3">
      <c r="A28" s="66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66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2">
    <mergeCell ref="K1:M2"/>
    <mergeCell ref="L3:M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O31"/>
  <sheetViews>
    <sheetView showGridLines="0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.5546875" customWidth="1"/>
    <col min="2" max="2" width="22.88671875" customWidth="1"/>
    <col min="3" max="3" width="19.5546875" customWidth="1"/>
    <col min="4" max="14" width="13.33203125" customWidth="1"/>
    <col min="15" max="15" width="14.33203125" customWidth="1"/>
    <col min="16" max="16384" width="15.77734375" hidden="1"/>
  </cols>
  <sheetData>
    <row r="1" spans="1:15" ht="14.4" customHeight="1" x14ac:dyDescent="0.3">
      <c r="A1" s="168" t="s">
        <v>623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</row>
    <row r="2" spans="1:15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s="5" customFormat="1" x14ac:dyDescent="0.3"/>
    <row r="6" spans="1:15" s="5" customFormat="1" x14ac:dyDescent="0.3"/>
    <row r="7" spans="1:15" ht="14.4" customHeight="1" x14ac:dyDescent="0.3"/>
    <row r="8" spans="1:15" ht="14.4" customHeight="1" x14ac:dyDescent="0.3"/>
    <row r="9" spans="1:15" ht="14.4" customHeight="1" x14ac:dyDescent="0.3">
      <c r="B9" s="81" t="s">
        <v>627</v>
      </c>
      <c r="C9" s="81" t="s">
        <v>626</v>
      </c>
    </row>
    <row r="10" spans="1:15" ht="14.4" customHeight="1" x14ac:dyDescent="0.3">
      <c r="B10" s="81" t="s">
        <v>624</v>
      </c>
      <c r="C10" s="52" t="s">
        <v>598</v>
      </c>
      <c r="D10" s="52" t="s">
        <v>599</v>
      </c>
      <c r="E10" s="52" t="s">
        <v>600</v>
      </c>
      <c r="F10" s="52" t="s">
        <v>601</v>
      </c>
      <c r="G10" s="52" t="s">
        <v>602</v>
      </c>
      <c r="H10" s="52" t="s">
        <v>603</v>
      </c>
      <c r="I10" s="52" t="s">
        <v>604</v>
      </c>
      <c r="J10" s="52" t="s">
        <v>605</v>
      </c>
      <c r="K10" s="52" t="s">
        <v>606</v>
      </c>
      <c r="L10" s="52" t="s">
        <v>607</v>
      </c>
      <c r="M10" s="52" t="s">
        <v>608</v>
      </c>
      <c r="N10" s="52" t="s">
        <v>609</v>
      </c>
      <c r="O10" s="52" t="s">
        <v>625</v>
      </c>
    </row>
    <row r="11" spans="1:15" ht="14.4" customHeight="1" x14ac:dyDescent="0.3">
      <c r="B11" s="74" t="s">
        <v>12</v>
      </c>
      <c r="C11" s="164">
        <v>191564</v>
      </c>
      <c r="D11" s="164">
        <v>219712</v>
      </c>
      <c r="E11" s="164">
        <v>203226</v>
      </c>
      <c r="F11" s="164">
        <v>191608</v>
      </c>
      <c r="G11" s="164">
        <v>260600</v>
      </c>
      <c r="H11" s="164">
        <v>249944</v>
      </c>
      <c r="I11" s="164">
        <v>203706</v>
      </c>
      <c r="J11" s="164">
        <v>225854</v>
      </c>
      <c r="K11" s="164">
        <v>234388</v>
      </c>
      <c r="L11" s="164">
        <v>196394</v>
      </c>
      <c r="M11" s="164">
        <v>201816</v>
      </c>
      <c r="N11" s="164">
        <v>222423</v>
      </c>
      <c r="O11" s="164">
        <v>2601235</v>
      </c>
    </row>
    <row r="12" spans="1:15" ht="14.4" customHeight="1" x14ac:dyDescent="0.3">
      <c r="B12" s="82" t="s">
        <v>16</v>
      </c>
      <c r="C12" s="164">
        <v>27824</v>
      </c>
      <c r="D12" s="164">
        <v>37755</v>
      </c>
      <c r="E12" s="164">
        <v>30444</v>
      </c>
      <c r="F12" s="164">
        <v>17635</v>
      </c>
      <c r="G12" s="164">
        <v>61267</v>
      </c>
      <c r="H12" s="164">
        <v>31955</v>
      </c>
      <c r="I12" s="164">
        <v>43630</v>
      </c>
      <c r="J12" s="164">
        <v>31077</v>
      </c>
      <c r="K12" s="164">
        <v>41048</v>
      </c>
      <c r="L12" s="164">
        <v>19574</v>
      </c>
      <c r="M12" s="164">
        <v>54985</v>
      </c>
      <c r="N12" s="164">
        <v>34465</v>
      </c>
      <c r="O12" s="164">
        <v>431659</v>
      </c>
    </row>
    <row r="13" spans="1:15" ht="14.4" customHeight="1" x14ac:dyDescent="0.3">
      <c r="B13" s="82" t="s">
        <v>17</v>
      </c>
      <c r="C13" s="164">
        <v>38363</v>
      </c>
      <c r="D13" s="164">
        <v>46412</v>
      </c>
      <c r="E13" s="164">
        <v>53400</v>
      </c>
      <c r="F13" s="164">
        <v>43923</v>
      </c>
      <c r="G13" s="164">
        <v>38070</v>
      </c>
      <c r="H13" s="164">
        <v>77785</v>
      </c>
      <c r="I13" s="164">
        <v>52592</v>
      </c>
      <c r="J13" s="164">
        <v>61573</v>
      </c>
      <c r="K13" s="164">
        <v>54600</v>
      </c>
      <c r="L13" s="164">
        <v>41075</v>
      </c>
      <c r="M13" s="164">
        <v>37627</v>
      </c>
      <c r="N13" s="164">
        <v>57223</v>
      </c>
      <c r="O13" s="164">
        <v>602643</v>
      </c>
    </row>
    <row r="14" spans="1:15" ht="14.4" customHeight="1" x14ac:dyDescent="0.3">
      <c r="B14" s="82" t="s">
        <v>18</v>
      </c>
      <c r="C14" s="164">
        <v>52405</v>
      </c>
      <c r="D14" s="164">
        <v>41388</v>
      </c>
      <c r="E14" s="164">
        <v>15290</v>
      </c>
      <c r="F14" s="164">
        <v>52363</v>
      </c>
      <c r="G14" s="164">
        <v>66736</v>
      </c>
      <c r="H14" s="164">
        <v>30494</v>
      </c>
      <c r="I14" s="164">
        <v>24638</v>
      </c>
      <c r="J14" s="164">
        <v>26711</v>
      </c>
      <c r="K14" s="164">
        <v>45955</v>
      </c>
      <c r="L14" s="164">
        <v>42233</v>
      </c>
      <c r="M14" s="164">
        <v>28877</v>
      </c>
      <c r="N14" s="164">
        <v>16943</v>
      </c>
      <c r="O14" s="164">
        <v>444033</v>
      </c>
    </row>
    <row r="15" spans="1:15" ht="14.4" customHeight="1" x14ac:dyDescent="0.3">
      <c r="B15" s="82" t="s">
        <v>19</v>
      </c>
      <c r="C15" s="164">
        <v>50671</v>
      </c>
      <c r="D15" s="164">
        <v>32739</v>
      </c>
      <c r="E15" s="164">
        <v>35328</v>
      </c>
      <c r="F15" s="164">
        <v>50731</v>
      </c>
      <c r="G15" s="164">
        <v>45990</v>
      </c>
      <c r="H15" s="164">
        <v>51525</v>
      </c>
      <c r="I15" s="164">
        <v>60268</v>
      </c>
      <c r="J15" s="164">
        <v>55003</v>
      </c>
      <c r="K15" s="164">
        <v>57136</v>
      </c>
      <c r="L15" s="164">
        <v>47475</v>
      </c>
      <c r="M15" s="164">
        <v>63252</v>
      </c>
      <c r="N15" s="164">
        <v>79343</v>
      </c>
      <c r="O15" s="164">
        <v>629461</v>
      </c>
    </row>
    <row r="16" spans="1:15" ht="14.4" customHeight="1" x14ac:dyDescent="0.3">
      <c r="B16" s="82" t="s">
        <v>32</v>
      </c>
      <c r="C16" s="164">
        <v>22301</v>
      </c>
      <c r="D16" s="164">
        <v>61418</v>
      </c>
      <c r="E16" s="164">
        <v>68764</v>
      </c>
      <c r="F16" s="164">
        <v>26956</v>
      </c>
      <c r="G16" s="164">
        <v>48537</v>
      </c>
      <c r="H16" s="164">
        <v>58185</v>
      </c>
      <c r="I16" s="164">
        <v>22578</v>
      </c>
      <c r="J16" s="164">
        <v>51490</v>
      </c>
      <c r="K16" s="164">
        <v>35649</v>
      </c>
      <c r="L16" s="164">
        <v>46037</v>
      </c>
      <c r="M16" s="164">
        <v>17075</v>
      </c>
      <c r="N16" s="164">
        <v>34449</v>
      </c>
      <c r="O16" s="164">
        <v>493439</v>
      </c>
    </row>
    <row r="17" spans="1:15" ht="14.4" customHeight="1" x14ac:dyDescent="0.3">
      <c r="B17" s="74" t="s">
        <v>625</v>
      </c>
      <c r="C17" s="164">
        <v>191564</v>
      </c>
      <c r="D17" s="164">
        <v>219712</v>
      </c>
      <c r="E17" s="164">
        <v>203226</v>
      </c>
      <c r="F17" s="164">
        <v>191608</v>
      </c>
      <c r="G17" s="164">
        <v>260600</v>
      </c>
      <c r="H17" s="164">
        <v>249944</v>
      </c>
      <c r="I17" s="164">
        <v>203706</v>
      </c>
      <c r="J17" s="164">
        <v>225854</v>
      </c>
      <c r="K17" s="164">
        <v>234388</v>
      </c>
      <c r="L17" s="164">
        <v>196394</v>
      </c>
      <c r="M17" s="164">
        <v>201816</v>
      </c>
      <c r="N17" s="164">
        <v>222423</v>
      </c>
      <c r="O17" s="164">
        <v>2601235</v>
      </c>
    </row>
    <row r="18" spans="1:15" ht="14.4" customHeight="1" x14ac:dyDescent="0.3"/>
    <row r="19" spans="1:15" ht="14.4" customHeight="1" x14ac:dyDescent="0.3"/>
    <row r="20" spans="1:15" ht="14.4" customHeight="1" x14ac:dyDescent="0.3"/>
    <row r="21" spans="1:15" ht="14.4" customHeight="1" x14ac:dyDescent="0.3">
      <c r="L21" s="83" t="s">
        <v>142</v>
      </c>
    </row>
    <row r="22" spans="1:15" ht="14.4" customHeight="1" x14ac:dyDescent="0.3"/>
    <row r="23" spans="1:15" ht="14.4" customHeight="1" x14ac:dyDescent="0.3"/>
    <row r="24" spans="1:15" ht="14.4" customHeight="1" x14ac:dyDescent="0.3"/>
    <row r="25" spans="1:15" ht="14.4" customHeight="1" x14ac:dyDescent="0.3"/>
    <row r="26" spans="1:15" ht="14.4" customHeight="1" x14ac:dyDescent="0.3"/>
    <row r="27" spans="1:15" ht="14.4" customHeight="1" x14ac:dyDescent="0.3"/>
    <row r="28" spans="1:15" ht="14.4" customHeight="1" x14ac:dyDescent="0.3"/>
    <row r="29" spans="1:15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4.4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O32"/>
  <sheetViews>
    <sheetView showGridLines="0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.5546875" style="52" customWidth="1"/>
    <col min="2" max="2" width="22.88671875" style="52" customWidth="1"/>
    <col min="3" max="3" width="19.5546875" style="52" customWidth="1"/>
    <col min="4" max="14" width="13.33203125" style="52" customWidth="1"/>
    <col min="15" max="15" width="14.33203125" style="52" customWidth="1"/>
    <col min="16" max="16384" width="15.77734375" style="52" hidden="1"/>
  </cols>
  <sheetData>
    <row r="1" spans="1:15" ht="14.4" customHeight="1" x14ac:dyDescent="0.3">
      <c r="A1" s="168" t="s">
        <v>628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</row>
    <row r="2" spans="1:15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s="5" customFormat="1" x14ac:dyDescent="0.3"/>
    <row r="6" spans="1:15" s="5" customFormat="1" x14ac:dyDescent="0.3"/>
    <row r="7" spans="1:15" s="5" customFormat="1" x14ac:dyDescent="0.3"/>
    <row r="8" spans="1:15" ht="14.4" customHeight="1" x14ac:dyDescent="0.3"/>
    <row r="9" spans="1:15" ht="14.4" customHeight="1" x14ac:dyDescent="0.3">
      <c r="B9" s="81" t="s">
        <v>627</v>
      </c>
      <c r="C9" s="81" t="s">
        <v>626</v>
      </c>
      <c r="D9"/>
      <c r="E9"/>
      <c r="F9"/>
      <c r="G9"/>
      <c r="H9"/>
      <c r="I9"/>
      <c r="J9"/>
      <c r="K9"/>
      <c r="L9"/>
      <c r="M9"/>
      <c r="N9"/>
      <c r="O9"/>
    </row>
    <row r="10" spans="1:15" ht="14.4" customHeight="1" x14ac:dyDescent="0.3">
      <c r="B10" s="81" t="s">
        <v>624</v>
      </c>
      <c r="C10" s="52" t="s">
        <v>598</v>
      </c>
      <c r="D10" s="52" t="s">
        <v>599</v>
      </c>
      <c r="E10" s="52" t="s">
        <v>600</v>
      </c>
      <c r="F10" s="52" t="s">
        <v>601</v>
      </c>
      <c r="G10" s="52" t="s">
        <v>602</v>
      </c>
      <c r="H10" s="52" t="s">
        <v>603</v>
      </c>
      <c r="I10" s="52" t="s">
        <v>604</v>
      </c>
      <c r="J10" s="52" t="s">
        <v>605</v>
      </c>
      <c r="K10" s="52" t="s">
        <v>606</v>
      </c>
      <c r="L10" s="52" t="s">
        <v>607</v>
      </c>
      <c r="M10" s="52" t="s">
        <v>608</v>
      </c>
      <c r="N10" s="52" t="s">
        <v>609</v>
      </c>
      <c r="O10" s="52" t="s">
        <v>625</v>
      </c>
    </row>
    <row r="11" spans="1:15" ht="14.4" customHeight="1" x14ac:dyDescent="0.3">
      <c r="B11" s="74" t="s">
        <v>26</v>
      </c>
      <c r="C11" s="86">
        <v>153061</v>
      </c>
      <c r="D11" s="86">
        <v>162637</v>
      </c>
      <c r="E11" s="86">
        <v>128535</v>
      </c>
      <c r="F11" s="86">
        <v>139004</v>
      </c>
      <c r="G11" s="86">
        <v>180994</v>
      </c>
      <c r="H11" s="86">
        <v>93607</v>
      </c>
      <c r="I11" s="86">
        <v>99888</v>
      </c>
      <c r="J11" s="86">
        <v>113689</v>
      </c>
      <c r="K11" s="86">
        <v>139897</v>
      </c>
      <c r="L11" s="86">
        <v>113595</v>
      </c>
      <c r="M11" s="86">
        <v>131341</v>
      </c>
      <c r="N11" s="86">
        <v>145234</v>
      </c>
      <c r="O11" s="86">
        <v>1601482</v>
      </c>
    </row>
    <row r="12" spans="1:15" ht="14.4" customHeight="1" x14ac:dyDescent="0.3">
      <c r="B12" s="82" t="s">
        <v>16</v>
      </c>
      <c r="C12" s="86">
        <v>22550</v>
      </c>
      <c r="D12" s="86">
        <v>21912</v>
      </c>
      <c r="E12" s="86">
        <v>32745</v>
      </c>
      <c r="F12" s="86">
        <v>25671</v>
      </c>
      <c r="G12" s="86">
        <v>26953</v>
      </c>
      <c r="H12" s="86">
        <v>9880</v>
      </c>
      <c r="I12" s="86">
        <v>8001</v>
      </c>
      <c r="J12" s="86">
        <v>21330</v>
      </c>
      <c r="K12" s="86">
        <v>33038</v>
      </c>
      <c r="L12" s="86">
        <v>26063</v>
      </c>
      <c r="M12" s="86">
        <v>24579</v>
      </c>
      <c r="N12" s="86">
        <v>32698</v>
      </c>
      <c r="O12" s="86">
        <v>285420</v>
      </c>
    </row>
    <row r="13" spans="1:15" ht="14.4" customHeight="1" x14ac:dyDescent="0.3">
      <c r="B13" s="82" t="s">
        <v>17</v>
      </c>
      <c r="C13" s="86">
        <v>15851</v>
      </c>
      <c r="D13" s="86">
        <v>38732</v>
      </c>
      <c r="E13" s="86">
        <v>7771</v>
      </c>
      <c r="F13" s="86">
        <v>21001</v>
      </c>
      <c r="G13" s="86">
        <v>41836</v>
      </c>
      <c r="H13" s="86">
        <v>25002</v>
      </c>
      <c r="I13" s="86">
        <v>21384</v>
      </c>
      <c r="J13" s="86">
        <v>31661</v>
      </c>
      <c r="K13" s="86">
        <v>11405</v>
      </c>
      <c r="L13" s="86">
        <v>16141</v>
      </c>
      <c r="M13" s="86">
        <v>15393</v>
      </c>
      <c r="N13" s="86">
        <v>17857</v>
      </c>
      <c r="O13" s="86">
        <v>264034</v>
      </c>
    </row>
    <row r="14" spans="1:15" ht="14.4" customHeight="1" x14ac:dyDescent="0.3">
      <c r="B14" s="82" t="s">
        <v>18</v>
      </c>
      <c r="C14" s="86">
        <v>17601</v>
      </c>
      <c r="D14" s="86">
        <v>25799</v>
      </c>
      <c r="E14" s="86">
        <v>32555</v>
      </c>
      <c r="F14" s="86">
        <v>19504</v>
      </c>
      <c r="G14" s="86">
        <v>32244</v>
      </c>
      <c r="H14" s="86">
        <v>14239</v>
      </c>
      <c r="I14" s="86">
        <v>33307</v>
      </c>
      <c r="J14" s="86">
        <v>16288</v>
      </c>
      <c r="K14" s="86">
        <v>20202</v>
      </c>
      <c r="L14" s="86">
        <v>34535</v>
      </c>
      <c r="M14" s="86">
        <v>13740</v>
      </c>
      <c r="N14" s="86">
        <v>35017</v>
      </c>
      <c r="O14" s="86">
        <v>295031</v>
      </c>
    </row>
    <row r="15" spans="1:15" ht="14.4" customHeight="1" x14ac:dyDescent="0.3">
      <c r="B15" s="82" t="s">
        <v>32</v>
      </c>
      <c r="C15" s="86">
        <v>44724</v>
      </c>
      <c r="D15" s="86">
        <v>18353</v>
      </c>
      <c r="E15" s="86">
        <v>17925</v>
      </c>
      <c r="F15" s="86">
        <v>24723</v>
      </c>
      <c r="G15" s="86">
        <v>34752</v>
      </c>
      <c r="H15" s="86">
        <v>19679</v>
      </c>
      <c r="I15" s="86">
        <v>22536</v>
      </c>
      <c r="J15" s="86">
        <v>23177</v>
      </c>
      <c r="K15" s="86">
        <v>32654</v>
      </c>
      <c r="L15" s="86">
        <v>9689</v>
      </c>
      <c r="M15" s="86">
        <v>24450</v>
      </c>
      <c r="N15" s="86">
        <v>20160</v>
      </c>
      <c r="O15" s="86">
        <v>292822</v>
      </c>
    </row>
    <row r="16" spans="1:15" ht="14.4" customHeight="1" x14ac:dyDescent="0.3">
      <c r="B16" s="82" t="s">
        <v>33</v>
      </c>
      <c r="C16" s="86">
        <v>32284</v>
      </c>
      <c r="D16" s="86">
        <v>17109</v>
      </c>
      <c r="E16" s="86">
        <v>22142</v>
      </c>
      <c r="F16" s="86">
        <v>24281</v>
      </c>
      <c r="G16" s="86">
        <v>28357</v>
      </c>
      <c r="H16" s="86">
        <v>14472</v>
      </c>
      <c r="I16" s="86">
        <v>10808</v>
      </c>
      <c r="J16" s="86">
        <v>6783</v>
      </c>
      <c r="K16" s="86">
        <v>17180</v>
      </c>
      <c r="L16" s="86">
        <v>15561</v>
      </c>
      <c r="M16" s="86">
        <v>29506</v>
      </c>
      <c r="N16" s="86">
        <v>19100</v>
      </c>
      <c r="O16" s="86">
        <v>237583</v>
      </c>
    </row>
    <row r="17" spans="1:15" ht="14.4" customHeight="1" x14ac:dyDescent="0.3">
      <c r="B17" s="82" t="s">
        <v>19</v>
      </c>
      <c r="C17" s="86">
        <v>20051</v>
      </c>
      <c r="D17" s="86">
        <v>40732</v>
      </c>
      <c r="E17" s="86">
        <v>15397</v>
      </c>
      <c r="F17" s="86">
        <v>23824</v>
      </c>
      <c r="G17" s="86">
        <v>16852</v>
      </c>
      <c r="H17" s="86">
        <v>10335</v>
      </c>
      <c r="I17" s="86">
        <v>3852</v>
      </c>
      <c r="J17" s="86">
        <v>14450</v>
      </c>
      <c r="K17" s="86">
        <v>25418</v>
      </c>
      <c r="L17" s="86">
        <v>11606</v>
      </c>
      <c r="M17" s="86">
        <v>23673</v>
      </c>
      <c r="N17" s="86">
        <v>20402</v>
      </c>
      <c r="O17" s="86">
        <v>226592</v>
      </c>
    </row>
    <row r="18" spans="1:15" ht="14.4" customHeight="1" x14ac:dyDescent="0.3">
      <c r="B18" s="74" t="s">
        <v>625</v>
      </c>
      <c r="C18" s="86">
        <v>153061</v>
      </c>
      <c r="D18" s="86">
        <v>162637</v>
      </c>
      <c r="E18" s="86">
        <v>128535</v>
      </c>
      <c r="F18" s="86">
        <v>139004</v>
      </c>
      <c r="G18" s="86">
        <v>180994</v>
      </c>
      <c r="H18" s="86">
        <v>93607</v>
      </c>
      <c r="I18" s="86">
        <v>99888</v>
      </c>
      <c r="J18" s="86">
        <v>113689</v>
      </c>
      <c r="K18" s="86">
        <v>139897</v>
      </c>
      <c r="L18" s="86">
        <v>113595</v>
      </c>
      <c r="M18" s="86">
        <v>131341</v>
      </c>
      <c r="N18" s="86">
        <v>145234</v>
      </c>
      <c r="O18" s="86">
        <v>1601482</v>
      </c>
    </row>
    <row r="19" spans="1:15" ht="14.4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4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4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4" customHeigh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4.4" customHeigh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4.4" customHeight="1" x14ac:dyDescent="0.3">
      <c r="B24"/>
      <c r="C24"/>
      <c r="D24"/>
    </row>
    <row r="25" spans="1:15" ht="14.4" customHeight="1" x14ac:dyDescent="0.3">
      <c r="B25"/>
      <c r="C25"/>
      <c r="D25"/>
    </row>
    <row r="26" spans="1:15" ht="14.4" customHeight="1" x14ac:dyDescent="0.3">
      <c r="B26"/>
      <c r="C26"/>
      <c r="D26"/>
    </row>
    <row r="27" spans="1:15" ht="14.4" customHeight="1" x14ac:dyDescent="0.3"/>
    <row r="28" spans="1:15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4.4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4.4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XFC64"/>
  <sheetViews>
    <sheetView showGridLines="0" workbookViewId="0">
      <selection activeCell="A11" sqref="A11"/>
    </sheetView>
  </sheetViews>
  <sheetFormatPr defaultColWidth="0" defaultRowHeight="14.4" customHeight="1" zeroHeight="1" x14ac:dyDescent="0.3"/>
  <cols>
    <col min="1" max="1" width="25.33203125" style="52" customWidth="1"/>
    <col min="2" max="11" width="13.77734375" style="52" customWidth="1"/>
    <col min="12" max="12" width="9.33203125" style="52" customWidth="1"/>
    <col min="13" max="13" width="16.5546875" style="52" customWidth="1"/>
    <col min="14" max="14" width="15.77734375" style="52" customWidth="1"/>
    <col min="15" max="16383" width="15.77734375" style="52" hidden="1"/>
    <col min="16384" max="16384" width="4" style="52" hidden="1"/>
  </cols>
  <sheetData>
    <row r="1" spans="1:15" ht="14.4" customHeight="1" x14ac:dyDescent="0.3">
      <c r="A1" s="168" t="s">
        <v>641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5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5" ht="14.4" customHeight="1" x14ac:dyDescent="0.3"/>
    <row r="6" spans="1:15" ht="14.4" customHeight="1" x14ac:dyDescent="0.3"/>
    <row r="7" spans="1:15" ht="21.6" customHeight="1" x14ac:dyDescent="0.3"/>
    <row r="8" spans="1:15" ht="14.4" customHeight="1" x14ac:dyDescent="0.3">
      <c r="A8" s="81" t="s">
        <v>627</v>
      </c>
      <c r="B8" s="81" t="s">
        <v>626</v>
      </c>
      <c r="C8"/>
      <c r="D8"/>
      <c r="E8"/>
      <c r="F8"/>
      <c r="G8"/>
      <c r="H8"/>
      <c r="I8"/>
      <c r="J8"/>
      <c r="K8"/>
      <c r="L8"/>
      <c r="M8"/>
      <c r="N8"/>
      <c r="O8"/>
    </row>
    <row r="9" spans="1:15" ht="14.4" customHeight="1" x14ac:dyDescent="0.3">
      <c r="A9" s="81" t="s">
        <v>624</v>
      </c>
      <c r="B9" s="52" t="s">
        <v>598</v>
      </c>
      <c r="C9" s="52" t="s">
        <v>599</v>
      </c>
      <c r="D9" s="52" t="s">
        <v>600</v>
      </c>
      <c r="E9" s="52" t="s">
        <v>601</v>
      </c>
      <c r="F9" s="52" t="s">
        <v>602</v>
      </c>
      <c r="G9" s="52" t="s">
        <v>603</v>
      </c>
      <c r="H9" s="52" t="s">
        <v>604</v>
      </c>
      <c r="I9" s="52" t="s">
        <v>605</v>
      </c>
      <c r="J9" s="52" t="s">
        <v>606</v>
      </c>
      <c r="K9" s="52" t="s">
        <v>607</v>
      </c>
      <c r="L9" s="52" t="s">
        <v>608</v>
      </c>
      <c r="M9" s="52" t="s">
        <v>609</v>
      </c>
      <c r="N9" s="87" t="s">
        <v>625</v>
      </c>
      <c r="O9"/>
    </row>
    <row r="10" spans="1:15" ht="14.4" customHeight="1" x14ac:dyDescent="0.3">
      <c r="A10" s="74" t="s">
        <v>67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/>
    </row>
    <row r="11" spans="1:15" ht="14.4" customHeight="1" x14ac:dyDescent="0.3">
      <c r="A11" s="82" t="s">
        <v>12</v>
      </c>
      <c r="B11" s="86">
        <v>24662</v>
      </c>
      <c r="C11" s="86">
        <v>9431</v>
      </c>
      <c r="D11" s="86">
        <v>21213</v>
      </c>
      <c r="E11" s="86">
        <v>27504</v>
      </c>
      <c r="F11" s="86">
        <v>19326</v>
      </c>
      <c r="G11" s="86">
        <v>38405</v>
      </c>
      <c r="H11" s="86">
        <v>19291</v>
      </c>
      <c r="I11" s="86">
        <v>24555</v>
      </c>
      <c r="J11" s="86">
        <v>10165</v>
      </c>
      <c r="K11" s="86">
        <v>21519</v>
      </c>
      <c r="L11" s="86">
        <v>40625</v>
      </c>
      <c r="M11" s="86">
        <v>26497</v>
      </c>
      <c r="N11" s="86">
        <v>283193</v>
      </c>
      <c r="O11"/>
    </row>
    <row r="12" spans="1:15" ht="14.4" customHeight="1" x14ac:dyDescent="0.3">
      <c r="A12" s="74" t="s">
        <v>138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/>
    </row>
    <row r="13" spans="1:15" ht="14.4" customHeight="1" x14ac:dyDescent="0.3">
      <c r="A13" s="82" t="s">
        <v>12</v>
      </c>
      <c r="B13" s="86">
        <v>14221</v>
      </c>
      <c r="C13" s="86">
        <v>27833</v>
      </c>
      <c r="D13" s="86">
        <v>5888</v>
      </c>
      <c r="E13" s="86">
        <v>11881</v>
      </c>
      <c r="F13" s="86">
        <v>58310</v>
      </c>
      <c r="G13" s="86">
        <v>22431</v>
      </c>
      <c r="H13" s="86">
        <v>24570</v>
      </c>
      <c r="I13" s="86">
        <v>29720</v>
      </c>
      <c r="J13" s="86">
        <v>48314</v>
      </c>
      <c r="K13" s="86">
        <v>14187</v>
      </c>
      <c r="L13" s="86">
        <v>27186</v>
      </c>
      <c r="M13" s="86">
        <v>6391</v>
      </c>
      <c r="N13" s="86">
        <v>290932</v>
      </c>
      <c r="O13"/>
    </row>
    <row r="14" spans="1:15" ht="14.4" customHeight="1" x14ac:dyDescent="0.3">
      <c r="A14" s="74" t="s">
        <v>65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/>
    </row>
    <row r="15" spans="1:15" ht="14.4" customHeight="1" x14ac:dyDescent="0.3">
      <c r="A15" s="82" t="s">
        <v>12</v>
      </c>
      <c r="B15" s="86">
        <v>23007</v>
      </c>
      <c r="C15" s="86">
        <v>27901</v>
      </c>
      <c r="D15" s="86">
        <v>29782</v>
      </c>
      <c r="E15" s="86">
        <v>17628</v>
      </c>
      <c r="F15" s="86">
        <v>51182</v>
      </c>
      <c r="G15" s="86">
        <v>29520</v>
      </c>
      <c r="H15" s="86">
        <v>29114</v>
      </c>
      <c r="I15" s="86">
        <v>63772</v>
      </c>
      <c r="J15" s="86">
        <v>25096</v>
      </c>
      <c r="K15" s="86">
        <v>18458</v>
      </c>
      <c r="L15" s="86">
        <v>9569</v>
      </c>
      <c r="M15" s="86">
        <v>35453</v>
      </c>
      <c r="N15" s="163">
        <v>360482</v>
      </c>
      <c r="O15"/>
    </row>
    <row r="16" spans="1:15" ht="14.4" customHeight="1" x14ac:dyDescent="0.3">
      <c r="A16" s="74" t="s">
        <v>62</v>
      </c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/>
    </row>
    <row r="17" spans="1:15" ht="14.4" customHeight="1" x14ac:dyDescent="0.3">
      <c r="A17" s="82" t="s">
        <v>12</v>
      </c>
      <c r="B17" s="86">
        <v>2970</v>
      </c>
      <c r="C17" s="86">
        <v>9253</v>
      </c>
      <c r="D17" s="86">
        <v>7897</v>
      </c>
      <c r="E17" s="86">
        <v>7740</v>
      </c>
      <c r="F17" s="86">
        <v>4445</v>
      </c>
      <c r="G17" s="86">
        <v>1417</v>
      </c>
      <c r="H17" s="86">
        <v>1369</v>
      </c>
      <c r="I17" s="86">
        <v>2990</v>
      </c>
      <c r="J17" s="86">
        <v>6919</v>
      </c>
      <c r="K17" s="86">
        <v>9925</v>
      </c>
      <c r="L17" s="86">
        <v>4843</v>
      </c>
      <c r="M17" s="86">
        <v>3487</v>
      </c>
      <c r="N17" s="86">
        <v>63255</v>
      </c>
      <c r="O17"/>
    </row>
    <row r="18" spans="1:15" ht="14.4" customHeight="1" x14ac:dyDescent="0.3">
      <c r="A18" s="74" t="s">
        <v>63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/>
    </row>
    <row r="19" spans="1:15" ht="14.4" customHeight="1" x14ac:dyDescent="0.3">
      <c r="A19" s="82" t="s">
        <v>12</v>
      </c>
      <c r="B19" s="86">
        <v>32382</v>
      </c>
      <c r="C19" s="86">
        <v>29581</v>
      </c>
      <c r="D19" s="86">
        <v>22056</v>
      </c>
      <c r="E19" s="86">
        <v>25059</v>
      </c>
      <c r="F19" s="86">
        <v>24351</v>
      </c>
      <c r="G19" s="86">
        <v>18693</v>
      </c>
      <c r="H19" s="86">
        <v>21070</v>
      </c>
      <c r="I19" s="86">
        <v>27881</v>
      </c>
      <c r="J19" s="86">
        <v>14411</v>
      </c>
      <c r="K19" s="86">
        <v>11715</v>
      </c>
      <c r="L19" s="86">
        <v>21558</v>
      </c>
      <c r="M19" s="86">
        <v>27909</v>
      </c>
      <c r="N19" s="86">
        <v>276666</v>
      </c>
      <c r="O19"/>
    </row>
    <row r="20" spans="1:15" ht="14.4" customHeight="1" x14ac:dyDescent="0.3">
      <c r="A20" s="74" t="s">
        <v>66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/>
    </row>
    <row r="21" spans="1:15" ht="14.4" customHeight="1" x14ac:dyDescent="0.3">
      <c r="A21" s="82" t="s">
        <v>12</v>
      </c>
      <c r="B21" s="86">
        <v>12737</v>
      </c>
      <c r="C21" s="86">
        <v>13539</v>
      </c>
      <c r="D21" s="86">
        <v>35307</v>
      </c>
      <c r="E21" s="86">
        <v>14321</v>
      </c>
      <c r="F21" s="86">
        <v>27674</v>
      </c>
      <c r="G21" s="86">
        <v>19841</v>
      </c>
      <c r="H21" s="86">
        <v>41258</v>
      </c>
      <c r="I21" s="86">
        <v>37471</v>
      </c>
      <c r="J21" s="86">
        <v>34843</v>
      </c>
      <c r="K21" s="86">
        <v>34216</v>
      </c>
      <c r="L21" s="86">
        <v>15360</v>
      </c>
      <c r="M21" s="86">
        <v>33649</v>
      </c>
      <c r="N21" s="86">
        <v>320216</v>
      </c>
      <c r="O21"/>
    </row>
    <row r="22" spans="1:15" ht="14.4" customHeight="1" x14ac:dyDescent="0.3">
      <c r="A22" s="74" t="s">
        <v>64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/>
    </row>
    <row r="23" spans="1:15" ht="14.4" customHeight="1" x14ac:dyDescent="0.3">
      <c r="A23" s="82" t="s">
        <v>12</v>
      </c>
      <c r="B23" s="86">
        <v>43340</v>
      </c>
      <c r="C23" s="86">
        <v>26132</v>
      </c>
      <c r="D23" s="86">
        <v>26373</v>
      </c>
      <c r="E23" s="86">
        <v>9896</v>
      </c>
      <c r="F23" s="86">
        <v>13190</v>
      </c>
      <c r="G23" s="86">
        <v>29437</v>
      </c>
      <c r="H23" s="86">
        <v>13198</v>
      </c>
      <c r="I23" s="86">
        <v>12617</v>
      </c>
      <c r="J23" s="86">
        <v>30903</v>
      </c>
      <c r="K23" s="86">
        <v>26057</v>
      </c>
      <c r="L23" s="86">
        <v>37032</v>
      </c>
      <c r="M23" s="86">
        <v>31394</v>
      </c>
      <c r="N23" s="86">
        <v>299569</v>
      </c>
      <c r="O23"/>
    </row>
    <row r="24" spans="1:15" ht="14.4" customHeight="1" x14ac:dyDescent="0.3">
      <c r="A24" s="74" t="s">
        <v>137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/>
    </row>
    <row r="25" spans="1:15" ht="14.4" customHeight="1" x14ac:dyDescent="0.3">
      <c r="A25" s="82" t="s">
        <v>12</v>
      </c>
      <c r="B25" s="86">
        <v>23356</v>
      </c>
      <c r="C25" s="86">
        <v>35674</v>
      </c>
      <c r="D25" s="86">
        <v>36235</v>
      </c>
      <c r="E25" s="86">
        <v>23181</v>
      </c>
      <c r="F25" s="86">
        <v>21219</v>
      </c>
      <c r="G25" s="86">
        <v>52632</v>
      </c>
      <c r="H25" s="86">
        <v>22771</v>
      </c>
      <c r="I25" s="86">
        <v>7279</v>
      </c>
      <c r="J25" s="86">
        <v>21926</v>
      </c>
      <c r="K25" s="86">
        <v>24072</v>
      </c>
      <c r="L25" s="86">
        <v>9967</v>
      </c>
      <c r="M25" s="86">
        <v>30598</v>
      </c>
      <c r="N25" s="86">
        <v>308910</v>
      </c>
      <c r="O25"/>
    </row>
    <row r="26" spans="1:15" ht="14.4" customHeight="1" x14ac:dyDescent="0.3">
      <c r="A26" s="74" t="s">
        <v>61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/>
    </row>
    <row r="27" spans="1:15" ht="14.4" customHeight="1" x14ac:dyDescent="0.3">
      <c r="A27" s="82" t="s">
        <v>12</v>
      </c>
      <c r="B27" s="86">
        <v>14889</v>
      </c>
      <c r="C27" s="86">
        <v>40368</v>
      </c>
      <c r="D27" s="86">
        <v>18475</v>
      </c>
      <c r="E27" s="86">
        <v>54398</v>
      </c>
      <c r="F27" s="86">
        <v>40903</v>
      </c>
      <c r="G27" s="86">
        <v>37568</v>
      </c>
      <c r="H27" s="86">
        <v>31065</v>
      </c>
      <c r="I27" s="86">
        <v>19569</v>
      </c>
      <c r="J27" s="86">
        <v>41811</v>
      </c>
      <c r="K27" s="86">
        <v>36245</v>
      </c>
      <c r="L27" s="86">
        <v>35676</v>
      </c>
      <c r="M27" s="86">
        <v>27045</v>
      </c>
      <c r="N27" s="86">
        <v>398012</v>
      </c>
      <c r="O27"/>
    </row>
    <row r="28" spans="1:15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hidden="1" customHeight="1" x14ac:dyDescent="0.3">
      <c r="A30"/>
    </row>
    <row r="31" spans="1:15" ht="14.4" hidden="1" customHeight="1" x14ac:dyDescent="0.3">
      <c r="A31"/>
    </row>
    <row r="32" spans="1:15" ht="14.4" hidden="1" customHeight="1" x14ac:dyDescent="0.3">
      <c r="A32"/>
    </row>
    <row r="33" spans="1:1" ht="14.4" hidden="1" customHeight="1" x14ac:dyDescent="0.3">
      <c r="A33"/>
    </row>
    <row r="34" spans="1:1" ht="14.4" hidden="1" customHeight="1" x14ac:dyDescent="0.3">
      <c r="A34"/>
    </row>
    <row r="35" spans="1:1" ht="14.4" hidden="1" customHeight="1" x14ac:dyDescent="0.3">
      <c r="A35"/>
    </row>
    <row r="36" spans="1:1" ht="14.4" hidden="1" customHeight="1" x14ac:dyDescent="0.3">
      <c r="A36"/>
    </row>
    <row r="37" spans="1:1" ht="14.4" hidden="1" customHeight="1" x14ac:dyDescent="0.3">
      <c r="A37"/>
    </row>
    <row r="38" spans="1:1" ht="14.4" hidden="1" customHeight="1" x14ac:dyDescent="0.3">
      <c r="A38"/>
    </row>
    <row r="39" spans="1:1" ht="14.4" hidden="1" customHeight="1" x14ac:dyDescent="0.3">
      <c r="A39"/>
    </row>
    <row r="40" spans="1:1" ht="14.4" hidden="1" customHeight="1" x14ac:dyDescent="0.3">
      <c r="A40"/>
    </row>
    <row r="41" spans="1:1" ht="14.4" hidden="1" customHeight="1" x14ac:dyDescent="0.3">
      <c r="A41"/>
    </row>
    <row r="42" spans="1:1" ht="14.4" hidden="1" customHeight="1" x14ac:dyDescent="0.3">
      <c r="A42"/>
    </row>
    <row r="43" spans="1:1" ht="14.4" hidden="1" customHeight="1" x14ac:dyDescent="0.3">
      <c r="A43"/>
    </row>
    <row r="44" spans="1:1" ht="14.4" hidden="1" customHeight="1" x14ac:dyDescent="0.3">
      <c r="A44"/>
    </row>
    <row r="45" spans="1:1" ht="14.4" hidden="1" customHeight="1" x14ac:dyDescent="0.3">
      <c r="A45"/>
    </row>
    <row r="46" spans="1:1" ht="14.4" hidden="1" customHeight="1" x14ac:dyDescent="0.3">
      <c r="A46"/>
    </row>
    <row r="47" spans="1:1" ht="14.4" hidden="1" customHeight="1" x14ac:dyDescent="0.3">
      <c r="A47"/>
    </row>
    <row r="48" spans="1:1" ht="14.4" hidden="1" customHeight="1" x14ac:dyDescent="0.3">
      <c r="A48"/>
    </row>
    <row r="49" spans="1:14" ht="14.4" hidden="1" customHeight="1" x14ac:dyDescent="0.3">
      <c r="A49"/>
    </row>
    <row r="50" spans="1:14" ht="14.4" hidden="1" customHeight="1" x14ac:dyDescent="0.3">
      <c r="A50"/>
    </row>
    <row r="51" spans="1:14" ht="14.4" hidden="1" customHeight="1" x14ac:dyDescent="0.3">
      <c r="A51"/>
    </row>
    <row r="52" spans="1:14" ht="14.4" hidden="1" customHeight="1" x14ac:dyDescent="0.3">
      <c r="A52"/>
    </row>
    <row r="53" spans="1:14" ht="14.4" hidden="1" customHeight="1" x14ac:dyDescent="0.3">
      <c r="A53"/>
    </row>
    <row r="54" spans="1:14" ht="14.4" hidden="1" customHeight="1" x14ac:dyDescent="0.3">
      <c r="A54"/>
    </row>
    <row r="55" spans="1:14" ht="14.4" hidden="1" customHeight="1" x14ac:dyDescent="0.3">
      <c r="A55"/>
    </row>
    <row r="56" spans="1:14" ht="14.4" hidden="1" customHeight="1" x14ac:dyDescent="0.3">
      <c r="A56"/>
    </row>
    <row r="57" spans="1:14" ht="14.4" hidden="1" customHeight="1" x14ac:dyDescent="0.3">
      <c r="A57"/>
    </row>
    <row r="58" spans="1:14" ht="14.4" hidden="1" customHeight="1" x14ac:dyDescent="0.3">
      <c r="A58"/>
    </row>
    <row r="59" spans="1:14" ht="14.4" hidden="1" customHeight="1" x14ac:dyDescent="0.3">
      <c r="A59"/>
    </row>
    <row r="60" spans="1:14" ht="14.4" hidden="1" customHeight="1" x14ac:dyDescent="0.3">
      <c r="A60"/>
    </row>
    <row r="61" spans="1:14" ht="14.4" hidden="1" customHeight="1" x14ac:dyDescent="0.3">
      <c r="A61"/>
    </row>
    <row r="62" spans="1:14" ht="14.4" hidden="1" customHeight="1" x14ac:dyDescent="0.3">
      <c r="A62"/>
    </row>
    <row r="63" spans="1:14" ht="14.4" hidden="1" customHeight="1" x14ac:dyDescent="0.3">
      <c r="A63"/>
    </row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XFC64"/>
  <sheetViews>
    <sheetView showGridLines="0" workbookViewId="0">
      <selection activeCell="A11" sqref="A11"/>
    </sheetView>
  </sheetViews>
  <sheetFormatPr defaultColWidth="0" defaultRowHeight="14.4" customHeight="1" zeroHeight="1" x14ac:dyDescent="0.3"/>
  <cols>
    <col min="1" max="1" width="25.33203125" style="52" customWidth="1"/>
    <col min="2" max="11" width="13.77734375" style="52" customWidth="1"/>
    <col min="12" max="12" width="9.33203125" style="52" customWidth="1"/>
    <col min="13" max="13" width="16.5546875" style="52" customWidth="1"/>
    <col min="14" max="14" width="15.77734375" style="52" customWidth="1"/>
    <col min="15" max="16383" width="15.77734375" style="52" hidden="1"/>
    <col min="16384" max="16384" width="4" style="52" hidden="1"/>
  </cols>
  <sheetData>
    <row r="1" spans="1:14" ht="14.4" customHeight="1" x14ac:dyDescent="0.3">
      <c r="A1" s="168" t="s">
        <v>642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ht="14.4" customHeight="1" x14ac:dyDescent="0.3"/>
    <row r="6" spans="1:14" ht="14.4" customHeight="1" x14ac:dyDescent="0.3"/>
    <row r="7" spans="1:14" ht="21.6" customHeight="1" x14ac:dyDescent="0.3"/>
    <row r="8" spans="1:14" ht="14.4" customHeight="1" x14ac:dyDescent="0.3">
      <c r="A8" s="81" t="s">
        <v>627</v>
      </c>
      <c r="B8" s="81" t="s">
        <v>626</v>
      </c>
      <c r="C8"/>
      <c r="D8"/>
      <c r="E8"/>
      <c r="F8"/>
      <c r="G8"/>
      <c r="H8"/>
      <c r="I8"/>
      <c r="J8"/>
      <c r="K8"/>
      <c r="L8"/>
      <c r="M8"/>
      <c r="N8"/>
    </row>
    <row r="9" spans="1:14" ht="14.4" customHeight="1" x14ac:dyDescent="0.3">
      <c r="A9" s="81" t="s">
        <v>624</v>
      </c>
      <c r="B9" s="52" t="s">
        <v>598</v>
      </c>
      <c r="C9" s="52" t="s">
        <v>599</v>
      </c>
      <c r="D9" s="52" t="s">
        <v>600</v>
      </c>
      <c r="E9" s="52" t="s">
        <v>601</v>
      </c>
      <c r="F9" s="52" t="s">
        <v>602</v>
      </c>
      <c r="G9" s="52" t="s">
        <v>603</v>
      </c>
      <c r="H9" s="52" t="s">
        <v>604</v>
      </c>
      <c r="I9" s="52" t="s">
        <v>605</v>
      </c>
      <c r="J9" s="52" t="s">
        <v>606</v>
      </c>
      <c r="K9" s="52" t="s">
        <v>607</v>
      </c>
      <c r="L9" s="52" t="s">
        <v>608</v>
      </c>
      <c r="M9" s="52" t="s">
        <v>609</v>
      </c>
      <c r="N9" s="52" t="s">
        <v>625</v>
      </c>
    </row>
    <row r="10" spans="1:14" ht="14.4" customHeight="1" x14ac:dyDescent="0.3">
      <c r="A10" s="74" t="s">
        <v>67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</row>
    <row r="11" spans="1:14" ht="14.4" customHeight="1" x14ac:dyDescent="0.3">
      <c r="A11" s="82" t="s">
        <v>26</v>
      </c>
      <c r="B11" s="86">
        <v>14540</v>
      </c>
      <c r="C11" s="86">
        <v>14463</v>
      </c>
      <c r="D11" s="86">
        <v>13924</v>
      </c>
      <c r="E11" s="86">
        <v>25373</v>
      </c>
      <c r="F11" s="86">
        <v>18208</v>
      </c>
      <c r="G11" s="86">
        <v>8149</v>
      </c>
      <c r="H11" s="86">
        <v>23646</v>
      </c>
      <c r="I11" s="86">
        <v>10161</v>
      </c>
      <c r="J11" s="86">
        <v>11266</v>
      </c>
      <c r="K11" s="86">
        <v>21677</v>
      </c>
      <c r="L11" s="86">
        <v>26083</v>
      </c>
      <c r="M11" s="86">
        <v>15900</v>
      </c>
      <c r="N11" s="86">
        <v>203390</v>
      </c>
    </row>
    <row r="12" spans="1:14" ht="14.4" customHeight="1" x14ac:dyDescent="0.3">
      <c r="A12" s="74" t="s">
        <v>138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</row>
    <row r="13" spans="1:14" ht="14.4" customHeight="1" x14ac:dyDescent="0.3">
      <c r="A13" s="82" t="s">
        <v>26</v>
      </c>
      <c r="B13" s="86">
        <v>7369</v>
      </c>
      <c r="C13" s="86">
        <v>13457</v>
      </c>
      <c r="D13" s="86">
        <v>11456</v>
      </c>
      <c r="E13" s="86">
        <v>14634</v>
      </c>
      <c r="F13" s="86">
        <v>19522</v>
      </c>
      <c r="G13" s="86">
        <v>11058</v>
      </c>
      <c r="H13" s="86">
        <v>788</v>
      </c>
      <c r="I13" s="86">
        <v>6412</v>
      </c>
      <c r="J13" s="86">
        <v>14994</v>
      </c>
      <c r="K13" s="86">
        <v>11162</v>
      </c>
      <c r="L13" s="86">
        <v>12938</v>
      </c>
      <c r="M13" s="86">
        <v>12922</v>
      </c>
      <c r="N13" s="86">
        <v>136712</v>
      </c>
    </row>
    <row r="14" spans="1:14" ht="14.4" customHeight="1" x14ac:dyDescent="0.3">
      <c r="A14" s="74" t="s">
        <v>65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</row>
    <row r="15" spans="1:14" ht="14.4" customHeight="1" x14ac:dyDescent="0.3">
      <c r="A15" s="82" t="s">
        <v>26</v>
      </c>
      <c r="B15" s="86">
        <v>16841</v>
      </c>
      <c r="C15" s="86">
        <v>27036</v>
      </c>
      <c r="D15" s="86">
        <v>15254</v>
      </c>
      <c r="E15" s="86">
        <v>10325</v>
      </c>
      <c r="F15" s="86">
        <v>26912</v>
      </c>
      <c r="G15" s="86">
        <v>3590</v>
      </c>
      <c r="H15" s="86">
        <v>5050</v>
      </c>
      <c r="I15" s="86">
        <v>24147</v>
      </c>
      <c r="J15" s="86">
        <v>19383</v>
      </c>
      <c r="K15" s="86">
        <v>1062</v>
      </c>
      <c r="L15" s="86">
        <v>7996</v>
      </c>
      <c r="M15" s="86">
        <v>16610</v>
      </c>
      <c r="N15" s="86">
        <v>174206</v>
      </c>
    </row>
    <row r="16" spans="1:14" ht="14.4" customHeight="1" x14ac:dyDescent="0.3">
      <c r="A16" s="74" t="s">
        <v>62</v>
      </c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</row>
    <row r="17" spans="1:14" ht="14.4" customHeight="1" x14ac:dyDescent="0.3">
      <c r="A17" s="82" t="s">
        <v>26</v>
      </c>
      <c r="B17" s="86">
        <v>3801</v>
      </c>
      <c r="C17" s="86">
        <v>8039</v>
      </c>
      <c r="D17" s="86">
        <v>11713</v>
      </c>
      <c r="E17" s="86">
        <v>905</v>
      </c>
      <c r="F17" s="86">
        <v>8956</v>
      </c>
      <c r="G17" s="86">
        <v>5386</v>
      </c>
      <c r="H17" s="86"/>
      <c r="I17" s="86">
        <v>5246</v>
      </c>
      <c r="J17" s="86">
        <v>2284</v>
      </c>
      <c r="K17" s="86">
        <v>885</v>
      </c>
      <c r="L17" s="86">
        <v>8171</v>
      </c>
      <c r="M17" s="86">
        <v>6276</v>
      </c>
      <c r="N17" s="86">
        <v>61662</v>
      </c>
    </row>
    <row r="18" spans="1:14" ht="14.4" customHeight="1" x14ac:dyDescent="0.3">
      <c r="A18" s="74" t="s">
        <v>63</v>
      </c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</row>
    <row r="19" spans="1:14" ht="14.4" customHeight="1" x14ac:dyDescent="0.3">
      <c r="A19" s="82" t="s">
        <v>26</v>
      </c>
      <c r="B19" s="86">
        <v>14261</v>
      </c>
      <c r="C19" s="86">
        <v>26099</v>
      </c>
      <c r="D19" s="86">
        <v>19810</v>
      </c>
      <c r="E19" s="86">
        <v>10086</v>
      </c>
      <c r="F19" s="86">
        <v>10231</v>
      </c>
      <c r="G19" s="86">
        <v>13894</v>
      </c>
      <c r="H19" s="86">
        <v>16107</v>
      </c>
      <c r="I19" s="86">
        <v>12884</v>
      </c>
      <c r="J19" s="86">
        <v>23070</v>
      </c>
      <c r="K19" s="86">
        <v>18177</v>
      </c>
      <c r="L19" s="86">
        <v>15209</v>
      </c>
      <c r="M19" s="86">
        <v>16598</v>
      </c>
      <c r="N19" s="86">
        <v>196426</v>
      </c>
    </row>
    <row r="20" spans="1:14" ht="14.4" customHeight="1" x14ac:dyDescent="0.3">
      <c r="A20" s="74" t="s">
        <v>66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</row>
    <row r="21" spans="1:14" ht="14.4" customHeight="1" x14ac:dyDescent="0.3">
      <c r="A21" s="82" t="s">
        <v>26</v>
      </c>
      <c r="B21" s="86">
        <v>17275</v>
      </c>
      <c r="C21" s="86">
        <v>12850</v>
      </c>
      <c r="D21" s="86">
        <v>10281</v>
      </c>
      <c r="E21" s="86">
        <v>15489</v>
      </c>
      <c r="F21" s="86">
        <v>20489</v>
      </c>
      <c r="G21" s="86">
        <v>10567</v>
      </c>
      <c r="H21" s="86">
        <v>8532</v>
      </c>
      <c r="I21" s="86">
        <v>7792</v>
      </c>
      <c r="J21" s="86">
        <v>10918</v>
      </c>
      <c r="K21" s="86">
        <v>26298</v>
      </c>
      <c r="L21" s="86">
        <v>14448</v>
      </c>
      <c r="M21" s="86">
        <v>9684</v>
      </c>
      <c r="N21" s="86">
        <v>164623</v>
      </c>
    </row>
    <row r="22" spans="1:14" ht="14.4" customHeight="1" x14ac:dyDescent="0.3">
      <c r="A22" s="74" t="s">
        <v>64</v>
      </c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</row>
    <row r="23" spans="1:14" ht="14.4" customHeight="1" x14ac:dyDescent="0.3">
      <c r="A23" s="82" t="s">
        <v>26</v>
      </c>
      <c r="B23" s="86">
        <v>17985</v>
      </c>
      <c r="C23" s="86">
        <v>22567</v>
      </c>
      <c r="D23" s="86">
        <v>12401</v>
      </c>
      <c r="E23" s="86">
        <v>19504</v>
      </c>
      <c r="F23" s="86">
        <v>10962</v>
      </c>
      <c r="G23" s="86">
        <v>16275</v>
      </c>
      <c r="H23" s="86">
        <v>10226</v>
      </c>
      <c r="I23" s="86">
        <v>6177</v>
      </c>
      <c r="J23" s="86">
        <v>10103</v>
      </c>
      <c r="K23" s="86">
        <v>9259</v>
      </c>
      <c r="L23" s="86">
        <v>5851</v>
      </c>
      <c r="M23" s="86">
        <v>26567</v>
      </c>
      <c r="N23" s="86">
        <v>167877</v>
      </c>
    </row>
    <row r="24" spans="1:14" ht="14.4" customHeight="1" x14ac:dyDescent="0.3">
      <c r="A24" s="74" t="s">
        <v>137</v>
      </c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</row>
    <row r="25" spans="1:14" ht="14.4" customHeight="1" x14ac:dyDescent="0.3">
      <c r="A25" s="82" t="s">
        <v>26</v>
      </c>
      <c r="B25" s="86">
        <v>36626</v>
      </c>
      <c r="C25" s="86">
        <v>19080</v>
      </c>
      <c r="D25" s="86">
        <v>15535</v>
      </c>
      <c r="E25" s="86">
        <v>23217</v>
      </c>
      <c r="F25" s="86">
        <v>22929</v>
      </c>
      <c r="G25" s="86">
        <v>10615</v>
      </c>
      <c r="H25" s="86">
        <v>26129</v>
      </c>
      <c r="I25" s="86">
        <v>16146</v>
      </c>
      <c r="J25" s="86">
        <v>12069</v>
      </c>
      <c r="K25" s="86">
        <v>12450</v>
      </c>
      <c r="L25" s="86">
        <v>19111</v>
      </c>
      <c r="M25" s="86">
        <v>20527</v>
      </c>
      <c r="N25" s="86">
        <v>234434</v>
      </c>
    </row>
    <row r="26" spans="1:14" ht="14.4" customHeight="1" x14ac:dyDescent="0.3">
      <c r="A26" s="74" t="s">
        <v>61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</row>
    <row r="27" spans="1:14" ht="14.4" customHeight="1" x14ac:dyDescent="0.3">
      <c r="A27" s="82" t="s">
        <v>26</v>
      </c>
      <c r="B27" s="86">
        <v>24363</v>
      </c>
      <c r="C27" s="86">
        <v>19046</v>
      </c>
      <c r="D27" s="86">
        <v>18161</v>
      </c>
      <c r="E27" s="86">
        <v>19471</v>
      </c>
      <c r="F27" s="86">
        <v>42785</v>
      </c>
      <c r="G27" s="86">
        <v>14073</v>
      </c>
      <c r="H27" s="86">
        <v>9410</v>
      </c>
      <c r="I27" s="86">
        <v>24724</v>
      </c>
      <c r="J27" s="86">
        <v>35810</v>
      </c>
      <c r="K27" s="86">
        <v>12625</v>
      </c>
      <c r="L27" s="86">
        <v>21534</v>
      </c>
      <c r="M27" s="86">
        <v>20150</v>
      </c>
      <c r="N27" s="86">
        <v>262152</v>
      </c>
    </row>
    <row r="28" spans="1:14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4.4" hidden="1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4.4" hidden="1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4.4" hidden="1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4.4" hidden="1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4.4" hidden="1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4.4" hidden="1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4.4" hidden="1" customHeight="1" x14ac:dyDescent="0.3"/>
    <row r="37" spans="1:14" ht="14.4" hidden="1" customHeight="1" x14ac:dyDescent="0.3"/>
    <row r="38" spans="1:14" ht="14.4" hidden="1" customHeight="1" x14ac:dyDescent="0.3"/>
    <row r="39" spans="1:14" ht="14.4" hidden="1" customHeight="1" x14ac:dyDescent="0.3"/>
    <row r="40" spans="1:14" ht="14.4" hidden="1" customHeight="1" x14ac:dyDescent="0.3"/>
    <row r="41" spans="1:14" ht="14.4" hidden="1" customHeight="1" x14ac:dyDescent="0.3"/>
    <row r="42" spans="1:14" ht="14.4" hidden="1" customHeight="1" x14ac:dyDescent="0.3"/>
    <row r="43" spans="1:14" ht="14.4" hidden="1" customHeight="1" x14ac:dyDescent="0.3"/>
    <row r="44" spans="1:14" ht="14.4" hidden="1" customHeight="1" x14ac:dyDescent="0.3"/>
    <row r="45" spans="1:14" ht="14.4" hidden="1" customHeight="1" x14ac:dyDescent="0.3"/>
    <row r="46" spans="1:14" ht="14.4" hidden="1" customHeight="1" x14ac:dyDescent="0.3"/>
    <row r="47" spans="1:14" ht="14.4" hidden="1" customHeight="1" x14ac:dyDescent="0.3"/>
    <row r="48" spans="1:14" ht="14.4" hidden="1" customHeight="1" x14ac:dyDescent="0.3"/>
    <row r="49" spans="1:14" ht="14.4" hidden="1" customHeight="1" x14ac:dyDescent="0.3"/>
    <row r="50" spans="1:14" ht="14.4" hidden="1" customHeight="1" x14ac:dyDescent="0.3"/>
    <row r="51" spans="1:14" ht="14.4" hidden="1" customHeight="1" x14ac:dyDescent="0.3"/>
    <row r="52" spans="1:14" ht="14.4" hidden="1" customHeight="1" x14ac:dyDescent="0.3"/>
    <row r="53" spans="1:14" ht="14.4" hidden="1" customHeight="1" x14ac:dyDescent="0.3"/>
    <row r="54" spans="1:14" ht="14.4" hidden="1" customHeight="1" x14ac:dyDescent="0.3"/>
    <row r="55" spans="1:14" ht="14.4" hidden="1" customHeight="1" x14ac:dyDescent="0.3"/>
    <row r="56" spans="1:14" ht="14.4" hidden="1" customHeight="1" x14ac:dyDescent="0.3"/>
    <row r="57" spans="1:14" ht="14.4" hidden="1" customHeight="1" x14ac:dyDescent="0.3"/>
    <row r="58" spans="1:14" ht="14.4" hidden="1" customHeight="1" x14ac:dyDescent="0.3"/>
    <row r="59" spans="1:14" ht="14.4" hidden="1" customHeight="1" x14ac:dyDescent="0.3"/>
    <row r="60" spans="1:14" ht="14.4" hidden="1" customHeight="1" x14ac:dyDescent="0.3"/>
    <row r="61" spans="1:14" ht="14.4" hidden="1" customHeight="1" x14ac:dyDescent="0.3"/>
    <row r="62" spans="1:14" ht="14.4" hidden="1" customHeight="1" x14ac:dyDescent="0.3"/>
    <row r="63" spans="1:14" ht="14.4" hidden="1" customHeight="1" x14ac:dyDescent="0.3"/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9"/>
  <dimension ref="A1:XFC107"/>
  <sheetViews>
    <sheetView showGridLines="0" workbookViewId="0">
      <selection activeCell="A11" sqref="A11"/>
    </sheetView>
  </sheetViews>
  <sheetFormatPr defaultColWidth="0" defaultRowHeight="14.4" customHeight="1" zeroHeight="1" x14ac:dyDescent="0.3"/>
  <cols>
    <col min="1" max="1" width="25.33203125" style="52" customWidth="1"/>
    <col min="2" max="11" width="13.77734375" style="52" customWidth="1"/>
    <col min="12" max="12" width="9.33203125" style="52" customWidth="1"/>
    <col min="13" max="13" width="16.5546875" style="52" customWidth="1"/>
    <col min="14" max="14" width="15.77734375" style="52" customWidth="1"/>
    <col min="15" max="16383" width="15.77734375" style="52" hidden="1"/>
    <col min="16384" max="16384" width="4" style="52" hidden="1"/>
  </cols>
  <sheetData>
    <row r="1" spans="1:14" ht="14.4" customHeight="1" x14ac:dyDescent="0.3">
      <c r="A1" s="168" t="s">
        <v>643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ht="14.4" customHeight="1" x14ac:dyDescent="0.3"/>
    <row r="6" spans="1:14" ht="14.4" customHeight="1" x14ac:dyDescent="0.3"/>
    <row r="7" spans="1:14" ht="21.6" customHeight="1" x14ac:dyDescent="0.3"/>
    <row r="8" spans="1:14" ht="14.4" customHeight="1" x14ac:dyDescent="0.3">
      <c r="A8" s="81" t="s">
        <v>627</v>
      </c>
      <c r="B8" s="81" t="s">
        <v>626</v>
      </c>
      <c r="C8"/>
      <c r="D8"/>
      <c r="E8"/>
      <c r="F8"/>
      <c r="G8"/>
      <c r="H8"/>
      <c r="I8"/>
      <c r="J8"/>
      <c r="K8"/>
      <c r="L8"/>
      <c r="M8"/>
      <c r="N8"/>
    </row>
    <row r="9" spans="1:14" ht="14.4" customHeight="1" x14ac:dyDescent="0.3">
      <c r="A9" s="81" t="s">
        <v>624</v>
      </c>
      <c r="B9" s="52" t="s">
        <v>598</v>
      </c>
      <c r="C9" s="52" t="s">
        <v>599</v>
      </c>
      <c r="D9" s="52" t="s">
        <v>600</v>
      </c>
      <c r="E9" s="52" t="s">
        <v>601</v>
      </c>
      <c r="F9" s="52" t="s">
        <v>602</v>
      </c>
      <c r="G9" s="52" t="s">
        <v>603</v>
      </c>
      <c r="H9" s="52" t="s">
        <v>604</v>
      </c>
      <c r="I9" s="52" t="s">
        <v>605</v>
      </c>
      <c r="J9" s="52" t="s">
        <v>606</v>
      </c>
      <c r="K9" s="52" t="s">
        <v>607</v>
      </c>
      <c r="L9" s="52" t="s">
        <v>608</v>
      </c>
      <c r="M9" s="52" t="s">
        <v>609</v>
      </c>
      <c r="N9" s="52" t="s">
        <v>625</v>
      </c>
    </row>
    <row r="10" spans="1:14" ht="14.4" customHeight="1" x14ac:dyDescent="0.3">
      <c r="A10" s="74" t="s">
        <v>67</v>
      </c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</row>
    <row r="11" spans="1:14" ht="14.4" customHeight="1" x14ac:dyDescent="0.3">
      <c r="A11" s="82" t="s">
        <v>130</v>
      </c>
      <c r="B11" s="86">
        <v>755</v>
      </c>
      <c r="C11" s="86">
        <v>4970</v>
      </c>
      <c r="D11" s="86">
        <v>4621</v>
      </c>
      <c r="E11" s="86">
        <v>5678</v>
      </c>
      <c r="F11" s="86"/>
      <c r="G11" s="86">
        <v>4174</v>
      </c>
      <c r="H11" s="86">
        <v>2242</v>
      </c>
      <c r="I11" s="86">
        <v>10144</v>
      </c>
      <c r="J11" s="86"/>
      <c r="K11" s="86"/>
      <c r="L11" s="86">
        <v>6135</v>
      </c>
      <c r="M11" s="86">
        <v>1182</v>
      </c>
      <c r="N11" s="86">
        <v>39901</v>
      </c>
    </row>
    <row r="12" spans="1:14" ht="14.4" customHeight="1" x14ac:dyDescent="0.3">
      <c r="A12" s="82" t="s">
        <v>131</v>
      </c>
      <c r="B12" s="86">
        <v>1364</v>
      </c>
      <c r="C12" s="86">
        <v>4461</v>
      </c>
      <c r="D12" s="86">
        <v>1662</v>
      </c>
      <c r="E12" s="86">
        <v>1129</v>
      </c>
      <c r="F12" s="86">
        <v>5542</v>
      </c>
      <c r="G12" s="86">
        <v>1117</v>
      </c>
      <c r="H12" s="86">
        <v>3954</v>
      </c>
      <c r="I12" s="86">
        <v>1716</v>
      </c>
      <c r="J12" s="86"/>
      <c r="K12" s="86">
        <v>5668</v>
      </c>
      <c r="L12" s="86">
        <v>7842</v>
      </c>
      <c r="M12" s="86">
        <v>1358</v>
      </c>
      <c r="N12" s="86">
        <v>35813</v>
      </c>
    </row>
    <row r="13" spans="1:14" ht="14.4" customHeight="1" x14ac:dyDescent="0.3">
      <c r="A13" s="82" t="s">
        <v>129</v>
      </c>
      <c r="B13" s="86">
        <v>6404</v>
      </c>
      <c r="C13" s="86"/>
      <c r="D13" s="86"/>
      <c r="E13" s="86">
        <v>2417</v>
      </c>
      <c r="F13" s="86"/>
      <c r="G13" s="86">
        <v>9784</v>
      </c>
      <c r="H13" s="86">
        <v>6700</v>
      </c>
      <c r="I13" s="86">
        <v>5719</v>
      </c>
      <c r="J13" s="86"/>
      <c r="K13" s="86"/>
      <c r="L13" s="86">
        <v>4564</v>
      </c>
      <c r="M13" s="86">
        <v>7144</v>
      </c>
      <c r="N13" s="86">
        <v>42732</v>
      </c>
    </row>
    <row r="14" spans="1:14" ht="14.4" customHeight="1" x14ac:dyDescent="0.3">
      <c r="A14" s="82" t="s">
        <v>133</v>
      </c>
      <c r="B14" s="86">
        <v>2540</v>
      </c>
      <c r="C14" s="86"/>
      <c r="D14" s="86">
        <v>3698</v>
      </c>
      <c r="E14" s="86">
        <v>5651</v>
      </c>
      <c r="F14" s="86">
        <v>4868</v>
      </c>
      <c r="G14" s="86">
        <v>3343</v>
      </c>
      <c r="H14" s="86"/>
      <c r="I14" s="86">
        <v>4039</v>
      </c>
      <c r="J14" s="86"/>
      <c r="K14" s="86">
        <v>6525</v>
      </c>
      <c r="L14" s="86">
        <v>9398</v>
      </c>
      <c r="M14" s="86"/>
      <c r="N14" s="86">
        <v>40062</v>
      </c>
    </row>
    <row r="15" spans="1:14" ht="14.4" customHeight="1" x14ac:dyDescent="0.3">
      <c r="A15" s="82" t="s">
        <v>132</v>
      </c>
      <c r="B15" s="86">
        <v>189</v>
      </c>
      <c r="C15" s="86"/>
      <c r="D15" s="86">
        <v>4044</v>
      </c>
      <c r="E15" s="86">
        <v>8020</v>
      </c>
      <c r="F15" s="86"/>
      <c r="G15" s="86">
        <v>2376</v>
      </c>
      <c r="H15" s="86"/>
      <c r="I15" s="86">
        <v>2937</v>
      </c>
      <c r="J15" s="86">
        <v>3076</v>
      </c>
      <c r="K15" s="86">
        <v>4922</v>
      </c>
      <c r="L15" s="86">
        <v>7202</v>
      </c>
      <c r="M15" s="86">
        <v>7649</v>
      </c>
      <c r="N15" s="86">
        <v>40415</v>
      </c>
    </row>
    <row r="16" spans="1:14" ht="14.4" customHeight="1" x14ac:dyDescent="0.3">
      <c r="A16" s="82" t="s">
        <v>70</v>
      </c>
      <c r="B16" s="86">
        <v>6314</v>
      </c>
      <c r="C16" s="86"/>
      <c r="D16" s="86"/>
      <c r="E16" s="86">
        <v>4609</v>
      </c>
      <c r="F16" s="86"/>
      <c r="G16" s="86">
        <v>13488</v>
      </c>
      <c r="H16" s="86">
        <v>6096</v>
      </c>
      <c r="I16" s="86"/>
      <c r="J16" s="86">
        <v>2106</v>
      </c>
      <c r="K16" s="86"/>
      <c r="L16" s="86">
        <v>1317</v>
      </c>
      <c r="M16" s="86">
        <v>4807</v>
      </c>
      <c r="N16" s="86">
        <v>38737</v>
      </c>
    </row>
    <row r="17" spans="1:14" ht="14.4" customHeight="1" x14ac:dyDescent="0.3">
      <c r="A17" s="82" t="s">
        <v>134</v>
      </c>
      <c r="B17" s="86">
        <v>7096</v>
      </c>
      <c r="C17" s="86"/>
      <c r="D17" s="86">
        <v>7188</v>
      </c>
      <c r="E17" s="86"/>
      <c r="F17" s="86">
        <v>8916</v>
      </c>
      <c r="G17" s="86">
        <v>4123</v>
      </c>
      <c r="H17" s="86">
        <v>299</v>
      </c>
      <c r="I17" s="86"/>
      <c r="J17" s="86">
        <v>4983</v>
      </c>
      <c r="K17" s="86">
        <v>4404</v>
      </c>
      <c r="L17" s="86">
        <v>4167</v>
      </c>
      <c r="M17" s="86">
        <v>4357</v>
      </c>
      <c r="N17" s="86">
        <v>45533</v>
      </c>
    </row>
    <row r="18" spans="1:14" ht="14.4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ht="14.4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4" ht="14.4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4" ht="14.4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4" ht="14.4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4.4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4.4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4.4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4.4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4.4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4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4.4" hidden="1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4.4" hidden="1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4.4" hidden="1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4.4" hidden="1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4.4" hidden="1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4.4" hidden="1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4.4" hidden="1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ht="14.4" hidden="1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ht="14.4" hidden="1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ht="14.4" hidden="1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ht="14.4" hidden="1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4" ht="14.4" hidden="1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4" ht="14.4" hidden="1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4" ht="14.4" hidden="1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4" ht="14.4" hidden="1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4" ht="14.4" hidden="1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4" ht="14.4" hidden="1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4" ht="14.4" hidden="1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4" ht="14.4" hidden="1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ht="14.4" hidden="1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ht="14.4" hidden="1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ht="14.4" hidden="1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ht="14.4" hidden="1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ht="14.4" hidden="1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ht="14.4" hidden="1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ht="14.4" hidden="1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ht="14.4" hidden="1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ht="14.4" hidden="1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ht="14.4" hidden="1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ht="14.4" hidden="1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ht="14.4" hidden="1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ht="14.4" hidden="1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ht="14.4" hidden="1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ht="14.4" hidden="1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4.4" hidden="1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ht="14.4" hidden="1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ht="14.4" hidden="1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ht="14.4" hidden="1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ht="14.4" hidden="1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ht="14.4" hidden="1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ht="14.4" hidden="1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ht="14.4" hidden="1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ht="14.4" hidden="1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ht="14.4" hidden="1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ht="14.4" hidden="1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ht="14.4" hidden="1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ht="14.4" hidden="1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ht="14.4" hidden="1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ht="14.4" hidden="1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ht="14.4" hidden="1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ht="14.4" hidden="1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ht="14.4" hidden="1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ht="14.4" hidden="1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ht="14.4" hidden="1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ht="14.4" hidden="1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ht="14.4" hidden="1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ht="14.4" hidden="1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ht="14.4" hidden="1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ht="14.4" hidden="1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ht="14.4" hidden="1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ht="14.4" hidden="1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ht="14.4" hidden="1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ht="14.4" hidden="1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ht="14.4" hidden="1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ht="14.4" hidden="1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ht="14.4" hidden="1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ht="14.4" hidden="1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ht="14.4" hidden="1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ht="14.4" hidden="1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ht="14.4" hidden="1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ht="14.4" hidden="1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ht="14.4" hidden="1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ht="14.4" hidden="1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ht="14.4" hidden="1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ht="14.4" hidden="1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ht="14.4" hidden="1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ht="14.4" hidden="1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H32"/>
  <sheetViews>
    <sheetView showGridLines="0" workbookViewId="0">
      <selection activeCell="B13" sqref="B13"/>
    </sheetView>
  </sheetViews>
  <sheetFormatPr defaultColWidth="0" defaultRowHeight="14.4" customHeight="1" zeroHeight="1" x14ac:dyDescent="0.3"/>
  <cols>
    <col min="1" max="1" width="2.5546875" style="52" customWidth="1"/>
    <col min="2" max="2" width="27.33203125" style="52" customWidth="1"/>
    <col min="3" max="3" width="19.5546875" style="52" customWidth="1"/>
    <col min="4" max="12" width="13.33203125" style="52" customWidth="1"/>
    <col min="13" max="13" width="10.21875" style="52" customWidth="1"/>
    <col min="14" max="15" width="13.33203125" style="52" customWidth="1"/>
    <col min="16" max="16384" width="15.77734375" style="52" hidden="1"/>
  </cols>
  <sheetData>
    <row r="1" spans="1:60" ht="14.4" customHeight="1" x14ac:dyDescent="0.3">
      <c r="A1" s="168" t="s">
        <v>629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</row>
    <row r="2" spans="1:60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</row>
    <row r="3" spans="1:60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60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60" s="5" customFormat="1" x14ac:dyDescent="0.3"/>
    <row r="6" spans="1:60" s="5" customFormat="1" x14ac:dyDescent="0.3"/>
    <row r="7" spans="1:60" s="5" customFormat="1" x14ac:dyDescent="0.3">
      <c r="B7"/>
      <c r="C7"/>
    </row>
    <row r="8" spans="1:60" ht="14.4" customHeight="1" x14ac:dyDescent="0.3"/>
    <row r="9" spans="1:60" ht="14.4" customHeight="1" x14ac:dyDescent="0.3">
      <c r="B9" s="81" t="s">
        <v>627</v>
      </c>
      <c r="C9" s="81" t="s">
        <v>626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</row>
    <row r="10" spans="1:60" ht="14.4" customHeight="1" x14ac:dyDescent="0.3">
      <c r="B10"/>
      <c r="C10" s="52" t="s">
        <v>632</v>
      </c>
      <c r="D10"/>
      <c r="E10"/>
      <c r="F10"/>
      <c r="G10"/>
      <c r="H10"/>
      <c r="I10"/>
      <c r="J10"/>
      <c r="K10"/>
      <c r="L10" s="52" t="s">
        <v>633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</row>
    <row r="11" spans="1:60" ht="14.4" customHeight="1" x14ac:dyDescent="0.3">
      <c r="B11" s="81" t="s">
        <v>624</v>
      </c>
      <c r="C11" s="52" t="s">
        <v>598</v>
      </c>
      <c r="D11" s="52" t="s">
        <v>600</v>
      </c>
      <c r="E11" s="52" t="s">
        <v>601</v>
      </c>
      <c r="F11" s="52" t="s">
        <v>603</v>
      </c>
      <c r="G11" s="52" t="s">
        <v>604</v>
      </c>
      <c r="H11" s="52" t="s">
        <v>605</v>
      </c>
      <c r="I11" s="52" t="s">
        <v>606</v>
      </c>
      <c r="J11" s="52" t="s">
        <v>607</v>
      </c>
      <c r="K11" s="52" t="s">
        <v>609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</row>
    <row r="12" spans="1:60" ht="14.4" customHeight="1" x14ac:dyDescent="0.3">
      <c r="B12" s="74" t="s">
        <v>26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</row>
    <row r="13" spans="1:60" ht="14.4" customHeight="1" x14ac:dyDescent="0.3">
      <c r="B13" s="82" t="s">
        <v>17</v>
      </c>
      <c r="C13" s="86"/>
      <c r="D13" s="86"/>
      <c r="E13" s="86"/>
      <c r="F13" s="86"/>
      <c r="G13" s="86"/>
      <c r="H13" s="86">
        <v>4217</v>
      </c>
      <c r="I13" s="86">
        <v>1565</v>
      </c>
      <c r="J13" s="86"/>
      <c r="K13" s="86"/>
      <c r="L13" s="86">
        <v>5782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</row>
    <row r="14" spans="1:60" ht="14.4" customHeight="1" x14ac:dyDescent="0.3">
      <c r="B14" s="82" t="s">
        <v>18</v>
      </c>
      <c r="C14" s="86"/>
      <c r="D14" s="86"/>
      <c r="E14" s="86"/>
      <c r="F14" s="86"/>
      <c r="G14" s="86"/>
      <c r="H14" s="86"/>
      <c r="I14" s="86"/>
      <c r="J14" s="86">
        <v>5873</v>
      </c>
      <c r="K14" s="86"/>
      <c r="L14" s="86">
        <v>5873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</row>
    <row r="15" spans="1:60" ht="14.4" customHeight="1" x14ac:dyDescent="0.3">
      <c r="B15" s="82" t="s">
        <v>32</v>
      </c>
      <c r="C15" s="86"/>
      <c r="D15" s="86"/>
      <c r="E15" s="86">
        <v>1753</v>
      </c>
      <c r="F15" s="86"/>
      <c r="G15" s="86"/>
      <c r="H15" s="86">
        <v>2759</v>
      </c>
      <c r="I15" s="86"/>
      <c r="J15" s="86"/>
      <c r="K15" s="86"/>
      <c r="L15" s="86">
        <v>4512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</row>
    <row r="16" spans="1:60" ht="14.4" customHeight="1" x14ac:dyDescent="0.3">
      <c r="B16" s="82" t="s">
        <v>33</v>
      </c>
      <c r="C16" s="86">
        <v>6314</v>
      </c>
      <c r="D16" s="86">
        <v>4438</v>
      </c>
      <c r="E16" s="86"/>
      <c r="F16" s="86">
        <v>701</v>
      </c>
      <c r="G16" s="86">
        <v>2338</v>
      </c>
      <c r="H16" s="86"/>
      <c r="I16" s="86"/>
      <c r="J16" s="86"/>
      <c r="K16" s="86">
        <v>1967</v>
      </c>
      <c r="L16" s="86">
        <v>15758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</row>
    <row r="17" spans="1:60" ht="14.4" customHeight="1" x14ac:dyDescent="0.3">
      <c r="B17" s="74" t="s">
        <v>636</v>
      </c>
      <c r="C17" s="86">
        <v>6314</v>
      </c>
      <c r="D17" s="86">
        <v>4438</v>
      </c>
      <c r="E17" s="86">
        <v>1753</v>
      </c>
      <c r="F17" s="86">
        <v>701</v>
      </c>
      <c r="G17" s="86">
        <v>2338</v>
      </c>
      <c r="H17" s="86">
        <v>6976</v>
      </c>
      <c r="I17" s="86">
        <v>1565</v>
      </c>
      <c r="J17" s="86">
        <v>5873</v>
      </c>
      <c r="K17" s="86">
        <v>1967</v>
      </c>
      <c r="L17" s="86">
        <v>31925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</row>
    <row r="18" spans="1:60" ht="14.4" customHeigh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</row>
    <row r="19" spans="1:60" ht="14.4" customHeight="1" x14ac:dyDescent="0.3">
      <c r="B19"/>
      <c r="C19"/>
      <c r="D19"/>
    </row>
    <row r="20" spans="1:60" ht="14.4" customHeight="1" x14ac:dyDescent="0.3">
      <c r="B20"/>
      <c r="C20"/>
      <c r="D20"/>
    </row>
    <row r="21" spans="1:60" ht="14.4" customHeight="1" x14ac:dyDescent="0.3">
      <c r="B21"/>
      <c r="C21"/>
      <c r="D21"/>
    </row>
    <row r="22" spans="1:60" ht="14.4" customHeight="1" x14ac:dyDescent="0.3">
      <c r="B22"/>
      <c r="C22"/>
      <c r="D22"/>
      <c r="L22" s="83" t="s">
        <v>142</v>
      </c>
    </row>
    <row r="23" spans="1:60" ht="14.4" customHeight="1" x14ac:dyDescent="0.3">
      <c r="B23"/>
      <c r="C23"/>
      <c r="D23"/>
    </row>
    <row r="24" spans="1:60" ht="14.4" customHeight="1" x14ac:dyDescent="0.3">
      <c r="B24"/>
      <c r="C24"/>
      <c r="D24"/>
    </row>
    <row r="25" spans="1:60" ht="14.4" customHeight="1" x14ac:dyDescent="0.3">
      <c r="B25"/>
      <c r="C25"/>
      <c r="D25"/>
    </row>
    <row r="26" spans="1:60" ht="14.4" customHeight="1" x14ac:dyDescent="0.3">
      <c r="B26"/>
      <c r="C26"/>
      <c r="D26"/>
    </row>
    <row r="27" spans="1:60" ht="14.4" customHeight="1" x14ac:dyDescent="0.3"/>
    <row r="28" spans="1:60" s="5" customFormat="1" ht="14.4" customHeight="1" x14ac:dyDescent="0.3"/>
    <row r="29" spans="1:60" s="5" customFormat="1" ht="14.4" customHeight="1" x14ac:dyDescent="0.3"/>
    <row r="30" spans="1:60" ht="14.4" customHeight="1" x14ac:dyDescent="0.3"/>
    <row r="31" spans="1:60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60" ht="14.4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M74"/>
  <sheetViews>
    <sheetView showGridLines="0" zoomScaleNormal="100" workbookViewId="0">
      <selection activeCell="A13" sqref="A13"/>
    </sheetView>
  </sheetViews>
  <sheetFormatPr defaultColWidth="0" defaultRowHeight="14.4" customHeight="1" zeroHeight="1" x14ac:dyDescent="0.3"/>
  <cols>
    <col min="1" max="1" width="24.77734375" customWidth="1"/>
    <col min="2" max="11" width="15.77734375" customWidth="1"/>
    <col min="12" max="12" width="12.77734375" customWidth="1"/>
    <col min="13" max="13" width="10" customWidth="1"/>
    <col min="14" max="16384" width="15.77734375" hidden="1"/>
  </cols>
  <sheetData>
    <row r="1" spans="1:13" ht="14.4" customHeight="1" x14ac:dyDescent="0.3">
      <c r="A1" s="168" t="s">
        <v>634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>
      <c r="A9" s="81" t="s">
        <v>627</v>
      </c>
      <c r="B9" s="81" t="s">
        <v>626</v>
      </c>
    </row>
    <row r="10" spans="1:13" ht="14.4" customHeight="1" x14ac:dyDescent="0.3">
      <c r="B10" s="52" t="s">
        <v>632</v>
      </c>
      <c r="L10" s="52" t="s">
        <v>633</v>
      </c>
    </row>
    <row r="11" spans="1:13" ht="14.4" customHeight="1" x14ac:dyDescent="0.3">
      <c r="A11" s="81" t="s">
        <v>624</v>
      </c>
      <c r="B11" s="52" t="s">
        <v>598</v>
      </c>
      <c r="C11" s="52" t="s">
        <v>600</v>
      </c>
      <c r="D11" s="52" t="s">
        <v>601</v>
      </c>
      <c r="E11" s="52" t="s">
        <v>602</v>
      </c>
      <c r="F11" s="52" t="s">
        <v>603</v>
      </c>
      <c r="G11" s="52" t="s">
        <v>604</v>
      </c>
      <c r="H11" s="52" t="s">
        <v>606</v>
      </c>
      <c r="I11" s="52" t="s">
        <v>607</v>
      </c>
      <c r="J11" s="52" t="s">
        <v>608</v>
      </c>
      <c r="K11" s="52" t="s">
        <v>609</v>
      </c>
    </row>
    <row r="12" spans="1:13" ht="14.4" customHeight="1" x14ac:dyDescent="0.3">
      <c r="A12" s="74" t="s">
        <v>12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</row>
    <row r="13" spans="1:13" ht="14.4" customHeight="1" x14ac:dyDescent="0.3">
      <c r="A13" s="82" t="s">
        <v>16</v>
      </c>
      <c r="B13" s="86">
        <v>1284</v>
      </c>
      <c r="C13" s="86"/>
      <c r="D13" s="86"/>
      <c r="E13" s="86"/>
      <c r="F13" s="86">
        <v>3878</v>
      </c>
      <c r="G13" s="86">
        <v>508</v>
      </c>
      <c r="H13" s="86"/>
      <c r="I13" s="86">
        <v>4922</v>
      </c>
      <c r="J13" s="86"/>
      <c r="K13" s="86">
        <v>919</v>
      </c>
      <c r="L13" s="86">
        <v>11511</v>
      </c>
    </row>
    <row r="14" spans="1:13" ht="14.4" customHeight="1" x14ac:dyDescent="0.3">
      <c r="A14" s="82" t="s">
        <v>17</v>
      </c>
      <c r="B14" s="86"/>
      <c r="C14" s="86">
        <v>2388</v>
      </c>
      <c r="D14" s="86"/>
      <c r="E14" s="86"/>
      <c r="F14" s="86"/>
      <c r="G14" s="86"/>
      <c r="H14" s="86"/>
      <c r="I14" s="86"/>
      <c r="J14" s="86">
        <v>1171</v>
      </c>
      <c r="K14" s="86"/>
      <c r="L14" s="86">
        <v>3559</v>
      </c>
    </row>
    <row r="15" spans="1:13" ht="14.4" customHeight="1" x14ac:dyDescent="0.3">
      <c r="A15" s="82" t="s">
        <v>19</v>
      </c>
      <c r="B15" s="86"/>
      <c r="C15" s="86"/>
      <c r="D15" s="86">
        <v>928</v>
      </c>
      <c r="E15" s="86">
        <v>667</v>
      </c>
      <c r="F15" s="86">
        <v>2224</v>
      </c>
      <c r="G15" s="86">
        <v>1479</v>
      </c>
      <c r="H15" s="86">
        <v>9236</v>
      </c>
      <c r="I15" s="86"/>
      <c r="J15" s="86"/>
      <c r="K15" s="86">
        <v>1414</v>
      </c>
      <c r="L15" s="86">
        <v>15948</v>
      </c>
    </row>
    <row r="16" spans="1:13" ht="14.4" customHeight="1" x14ac:dyDescent="0.3">
      <c r="A16" s="82" t="s">
        <v>32</v>
      </c>
      <c r="B16" s="86"/>
      <c r="C16" s="86">
        <v>1348</v>
      </c>
      <c r="D16" s="86"/>
      <c r="E16" s="86"/>
      <c r="F16" s="86">
        <v>770</v>
      </c>
      <c r="G16" s="86"/>
      <c r="H16" s="86"/>
      <c r="I16" s="86"/>
      <c r="J16" s="86"/>
      <c r="K16" s="86">
        <v>5122</v>
      </c>
      <c r="L16" s="86">
        <v>7240</v>
      </c>
    </row>
    <row r="17" spans="1:13" ht="14.4" customHeight="1" x14ac:dyDescent="0.3">
      <c r="A17" s="74" t="s">
        <v>635</v>
      </c>
      <c r="B17" s="86">
        <v>1284</v>
      </c>
      <c r="C17" s="86">
        <v>3736</v>
      </c>
      <c r="D17" s="86">
        <v>928</v>
      </c>
      <c r="E17" s="86">
        <v>667</v>
      </c>
      <c r="F17" s="86">
        <v>6872</v>
      </c>
      <c r="G17" s="86">
        <v>1987</v>
      </c>
      <c r="H17" s="86">
        <v>9236</v>
      </c>
      <c r="I17" s="86">
        <v>4922</v>
      </c>
      <c r="J17" s="86">
        <v>1171</v>
      </c>
      <c r="K17" s="86">
        <v>7455</v>
      </c>
      <c r="L17" s="86">
        <v>38258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14.4" hidden="1" customHeight="1" x14ac:dyDescent="0.3"/>
    <row r="31" spans="1:13" ht="14.4" hidden="1" customHeight="1" x14ac:dyDescent="0.3"/>
    <row r="32" spans="1:13" ht="14.4" hidden="1" customHeight="1" x14ac:dyDescent="0.3"/>
    <row r="33" ht="14.4" hidden="1" customHeight="1" x14ac:dyDescent="0.3"/>
    <row r="34" ht="14.4" hidden="1" customHeight="1" x14ac:dyDescent="0.3"/>
    <row r="35" ht="14.4" hidden="1" customHeight="1" x14ac:dyDescent="0.3"/>
    <row r="36" ht="14.4" hidden="1" customHeight="1" x14ac:dyDescent="0.3"/>
    <row r="37" ht="14.4" hidden="1" customHeight="1" x14ac:dyDescent="0.3"/>
    <row r="38" ht="14.4" hidden="1" customHeight="1" x14ac:dyDescent="0.3"/>
    <row r="39" ht="14.4" hidden="1" customHeight="1" x14ac:dyDescent="0.3"/>
    <row r="40" ht="14.4" hidden="1" customHeight="1" x14ac:dyDescent="0.3"/>
    <row r="41" ht="14.4" hidden="1" customHeight="1" x14ac:dyDescent="0.3"/>
    <row r="42" ht="14.4" hidden="1" customHeight="1" x14ac:dyDescent="0.3"/>
    <row r="43" ht="14.4" hidden="1" customHeight="1" x14ac:dyDescent="0.3"/>
    <row r="44" ht="14.4" hidden="1" customHeight="1" x14ac:dyDescent="0.3"/>
    <row r="45" ht="14.4" hidden="1" customHeight="1" x14ac:dyDescent="0.3"/>
    <row r="46" ht="14.4" hidden="1" customHeight="1" x14ac:dyDescent="0.3"/>
    <row r="47" ht="14.4" hidden="1" customHeight="1" x14ac:dyDescent="0.3"/>
    <row r="48" ht="14.4" hidden="1" customHeight="1" x14ac:dyDescent="0.3"/>
    <row r="49" ht="14.4" hidden="1" customHeight="1" x14ac:dyDescent="0.3"/>
    <row r="50" ht="14.4" hidden="1" customHeight="1" x14ac:dyDescent="0.3"/>
    <row r="51" ht="14.4" hidden="1" customHeight="1" x14ac:dyDescent="0.3"/>
    <row r="52" ht="14.4" hidden="1" customHeight="1" x14ac:dyDescent="0.3"/>
    <row r="53" ht="14.4" hidden="1" customHeight="1" x14ac:dyDescent="0.3"/>
    <row r="54" ht="14.4" hidden="1" customHeight="1" x14ac:dyDescent="0.3"/>
    <row r="55" ht="14.4" hidden="1" customHeight="1" x14ac:dyDescent="0.3"/>
    <row r="56" ht="14.4" hidden="1" customHeight="1" x14ac:dyDescent="0.3"/>
    <row r="57" ht="14.4" hidden="1" customHeight="1" x14ac:dyDescent="0.3"/>
    <row r="58" ht="14.4" hidden="1" customHeight="1" x14ac:dyDescent="0.3"/>
    <row r="59" ht="14.4" hidden="1" customHeight="1" x14ac:dyDescent="0.3"/>
    <row r="60" ht="14.4" hidden="1" customHeight="1" x14ac:dyDescent="0.3"/>
    <row r="61" ht="14.4" hidden="1" customHeight="1" x14ac:dyDescent="0.3"/>
    <row r="62" ht="14.4" hidden="1" customHeight="1" x14ac:dyDescent="0.3"/>
    <row r="63" ht="14.4" hidden="1" customHeight="1" x14ac:dyDescent="0.3"/>
    <row r="64" ht="14.4" hidden="1" customHeight="1" x14ac:dyDescent="0.3"/>
    <row r="65" ht="14.4" hidden="1" customHeight="1" x14ac:dyDescent="0.3"/>
    <row r="66" ht="14.4" hidden="1" customHeight="1" x14ac:dyDescent="0.3"/>
    <row r="67" ht="14.4" hidden="1" customHeight="1" x14ac:dyDescent="0.3"/>
    <row r="68" ht="14.4" hidden="1" customHeight="1" x14ac:dyDescent="0.3"/>
    <row r="69" ht="14.4" hidden="1" customHeight="1" x14ac:dyDescent="0.3"/>
    <row r="70" ht="14.4" hidden="1" customHeight="1" x14ac:dyDescent="0.3"/>
    <row r="71" ht="14.4" hidden="1" customHeight="1" x14ac:dyDescent="0.3"/>
    <row r="72" ht="14.4" hidden="1" customHeight="1" x14ac:dyDescent="0.3"/>
    <row r="73" ht="14.4" hidden="1" customHeight="1" x14ac:dyDescent="0.3"/>
    <row r="74" ht="14.4" hidden="1" customHeight="1" x14ac:dyDescent="0.3"/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M29"/>
  <sheetViews>
    <sheetView showGridLines="0" workbookViewId="0">
      <selection activeCell="A13" sqref="A13"/>
    </sheetView>
  </sheetViews>
  <sheetFormatPr defaultColWidth="0" defaultRowHeight="14.4" customHeight="1" zeroHeight="1" x14ac:dyDescent="0.3"/>
  <cols>
    <col min="1" max="1" width="27.6640625" customWidth="1"/>
    <col min="2" max="11" width="13.77734375" customWidth="1"/>
    <col min="12" max="12" width="9.33203125" customWidth="1"/>
    <col min="13" max="13" width="28.33203125" customWidth="1"/>
    <col min="14" max="16384" width="15.77734375" hidden="1"/>
  </cols>
  <sheetData>
    <row r="1" spans="1:13" ht="14.4" customHeight="1" x14ac:dyDescent="0.3">
      <c r="A1" s="168" t="s">
        <v>640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>
      <c r="A9" s="81" t="s">
        <v>627</v>
      </c>
      <c r="B9" s="81" t="s">
        <v>626</v>
      </c>
    </row>
    <row r="10" spans="1:13" ht="14.4" customHeight="1" x14ac:dyDescent="0.3">
      <c r="B10" s="52" t="s">
        <v>638</v>
      </c>
      <c r="K10" s="52" t="s">
        <v>639</v>
      </c>
    </row>
    <row r="11" spans="1:13" ht="14.4" customHeight="1" x14ac:dyDescent="0.3">
      <c r="A11" s="81" t="s">
        <v>624</v>
      </c>
      <c r="B11" s="52" t="s">
        <v>599</v>
      </c>
      <c r="C11" s="52" t="s">
        <v>600</v>
      </c>
      <c r="D11" s="52" t="s">
        <v>601</v>
      </c>
      <c r="E11" s="52" t="s">
        <v>602</v>
      </c>
      <c r="F11" s="52" t="s">
        <v>603</v>
      </c>
      <c r="G11" s="52" t="s">
        <v>606</v>
      </c>
      <c r="H11" s="52" t="s">
        <v>607</v>
      </c>
      <c r="I11" s="52" t="s">
        <v>608</v>
      </c>
      <c r="J11" s="52" t="s">
        <v>609</v>
      </c>
    </row>
    <row r="12" spans="1:13" ht="14.4" customHeight="1" x14ac:dyDescent="0.3">
      <c r="A12" s="74" t="s">
        <v>12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</row>
    <row r="13" spans="1:13" ht="14.4" customHeight="1" x14ac:dyDescent="0.3">
      <c r="A13" s="82" t="s">
        <v>16</v>
      </c>
      <c r="B13" s="86"/>
      <c r="C13" s="86"/>
      <c r="D13" s="86"/>
      <c r="E13" s="86">
        <v>3878</v>
      </c>
      <c r="F13" s="86">
        <v>508</v>
      </c>
      <c r="G13" s="86"/>
      <c r="H13" s="86">
        <v>4922</v>
      </c>
      <c r="I13" s="86">
        <v>2203</v>
      </c>
      <c r="J13" s="86"/>
      <c r="K13" s="86">
        <v>11511</v>
      </c>
    </row>
    <row r="14" spans="1:13" ht="14.4" customHeight="1" x14ac:dyDescent="0.3">
      <c r="A14" s="82" t="s">
        <v>17</v>
      </c>
      <c r="B14" s="86"/>
      <c r="C14" s="86">
        <v>2388</v>
      </c>
      <c r="D14" s="86"/>
      <c r="E14" s="86"/>
      <c r="F14" s="86"/>
      <c r="G14" s="86"/>
      <c r="H14" s="86">
        <v>1171</v>
      </c>
      <c r="I14" s="86"/>
      <c r="J14" s="86"/>
      <c r="K14" s="86">
        <v>3559</v>
      </c>
    </row>
    <row r="15" spans="1:13" ht="14.4" customHeight="1" x14ac:dyDescent="0.3">
      <c r="A15" s="82" t="s">
        <v>19</v>
      </c>
      <c r="B15" s="86">
        <v>928</v>
      </c>
      <c r="C15" s="86"/>
      <c r="D15" s="86">
        <v>2224</v>
      </c>
      <c r="E15" s="86">
        <v>667</v>
      </c>
      <c r="F15" s="86">
        <v>1479</v>
      </c>
      <c r="G15" s="86">
        <v>9236</v>
      </c>
      <c r="H15" s="86"/>
      <c r="I15" s="86">
        <v>1414</v>
      </c>
      <c r="J15" s="86"/>
      <c r="K15" s="86">
        <v>15948</v>
      </c>
    </row>
    <row r="16" spans="1:13" ht="14.4" customHeight="1" x14ac:dyDescent="0.3">
      <c r="A16" s="82" t="s">
        <v>32</v>
      </c>
      <c r="B16" s="86"/>
      <c r="C16" s="86">
        <v>1348</v>
      </c>
      <c r="D16" s="86"/>
      <c r="E16" s="86"/>
      <c r="F16" s="86">
        <v>770</v>
      </c>
      <c r="G16" s="86"/>
      <c r="H16" s="86"/>
      <c r="I16" s="86">
        <v>4639</v>
      </c>
      <c r="J16" s="86">
        <v>483</v>
      </c>
      <c r="K16" s="86">
        <v>7240</v>
      </c>
    </row>
    <row r="17" spans="1:13" ht="14.4" customHeight="1" x14ac:dyDescent="0.3">
      <c r="A17" s="74" t="s">
        <v>635</v>
      </c>
      <c r="B17" s="86">
        <v>928</v>
      </c>
      <c r="C17" s="86">
        <v>3736</v>
      </c>
      <c r="D17" s="86">
        <v>2224</v>
      </c>
      <c r="E17" s="86">
        <v>4545</v>
      </c>
      <c r="F17" s="86">
        <v>2757</v>
      </c>
      <c r="G17" s="86">
        <v>9236</v>
      </c>
      <c r="H17" s="86">
        <v>6093</v>
      </c>
      <c r="I17" s="86">
        <v>8256</v>
      </c>
      <c r="J17" s="86">
        <v>483</v>
      </c>
      <c r="K17" s="86">
        <v>38258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N29"/>
  <sheetViews>
    <sheetView showGridLines="0" workbookViewId="0">
      <selection activeCell="M6" sqref="M6"/>
    </sheetView>
  </sheetViews>
  <sheetFormatPr defaultColWidth="0" defaultRowHeight="14.4" customHeight="1" zeroHeight="1" x14ac:dyDescent="0.3"/>
  <cols>
    <col min="1" max="1" width="4.6640625" customWidth="1"/>
    <col min="2" max="3" width="15.77734375" customWidth="1"/>
    <col min="4" max="4" width="5.77734375" customWidth="1"/>
    <col min="5" max="5" width="15.77734375" customWidth="1"/>
    <col min="6" max="6" width="21.33203125" customWidth="1"/>
    <col min="7" max="7" width="4.5546875" customWidth="1"/>
    <col min="8" max="12" width="15.77734375" customWidth="1"/>
    <col min="13" max="13" width="37.33203125" customWidth="1"/>
    <col min="14" max="14" width="6.88671875" customWidth="1"/>
    <col min="15" max="16384" width="15.77734375" hidden="1"/>
  </cols>
  <sheetData>
    <row r="1" spans="1:14" ht="14.4" customHeight="1" x14ac:dyDescent="0.3">
      <c r="A1" s="168" t="s">
        <v>659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</row>
    <row r="2" spans="1:14" ht="23.4" customHeight="1" x14ac:dyDescent="0.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r="3" spans="1:14" ht="14.4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190">
        <v>2022</v>
      </c>
      <c r="M3" s="190"/>
      <c r="N3" s="132"/>
    </row>
    <row r="4" spans="1:14" ht="14.4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190"/>
      <c r="M4" s="190"/>
      <c r="N4" s="132"/>
    </row>
    <row r="5" spans="1:14" ht="9" customHeight="1" x14ac:dyDescent="0.3"/>
    <row r="6" spans="1:14" ht="14.4" customHeight="1" x14ac:dyDescent="0.3">
      <c r="B6" s="198" t="s">
        <v>1544</v>
      </c>
      <c r="C6" s="199"/>
      <c r="E6" s="180"/>
      <c r="F6" s="197"/>
      <c r="H6" s="133"/>
      <c r="I6" s="134"/>
      <c r="J6" s="134"/>
      <c r="K6" s="134"/>
      <c r="L6" s="134"/>
      <c r="M6" s="140" t="s">
        <v>16</v>
      </c>
    </row>
    <row r="7" spans="1:14" ht="14.4" customHeight="1" x14ac:dyDescent="0.3">
      <c r="B7" s="200">
        <f>DaFinanceiroAnualT!C11</f>
        <v>595654</v>
      </c>
      <c r="C7" s="201"/>
      <c r="E7" s="191"/>
      <c r="F7" s="192"/>
      <c r="H7" s="135"/>
      <c r="I7" s="126"/>
      <c r="J7" s="126"/>
      <c r="K7" s="126"/>
      <c r="L7" s="126"/>
      <c r="M7" s="136"/>
    </row>
    <row r="8" spans="1:14" ht="14.4" customHeight="1" x14ac:dyDescent="0.4">
      <c r="B8" s="202"/>
      <c r="C8" s="203"/>
      <c r="E8" s="161"/>
      <c r="F8" s="160"/>
      <c r="H8" s="135"/>
      <c r="I8" s="126"/>
      <c r="J8" s="126"/>
      <c r="K8" s="126"/>
      <c r="L8" s="126"/>
      <c r="M8" s="136"/>
    </row>
    <row r="9" spans="1:14" ht="14.4" customHeight="1" x14ac:dyDescent="0.3">
      <c r="E9" s="135"/>
      <c r="F9" s="136"/>
      <c r="H9" s="135"/>
      <c r="I9" s="126"/>
      <c r="J9" s="126"/>
      <c r="K9" s="126"/>
      <c r="L9" s="126"/>
      <c r="M9" s="187" t="s">
        <v>1547</v>
      </c>
    </row>
    <row r="10" spans="1:14" ht="14.4" customHeight="1" x14ac:dyDescent="0.3">
      <c r="B10" s="198" t="s">
        <v>1545</v>
      </c>
      <c r="C10" s="199"/>
      <c r="E10" s="156"/>
      <c r="F10" s="157"/>
      <c r="H10" s="135"/>
      <c r="I10" s="126"/>
      <c r="J10" s="126"/>
      <c r="K10" s="126"/>
      <c r="L10" s="126"/>
      <c r="M10" s="187"/>
    </row>
    <row r="11" spans="1:14" ht="14.4" customHeight="1" x14ac:dyDescent="0.3">
      <c r="B11" s="204">
        <f>DaFinanceiroAnualT!D13</f>
        <v>10511</v>
      </c>
      <c r="C11" s="205"/>
      <c r="E11" s="156"/>
      <c r="F11" s="157"/>
      <c r="H11" s="135"/>
      <c r="I11" s="126"/>
      <c r="J11" s="126"/>
      <c r="K11" s="126"/>
      <c r="L11" s="126"/>
      <c r="M11" s="188">
        <f>SUM(DaFinanceiroAnualT!J5:J16)</f>
        <v>135677</v>
      </c>
    </row>
    <row r="12" spans="1:14" ht="14.4" customHeight="1" x14ac:dyDescent="0.3">
      <c r="B12" s="206"/>
      <c r="C12" s="207"/>
      <c r="E12" s="156"/>
      <c r="F12" s="157"/>
      <c r="H12" s="135"/>
      <c r="I12" s="126"/>
      <c r="J12" s="126"/>
      <c r="K12" s="126"/>
      <c r="L12" s="126"/>
      <c r="M12" s="188"/>
    </row>
    <row r="13" spans="1:14" ht="14.4" customHeight="1" x14ac:dyDescent="0.3">
      <c r="E13" s="135"/>
      <c r="F13" s="136"/>
      <c r="H13" s="135"/>
      <c r="I13" s="126"/>
      <c r="J13" s="126"/>
      <c r="K13" s="126"/>
      <c r="L13" s="126"/>
      <c r="M13" s="188"/>
    </row>
    <row r="14" spans="1:14" ht="14.4" customHeight="1" x14ac:dyDescent="0.3">
      <c r="B14" s="198" t="s">
        <v>1546</v>
      </c>
      <c r="C14" s="199"/>
      <c r="E14" s="156"/>
      <c r="F14" s="157"/>
      <c r="H14" s="135"/>
      <c r="I14" s="126"/>
      <c r="J14" s="126"/>
      <c r="K14" s="126"/>
      <c r="L14" s="126"/>
      <c r="M14" s="188"/>
    </row>
    <row r="15" spans="1:14" ht="14.4" customHeight="1" x14ac:dyDescent="0.3">
      <c r="B15" s="193">
        <f>DaFinanceiroAnualT!D14</f>
        <v>27174</v>
      </c>
      <c r="C15" s="194"/>
      <c r="E15" s="156"/>
      <c r="F15" s="157"/>
      <c r="H15" s="135"/>
      <c r="I15" s="126"/>
      <c r="J15" s="126"/>
      <c r="K15" s="126"/>
      <c r="L15" s="126"/>
      <c r="M15" s="136"/>
    </row>
    <row r="16" spans="1:14" ht="39" customHeight="1" x14ac:dyDescent="0.3">
      <c r="B16" s="195"/>
      <c r="C16" s="196"/>
      <c r="E16" s="158"/>
      <c r="F16" s="159"/>
      <c r="H16" s="137"/>
      <c r="I16" s="138"/>
      <c r="J16" s="138"/>
      <c r="K16" s="138"/>
      <c r="L16" s="138"/>
      <c r="M16" s="139"/>
    </row>
    <row r="17" spans="1:14" ht="7.8" customHeight="1" x14ac:dyDescent="0.3"/>
    <row r="18" spans="1:14" ht="4.8" customHeight="1" x14ac:dyDescent="0.3"/>
    <row r="19" spans="1:14" ht="14.4" customHeight="1" x14ac:dyDescent="0.3">
      <c r="B19" s="180"/>
      <c r="C19" s="181"/>
      <c r="D19" s="181"/>
      <c r="E19" s="181"/>
      <c r="F19" s="182"/>
      <c r="H19" s="185"/>
      <c r="I19" s="186"/>
      <c r="J19" s="186"/>
      <c r="K19" s="134"/>
      <c r="L19" s="134"/>
      <c r="M19" s="146" t="s">
        <v>66</v>
      </c>
    </row>
    <row r="20" spans="1:14" ht="14.4" customHeight="1" x14ac:dyDescent="0.3">
      <c r="B20" s="135"/>
      <c r="C20" s="126"/>
      <c r="D20" s="126"/>
      <c r="E20" s="126"/>
      <c r="F20" s="136"/>
      <c r="H20" s="135"/>
      <c r="I20" s="126"/>
      <c r="J20" s="126"/>
      <c r="K20" s="126"/>
      <c r="L20" s="126"/>
      <c r="M20" s="136"/>
    </row>
    <row r="21" spans="1:14" ht="14.4" customHeight="1" x14ac:dyDescent="0.3">
      <c r="B21" s="178"/>
      <c r="C21" s="179"/>
      <c r="D21" s="126"/>
      <c r="E21" s="126"/>
      <c r="F21" s="136"/>
      <c r="H21" s="135"/>
      <c r="I21" s="126"/>
      <c r="J21" s="126"/>
      <c r="K21" s="126"/>
      <c r="L21" s="126"/>
      <c r="M21" s="187" t="s">
        <v>1547</v>
      </c>
    </row>
    <row r="22" spans="1:14" ht="14.4" customHeight="1" x14ac:dyDescent="0.3">
      <c r="B22" s="183"/>
      <c r="C22" s="184"/>
      <c r="D22" s="126"/>
      <c r="E22" s="126"/>
      <c r="F22" s="136"/>
      <c r="H22" s="135"/>
      <c r="I22" s="126"/>
      <c r="J22" s="126"/>
      <c r="K22" s="126"/>
      <c r="L22" s="126"/>
      <c r="M22" s="187"/>
    </row>
    <row r="23" spans="1:14" ht="14.4" customHeight="1" x14ac:dyDescent="0.3">
      <c r="B23" s="183"/>
      <c r="C23" s="184"/>
      <c r="D23" s="126"/>
      <c r="E23" s="126"/>
      <c r="F23" s="136"/>
      <c r="H23" s="135"/>
      <c r="I23" s="126"/>
      <c r="J23" s="126"/>
      <c r="K23" s="126"/>
      <c r="L23" s="126"/>
      <c r="M23" s="188">
        <f>DaFinanceiroAnualT!O17</f>
        <v>130860</v>
      </c>
    </row>
    <row r="24" spans="1:14" ht="14.4" customHeight="1" x14ac:dyDescent="0.3">
      <c r="B24" s="135"/>
      <c r="C24" s="126"/>
      <c r="D24" s="126"/>
      <c r="E24" s="126"/>
      <c r="F24" s="136"/>
      <c r="H24" s="135"/>
      <c r="I24" s="126"/>
      <c r="J24" s="126"/>
      <c r="K24" s="126"/>
      <c r="L24" s="126"/>
      <c r="M24" s="188"/>
    </row>
    <row r="25" spans="1:14" ht="24" customHeight="1" x14ac:dyDescent="0.3">
      <c r="B25" s="137"/>
      <c r="C25" s="138"/>
      <c r="D25" s="138"/>
      <c r="E25" s="138"/>
      <c r="F25" s="139"/>
      <c r="H25" s="137"/>
      <c r="I25" s="138"/>
      <c r="J25" s="138"/>
      <c r="K25" s="138"/>
      <c r="L25" s="138"/>
      <c r="M25" s="189"/>
    </row>
    <row r="26" spans="1:14" ht="14.4" customHeight="1" x14ac:dyDescent="0.3"/>
    <row r="27" spans="1:14" ht="14.4" customHeight="1" x14ac:dyDescent="0.3"/>
    <row r="28" spans="1:14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</sheetData>
  <mergeCells count="18">
    <mergeCell ref="B15:C16"/>
    <mergeCell ref="E6:F6"/>
    <mergeCell ref="B6:C6"/>
    <mergeCell ref="B7:C8"/>
    <mergeCell ref="B10:C10"/>
    <mergeCell ref="B11:C12"/>
    <mergeCell ref="B14:C14"/>
    <mergeCell ref="A1:N2"/>
    <mergeCell ref="L3:M4"/>
    <mergeCell ref="M9:M10"/>
    <mergeCell ref="M11:M14"/>
    <mergeCell ref="E7:F7"/>
    <mergeCell ref="B21:C21"/>
    <mergeCell ref="B19:F19"/>
    <mergeCell ref="B22:C23"/>
    <mergeCell ref="H19:J19"/>
    <mergeCell ref="M21:M22"/>
    <mergeCell ref="M23:M25"/>
  </mergeCells>
  <conditionalFormatting sqref="B7:C8">
    <cfRule type="cellIs" dxfId="4" priority="6" operator="lessThan">
      <formula>0</formula>
    </cfRule>
  </conditionalFormatting>
  <conditionalFormatting sqref="B11:C12">
    <cfRule type="cellIs" dxfId="3" priority="5" operator="lessThan">
      <formula>0</formula>
    </cfRule>
  </conditionalFormatting>
  <conditionalFormatting sqref="B15:C16">
    <cfRule type="cellIs" dxfId="2" priority="4" operator="lessThan">
      <formula>0</formula>
    </cfRule>
  </conditionalFormatting>
  <conditionalFormatting sqref="E8:F8 E7">
    <cfRule type="cellIs" dxfId="1" priority="3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PlanoEntradas!$G$13:$G$17</xm:f>
          </x14:formula1>
          <xm:sqref>M6</xm:sqref>
        </x14:dataValidation>
        <x14:dataValidation type="list" allowBlank="1" showInputMessage="1" showErrorMessage="1">
          <x14:formula1>
            <xm:f>RBV!$A$5:$I$5</xm:f>
          </x14:formula1>
          <xm:sqref>M19 E7:F7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O46"/>
  <sheetViews>
    <sheetView showGridLines="0" workbookViewId="0">
      <selection activeCell="D13" sqref="D13"/>
    </sheetView>
  </sheetViews>
  <sheetFormatPr defaultRowHeight="14.4" zeroHeight="1" x14ac:dyDescent="0.3"/>
  <cols>
    <col min="1" max="1" width="3.88671875" style="52" customWidth="1"/>
    <col min="2" max="2" width="13.33203125" style="52" customWidth="1"/>
    <col min="3" max="3" width="13.6640625" style="52" customWidth="1"/>
    <col min="4" max="5" width="13.33203125" style="52" customWidth="1"/>
    <col min="6" max="6" width="13.77734375" style="52" customWidth="1"/>
    <col min="7" max="7" width="15.88671875" style="52" customWidth="1"/>
    <col min="8" max="8" width="18" style="52" customWidth="1"/>
    <col min="9" max="9" width="8.88671875" style="52"/>
    <col min="10" max="10" width="19.88671875" style="52" customWidth="1"/>
    <col min="11" max="11" width="13.88671875" style="52" customWidth="1"/>
    <col min="12" max="12" width="14.21875" style="52" customWidth="1"/>
    <col min="13" max="14" width="8.88671875" style="52"/>
    <col min="15" max="15" width="19.33203125" style="52" customWidth="1"/>
    <col min="16" max="16384" width="8.88671875" style="52"/>
  </cols>
  <sheetData>
    <row r="1" spans="1:15" x14ac:dyDescent="0.3">
      <c r="A1" s="88"/>
      <c r="B1" s="89" t="s">
        <v>644</v>
      </c>
      <c r="C1" s="89"/>
      <c r="D1" s="89"/>
      <c r="E1" s="89"/>
      <c r="F1" s="89"/>
      <c r="G1" s="89"/>
      <c r="H1" s="89"/>
      <c r="I1" s="89"/>
      <c r="J1" s="89"/>
      <c r="K1" s="89"/>
      <c r="L1" s="89"/>
    </row>
    <row r="2" spans="1:15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5" x14ac:dyDescent="0.3">
      <c r="A3" s="88"/>
      <c r="B3" s="88"/>
      <c r="C3" s="88"/>
      <c r="D3" s="88"/>
      <c r="E3" s="88"/>
      <c r="F3" s="90" t="s">
        <v>645</v>
      </c>
      <c r="G3" s="88"/>
      <c r="H3" s="88"/>
      <c r="I3" s="88"/>
      <c r="J3" s="90" t="s">
        <v>646</v>
      </c>
      <c r="K3" s="147"/>
      <c r="L3" s="148"/>
      <c r="N3" s="90" t="s">
        <v>1550</v>
      </c>
      <c r="O3" s="105"/>
    </row>
    <row r="4" spans="1:15" x14ac:dyDescent="0.3">
      <c r="A4" s="88"/>
      <c r="B4" s="91" t="s">
        <v>647</v>
      </c>
      <c r="C4" s="108">
        <f>DaFinanceiroAnual!L3</f>
        <v>2022</v>
      </c>
      <c r="D4" s="88"/>
      <c r="E4" s="88"/>
      <c r="F4" s="92" t="s">
        <v>648</v>
      </c>
      <c r="G4" s="130" t="s">
        <v>649</v>
      </c>
      <c r="H4" s="96" t="s">
        <v>650</v>
      </c>
      <c r="I4" s="88"/>
      <c r="J4" s="93" t="str">
        <f>DaFinanceiroAnual!M6</f>
        <v>Eletrodomésticos</v>
      </c>
      <c r="K4" s="92" t="s">
        <v>651</v>
      </c>
      <c r="L4" s="96" t="s">
        <v>648</v>
      </c>
      <c r="N4" s="92" t="s">
        <v>1551</v>
      </c>
      <c r="O4" s="106" t="str">
        <f>DaFinanceiroAnual!M19</f>
        <v>OSASCO</v>
      </c>
    </row>
    <row r="5" spans="1:15" x14ac:dyDescent="0.3">
      <c r="A5" s="88"/>
      <c r="B5" s="88"/>
      <c r="C5" s="88"/>
      <c r="D5" s="88"/>
      <c r="E5" s="88"/>
      <c r="F5" s="94" t="s">
        <v>598</v>
      </c>
      <c r="G5" s="131">
        <f>SUMIFS(tbRegistroSaidas[VALOR],tbRegistroSaidas[DATA DE CAIXA REALIZADO],"N/A",tbRegistroSaidas[ANO PREVISTO],"="&amp;$C$4,tbRegistroSaidas[MÊS PREVISTO],F5)</f>
        <v>1155</v>
      </c>
      <c r="H5" s="131">
        <f>SUMIFS(tbRegistroEntradas[VALOR],tbRegistroEntradas[DATA DE CAIXA REALIZADO],"N/A",tbRegistroEntradas[ANO PREVISTO],$C$4,tbRegistroEntradas[MÊS PREVISTO],F5)</f>
        <v>1284</v>
      </c>
      <c r="I5" s="88"/>
      <c r="J5" s="95">
        <f>SUMIFS(tbRegistroEntradas[VALOR],tbRegistroEntradas[ENTRADA NÍVEL 2],"="&amp;$J$4,tbRegistroEntradas[ANO COMPETÊNCIA],"="&amp;$C$4,tbRegistroEntradas[[MÊS COMPETÊNCIA ]],L5)</f>
        <v>5142</v>
      </c>
      <c r="K5" s="95">
        <f>IF(J5=0,NA(),J5)</f>
        <v>5142</v>
      </c>
      <c r="L5" s="91" t="s">
        <v>598</v>
      </c>
      <c r="N5" s="88" t="s">
        <v>598</v>
      </c>
      <c r="O5" s="97">
        <f>SUMIFS(tbRegistroEntradas[VALOR],tbRegistroEntradas[BASE DE OPERAÇÃO],"="&amp;$O$4,tbRegistroEntradas[ANO COMPETÊNCIA],$C$4,tbRegistroEntradas[[MÊS COMPETÊNCIA ]],N5)</f>
        <v>5420</v>
      </c>
    </row>
    <row r="6" spans="1:15" x14ac:dyDescent="0.3">
      <c r="A6" s="88"/>
      <c r="B6" s="88"/>
      <c r="C6" s="88"/>
      <c r="D6" s="88"/>
      <c r="E6" s="88"/>
      <c r="F6" s="88" t="s">
        <v>599</v>
      </c>
      <c r="G6" s="97">
        <f>SUMIFS(tbRegistroSaidas[VALOR],tbRegistroSaidas[DATA DE CAIXA REALIZADO],"N/A",tbRegistroSaidas[ANO PREVISTO],"="&amp;$C$4,tbRegistroSaidas[MÊS PREVISTO],F6)</f>
        <v>0</v>
      </c>
      <c r="H6" s="97">
        <f>SUMIFS(tbRegistroEntradas[VALOR],tbRegistroEntradas[DATA DE CAIXA REALIZADO],"N/A",tbRegistroEntradas[ANO PREVISTO],$C$4,tbRegistroEntradas[MÊS PREVISTO],F6)</f>
        <v>0</v>
      </c>
      <c r="I6" s="88"/>
      <c r="J6" s="95">
        <f>SUMIFS(tbRegistroEntradas[VALOR],tbRegistroEntradas[ENTRADA NÍVEL 2],"="&amp;$J$4,tbRegistroEntradas[ANO COMPETÊNCIA],"="&amp;$C$4,tbRegistroEntradas[[MÊS COMPETÊNCIA ]],L6)</f>
        <v>12313</v>
      </c>
      <c r="K6" s="95">
        <f t="shared" ref="K6:K16" si="0">IF(J6=0,NA(),J6)</f>
        <v>12313</v>
      </c>
      <c r="L6" s="91" t="s">
        <v>599</v>
      </c>
      <c r="N6" s="88" t="s">
        <v>599</v>
      </c>
      <c r="O6" s="97">
        <f>SUMIFS(tbRegistroEntradas[VALOR],tbRegistroEntradas[BASE DE OPERAÇÃO],"="&amp;$O$4,tbRegistroEntradas[ANO COMPETÊNCIA],$C$4,tbRegistroEntradas[[MÊS COMPETÊNCIA ]],N6)</f>
        <v>6047</v>
      </c>
    </row>
    <row r="7" spans="1:15" x14ac:dyDescent="0.3">
      <c r="A7" s="88"/>
      <c r="B7" s="90" t="s">
        <v>652</v>
      </c>
      <c r="C7" s="88"/>
      <c r="D7" s="88"/>
      <c r="E7" s="88"/>
      <c r="F7" s="88" t="s">
        <v>600</v>
      </c>
      <c r="G7" s="97">
        <f>SUMIFS(tbRegistroSaidas[VALOR],tbRegistroSaidas[DATA DE CAIXA REALIZADO],"N/A",tbRegistroSaidas[ANO PREVISTO],"="&amp;$C$4,tbRegistroSaidas[MÊS PREVISTO],F7)</f>
        <v>4438</v>
      </c>
      <c r="H7" s="97">
        <f>SUMIFS(tbRegistroEntradas[VALOR],tbRegistroEntradas[DATA DE CAIXA REALIZADO],"N/A",tbRegistroEntradas[ANO PREVISTO],$C$4,tbRegistroEntradas[MÊS PREVISTO],F7)</f>
        <v>2388</v>
      </c>
      <c r="I7" s="88"/>
      <c r="J7" s="95">
        <f>SUMIFS(tbRegistroEntradas[VALOR],tbRegistroEntradas[ENTRADA NÍVEL 2],"="&amp;$J$4,tbRegistroEntradas[ANO COMPETÊNCIA],"="&amp;$C$4,tbRegistroEntradas[[MÊS COMPETÊNCIA ]],L7)</f>
        <v>6794</v>
      </c>
      <c r="K7" s="95">
        <f t="shared" si="0"/>
        <v>6794</v>
      </c>
      <c r="L7" s="91" t="s">
        <v>600</v>
      </c>
      <c r="N7" s="88" t="s">
        <v>600</v>
      </c>
      <c r="O7" s="97">
        <f>SUMIFS(tbRegistroEntradas[VALOR],tbRegistroEntradas[BASE DE OPERAÇÃO],"="&amp;$O$4,tbRegistroEntradas[ANO COMPETÊNCIA],$C$4,tbRegistroEntradas[[MÊS COMPETÊNCIA ]],N7)</f>
        <v>17079</v>
      </c>
    </row>
    <row r="8" spans="1:15" x14ac:dyDescent="0.3">
      <c r="A8" s="88"/>
      <c r="B8" s="94" t="s">
        <v>660</v>
      </c>
      <c r="C8" s="98">
        <f>SUMIFS(tbRegistroEntradas[VALOR],tbRegistroEntradas[ANO CAIXA],"&lt;&gt;0",tbRegistroEntradas[ANO CAIXA],"&lt;"&amp;C4)-SUMIFS(tbRegistroSaidas[VALOR],tbRegistroSaidas[ANO CAIXA],"&lt;"&amp;C4,tbRegistroSaidas[ANO CAIXA],"&lt;&gt;0")</f>
        <v>324196</v>
      </c>
      <c r="D8" s="88"/>
      <c r="E8" s="88"/>
      <c r="F8" s="88" t="s">
        <v>601</v>
      </c>
      <c r="G8" s="97">
        <f>SUMIFS(tbRegistroSaidas[VALOR],tbRegistroSaidas[DATA DE CAIXA REALIZADO],"N/A",tbRegistroSaidas[ANO PREVISTO],"="&amp;$C$4,tbRegistroSaidas[MÊS PREVISTO],F8)</f>
        <v>0</v>
      </c>
      <c r="H8" s="97">
        <f>SUMIFS(tbRegistroEntradas[VALOR],tbRegistroEntradas[DATA DE CAIXA REALIZADO],"N/A",tbRegistroEntradas[ANO PREVISTO],$C$4,tbRegistroEntradas[MÊS PREVISTO],F8)</f>
        <v>0</v>
      </c>
      <c r="I8" s="88"/>
      <c r="J8" s="95">
        <f>SUMIFS(tbRegistroEntradas[VALOR],tbRegistroEntradas[ENTRADA NÍVEL 2],"="&amp;$J$4,tbRegistroEntradas[ANO COMPETÊNCIA],"="&amp;$C$4,tbRegistroEntradas[[MÊS COMPETÊNCIA ]],L8)</f>
        <v>4026</v>
      </c>
      <c r="K8" s="95">
        <f t="shared" si="0"/>
        <v>4026</v>
      </c>
      <c r="L8" s="91" t="s">
        <v>601</v>
      </c>
      <c r="N8" s="88" t="s">
        <v>601</v>
      </c>
      <c r="O8" s="97">
        <f>SUMIFS(tbRegistroEntradas[VALOR],tbRegistroEntradas[BASE DE OPERAÇÃO],"="&amp;$O$4,tbRegistroEntradas[ANO COMPETÊNCIA],$C$4,tbRegistroEntradas[[MÊS COMPETÊNCIA ]],N8)</f>
        <v>6486</v>
      </c>
    </row>
    <row r="9" spans="1:15" x14ac:dyDescent="0.3">
      <c r="A9" s="88"/>
      <c r="B9" s="88" t="s">
        <v>653</v>
      </c>
      <c r="C9" s="99">
        <f>SUMIFS(tbRegistroEntradas[VALOR],tbRegistroEntradas[ANO CAIXA],"="&amp;C4)</f>
        <v>946510</v>
      </c>
      <c r="D9" s="88"/>
      <c r="E9" s="88"/>
      <c r="F9" s="88" t="s">
        <v>602</v>
      </c>
      <c r="G9" s="97">
        <f>SUMIFS(tbRegistroSaidas[VALOR],tbRegistroSaidas[DATA DE CAIXA REALIZADO],"N/A",tbRegistroSaidas[ANO PREVISTO],"="&amp;$C$4,tbRegistroSaidas[MÊS PREVISTO],F9)</f>
        <v>0</v>
      </c>
      <c r="H9" s="97">
        <f>SUMIFS(tbRegistroEntradas[VALOR],tbRegistroEntradas[DATA DE CAIXA REALIZADO],"N/A",tbRegistroEntradas[ANO PREVISTO],$C$4,tbRegistroEntradas[MÊS PREVISTO],F9)</f>
        <v>0</v>
      </c>
      <c r="I9" s="88"/>
      <c r="J9" s="95">
        <f>SUMIFS(tbRegistroEntradas[VALOR],tbRegistroEntradas[ENTRADA NÍVEL 2],"="&amp;$J$4,tbRegistroEntradas[ANO COMPETÊNCIA],"="&amp;$C$4,tbRegistroEntradas[[MÊS COMPETÊNCIA ]],L9)</f>
        <v>18618</v>
      </c>
      <c r="K9" s="95">
        <f t="shared" si="0"/>
        <v>18618</v>
      </c>
      <c r="L9" s="91" t="s">
        <v>602</v>
      </c>
      <c r="N9" s="88" t="s">
        <v>602</v>
      </c>
      <c r="O9" s="97">
        <f>SUMIFS(tbRegistroEntradas[VALOR],tbRegistroEntradas[BASE DE OPERAÇÃO],"="&amp;$O$4,tbRegistroEntradas[ANO COMPETÊNCIA],$C$4,tbRegistroEntradas[[MÊS COMPETÊNCIA ]],N9)</f>
        <v>17456</v>
      </c>
    </row>
    <row r="10" spans="1:15" x14ac:dyDescent="0.3">
      <c r="A10" s="88"/>
      <c r="B10" s="88" t="s">
        <v>654</v>
      </c>
      <c r="C10" s="99">
        <f>SUMIFS(tbRegistroSaidas[VALOR],tbRegistroSaidas[ANO CAIXA],"="&amp;C4)</f>
        <v>675052</v>
      </c>
      <c r="D10" s="88"/>
      <c r="E10" s="88"/>
      <c r="F10" s="88" t="s">
        <v>603</v>
      </c>
      <c r="G10" s="97">
        <f>SUMIFS(tbRegistroSaidas[VALOR],tbRegistroSaidas[DATA DE CAIXA REALIZADO],"N/A",tbRegistroSaidas[ANO PREVISTO],"="&amp;$C$4,tbRegistroSaidas[MÊS PREVISTO],F10)</f>
        <v>701</v>
      </c>
      <c r="H10" s="97">
        <f>SUMIFS(tbRegistroEntradas[VALOR],tbRegistroEntradas[DATA DE CAIXA REALIZADO],"N/A",tbRegistroEntradas[ANO PREVISTO],$C$4,tbRegistroEntradas[MÊS PREVISTO],F10)</f>
        <v>6872</v>
      </c>
      <c r="I10" s="88"/>
      <c r="J10" s="95">
        <f>SUMIFS(tbRegistroEntradas[VALOR],tbRegistroEntradas[ENTRADA NÍVEL 2],"="&amp;$J$4,tbRegistroEntradas[ANO COMPETÊNCIA],"="&amp;$C$4,tbRegistroEntradas[[MÊS COMPETÊNCIA ]],L10)</f>
        <v>13306</v>
      </c>
      <c r="K10" s="95">
        <f t="shared" si="0"/>
        <v>13306</v>
      </c>
      <c r="L10" s="91" t="s">
        <v>603</v>
      </c>
      <c r="N10" s="88" t="s">
        <v>603</v>
      </c>
      <c r="O10" s="97">
        <f>SUMIFS(tbRegistroEntradas[VALOR],tbRegistroEntradas[BASE DE OPERAÇÃO],"="&amp;$O$4,tbRegistroEntradas[ANO COMPETÊNCIA],$C$4,tbRegistroEntradas[[MÊS COMPETÊNCIA ]],N10)</f>
        <v>9538</v>
      </c>
    </row>
    <row r="11" spans="1:15" x14ac:dyDescent="0.3">
      <c r="A11" s="88"/>
      <c r="B11" s="100" t="s">
        <v>655</v>
      </c>
      <c r="C11" s="101">
        <f>C8+C9-C10</f>
        <v>595654</v>
      </c>
      <c r="D11" s="88"/>
      <c r="E11" s="88"/>
      <c r="F11" s="88" t="s">
        <v>604</v>
      </c>
      <c r="G11" s="97">
        <f>SUMIFS(tbRegistroSaidas[VALOR],tbRegistroSaidas[DATA DE CAIXA REALIZADO],"N/A",tbRegistroSaidas[ANO PREVISTO],"="&amp;$C$4,tbRegistroSaidas[MÊS PREVISTO],F11)</f>
        <v>0</v>
      </c>
      <c r="H11" s="97">
        <f>SUMIFS(tbRegistroEntradas[VALOR],tbRegistroEntradas[DATA DE CAIXA REALIZADO],"N/A",tbRegistroEntradas[ANO PREVISTO],$C$4,tbRegistroEntradas[MÊS PREVISTO],F11)</f>
        <v>0</v>
      </c>
      <c r="I11" s="88"/>
      <c r="J11" s="95">
        <f>SUMIFS(tbRegistroEntradas[VALOR],tbRegistroEntradas[ENTRADA NÍVEL 2],"="&amp;$J$4,tbRegistroEntradas[ANO COMPETÊNCIA],"="&amp;$C$4,tbRegistroEntradas[[MÊS COMPETÊNCIA ]],L11)</f>
        <v>10956</v>
      </c>
      <c r="K11" s="95">
        <f t="shared" si="0"/>
        <v>10956</v>
      </c>
      <c r="L11" s="91" t="s">
        <v>604</v>
      </c>
      <c r="N11" s="88" t="s">
        <v>604</v>
      </c>
      <c r="O11" s="97">
        <f>SUMIFS(tbRegistroEntradas[VALOR],tbRegistroEntradas[BASE DE OPERAÇÃO],"="&amp;$O$4,tbRegistroEntradas[ANO COMPETÊNCIA],$C$4,tbRegistroEntradas[[MÊS COMPETÊNCIA ]],N11)</f>
        <v>11694</v>
      </c>
    </row>
    <row r="12" spans="1:15" x14ac:dyDescent="0.3">
      <c r="A12" s="88"/>
      <c r="B12" s="88"/>
      <c r="C12" s="88"/>
      <c r="D12" s="88"/>
      <c r="E12" s="88"/>
      <c r="F12" s="88" t="s">
        <v>605</v>
      </c>
      <c r="G12" s="97">
        <f>SUMIFS(tbRegistroSaidas[VALOR],tbRegistroSaidas[DATA DE CAIXA REALIZADO],"N/A",tbRegistroSaidas[ANO PREVISTO],"="&amp;$C$4,tbRegistroSaidas[MÊS PREVISTO],F12)</f>
        <v>4217</v>
      </c>
      <c r="H12" s="97">
        <f>SUMIFS(tbRegistroEntradas[VALOR],tbRegistroEntradas[DATA DE CAIXA REALIZADO],"N/A",tbRegistroEntradas[ANO PREVISTO],$C$4,tbRegistroEntradas[MÊS PREVISTO],F12)</f>
        <v>0</v>
      </c>
      <c r="I12" s="88"/>
      <c r="J12" s="95">
        <f>SUMIFS(tbRegistroEntradas[VALOR],tbRegistroEntradas[ENTRADA NÍVEL 2],"="&amp;$J$4,tbRegistroEntradas[ANO COMPETÊNCIA],"="&amp;$C$4,tbRegistroEntradas[[MÊS COMPETÊNCIA ]],L12)</f>
        <v>24288</v>
      </c>
      <c r="K12" s="95">
        <f t="shared" si="0"/>
        <v>24288</v>
      </c>
      <c r="L12" s="91" t="s">
        <v>605</v>
      </c>
      <c r="N12" s="88" t="s">
        <v>605</v>
      </c>
      <c r="O12" s="97">
        <f>SUMIFS(tbRegistroEntradas[VALOR],tbRegistroEntradas[BASE DE OPERAÇÃO],"="&amp;$O$4,tbRegistroEntradas[ANO COMPETÊNCIA],$C$4,tbRegistroEntradas[[MÊS COMPETÊNCIA ]],N12)</f>
        <v>15104</v>
      </c>
    </row>
    <row r="13" spans="1:15" x14ac:dyDescent="0.3">
      <c r="A13" s="88"/>
      <c r="B13" s="102" t="s">
        <v>656</v>
      </c>
      <c r="C13" s="102"/>
      <c r="D13" s="98">
        <f>SUMIFS(tbRegistroSaidas[VALOR],tbRegistroSaidas[DATA DE CAIXA REALIZADO],"N/A",tbRegistroSaidas[ANO PREVISTO],"="&amp;C4)</f>
        <v>10511</v>
      </c>
      <c r="E13" s="88"/>
      <c r="F13" s="88" t="s">
        <v>606</v>
      </c>
      <c r="G13" s="97">
        <f>SUMIFS(tbRegistroSaidas[VALOR],tbRegistroSaidas[DATA DE CAIXA REALIZADO],"N/A",tbRegistroSaidas[ANO PREVISTO],"="&amp;$C$4,tbRegistroSaidas[MÊS PREVISTO],F13)</f>
        <v>0</v>
      </c>
      <c r="H13" s="97">
        <f>SUMIFS(tbRegistroEntradas[VALOR],tbRegistroEntradas[DATA DE CAIXA REALIZADO],"N/A",tbRegistroEntradas[ANO PREVISTO],$C$4,tbRegistroEntradas[MÊS PREVISTO],F13)</f>
        <v>4253</v>
      </c>
      <c r="I13" s="88"/>
      <c r="J13" s="95">
        <f>SUMIFS(tbRegistroEntradas[VALOR],tbRegistroEntradas[ENTRADA NÍVEL 2],"="&amp;$J$4,tbRegistroEntradas[ANO COMPETÊNCIA],"="&amp;$C$4,tbRegistroEntradas[[MÊS COMPETÊNCIA ]],L13)</f>
        <v>14547</v>
      </c>
      <c r="K13" s="95">
        <f t="shared" si="0"/>
        <v>14547</v>
      </c>
      <c r="L13" s="91" t="s">
        <v>606</v>
      </c>
      <c r="N13" s="88" t="s">
        <v>606</v>
      </c>
      <c r="O13" s="97">
        <f>SUMIFS(tbRegistroEntradas[VALOR],tbRegistroEntradas[BASE DE OPERAÇÃO],"="&amp;$O$4,tbRegistroEntradas[ANO COMPETÊNCIA],$C$4,tbRegistroEntradas[[MÊS COMPETÊNCIA ]],N13)</f>
        <v>12709</v>
      </c>
    </row>
    <row r="14" spans="1:15" x14ac:dyDescent="0.3">
      <c r="A14" s="88"/>
      <c r="B14" s="103" t="s">
        <v>657</v>
      </c>
      <c r="C14" s="103"/>
      <c r="D14" s="104">
        <f>SUMIFS(tbRegistroEntradas[VALOR],tbRegistroEntradas[DATA DE CAIXA REALIZADO],"N/A",tbRegistroEntradas[ANO PREVISTO],C4)</f>
        <v>27174</v>
      </c>
      <c r="E14" s="88"/>
      <c r="F14" s="88" t="s">
        <v>607</v>
      </c>
      <c r="G14" s="97">
        <f>SUMIFS(tbRegistroSaidas[VALOR],tbRegistroSaidas[DATA DE CAIXA REALIZADO],"N/A",tbRegistroSaidas[ANO PREVISTO],"="&amp;$C$4,tbRegistroSaidas[MÊS PREVISTO],F14)</f>
        <v>0</v>
      </c>
      <c r="H14" s="97">
        <f>SUMIFS(tbRegistroEntradas[VALOR],tbRegistroEntradas[DATA DE CAIXA REALIZADO],"N/A",tbRegistroEntradas[ANO PREVISTO],$C$4,tbRegistroEntradas[MÊS PREVISTO],F14)</f>
        <v>4922</v>
      </c>
      <c r="I14" s="88"/>
      <c r="J14" s="95">
        <f>SUMIFS(tbRegistroEntradas[VALOR],tbRegistroEntradas[ENTRADA NÍVEL 2],"="&amp;$J$4,tbRegistroEntradas[ANO COMPETÊNCIA],"="&amp;$C$4,tbRegistroEntradas[[MÊS COMPETÊNCIA ]],L14)</f>
        <v>4922</v>
      </c>
      <c r="K14" s="95">
        <f t="shared" si="0"/>
        <v>4922</v>
      </c>
      <c r="L14" s="91" t="s">
        <v>607</v>
      </c>
      <c r="N14" s="88" t="s">
        <v>607</v>
      </c>
      <c r="O14" s="97">
        <f>SUMIFS(tbRegistroEntradas[VALOR],tbRegistroEntradas[BASE DE OPERAÇÃO],"="&amp;$O$4,tbRegistroEntradas[ANO COMPETÊNCIA],$C$4,tbRegistroEntradas[[MÊS COMPETÊNCIA ]],N14)</f>
        <v>17824</v>
      </c>
    </row>
    <row r="15" spans="1:15" x14ac:dyDescent="0.3">
      <c r="A15" s="88"/>
      <c r="B15" s="88"/>
      <c r="C15" s="88"/>
      <c r="D15" s="88"/>
      <c r="E15" s="88"/>
      <c r="F15" s="88" t="s">
        <v>608</v>
      </c>
      <c r="G15" s="97">
        <f>SUMIFS(tbRegistroSaidas[VALOR],tbRegistroSaidas[DATA DE CAIXA REALIZADO],"N/A",tbRegistroSaidas[ANO PREVISTO],"="&amp;$C$4,tbRegistroSaidas[MÊS PREVISTO],F15)</f>
        <v>0</v>
      </c>
      <c r="H15" s="97">
        <f>SUMIFS(tbRegistroEntradas[VALOR],tbRegistroEntradas[DATA DE CAIXA REALIZADO],"N/A",tbRegistroEntradas[ANO PREVISTO],$C$4,tbRegistroEntradas[MÊS PREVISTO],F15)</f>
        <v>0</v>
      </c>
      <c r="I15" s="88"/>
      <c r="J15" s="95">
        <f>SUMIFS(tbRegistroEntradas[VALOR],tbRegistroEntradas[ENTRADA NÍVEL 2],"="&amp;$J$4,tbRegistroEntradas[ANO COMPETÊNCIA],"="&amp;$C$4,tbRegistroEntradas[[MÊS COMPETÊNCIA ]],L15)</f>
        <v>13425</v>
      </c>
      <c r="K15" s="95">
        <f t="shared" si="0"/>
        <v>13425</v>
      </c>
      <c r="L15" s="91" t="s">
        <v>608</v>
      </c>
      <c r="N15" s="88" t="s">
        <v>608</v>
      </c>
      <c r="O15" s="97">
        <f>SUMIFS(tbRegistroEntradas[VALOR],tbRegistroEntradas[BASE DE OPERAÇÃO],"="&amp;$O$4,tbRegistroEntradas[ANO COMPETÊNCIA],$C$4,tbRegistroEntradas[[MÊS COMPETÊNCIA ]],N15)</f>
        <v>7728</v>
      </c>
    </row>
    <row r="16" spans="1:15" x14ac:dyDescent="0.3">
      <c r="A16" s="88"/>
      <c r="B16" s="88"/>
      <c r="C16" s="88"/>
      <c r="D16" s="88"/>
      <c r="E16" s="88"/>
      <c r="F16" s="88" t="s">
        <v>609</v>
      </c>
      <c r="G16" s="97">
        <f>SUMIFS(tbRegistroSaidas[VALOR],tbRegistroSaidas[DATA DE CAIXA REALIZADO],"N/A",tbRegistroSaidas[ANO PREVISTO],"="&amp;$C$4,tbRegistroSaidas[MÊS PREVISTO],F16)</f>
        <v>0</v>
      </c>
      <c r="H16" s="97">
        <f>SUMIFS(tbRegistroEntradas[VALOR],tbRegistroEntradas[DATA DE CAIXA REALIZADO],"N/A",tbRegistroEntradas[ANO PREVISTO],$C$4,tbRegistroEntradas[MÊS PREVISTO],F16)</f>
        <v>7455</v>
      </c>
      <c r="I16" s="88"/>
      <c r="J16" s="95">
        <f>SUMIFS(tbRegistroEntradas[VALOR],tbRegistroEntradas[ENTRADA NÍVEL 2],"="&amp;$J$4,tbRegistroEntradas[ANO COMPETÊNCIA],"="&amp;$C$4,tbRegistroEntradas[[MÊS COMPETÊNCIA ]],L16)</f>
        <v>7340</v>
      </c>
      <c r="K16" s="95">
        <f t="shared" si="0"/>
        <v>7340</v>
      </c>
      <c r="L16" s="91" t="s">
        <v>609</v>
      </c>
      <c r="N16" s="88" t="s">
        <v>609</v>
      </c>
      <c r="O16" s="97">
        <f>SUMIFS(tbRegistroEntradas[VALOR],tbRegistroEntradas[BASE DE OPERAÇÃO],"="&amp;$O$4,tbRegistroEntradas[ANO COMPETÊNCIA],$C$4,tbRegistroEntradas[[MÊS COMPETÊNCIA ]],N16)</f>
        <v>3775</v>
      </c>
    </row>
    <row r="17" spans="1:15" x14ac:dyDescent="0.3">
      <c r="A17" s="88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N17" s="92" t="s">
        <v>658</v>
      </c>
      <c r="O17" s="107">
        <f>SUM(O5:O16)</f>
        <v>130860</v>
      </c>
    </row>
    <row r="18" spans="1:15" x14ac:dyDescent="0.3">
      <c r="A18" s="88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</row>
    <row r="19" spans="1:15" x14ac:dyDescent="0.3">
      <c r="A19" s="88"/>
      <c r="B19" s="152" t="s">
        <v>1554</v>
      </c>
      <c r="C19" s="88"/>
      <c r="D19" s="88"/>
      <c r="E19" s="88"/>
      <c r="F19" s="88"/>
      <c r="G19" s="152" t="s">
        <v>1552</v>
      </c>
      <c r="H19" s="152" t="s">
        <v>1553</v>
      </c>
      <c r="I19" s="88"/>
      <c r="J19" s="25" t="s">
        <v>1558</v>
      </c>
      <c r="K19" s="88"/>
      <c r="L19" s="88"/>
    </row>
    <row r="20" spans="1:15" x14ac:dyDescent="0.3">
      <c r="A20" s="88"/>
      <c r="B20" s="153">
        <f>SUMIFS(tbRegistroEntradas[VALOR],tbRegistroEntradas[BASE DE OPERAÇÃO],"="&amp;C20,tbRegistroEntradas[ANO COMPETÊNCIA],$C$4)</f>
        <v>84333</v>
      </c>
      <c r="C20" s="149" t="s">
        <v>138</v>
      </c>
      <c r="F20" s="52" t="s">
        <v>1555</v>
      </c>
      <c r="G20" s="52" t="str">
        <f>VLOOKUP(H20,$B$20:$C$28,2,FALSE)</f>
        <v>GUARUJÁ</v>
      </c>
      <c r="H20" s="154">
        <f>LARGE(B20:B28,1)</f>
        <v>167520</v>
      </c>
      <c r="J20" s="52" t="s">
        <v>16</v>
      </c>
      <c r="K20" s="162">
        <f>SUMIFS(tbRegistroEntradas[VALOR],tbRegistroEntradas[ENTRADA NÍVEL 2],J20,tbRegistroEntradas[ANO CAIXA],$C$4)</f>
        <v>132661</v>
      </c>
    </row>
    <row r="21" spans="1:15" x14ac:dyDescent="0.3">
      <c r="A21" s="88"/>
      <c r="B21" s="153">
        <f>SUMIFS(tbRegistroEntradas[VALOR],tbRegistroEntradas[BASE DE OPERAÇÃO],"="&amp;C21,tbRegistroEntradas[ANO COMPETÊNCIA],$C$4)</f>
        <v>158538</v>
      </c>
      <c r="C21" s="150" t="s">
        <v>61</v>
      </c>
      <c r="F21" s="52" t="s">
        <v>1556</v>
      </c>
      <c r="G21" s="52" t="str">
        <f>VLOOKUP(H21,$B$20:$C$28,2,FALSE)</f>
        <v>SÃO PAULO</v>
      </c>
      <c r="H21" s="155">
        <f>LARGE(B20:B28,2)</f>
        <v>158538</v>
      </c>
      <c r="J21" s="52" t="s">
        <v>17</v>
      </c>
      <c r="K21" s="162">
        <f>SUMIFS(tbRegistroEntradas[VALOR],tbRegistroEntradas[ENTRADA NÍVEL 2],J21,tbRegistroEntradas[ANO CAIXA],$C$4)</f>
        <v>255727</v>
      </c>
    </row>
    <row r="22" spans="1:15" x14ac:dyDescent="0.3">
      <c r="A22" s="88"/>
      <c r="B22" s="153">
        <f>SUMIFS(tbRegistroEntradas[VALOR],tbRegistroEntradas[BASE DE OPERAÇÃO],"="&amp;C22,tbRegistroEntradas[ANO COMPETÊNCIA],$C$4)</f>
        <v>27742</v>
      </c>
      <c r="C22" s="150" t="s">
        <v>62</v>
      </c>
      <c r="F22" s="52" t="s">
        <v>1557</v>
      </c>
      <c r="G22" s="52" t="str">
        <f>VLOOKUP(H22,$B$20:$C$28,2,FALSE)</f>
        <v>BARUERI</v>
      </c>
      <c r="H22" s="155">
        <f>LARGE(B20:B28,3)</f>
        <v>134940</v>
      </c>
      <c r="J22" s="52" t="s">
        <v>18</v>
      </c>
      <c r="K22" s="162">
        <f>SUMIFS(tbRegistroEntradas[VALOR],tbRegistroEntradas[ENTRADA NÍVEL 2],J22,tbRegistroEntradas[ANO CAIXA],$C$4)</f>
        <v>140870</v>
      </c>
    </row>
    <row r="23" spans="1:15" x14ac:dyDescent="0.3">
      <c r="A23" s="88"/>
      <c r="B23" s="153">
        <f>SUMIFS(tbRegistroEntradas[VALOR],tbRegistroEntradas[BASE DE OPERAÇÃO],"="&amp;C23,tbRegistroEntradas[ANO COMPETÊNCIA],$C$4)</f>
        <v>84998</v>
      </c>
      <c r="C23" s="150" t="s">
        <v>63</v>
      </c>
      <c r="H23" s="155"/>
      <c r="J23" s="52" t="s">
        <v>19</v>
      </c>
      <c r="K23" s="162">
        <f>SUMIFS(tbRegistroEntradas[VALOR],tbRegistroEntradas[ENTRADA NÍVEL 2],J23,tbRegistroEntradas[ANO CAIXA],$C$4)</f>
        <v>211853</v>
      </c>
    </row>
    <row r="24" spans="1:15" x14ac:dyDescent="0.3">
      <c r="A24" s="88"/>
      <c r="B24" s="153">
        <f>SUMIFS(tbRegistroEntradas[VALOR],tbRegistroEntradas[BASE DE OPERAÇÃO],"="&amp;C24,tbRegistroEntradas[ANO COMPETÊNCIA],$C$4)</f>
        <v>95394</v>
      </c>
      <c r="C24" s="150" t="s">
        <v>137</v>
      </c>
      <c r="J24" s="52" t="s">
        <v>20</v>
      </c>
      <c r="K24" s="162">
        <f>SUMIFS(tbRegistroEntradas[VALOR],tbRegistroEntradas[ENTRADA NÍVEL 2],J24,tbRegistroEntradas[ANO CAIXA],$C$4)</f>
        <v>205399</v>
      </c>
    </row>
    <row r="25" spans="1:15" x14ac:dyDescent="0.3">
      <c r="A25" s="88"/>
      <c r="B25" s="153">
        <f>SUMIFS(tbRegistroEntradas[VALOR],tbRegistroEntradas[BASE DE OPERAÇÃO],"="&amp;C25,tbRegistroEntradas[ANO COMPETÊNCIA],$C$4)</f>
        <v>95492</v>
      </c>
      <c r="C25" s="150" t="s">
        <v>64</v>
      </c>
    </row>
    <row r="26" spans="1:15" x14ac:dyDescent="0.3">
      <c r="A26" s="88"/>
      <c r="B26" s="153">
        <f>SUMIFS(tbRegistroEntradas[VALOR],tbRegistroEntradas[BASE DE OPERAÇÃO],"="&amp;C26,tbRegistroEntradas[ANO COMPETÊNCIA],$C$4)</f>
        <v>167520</v>
      </c>
      <c r="C26" s="150" t="s">
        <v>65</v>
      </c>
    </row>
    <row r="27" spans="1:15" x14ac:dyDescent="0.3">
      <c r="A27" s="88"/>
      <c r="B27" s="153">
        <f>SUMIFS(tbRegistroEntradas[VALOR],tbRegistroEntradas[BASE DE OPERAÇÃO],"="&amp;C27,tbRegistroEntradas[ANO COMPETÊNCIA],$C$4)</f>
        <v>130860</v>
      </c>
      <c r="C27" s="150" t="s">
        <v>66</v>
      </c>
    </row>
    <row r="28" spans="1:15" x14ac:dyDescent="0.3">
      <c r="A28" s="88"/>
      <c r="B28" s="153">
        <f>SUMIFS(tbRegistroEntradas[VALOR],tbRegistroEntradas[BASE DE OPERAÇÃO],"="&amp;C28,tbRegistroEntradas[ANO COMPETÊNCIA],$C$4)</f>
        <v>134940</v>
      </c>
      <c r="C28" s="151" t="s">
        <v>67</v>
      </c>
      <c r="D28" s="88"/>
      <c r="E28" s="88"/>
    </row>
    <row r="29" spans="1:15" x14ac:dyDescent="0.3">
      <c r="A29" s="88"/>
      <c r="B29" s="88"/>
      <c r="C29" s="88"/>
      <c r="D29" s="88"/>
      <c r="E29" s="88"/>
      <c r="F29" s="88"/>
      <c r="G29" s="88"/>
      <c r="H29" s="88"/>
    </row>
    <row r="30" spans="1:15" x14ac:dyDescent="0.3">
      <c r="A30" s="88"/>
      <c r="B30" s="88"/>
      <c r="C30" s="88"/>
      <c r="D30" s="88"/>
    </row>
    <row r="31" spans="1:15" x14ac:dyDescent="0.3">
      <c r="A31" s="88"/>
      <c r="B31" s="88"/>
      <c r="E31" s="88"/>
      <c r="F31" s="88"/>
      <c r="G31" s="88"/>
      <c r="H31" s="88"/>
    </row>
    <row r="32" spans="1:15" x14ac:dyDescent="0.3">
      <c r="A32" s="88"/>
      <c r="B32" s="88"/>
      <c r="E32" s="88"/>
      <c r="F32" s="88"/>
      <c r="G32" s="88"/>
      <c r="H32" s="88"/>
    </row>
    <row r="33" spans="1:12" x14ac:dyDescent="0.3">
      <c r="A33" s="88"/>
      <c r="B33" s="88"/>
      <c r="C33" s="88"/>
      <c r="D33" s="88"/>
      <c r="E33" s="88"/>
      <c r="F33" s="88"/>
      <c r="I33" s="88"/>
      <c r="J33" s="88"/>
      <c r="K33" s="88"/>
      <c r="L33" s="88"/>
    </row>
    <row r="34" spans="1:12" x14ac:dyDescent="0.3">
      <c r="A34" s="88"/>
      <c r="B34" s="88"/>
      <c r="C34" s="88"/>
      <c r="D34" s="88"/>
      <c r="E34" s="88"/>
      <c r="F34" s="88"/>
      <c r="I34" s="88"/>
      <c r="J34" s="88"/>
      <c r="K34" s="88"/>
      <c r="L34" s="88"/>
    </row>
    <row r="35" spans="1:12" x14ac:dyDescent="0.3">
      <c r="A35" s="88"/>
      <c r="B35" s="88"/>
      <c r="C35" s="88"/>
      <c r="D35" s="88"/>
      <c r="E35" s="88"/>
      <c r="F35" s="88"/>
      <c r="I35" s="88"/>
      <c r="J35" s="88"/>
      <c r="K35" s="88"/>
      <c r="L35" s="88"/>
    </row>
    <row r="36" spans="1:12" x14ac:dyDescent="0.3">
      <c r="A36" s="88"/>
      <c r="B36" s="88"/>
      <c r="C36" s="88"/>
      <c r="D36" s="88"/>
      <c r="E36" s="88"/>
      <c r="F36" s="88"/>
      <c r="I36" s="88"/>
      <c r="J36" s="88"/>
      <c r="K36" s="88"/>
      <c r="L36" s="88"/>
    </row>
    <row r="37" spans="1:12" x14ac:dyDescent="0.3">
      <c r="A37" s="88"/>
      <c r="B37" s="88"/>
      <c r="C37" s="88"/>
      <c r="D37" s="88"/>
      <c r="E37" s="88"/>
      <c r="F37" s="88"/>
      <c r="I37" s="88"/>
      <c r="J37" s="88"/>
      <c r="K37" s="88"/>
      <c r="L37" s="88"/>
    </row>
    <row r="38" spans="1:12" x14ac:dyDescent="0.3">
      <c r="A38" s="88"/>
      <c r="B38" s="88"/>
      <c r="C38" s="88"/>
      <c r="D38" s="88"/>
      <c r="E38" s="88"/>
      <c r="F38" s="88"/>
      <c r="I38" s="88"/>
      <c r="J38" s="88"/>
      <c r="K38" s="88"/>
      <c r="L38" s="88"/>
    </row>
    <row r="39" spans="1:12" x14ac:dyDescent="0.3">
      <c r="A39" s="88"/>
      <c r="B39" s="88"/>
      <c r="C39" s="88"/>
      <c r="D39" s="88"/>
      <c r="E39" s="88"/>
      <c r="F39" s="88"/>
      <c r="I39" s="88"/>
      <c r="J39" s="88"/>
      <c r="K39" s="88"/>
      <c r="L39" s="88"/>
    </row>
    <row r="40" spans="1:12" x14ac:dyDescent="0.3">
      <c r="A40" s="88"/>
      <c r="B40" s="88"/>
      <c r="C40" s="88"/>
      <c r="D40" s="88"/>
      <c r="E40" s="88"/>
      <c r="F40" s="88"/>
      <c r="I40" s="88"/>
      <c r="J40" s="88"/>
      <c r="K40" s="88"/>
      <c r="L40" s="88"/>
    </row>
    <row r="41" spans="1:12" x14ac:dyDescent="0.3">
      <c r="A41" s="88"/>
      <c r="B41" s="88"/>
      <c r="C41" s="88"/>
      <c r="D41" s="88"/>
      <c r="E41" s="88"/>
      <c r="F41" s="88"/>
      <c r="I41" s="88"/>
      <c r="J41" s="88"/>
      <c r="K41" s="88"/>
      <c r="L41" s="88"/>
    </row>
    <row r="42" spans="1:12" x14ac:dyDescent="0.3">
      <c r="A42" s="88"/>
      <c r="B42" s="88"/>
      <c r="C42" s="88"/>
      <c r="D42" s="88"/>
      <c r="E42" s="88"/>
      <c r="F42" s="88"/>
      <c r="I42" s="88"/>
      <c r="J42" s="88"/>
      <c r="K42" s="88"/>
      <c r="L42" s="88"/>
    </row>
    <row r="43" spans="1:12" x14ac:dyDescent="0.3">
      <c r="A43" s="88"/>
      <c r="B43" s="88"/>
      <c r="C43" s="88"/>
      <c r="D43" s="88"/>
      <c r="E43" s="88"/>
      <c r="F43" s="88"/>
      <c r="I43" s="88"/>
      <c r="J43" s="88"/>
      <c r="K43" s="88"/>
      <c r="L43" s="88"/>
    </row>
    <row r="44" spans="1:12" x14ac:dyDescent="0.3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</row>
    <row r="45" spans="1:12" x14ac:dyDescent="0.3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</row>
    <row r="46" spans="1:12" hidden="1" x14ac:dyDescent="0.3"/>
  </sheetData>
  <conditionalFormatting sqref="C11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8305E5-FBA3-4172-A6FD-F6F739CA0B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Inicio</vt:lpstr>
      <vt:lpstr>Inserir_Entradas</vt:lpstr>
      <vt:lpstr>PlanoEntradas</vt:lpstr>
      <vt:lpstr>Inserir_Saídas</vt:lpstr>
      <vt:lpstr>PlanoSaídas</vt:lpstr>
      <vt:lpstr>RegistroEntradas</vt:lpstr>
      <vt:lpstr>RegistroSaídas</vt:lpstr>
      <vt:lpstr>RBV</vt:lpstr>
      <vt:lpstr>Fluxo_Consolidado</vt:lpstr>
      <vt:lpstr>DetalhaReceita</vt:lpstr>
      <vt:lpstr>DetalhaDespesa</vt:lpstr>
      <vt:lpstr>DetalhaEBases</vt:lpstr>
      <vt:lpstr>DetalhaSBases</vt:lpstr>
      <vt:lpstr>DetalhaVendedores</vt:lpstr>
      <vt:lpstr>ContasPagar</vt:lpstr>
      <vt:lpstr>ContasReceber</vt:lpstr>
      <vt:lpstr>ContasReceberVen</vt:lpstr>
      <vt:lpstr>DaFinanceiroAnual</vt:lpstr>
      <vt:lpstr>DaFinanceiroAnualT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2023-10-05T18:41:04Z</dcterms:created>
  <dcterms:modified xsi:type="dcterms:W3CDTF">2023-11-03T20:26:41Z</dcterms:modified>
</cp:coreProperties>
</file>